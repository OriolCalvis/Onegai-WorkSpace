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lases  Razas" sheetId="2" r:id="rId5"/>
    <sheet state="visible" name="LVL" sheetId="3" r:id="rId6"/>
    <sheet state="visible" name="Niveles de Creador" sheetId="4" r:id="rId7"/>
    <sheet state="visible" name="Campañas" sheetId="5" r:id="rId8"/>
    <sheet state="visible" name="Loots" sheetId="6" r:id="rId9"/>
    <sheet state="visible" name="Secretos" sheetId="7" r:id="rId10"/>
    <sheet state="visible" name="Finales" sheetId="8" r:id="rId11"/>
    <sheet state="visible" name="Enemigos" sheetId="9" r:id="rId12"/>
    <sheet state="visible" name="Años" sheetId="10" r:id="rId13"/>
    <sheet state="visible" name="Objetos" sheetId="11" r:id="rId14"/>
    <sheet state="visible" name="Campaña 01" sheetId="12" r:id="rId15"/>
    <sheet state="visible" name="Campaña 02" sheetId="13" r:id="rId16"/>
    <sheet state="visible" name="Bonus 02" sheetId="14" r:id="rId17"/>
    <sheet state="visible" name="Bonus 02.2" sheetId="15" r:id="rId18"/>
    <sheet state="visible" name="Bonus 02.4" sheetId="16" r:id="rId19"/>
    <sheet state="visible" name="Progreso" sheetId="17" r:id="rId20"/>
    <sheet state="visible" name="Bonificadores - Bastrea Guerrer" sheetId="18" r:id="rId21"/>
    <sheet state="visible" name="Bonificadores - Ascaria Guerrer" sheetId="19" r:id="rId22"/>
    <sheet state="visible" name="Bonificadores - Bastrea Paladin" sheetId="20" r:id="rId23"/>
    <sheet state="visible" name="Bonificadores - Ascaria Paladin" sheetId="21" r:id="rId24"/>
  </sheets>
  <definedNames>
    <definedName hidden="1" localSheetId="8" name="_xlnm._FilterDatabase">Enemigos!$A$1:$G$11</definedName>
    <definedName hidden="1" localSheetId="17" name="_xlnm._FilterDatabase">'Bonificadores - Bastrea Guerrer'!$R$1:$S$101</definedName>
    <definedName hidden="1" localSheetId="18" name="_xlnm._FilterDatabase">'Bonificadores - Ascaria Guerrer'!$R$1:$S$101</definedName>
    <definedName hidden="1" localSheetId="19" name="_xlnm._FilterDatabase">'Bonificadores - Bastrea Paladin'!$R$1:$S$101</definedName>
    <definedName hidden="1" localSheetId="20" name="_xlnm._FilterDatabase">'Bonificadores - Ascaria Paladin'!$R$1:$S$101</definedName>
  </definedNames>
  <calcPr/>
  <extLst>
    <ext uri="GoogleSheetsCustomDataVersion2">
      <go:sheetsCustomData xmlns:go="http://customooxmlschemas.google.com/" r:id="rId25" roundtripDataChecksum="0QWQhow5793RdbjFZzKznexk4mJWKj+PB84SzPrVZ1Q="/>
    </ext>
  </extLst>
</workbook>
</file>

<file path=xl/sharedStrings.xml><?xml version="1.0" encoding="utf-8"?>
<sst xmlns="http://schemas.openxmlformats.org/spreadsheetml/2006/main" count="3778" uniqueCount="563">
  <si>
    <t>Index</t>
  </si>
  <si>
    <t>Campañas</t>
  </si>
  <si>
    <t>Campaña 01</t>
  </si>
  <si>
    <t>Loots</t>
  </si>
  <si>
    <t>Campaña 02</t>
  </si>
  <si>
    <t>Campaña 02.2</t>
  </si>
  <si>
    <t>Campaña 02.4</t>
  </si>
  <si>
    <t>Enemigos</t>
  </si>
  <si>
    <t>Campaña 3</t>
  </si>
  <si>
    <t>Secretos</t>
  </si>
  <si>
    <t>Finales</t>
  </si>
  <si>
    <t>Objetos</t>
  </si>
  <si>
    <t>Años</t>
  </si>
  <si>
    <t>RAZAS/CREADORES</t>
  </si>
  <si>
    <t>EGOS</t>
  </si>
  <si>
    <t>EROS</t>
  </si>
  <si>
    <t>CHRONOS</t>
  </si>
  <si>
    <t>SOFÍA</t>
  </si>
  <si>
    <t>ENVIDIA</t>
  </si>
  <si>
    <t>VIDA</t>
  </si>
  <si>
    <t>MUERTE</t>
  </si>
  <si>
    <t>VENTAJAS</t>
  </si>
  <si>
    <t>DESVENTAJAS</t>
  </si>
  <si>
    <t>Hombres Lagarto</t>
  </si>
  <si>
    <t>SI</t>
  </si>
  <si>
    <t>NO</t>
  </si>
  <si>
    <t>NEUTRAL</t>
  </si>
  <si>
    <t>FUE+CONS</t>
  </si>
  <si>
    <t>INT+CAR</t>
  </si>
  <si>
    <t>"+3, +3 | -3, -3"</t>
  </si>
  <si>
    <t>Hombres Pájaro</t>
  </si>
  <si>
    <t>DES</t>
  </si>
  <si>
    <t>CONS+INT</t>
  </si>
  <si>
    <t>"+6 | -3, -3"</t>
  </si>
  <si>
    <t>Hombres Gato</t>
  </si>
  <si>
    <t>CAR+DES+SAB</t>
  </si>
  <si>
    <t>INT+FUE+CONS</t>
  </si>
  <si>
    <t>"+2,+2 +2 | -2, -2, -2"</t>
  </si>
  <si>
    <t>Minotauros</t>
  </si>
  <si>
    <t>CONS+FUE</t>
  </si>
  <si>
    <t>SAB+INT</t>
  </si>
  <si>
    <t>Sagas</t>
  </si>
  <si>
    <t>FUE+INT</t>
  </si>
  <si>
    <t>CONS+CAR</t>
  </si>
  <si>
    <t>Orcos</t>
  </si>
  <si>
    <t>FUE+CONS+CAR</t>
  </si>
  <si>
    <t>"+2, +2, +2 |  -6"</t>
  </si>
  <si>
    <t>Medianos</t>
  </si>
  <si>
    <t>INT+DES</t>
  </si>
  <si>
    <t>CONS</t>
  </si>
  <si>
    <t>"+3,+3 | -6"</t>
  </si>
  <si>
    <t>Elfos</t>
  </si>
  <si>
    <t>CAR+INT+SAB+DES</t>
  </si>
  <si>
    <t>"+2, +1, +1,+ 2 | -3, -3"</t>
  </si>
  <si>
    <t>Enanos</t>
  </si>
  <si>
    <t>CONS+FUE+SAB</t>
  </si>
  <si>
    <t>CAR+INT</t>
  </si>
  <si>
    <t>"+3, +1, +2 | -3, -3"</t>
  </si>
  <si>
    <t>Yokai</t>
  </si>
  <si>
    <t>"+3 ,+3 | -6"</t>
  </si>
  <si>
    <t>Poseídos</t>
  </si>
  <si>
    <t>DES+SAB</t>
  </si>
  <si>
    <t>CAR+CONS</t>
  </si>
  <si>
    <t>"+3,+3 | -3, -3"</t>
  </si>
  <si>
    <t>Elfos Oscuros</t>
  </si>
  <si>
    <t>DES+INT+SAB</t>
  </si>
  <si>
    <t>CAR+FUE</t>
  </si>
  <si>
    <t>"+3,+1,+2 | -3, -3"</t>
  </si>
  <si>
    <t>No Muertos</t>
  </si>
  <si>
    <t>INT+SAB</t>
  </si>
  <si>
    <t>Nagas</t>
  </si>
  <si>
    <t>DES+INT</t>
  </si>
  <si>
    <t>Dracónidos</t>
  </si>
  <si>
    <t>FUE+INT+CONS</t>
  </si>
  <si>
    <t>DES+CAR</t>
  </si>
  <si>
    <t>"+2,+2,+2 | -3, -3"</t>
  </si>
  <si>
    <t>Aegroum</t>
  </si>
  <si>
    <t>Ascaria</t>
  </si>
  <si>
    <t>Bastrea</t>
  </si>
  <si>
    <t>FUE+SAB+DES</t>
  </si>
  <si>
    <t>"+3,+2,+1 | -3,-3"</t>
  </si>
  <si>
    <t>Perdidos</t>
  </si>
  <si>
    <t>CLASES</t>
  </si>
  <si>
    <t>COMPETENCIAS MARICALES</t>
  </si>
  <si>
    <t>COMPETENCIAS MAGICAS</t>
  </si>
  <si>
    <t>DEBILIDADES</t>
  </si>
  <si>
    <t>FORTALEZAS</t>
  </si>
  <si>
    <t>SALVACIONES</t>
  </si>
  <si>
    <t>PERDICIONES</t>
  </si>
  <si>
    <t>NIVELES</t>
  </si>
  <si>
    <t>ESPECIALIZACION</t>
  </si>
  <si>
    <t>PROFESIONES</t>
  </si>
  <si>
    <t>MORALIDAD</t>
  </si>
  <si>
    <t>ATRIBUTOS</t>
  </si>
  <si>
    <t>PALADIN</t>
  </si>
  <si>
    <t>Bastones, Mazas, Esapadas cortas</t>
  </si>
  <si>
    <t>Control de Vida, Bendiciones, Curaciones, Magia de evocación media.</t>
  </si>
  <si>
    <t>Sombras</t>
  </si>
  <si>
    <t>Luz</t>
  </si>
  <si>
    <t>CONS+INT
Luz</t>
  </si>
  <si>
    <t>CAR+DES
Oscuridad</t>
  </si>
  <si>
    <t>3-5-7-10-13-16-19</t>
  </si>
  <si>
    <t>BENDICIONES</t>
  </si>
  <si>
    <t>Cualquier oficio noble y respetuoso.</t>
  </si>
  <si>
    <t>LEGAL</t>
  </si>
  <si>
    <t>Monturas</t>
  </si>
  <si>
    <t>GUERRERO</t>
  </si>
  <si>
    <t>FUE</t>
  </si>
  <si>
    <t>CAR</t>
  </si>
  <si>
    <t>Armas afiladas</t>
  </si>
  <si>
    <t>Moral.</t>
  </si>
  <si>
    <t>Magia de evasión</t>
  </si>
  <si>
    <t>Ataque cuerpo a cuerpo</t>
  </si>
  <si>
    <t>ESPADA LARGA</t>
  </si>
  <si>
    <t>Mercenario, caballero, herrero...</t>
  </si>
  <si>
    <t>Monturas, Estrategia militar.</t>
  </si>
  <si>
    <t>MAGO</t>
  </si>
  <si>
    <t>Bastones, ballestas.</t>
  </si>
  <si>
    <t>Cualquier magia en la que se especialice.</t>
  </si>
  <si>
    <t>Magia a distancia.</t>
  </si>
  <si>
    <t>CREACIÓN DE PERGAMINOS MÁGICOS.</t>
  </si>
  <si>
    <t>Alquimista, escritor, investigador.</t>
  </si>
  <si>
    <t>LEGAL/NEUTRAL</t>
  </si>
  <si>
    <t>Conocimiento rúnico.</t>
  </si>
  <si>
    <t>HECHICERO</t>
  </si>
  <si>
    <t>DES+CONS</t>
  </si>
  <si>
    <t>Espadas cortas, dagas, varitas.</t>
  </si>
  <si>
    <t>Imbuir armas, hechizos elementales.</t>
  </si>
  <si>
    <t>Contrahechizos.</t>
  </si>
  <si>
    <t>Prestidigitación.</t>
  </si>
  <si>
    <t>INT+CAR
Somnolencia</t>
  </si>
  <si>
    <t>DES+CONS
Veneno</t>
  </si>
  <si>
    <t>Magia de combate cuerpo a cuerpo.</t>
  </si>
  <si>
    <t>Escritor, investigador, caballero.</t>
  </si>
  <si>
    <t>Monturas mágicas.</t>
  </si>
  <si>
    <t>BRUJO</t>
  </si>
  <si>
    <t>SAB+CAR</t>
  </si>
  <si>
    <t>INT+CONS</t>
  </si>
  <si>
    <t>Dagas, bastones, ballestas.</t>
  </si>
  <si>
    <t>Invocaciones, hechizos de combate, control de masas.</t>
  </si>
  <si>
    <t>Ataques no mágicos.</t>
  </si>
  <si>
    <t>Escudos mágicos.</t>
  </si>
  <si>
    <t>SAB+CAR
Oscuridad</t>
  </si>
  <si>
    <t>INT+CONS
Luz</t>
  </si>
  <si>
    <t>Mágia demoníaca, armas cortas.</t>
  </si>
  <si>
    <t>CAOTICO NEUTRAL</t>
  </si>
  <si>
    <t>Control de masas.</t>
  </si>
  <si>
    <t>PÍCARO</t>
  </si>
  <si>
    <t>CAR+DES</t>
  </si>
  <si>
    <t>Ocultación, sombras.</t>
  </si>
  <si>
    <t>Luz, ataques mágicos.</t>
  </si>
  <si>
    <t>Sigilo, contraataque.</t>
  </si>
  <si>
    <t>CAR+DES
Acrobacias, Sigilo, Veneno.</t>
  </si>
  <si>
    <t>FUE+CONS
Magia.</t>
  </si>
  <si>
    <t>Armas cortas, Sigilo, Estados alterados.</t>
  </si>
  <si>
    <t>Ladrón, espía, actor, mercenario.</t>
  </si>
  <si>
    <t>Anonimato.</t>
  </si>
  <si>
    <t>BARDO</t>
  </si>
  <si>
    <t>Instrumentos, armas cortas, ballesta.</t>
  </si>
  <si>
    <t>Control de masas, bendiciones, control de vida.</t>
  </si>
  <si>
    <t>Ataque cuerpo a cuerpo.</t>
  </si>
  <si>
    <t>Interpretación, apoyo.</t>
  </si>
  <si>
    <t>INT+CAR
Interpretación</t>
  </si>
  <si>
    <t>FUE+CONS
Seducción.</t>
  </si>
  <si>
    <t>Instrumentos, Persuasión.</t>
  </si>
  <si>
    <t>Artista, vendedor.</t>
  </si>
  <si>
    <t>CAOTICO/LEGAL</t>
  </si>
  <si>
    <t>Magia musical.</t>
  </si>
  <si>
    <t>BÁRBARO</t>
  </si>
  <si>
    <t>Armas pesadas, Armas arrojadizas.</t>
  </si>
  <si>
    <t>Ataques mágicos, Moral.</t>
  </si>
  <si>
    <t>Ataque cuerpo a cuerpo, Moral.</t>
  </si>
  <si>
    <t>FUE+CONS
Adrenalina</t>
  </si>
  <si>
    <t>INT+SAB
Magia.</t>
  </si>
  <si>
    <t>Armas pesadas, Ataque múltiple, Sed de Sangre.</t>
  </si>
  <si>
    <t>Caballero, mercenario, herrero...</t>
  </si>
  <si>
    <t>Resistencia.</t>
  </si>
  <si>
    <t>ARTIFICIERO</t>
  </si>
  <si>
    <t>INT+CAR+DES</t>
  </si>
  <si>
    <t>Armas de fuego, Explosivos.</t>
  </si>
  <si>
    <t>Tecnología.</t>
  </si>
  <si>
    <t>Ataque a distancia, huida.</t>
  </si>
  <si>
    <t>INT+CAR+DES
Tecnología.</t>
  </si>
  <si>
    <t>FUE+CONS
Falla de energía.</t>
  </si>
  <si>
    <t>Armas de fuego, Ataque a distancia.</t>
  </si>
  <si>
    <t>Profesor, Vendedor, Investigador.</t>
  </si>
  <si>
    <t>Puntería.</t>
  </si>
  <si>
    <t>DRUIDA</t>
  </si>
  <si>
    <t>Bastones, armas cuerpo a cuerpo, armas marciales.</t>
  </si>
  <si>
    <t>Magia de la naturaleza, Taumaturgia.</t>
  </si>
  <si>
    <t>Magia Lunar.</t>
  </si>
  <si>
    <t>INT+SAB
Fortaleza Salvaje.</t>
  </si>
  <si>
    <t>Conexión con la naturaleza, druidismo variado.</t>
  </si>
  <si>
    <t>Boticario, leñador.</t>
  </si>
  <si>
    <t>Naturaleza.</t>
  </si>
  <si>
    <t>CAZADOR</t>
  </si>
  <si>
    <t>Ballestas, armas cortas, arcos.</t>
  </si>
  <si>
    <t>Control de la naturaleza, venenos, camuflaje.</t>
  </si>
  <si>
    <t>Magia, Armas pesadas.</t>
  </si>
  <si>
    <t>Agilidad en combate, Sigilo.</t>
  </si>
  <si>
    <t>Leñador, Comerciante.</t>
  </si>
  <si>
    <t>LEGAL NEUTRAL</t>
  </si>
  <si>
    <t>CHAMÁN</t>
  </si>
  <si>
    <t>Lucha cuerpo a cuerpo, bastones.</t>
  </si>
  <si>
    <t>Invocación totémica, bendiciones elementales.</t>
  </si>
  <si>
    <t>Corrupción, ataque a distancia.</t>
  </si>
  <si>
    <t>Ataque cuerpo a cuerpo, apoyo grupal.</t>
  </si>
  <si>
    <t>SAB+CAR
Regeneración Natural.</t>
  </si>
  <si>
    <t>DES+CONS
Recuperaciones lentas.</t>
  </si>
  <si>
    <t>Combate cuerpo a cuerpo, magia elemental.</t>
  </si>
  <si>
    <t>Monje, escritor, comerciante.</t>
  </si>
  <si>
    <t>Contacto con los espíritus.</t>
  </si>
  <si>
    <t xml:space="preserve">Lvl </t>
  </si>
  <si>
    <t>Tipo</t>
  </si>
  <si>
    <t>Apoyo</t>
  </si>
  <si>
    <t>Fisico</t>
  </si>
  <si>
    <t>Magia</t>
  </si>
  <si>
    <t>Gurkazaal</t>
  </si>
  <si>
    <t>Sacrificio</t>
  </si>
  <si>
    <t>Destructor</t>
  </si>
  <si>
    <t>Susurro Demoniaco</t>
  </si>
  <si>
    <t>Pierdes la mitad de la vida, pero curas el doble a un aliado que puedas tocar.</t>
  </si>
  <si>
    <t>Te atacan con ventaja y atacas con ventaja.</t>
  </si>
  <si>
    <t>Tus ataques magicos hacen 1/4 a los enemigos adyacentes a tu objetivo 1 turno.</t>
  </si>
  <si>
    <t>Mano de luz</t>
  </si>
  <si>
    <t>Fuerza interna</t>
  </si>
  <si>
    <t>Destello luminiscente</t>
  </si>
  <si>
    <t>Al tocar a una criatura le curas 1d4 de puntos de golpe.</t>
  </si>
  <si>
    <r>
      <rPr>
        <rFont val="Arial"/>
        <color theme="1"/>
      </rPr>
      <t xml:space="preserve">Suma +1 a tus tiradas de ataque. </t>
    </r>
    <r>
      <rPr>
        <rFont val="Arial"/>
        <i/>
        <color theme="1"/>
      </rPr>
      <t>(+2 si se trata de un demonio)</t>
    </r>
  </si>
  <si>
    <t>Un destello surge de ti, dejando cegados durante dos turnos a tus enemigos adyacentes.</t>
  </si>
  <si>
    <t>Tiempo radiante</t>
  </si>
  <si>
    <t>Confianza Extrema</t>
  </si>
  <si>
    <t>Ayuda incomensurable</t>
  </si>
  <si>
    <t>Iluminas con tu saber a un aliado cercano proporcionando +1 en sus tiradas de sabiduría.</t>
  </si>
  <si>
    <t>Si atacas conjuntamente con otro aliado, se convierte en golpe crítico.</t>
  </si>
  <si>
    <t>Proporcionas +1 a la Destreza de un aliado cercano.</t>
  </si>
  <si>
    <t>Manos largas</t>
  </si>
  <si>
    <t>Desarme</t>
  </si>
  <si>
    <t>Ilusionista</t>
  </si>
  <si>
    <t>Al acertar un ataque, lanzas un dado d100 para comprobar si has robado algún objeto a tu enemigo.</t>
  </si>
  <si>
    <t>Si aciertas un ataque con una tirada superior a 17, desarmas al enemigo.</t>
  </si>
  <si>
    <t>Creas una imagen doble de ti, haciendo que tires con ventaja en las tiradas de ataque.</t>
  </si>
  <si>
    <t>Guía divina</t>
  </si>
  <si>
    <t>Golpe sanador</t>
  </si>
  <si>
    <t>Potencia celestial</t>
  </si>
  <si>
    <t>Guías a un aliado, lo que le proporciona 1d6 en sus tiradas de salvación.</t>
  </si>
  <si>
    <t>Si aciertas un ataque con una tirada superior a 17, absorbes el daño ocasionado, curándote esa cantidad.</t>
  </si>
  <si>
    <t>Sacrificas la mitad de tu vida para realizar un hechizo de 1 nivel superior al actual.</t>
  </si>
  <si>
    <t>Bloqueo necrótico</t>
  </si>
  <si>
    <t>Ataque maldito</t>
  </si>
  <si>
    <t>Invocación decrepita</t>
  </si>
  <si>
    <t>Creas un escudo necrótico que devuelve el daño de un ataque o hechizo a quien lo ha realizado.</t>
  </si>
  <si>
    <t>Muerte te otorga 1d4 de dañó necrótico en tu siguiente ataque.</t>
  </si>
  <si>
    <t>Invocas a un no muerto de nivel 1/4 que te ayudará en una pelea. Una vez finalizada, se desvanecerá.</t>
  </si>
  <si>
    <t>Aliento moral</t>
  </si>
  <si>
    <t>Crítico asegurado</t>
  </si>
  <si>
    <t>Renovación mágica</t>
  </si>
  <si>
    <t>Animas a un aliado, haciendo que tenga ventaja en su siguiente tirada.</t>
  </si>
  <si>
    <t>Te permite cambiar el resultado de una tirada por un crítico. No se aplican a tiradas de pifia.</t>
  </si>
  <si>
    <t>Te permite realizar un hechizo que no puedas usar en ese turno.</t>
  </si>
  <si>
    <t>Seducción mortífera</t>
  </si>
  <si>
    <t>Amor tóxico</t>
  </si>
  <si>
    <t>Succión de espíritu</t>
  </si>
  <si>
    <t>Seduces a un enemigo, atacándole con ventaja.</t>
  </si>
  <si>
    <t>Generas desventaja en el siguiente turno de un enemigo.</t>
  </si>
  <si>
    <t>Succionas vida de un enemigo, curándote 1d4. En caso de sobrevivir, el enemigo tirará con desventaja durante 2 turnos.</t>
  </si>
  <si>
    <t>-</t>
  </si>
  <si>
    <t>Castigo</t>
  </si>
  <si>
    <t>Pulverizador</t>
  </si>
  <si>
    <t>Purgatorio</t>
  </si>
  <si>
    <t>Canción del tiempo</t>
  </si>
  <si>
    <t>Volver a empezar</t>
  </si>
  <si>
    <t>Infinita confusión</t>
  </si>
  <si>
    <t>Saber de Ekait</t>
  </si>
  <si>
    <t>Hermandad del conocimiento</t>
  </si>
  <si>
    <t>Estandarte de Ranmont</t>
  </si>
  <si>
    <t>Ley de Tabaxi</t>
  </si>
  <si>
    <t>Azote de filos</t>
  </si>
  <si>
    <t>Guardia de Ashye</t>
  </si>
  <si>
    <t>El mesías de Numandum</t>
  </si>
  <si>
    <t>Brisa de Argent</t>
  </si>
  <si>
    <t>Conocimiento inequívoco</t>
  </si>
  <si>
    <t>Murallas de Perishton</t>
  </si>
  <si>
    <t>Necrosis</t>
  </si>
  <si>
    <t>Batallón de Nocturnsea</t>
  </si>
  <si>
    <t>El grito de Bomengrid</t>
  </si>
  <si>
    <t>Precision devastadora</t>
  </si>
  <si>
    <t>Llamada de los ancestros</t>
  </si>
  <si>
    <t>Melodía de Ayashii</t>
  </si>
  <si>
    <t>Suicidio emocional</t>
  </si>
  <si>
    <t>Rosario sinuoso</t>
  </si>
  <si>
    <t xml:space="preserve"> de Nivel 2</t>
  </si>
  <si>
    <t xml:space="preserve"> de Nivel 3</t>
  </si>
  <si>
    <t>Misiones</t>
  </si>
  <si>
    <t>Mapas</t>
  </si>
  <si>
    <t>DLC</t>
  </si>
  <si>
    <t>NPCs</t>
  </si>
  <si>
    <t>Oro</t>
  </si>
  <si>
    <t>EXP</t>
  </si>
  <si>
    <t>Enfrentamientos</t>
  </si>
  <si>
    <t>Año</t>
  </si>
  <si>
    <t>Party</t>
  </si>
  <si>
    <t>Total</t>
  </si>
  <si>
    <t>Boundington</t>
  </si>
  <si>
    <t>1 Raza (Sagas)</t>
  </si>
  <si>
    <t>Tierra Santa</t>
  </si>
  <si>
    <t>2 SubRazas( Sagas)</t>
  </si>
  <si>
    <t>Sho-Noco</t>
  </si>
  <si>
    <t>Primer nivel Creador</t>
  </si>
  <si>
    <t>Bonus 2</t>
  </si>
  <si>
    <t>Bosque, Perishton</t>
  </si>
  <si>
    <t xml:space="preserve">2 Clases </t>
  </si>
  <si>
    <t>Bonus 2.2</t>
  </si>
  <si>
    <t>Santas Montañas</t>
  </si>
  <si>
    <t>2 Cambios de Raza</t>
  </si>
  <si>
    <t>Bonus 2.4</t>
  </si>
  <si>
    <t>Templo de los Perdidos</t>
  </si>
  <si>
    <t>Objetos y Hechizos</t>
  </si>
  <si>
    <t>Segundo nivel Creador</t>
  </si>
  <si>
    <t xml:space="preserve">Adalides en Ceaseton </t>
  </si>
  <si>
    <t>Bestiario ampliado</t>
  </si>
  <si>
    <t>Escape de Tierra Santa</t>
  </si>
  <si>
    <t>Historia sobre Gurkazaal Ampliada</t>
  </si>
  <si>
    <t>Entreguerras - Tercer nivel Creador</t>
  </si>
  <si>
    <t>Adalides en Boundington</t>
  </si>
  <si>
    <t>Historia sobre Sho-Noco</t>
  </si>
  <si>
    <t>Doomsburry</t>
  </si>
  <si>
    <t>Primera Danza</t>
  </si>
  <si>
    <t>Batalla nocturna de Velours</t>
  </si>
  <si>
    <t>Asedio de Argent</t>
  </si>
  <si>
    <t>La Carga de los Muertos</t>
  </si>
  <si>
    <t>1 Raza (Yokai)</t>
  </si>
  <si>
    <t>Loot</t>
  </si>
  <si>
    <t>Objeto</t>
  </si>
  <si>
    <t>Tirada de Objetos</t>
  </si>
  <si>
    <t>Enemigo</t>
  </si>
  <si>
    <t>Campaña</t>
  </si>
  <si>
    <t>Cantidad</t>
  </si>
  <si>
    <t>Experiencia</t>
  </si>
  <si>
    <t>Campaña 1</t>
  </si>
  <si>
    <t>Plata</t>
  </si>
  <si>
    <t>Secreto</t>
  </si>
  <si>
    <t>Objetivo</t>
  </si>
  <si>
    <t>Recompensa</t>
  </si>
  <si>
    <t>Desenlace</t>
  </si>
  <si>
    <t>Obtener</t>
  </si>
  <si>
    <t>Perder</t>
  </si>
  <si>
    <t>Descripcion</t>
  </si>
  <si>
    <t>Bueno</t>
  </si>
  <si>
    <t>Malo</t>
  </si>
  <si>
    <t>Neutro</t>
  </si>
  <si>
    <t>Experiencia Total</t>
  </si>
  <si>
    <t>Grupos de 1 | 3 | 5</t>
  </si>
  <si>
    <t>Referencia</t>
  </si>
  <si>
    <t>Cultista</t>
  </si>
  <si>
    <t>x 1 | x 1.5 | x 2</t>
  </si>
  <si>
    <t>https://docs.google.com/document/d/1zUUtLsxeaTC_XeO_rt3fEol7W0CCaufyvmkdK0PNrL0/edit#heading=h.kz35zn7w2aus</t>
  </si>
  <si>
    <t>Guard</t>
  </si>
  <si>
    <t>https://docs.google.com/document/d/1zUUtLsxeaTC_XeO_rt3fEol7W0CCaufyvmkdK0PNrL0/edit#heading=h.upm2wip3u64n</t>
  </si>
  <si>
    <t>Venides</t>
  </si>
  <si>
    <t>x 1</t>
  </si>
  <si>
    <t>https://docs.google.com/document/d/1zUUtLsxeaTC_XeO_rt3fEol7W0CCaufyvmkdK0PNrL0/edit#heading=h.dzofc0ph94fl</t>
  </si>
  <si>
    <t>Edul</t>
  </si>
  <si>
    <t>https://docs.google.com/document/d/1zUUtLsxeaTC_XeO_rt3fEol7W0CCaufyvmkdK0PNrL0/edit#heading=h.x6pzy8h32b73</t>
  </si>
  <si>
    <t>Venira</t>
  </si>
  <si>
    <t>Sandes</t>
  </si>
  <si>
    <t>x 1.5</t>
  </si>
  <si>
    <t>Despertar elemental</t>
  </si>
  <si>
    <t>B.F</t>
  </si>
  <si>
    <t>Before Forcast</t>
  </si>
  <si>
    <t>Despertar Elemental</t>
  </si>
  <si>
    <t>Eventos</t>
  </si>
  <si>
    <t>La Gran Alianza</t>
  </si>
  <si>
    <t>Gongorguma</t>
  </si>
  <si>
    <t>Neo Gongorguma</t>
  </si>
  <si>
    <t>Resistencia</t>
  </si>
  <si>
    <t xml:space="preserve">Ascaria </t>
  </si>
  <si>
    <t>After Forcast</t>
  </si>
  <si>
    <t>Mensaje de Egaroth</t>
  </si>
  <si>
    <t>Nombre</t>
  </si>
  <si>
    <t>Stats</t>
  </si>
  <si>
    <t>Precio</t>
  </si>
  <si>
    <t>Dif Obtencion</t>
  </si>
  <si>
    <t>Enemigo drop</t>
  </si>
  <si>
    <t>Rangos 1-10 | 11 -15 | 16-19 |  20</t>
  </si>
  <si>
    <t>OBJETOS DE CAMPAÑA</t>
  </si>
  <si>
    <t>Equipo Cultista</t>
  </si>
  <si>
    <t>1d20 ( +10)</t>
  </si>
  <si>
    <t>1-10</t>
  </si>
  <si>
    <t>Ropas rotas y arma pequeña + 1 pieza de oro</t>
  </si>
  <si>
    <t>11-15</t>
  </si>
  <si>
    <t>Arma y alguna pieza de ropa entera + 3 piezas de oro</t>
  </si>
  <si>
    <t>16-19</t>
  </si>
  <si>
    <t>El equipo exacto + 11 piezas de oro</t>
  </si>
  <si>
    <t>20</t>
  </si>
  <si>
    <t>Equipo del cultista +1 y 15 piezas de oro</t>
  </si>
  <si>
    <t>Equipo Venides</t>
  </si>
  <si>
    <t>1d20 (+23)</t>
  </si>
  <si>
    <t>Ropas rotas y arma pequeña + 1 pieza de plata</t>
  </si>
  <si>
    <t>Arma y alguna pieza de ropa entera + 30 piezas de plata</t>
  </si>
  <si>
    <t>El equipo exacto + 45 piezas de plata</t>
  </si>
  <si>
    <t>Equipo del cultista +1 y 1 pieza de oro</t>
  </si>
  <si>
    <t>Equipo Edul</t>
  </si>
  <si>
    <t>1d20 ( +25)</t>
  </si>
  <si>
    <t>Equipo del cultista y 1 pieza de oro</t>
  </si>
  <si>
    <t>Equipo Venira</t>
  </si>
  <si>
    <t>Equipo Sandes</t>
  </si>
  <si>
    <t>Ropas rotas y arma pequeña + 15 pieza de oro</t>
  </si>
  <si>
    <t>Arma y alguna pieza de ropa entera + 50 piezas de oro</t>
  </si>
  <si>
    <t>El equipo exacto + 50 piezas de oro</t>
  </si>
  <si>
    <t>Equipo del cultista +1 y 100 piezas de oro</t>
  </si>
  <si>
    <t>Equipo Soldado</t>
  </si>
  <si>
    <t>Arma y alguna pieza de ropa entera + 12 piezas de plata</t>
  </si>
  <si>
    <t>El equipo exacto + 32 piezas de plata</t>
  </si>
  <si>
    <t>INVENTARIO DE OBJETOS</t>
  </si>
  <si>
    <t>Armadura Sencilla</t>
  </si>
  <si>
    <t>10 de CA</t>
  </si>
  <si>
    <t>Tunica Sencilla</t>
  </si>
  <si>
    <t>7 de CA</t>
  </si>
  <si>
    <t>Titulo</t>
  </si>
  <si>
    <t>Matanza de Boundington</t>
  </si>
  <si>
    <t>En esta campaña, deberemos acompañar a Venides en su investigación por la capital de Boundingotn, esto nos llevarà a una pequeña introducción que guiara a los jugadores a saber mas sobre los perdidos y sus artimañas para traer a gente a sus cultos, investigaremos diferentes partes de la ciudad donde podremos convivir con los hijos de Boundington. Si ayudan a Venides veran un poco sobre la vida y como los perdidos engañaron y conquistaron todo a su paso sin ningun tipo de miedo. También veremos como los perdidos no son la paz que prometen ser, despues de 3 dias de investigación tendremos que sobrevivir de una epica que nos pondra contra las cuerdas para intentar sobrevivir de la ciudad.</t>
  </si>
  <si>
    <t>Combates</t>
  </si>
  <si>
    <t>"+5"</t>
  </si>
  <si>
    <t>Final Bueno</t>
  </si>
  <si>
    <t>Ganas la confianza de Venides y pasas a la CAMPAÑA Nº2, esta nos hablara de como Venides logra llegar de nuevo a Nefaria y que se encuentra o descubre por el camino.</t>
  </si>
  <si>
    <t>Final Medio</t>
  </si>
  <si>
    <t>En este traicionamos la confianza de Venides y no salvamos a Verina ni Edul, podemos intentar recuperar la confianza de Venides ayudandolo cuando nos lo encontremos en medio camino, CAMPAÑA Nº2.2</t>
  </si>
  <si>
    <t>Final Malo</t>
  </si>
  <si>
    <t>En este traicionamos a Venides y matamos a Verina y Edul y nos aliamos con Sandes, CAMPAÑA Nº2.4</t>
  </si>
  <si>
    <t>Segundo asedio a Ranmont</t>
  </si>
  <si>
    <t>Descripcion Neutra</t>
  </si>
  <si>
    <t>Descripcion Buena</t>
  </si>
  <si>
    <t xml:space="preserve">Tendremos la mision de salvar al Rey antes de que el asedio consiga entrar en el segundo circulo de la ciudad, en esta mision nuestro objetivo es entrar al corazon de Ranmont y de allí abrir una via de escape para la familia real de Ascaria. </t>
  </si>
  <si>
    <t>Final Neutro</t>
  </si>
  <si>
    <t>Escapada de Boundington</t>
  </si>
  <si>
    <t>Venides huye de Boundington de camino a Nefaria, pero durante el camino Edul y Venira nos insisten a pasar antes por Perishton, para salvar el pueblo, de camino se pueden encontrar con bandidos o monstruos a parte del experimento de los perdidos.</t>
  </si>
  <si>
    <t>Ganas la confianza de Venides y pasas a la CAMPAÑA Nº2.2, esta nos hablara de como Venides logra llegar de nuevo a Perishton y que se encuentra o descubre por el camino.</t>
  </si>
  <si>
    <t>En este traicionamos la confianza de Venides y/o no salvamos a Verina y/o Edul, podemos intentar recuperar la confianza de Venides ayudandolo cuando nos lo encontremos en medio camino, CAMPAÑA Nº2.2</t>
  </si>
  <si>
    <t>Incursion en las Santas Montañas</t>
  </si>
  <si>
    <t>Llegas a Perishton huyendo de un monstruo creado por los perdidos una aberracion de la naturaleza, allí tienes que decidir si seguiras confiando en los perdidos o dar la mano a Venides, si eliges lo segundo, los aventureros podran encontrarla y seguir con la historia buena, sino seran victimas de las mentiras de Sandes y alli descubriran que Edul y Venira tenian razón, si no los matas y simplemente no los rescataste en la CAMPAÑA 01 aqui tendras la oportunidad de salvarlos, si los mataste, estaras solo si no te alias con Venides. (Sandes sera tu "amigo")</t>
  </si>
  <si>
    <t xml:space="preserve">Venides huye de Boundington de camino a Nefaria, pero durante el camino Edul y Venira nos insisten a pasar antes por Perishton, para salvar el pueblo, de primeras Venides se muestra reticente, deberemos seguir por los bosques y montañas, donde en algun momento una bestia posedia por los Perdidos nos atacarà, en ese momento si hablamos con Venides nos dira que quizas no sea mala idea ver lo que esta pasando en el centro del culto, propone un plan de incursion a la villa de Perishton para salvar los padres de Edul y Verina, al mismo tiempo que intentar descubrir que traman los perdidos. </t>
  </si>
  <si>
    <t>Salvas a los padres de Edul i Venira, ademas que escapas del pueblo. -&gt; Campaña nº3</t>
  </si>
  <si>
    <t>Te infiltras en las montañas dentro del culto de los perdidos, Venides y Verina huyran de Perishton, te acompañara Edul a investigar dentro de la fortaleza disfrazado como perdido. -&gt; Campaña nº 2.4 Bueno</t>
  </si>
  <si>
    <t>Te uniras al culto y seras coordialmente invitado a la secta, cuando entres dentro te daras cuenta que todo era una mentira de Sandes para matarte y satisfacer sus experimentos. -&gt; Campaña nº 2.4 Malo</t>
  </si>
  <si>
    <t>La lagrima de Perishton</t>
  </si>
  <si>
    <t>Descripcion Malo</t>
  </si>
  <si>
    <t>Llegas a la base enemiga como sacrificio, te han atacado y dejado inconsciente, te despiertas encadenado. En esta mision deberemos hablar e investigar los trapos sucios de los perdidos, para al final ser arrastrados a unas pruebas que solo si conseguimos superar todas nos permitira seguir en vida.</t>
  </si>
  <si>
    <t>Llegas infiltrado con Edul y te propones boicotear los planes de Sandes (Si este esta muerto, otro villano aun por decidir)</t>
  </si>
  <si>
    <t>Consigues boikotear los planes -&gt; Campaña nº3</t>
  </si>
  <si>
    <t>Si muere Edul se considerara final medio, perdiendo confianza de Venira y Venides. -&gt; Campaña nº3</t>
  </si>
  <si>
    <t>Mueres como sacrificio y cierras la campaña de estos 4 aventureros, la campaña seguira pero con otros personajes, puedes seguir usando los mismos personajes, ya que no afecta en nada a la vida de los jugadores, ni su curso con Sho-noco. -&gt; Campaña nº3</t>
  </si>
  <si>
    <t>1r Cruzada:</t>
  </si>
  <si>
    <t>Inicio</t>
  </si>
  <si>
    <t>Final</t>
  </si>
  <si>
    <t>1ra Cruzada</t>
  </si>
  <si>
    <t>Personalidad:</t>
  </si>
  <si>
    <t>Arquitectura</t>
  </si>
  <si>
    <t>Leyendas y mitos:</t>
  </si>
  <si>
    <t>Aliados</t>
  </si>
  <si>
    <t>Calendario</t>
  </si>
  <si>
    <t>Annexo</t>
  </si>
  <si>
    <t>Curiosos y respetuosos.</t>
  </si>
  <si>
    <t>Ecla, Ascaria, Udrax</t>
  </si>
  <si>
    <t>Ecla</t>
  </si>
  <si>
    <t>Udrax</t>
  </si>
  <si>
    <t>Mistarium</t>
  </si>
  <si>
    <t>Los Perdidos</t>
  </si>
  <si>
    <t>Mortuarium</t>
  </si>
  <si>
    <t>Ecla, Bastrea, Udrax</t>
  </si>
  <si>
    <t>Sabios y delicados</t>
  </si>
  <si>
    <t>Gliaddokx</t>
  </si>
  <si>
    <t>Aeon</t>
  </si>
  <si>
    <t>Knehapnest</t>
  </si>
  <si>
    <t>Ayashii</t>
  </si>
  <si>
    <t>Tabaxi</t>
  </si>
  <si>
    <t>Choubar</t>
  </si>
  <si>
    <t>Esmua</t>
  </si>
  <si>
    <t>Bosmurg</t>
  </si>
  <si>
    <t>Sharium</t>
  </si>
  <si>
    <t>2nda Cruzada:</t>
  </si>
  <si>
    <t>3ra Cruzada:</t>
  </si>
  <si>
    <t>4rta Cruzada:</t>
  </si>
  <si>
    <t>5e Quinta</t>
  </si>
  <si>
    <t>Bastrea, Ascaria, Udrax</t>
  </si>
  <si>
    <t>La aremetida de los Sagas</t>
  </si>
  <si>
    <t>La gran alianza</t>
  </si>
  <si>
    <t>Ecla, Ascaria, Bastrea</t>
  </si>
  <si>
    <t>6a Sexta</t>
  </si>
  <si>
    <t>7o Setpima</t>
  </si>
  <si>
    <t>Udrax, Ecla</t>
  </si>
  <si>
    <t>Ecla, Udrax</t>
  </si>
  <si>
    <t>Udrax, Bastrea</t>
  </si>
  <si>
    <t>Bastrea, Ecla</t>
  </si>
  <si>
    <t>Udrax, Bastrea, Ecla</t>
  </si>
  <si>
    <t>Ecla(Norte F.)</t>
  </si>
  <si>
    <t>8va Octava</t>
  </si>
  <si>
    <t>Reialmo de los muertos</t>
  </si>
  <si>
    <t>Todos los mortales</t>
  </si>
  <si>
    <t>9na Novena</t>
  </si>
  <si>
    <t>Neo Gongorguma, Aeon</t>
  </si>
  <si>
    <t>Bastrea, Gongorguma, Aeon</t>
  </si>
  <si>
    <t>10e Decima</t>
  </si>
  <si>
    <t>11e Onceava</t>
  </si>
  <si>
    <t>Neo Gongorguma, Ascaria</t>
  </si>
  <si>
    <t>Udrax, Ecla, Bastrea</t>
  </si>
  <si>
    <t>12e Doceavo</t>
  </si>
  <si>
    <t>Draconidos</t>
  </si>
  <si>
    <t>13e Treceavo</t>
  </si>
  <si>
    <t>Alianza</t>
  </si>
  <si>
    <t>14e Catorceava</t>
  </si>
  <si>
    <t>Ascaria, Knehapnest</t>
  </si>
  <si>
    <t>Tiradas</t>
  </si>
  <si>
    <t>Bonificadores</t>
  </si>
  <si>
    <t>Nivel</t>
  </si>
  <si>
    <t>Humano</t>
  </si>
  <si>
    <t>LVL</t>
  </si>
  <si>
    <t>Bonus</t>
  </si>
  <si>
    <t>0-1</t>
  </si>
  <si>
    <t>Fue</t>
  </si>
  <si>
    <t>Des</t>
  </si>
  <si>
    <t>Con</t>
  </si>
  <si>
    <t>Int</t>
  </si>
  <si>
    <t>Sab</t>
  </si>
  <si>
    <t>Car</t>
  </si>
  <si>
    <t xml:space="preserve">Guerrero </t>
  </si>
  <si>
    <t>12-13</t>
  </si>
  <si>
    <t>14-15</t>
  </si>
  <si>
    <t>16-17</t>
  </si>
  <si>
    <t>18-19</t>
  </si>
  <si>
    <t>20-21</t>
  </si>
  <si>
    <t>22-23</t>
  </si>
  <si>
    <t>24-25</t>
  </si>
  <si>
    <t>26-27</t>
  </si>
  <si>
    <t>28-29</t>
  </si>
  <si>
    <t>30-31</t>
  </si>
  <si>
    <t>32-33</t>
  </si>
  <si>
    <t>34-35</t>
  </si>
  <si>
    <t>36-37</t>
  </si>
  <si>
    <t>38-39</t>
  </si>
  <si>
    <t>40-41</t>
  </si>
  <si>
    <t>42-43</t>
  </si>
  <si>
    <t>44-45</t>
  </si>
  <si>
    <t>46-47</t>
  </si>
  <si>
    <t>48-49</t>
  </si>
  <si>
    <t>50-51</t>
  </si>
  <si>
    <t>52-53</t>
  </si>
  <si>
    <t>54-55</t>
  </si>
  <si>
    <t>56-57</t>
  </si>
  <si>
    <t>58-59</t>
  </si>
  <si>
    <t>60-61</t>
  </si>
  <si>
    <t>62-63</t>
  </si>
  <si>
    <t>64-65</t>
  </si>
  <si>
    <t>66-67</t>
  </si>
  <si>
    <t>68-69</t>
  </si>
  <si>
    <t>70-71</t>
  </si>
  <si>
    <t>Resultado final</t>
  </si>
  <si>
    <t>Cons</t>
  </si>
  <si>
    <t>Bonificacion por raza</t>
  </si>
  <si>
    <t>Bonificacion por clase</t>
  </si>
  <si>
    <t>Guerrero</t>
  </si>
  <si>
    <t xml:space="preserve">Tiradas </t>
  </si>
  <si>
    <t>Paladin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</si>
</sst>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26">
    <font>
      <sz val="10.0"/>
      <color rgb="FF000000"/>
      <name val="Arial"/>
      <scheme val="minor"/>
    </font>
    <font>
      <color theme="1"/>
      <name val="Arial"/>
    </font>
    <font>
      <u/>
      <color rgb="FF0000FF"/>
    </font>
    <font>
      <u/>
      <color rgb="FF0000FF"/>
    </font>
    <font>
      <u/>
      <color rgb="FF0000FF"/>
    </font>
    <font>
      <u/>
      <color rgb="FF0000FF"/>
    </font>
    <font>
      <sz val="9.0"/>
      <color rgb="FF000000"/>
      <name val="Arial"/>
    </font>
    <font>
      <sz val="12.0"/>
      <color theme="1"/>
      <name val="Arial"/>
    </font>
    <font>
      <sz val="12.0"/>
      <color rgb="FF000000"/>
      <name val="Arial"/>
    </font>
    <font>
      <b/>
      <color theme="1"/>
      <name val="Arial"/>
    </font>
    <font>
      <sz val="9.0"/>
      <color rgb="FF008000"/>
      <name val="Arial"/>
    </font>
    <font>
      <sz val="9.0"/>
      <color rgb="FF1155CC"/>
      <name val="Arial"/>
    </font>
    <font>
      <color theme="1"/>
      <name val="Arial"/>
      <scheme val="minor"/>
    </font>
    <font>
      <u/>
      <sz val="11.0"/>
      <color rgb="FF0000FF"/>
      <name val="Arial"/>
    </font>
    <font>
      <u/>
      <color rgb="FF0000FF"/>
    </font>
    <font>
      <u/>
      <color rgb="FF0000FF"/>
    </font>
    <font>
      <sz val="12.0"/>
      <color rgb="FF666666"/>
      <name val="Arial"/>
    </font>
    <font>
      <sz val="10.0"/>
      <color rgb="FF000000"/>
      <name val="Arial"/>
    </font>
    <font>
      <color rgb="FFFFFFFF"/>
      <name val="Arial"/>
    </font>
    <font>
      <sz val="9.0"/>
      <color theme="1"/>
      <name val="Arial"/>
    </font>
    <font>
      <b/>
      <sz val="9.0"/>
      <color theme="1"/>
      <name val="Arial"/>
    </font>
    <font>
      <sz val="8.0"/>
      <color theme="1"/>
      <name val="Arial"/>
    </font>
    <font/>
    <font>
      <sz val="8.0"/>
      <color rgb="FF1F1F1F"/>
      <name val="Arial"/>
    </font>
    <font>
      <sz val="11.0"/>
      <color rgb="FF666666"/>
      <name val="Arial"/>
    </font>
    <font>
      <sz val="11.0"/>
      <color rgb="FF000000"/>
      <name val="Arial"/>
    </font>
  </fonts>
  <fills count="25">
    <fill>
      <patternFill patternType="none"/>
    </fill>
    <fill>
      <patternFill patternType="lightGray"/>
    </fill>
    <fill>
      <patternFill patternType="solid">
        <fgColor rgb="FFFF9900"/>
        <bgColor rgb="FFFF9900"/>
      </patternFill>
    </fill>
    <fill>
      <patternFill patternType="solid">
        <fgColor rgb="FF4A86E8"/>
        <bgColor rgb="FF4A86E8"/>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C9DAF8"/>
        <bgColor rgb="FFC9DAF8"/>
      </patternFill>
    </fill>
    <fill>
      <patternFill patternType="solid">
        <fgColor rgb="FF9FC5E8"/>
        <bgColor rgb="FF9FC5E8"/>
      </patternFill>
    </fill>
    <fill>
      <patternFill patternType="solid">
        <fgColor rgb="FFD9EAD3"/>
        <bgColor rgb="FFD9EAD3"/>
      </patternFill>
    </fill>
    <fill>
      <patternFill patternType="solid">
        <fgColor rgb="FFA2C4C9"/>
        <bgColor rgb="FFA2C4C9"/>
      </patternFill>
    </fill>
    <fill>
      <patternFill patternType="solid">
        <fgColor rgb="FF666666"/>
        <bgColor rgb="FF666666"/>
      </patternFill>
    </fill>
    <fill>
      <patternFill patternType="solid">
        <fgColor rgb="FFF4CCCC"/>
        <bgColor rgb="FFF4CCCC"/>
      </patternFill>
    </fill>
    <fill>
      <patternFill patternType="solid">
        <fgColor rgb="FFD9D2E9"/>
        <bgColor rgb="FFD9D2E9"/>
      </patternFill>
    </fill>
    <fill>
      <patternFill patternType="solid">
        <fgColor rgb="FFE6B8AF"/>
        <bgColor rgb="FFE6B8AF"/>
      </patternFill>
    </fill>
    <fill>
      <patternFill patternType="solid">
        <fgColor rgb="FFFFFFFF"/>
        <bgColor rgb="FFFFFFFF"/>
      </patternFill>
    </fill>
    <fill>
      <patternFill patternType="solid">
        <fgColor rgb="FFFFD966"/>
        <bgColor rgb="FFFFD966"/>
      </patternFill>
    </fill>
    <fill>
      <patternFill patternType="solid">
        <fgColor rgb="FFCFE2F3"/>
        <bgColor rgb="FFCFE2F3"/>
      </patternFill>
    </fill>
    <fill>
      <patternFill patternType="solid">
        <fgColor rgb="FFEAD1DC"/>
        <bgColor rgb="FFEAD1DC"/>
      </patternFill>
    </fill>
    <fill>
      <patternFill patternType="solid">
        <fgColor rgb="FF6FA8DC"/>
        <bgColor rgb="FF6FA8DC"/>
      </patternFill>
    </fill>
    <fill>
      <patternFill patternType="solid">
        <fgColor rgb="FFA4C2F4"/>
        <bgColor rgb="FFA4C2F4"/>
      </patternFill>
    </fill>
    <fill>
      <patternFill patternType="solid">
        <fgColor theme="0"/>
        <bgColor theme="0"/>
      </patternFill>
    </fill>
    <fill>
      <patternFill patternType="solid">
        <fgColor rgb="FF000000"/>
        <bgColor rgb="FF000000"/>
      </patternFill>
    </fill>
    <fill>
      <patternFill patternType="solid">
        <fgColor rgb="FFB4A7D6"/>
        <bgColor rgb="FFB4A7D6"/>
      </patternFill>
    </fill>
    <fill>
      <patternFill patternType="solid">
        <fgColor rgb="FFF9CB9C"/>
        <bgColor rgb="FFF9CB9C"/>
      </patternFill>
    </fill>
  </fills>
  <borders count="31">
    <border/>
    <border>
      <left style="thin">
        <color rgb="FF000000"/>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left style="thin">
        <color rgb="FF999999"/>
      </left>
      <right style="thin">
        <color rgb="FFD9D9D9"/>
      </right>
      <top style="thin">
        <color rgb="FF999999"/>
      </top>
      <bottom style="thin">
        <color rgb="FF000000"/>
      </bottom>
    </border>
    <border>
      <left style="thin">
        <color rgb="FFD9D9D9"/>
      </left>
      <right style="thin">
        <color rgb="FFD9D9D9"/>
      </right>
      <top style="thin">
        <color rgb="FF999999"/>
      </top>
      <bottom style="thin">
        <color rgb="FF000000"/>
      </bottom>
    </border>
    <border>
      <left style="thin">
        <color rgb="FFD9D9D9"/>
      </left>
      <right style="thin">
        <color rgb="FF999999"/>
      </right>
      <top style="thin">
        <color rgb="FF999999"/>
      </top>
      <bottom style="thin">
        <color rgb="FF000000"/>
      </bottom>
    </border>
    <border>
      <left style="thin">
        <color rgb="FF999999"/>
      </left>
      <right style="thin">
        <color rgb="FFD9D9D9"/>
      </right>
      <top style="thin">
        <color rgb="FF000000"/>
      </top>
      <bottom style="thin">
        <color rgb="FF000000"/>
      </bottom>
    </border>
    <border>
      <left style="thin">
        <color rgb="FFD9D9D9"/>
      </left>
      <right style="thin">
        <color rgb="FFD9D9D9"/>
      </right>
      <top style="thin">
        <color rgb="FF000000"/>
      </top>
      <bottom style="thin">
        <color rgb="FF000000"/>
      </bottom>
    </border>
    <border>
      <left style="thin">
        <color rgb="FFD9D9D9"/>
      </left>
      <right style="thin">
        <color rgb="FF999999"/>
      </right>
      <top style="thin">
        <color rgb="FF000000"/>
      </top>
      <bottom style="thin">
        <color rgb="FF000000"/>
      </bottom>
    </border>
    <border>
      <left style="thin">
        <color rgb="FF999999"/>
      </left>
      <right style="thin">
        <color rgb="FFD9D9D9"/>
      </right>
      <top style="thin">
        <color rgb="FF000000"/>
      </top>
      <bottom style="thin">
        <color rgb="FF999999"/>
      </bottom>
    </border>
    <border>
      <left style="thin">
        <color rgb="FFD9D9D9"/>
      </left>
      <right style="thin">
        <color rgb="FFD9D9D9"/>
      </right>
      <top style="thin">
        <color rgb="FF000000"/>
      </top>
      <bottom style="thin">
        <color rgb="FF999999"/>
      </bottom>
    </border>
    <border>
      <left style="thin">
        <color rgb="FFD9D9D9"/>
      </left>
      <right style="thin">
        <color rgb="FF999999"/>
      </right>
      <top style="thin">
        <color rgb="FF000000"/>
      </top>
      <bottom style="thin">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2" numFmtId="0" xfId="0" applyFill="1" applyFont="1"/>
    <xf borderId="0" fillId="5" fontId="3" numFmtId="0" xfId="0" applyFill="1" applyFont="1"/>
    <xf borderId="0" fillId="5" fontId="1" numFmtId="0" xfId="0" applyFont="1"/>
    <xf borderId="0" fillId="6" fontId="4" numFmtId="0" xfId="0" applyFill="1" applyFont="1"/>
    <xf borderId="0" fillId="7" fontId="5" numFmtId="0" xfId="0" applyFill="1" applyFont="1"/>
    <xf borderId="1" fillId="8" fontId="1" numFmtId="0" xfId="0" applyAlignment="1" applyBorder="1" applyFill="1" applyFont="1">
      <alignment horizontal="left" shrinkToFit="0" vertical="center" wrapText="1"/>
    </xf>
    <xf borderId="2" fillId="8" fontId="6" numFmtId="0" xfId="0" applyAlignment="1" applyBorder="1" applyFont="1">
      <alignment horizontal="center" shrinkToFit="0" vertical="center" wrapText="1"/>
    </xf>
    <xf borderId="3" fillId="8" fontId="6"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5" fillId="0" fontId="6"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0" fillId="0" fontId="1" numFmtId="0" xfId="0" applyFont="1"/>
    <xf borderId="1"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0" fillId="0" fontId="7" numFmtId="0" xfId="0" applyFont="1"/>
    <xf borderId="7" fillId="8" fontId="7" numFmtId="0" xfId="0" applyAlignment="1" applyBorder="1" applyFont="1">
      <alignment horizontal="center" shrinkToFit="0" vertical="center" wrapText="1"/>
    </xf>
    <xf borderId="8" fillId="8" fontId="8" numFmtId="0" xfId="0" applyAlignment="1" applyBorder="1" applyFont="1">
      <alignment horizontal="center" shrinkToFit="0" vertical="center" wrapText="1"/>
    </xf>
    <xf borderId="9" fillId="8" fontId="8" numFmtId="0" xfId="0" applyAlignment="1" applyBorder="1" applyFont="1">
      <alignment horizontal="center" shrinkToFit="0" vertical="center" wrapText="1"/>
    </xf>
    <xf borderId="10" fillId="9" fontId="8" numFmtId="0" xfId="0" applyAlignment="1" applyBorder="1" applyFill="1" applyFont="1">
      <alignment horizontal="center" shrinkToFit="0" vertical="center" wrapText="1"/>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1" fillId="0" fontId="7" numFmtId="0" xfId="0" applyAlignment="1" applyBorder="1" applyFont="1">
      <alignment horizontal="center" vertical="center"/>
    </xf>
    <xf borderId="13" fillId="9" fontId="8"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15" fillId="0" fontId="8"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1" numFmtId="3" xfId="0" applyFont="1" applyNumberFormat="1"/>
    <xf borderId="16" fillId="10" fontId="1" numFmtId="3" xfId="0" applyAlignment="1" applyBorder="1" applyFill="1" applyFont="1" applyNumberFormat="1">
      <alignment horizontal="center"/>
    </xf>
    <xf borderId="17" fillId="10" fontId="1" numFmtId="3" xfId="0" applyAlignment="1" applyBorder="1" applyFont="1" applyNumberFormat="1">
      <alignment horizontal="center"/>
    </xf>
    <xf borderId="18" fillId="10" fontId="1" numFmtId="3" xfId="0" applyAlignment="1" applyBorder="1" applyFont="1" applyNumberFormat="1">
      <alignment horizontal="center"/>
    </xf>
    <xf borderId="19" fillId="0" fontId="1" numFmtId="3" xfId="0" applyAlignment="1" applyBorder="1" applyFont="1" applyNumberFormat="1">
      <alignment horizontal="center"/>
    </xf>
    <xf borderId="0" fillId="0" fontId="1" numFmtId="3" xfId="0" applyAlignment="1" applyFont="1" applyNumberFormat="1">
      <alignment horizontal="center"/>
    </xf>
    <xf borderId="20" fillId="0" fontId="1" numFmtId="3" xfId="0" applyAlignment="1" applyBorder="1" applyFont="1" applyNumberFormat="1">
      <alignment horizontal="center"/>
    </xf>
    <xf borderId="21" fillId="0" fontId="1" numFmtId="3" xfId="0" applyAlignment="1" applyBorder="1" applyFont="1" applyNumberFormat="1">
      <alignment horizontal="center"/>
    </xf>
    <xf borderId="22" fillId="0" fontId="1" numFmtId="3" xfId="0" applyAlignment="1" applyBorder="1" applyFont="1" applyNumberFormat="1">
      <alignment horizontal="center"/>
    </xf>
    <xf borderId="23" fillId="0" fontId="1" numFmtId="3" xfId="0" applyAlignment="1" applyBorder="1" applyFont="1" applyNumberFormat="1">
      <alignment horizontal="center"/>
    </xf>
    <xf borderId="0" fillId="0" fontId="1" numFmtId="1" xfId="0" applyFont="1" applyNumberFormat="1"/>
    <xf borderId="0" fillId="0" fontId="9" numFmtId="0" xfId="0" applyAlignment="1" applyFont="1">
      <alignment horizontal="right"/>
    </xf>
    <xf borderId="0" fillId="0" fontId="9" numFmtId="0" xfId="0" applyAlignment="1" applyFont="1">
      <alignment horizontal="center"/>
    </xf>
    <xf borderId="0" fillId="11" fontId="1" numFmtId="0" xfId="0" applyFill="1" applyFont="1"/>
    <xf borderId="16" fillId="12" fontId="1" numFmtId="1" xfId="0" applyBorder="1" applyFill="1" applyFont="1" applyNumberFormat="1"/>
    <xf borderId="17" fillId="12" fontId="9" numFmtId="0" xfId="0" applyAlignment="1" applyBorder="1" applyFont="1">
      <alignment horizontal="right"/>
    </xf>
    <xf borderId="16" fillId="12" fontId="1" numFmtId="0" xfId="0" applyAlignment="1" applyBorder="1" applyFont="1">
      <alignment horizontal="center"/>
    </xf>
    <xf borderId="24" fillId="12" fontId="1" numFmtId="0" xfId="0" applyAlignment="1" applyBorder="1" applyFont="1">
      <alignment horizontal="center"/>
    </xf>
    <xf borderId="18" fillId="12" fontId="1" numFmtId="0" xfId="0" applyAlignment="1" applyBorder="1" applyFont="1">
      <alignment horizontal="center"/>
    </xf>
    <xf borderId="18" fillId="12" fontId="1" numFmtId="1" xfId="0" applyBorder="1" applyFont="1" applyNumberFormat="1"/>
    <xf borderId="19" fillId="6" fontId="1" numFmtId="1" xfId="0" applyBorder="1" applyFont="1" applyNumberFormat="1"/>
    <xf borderId="0" fillId="6" fontId="9" numFmtId="0" xfId="0" applyAlignment="1" applyFont="1">
      <alignment horizontal="right" shrinkToFit="0" wrapText="1"/>
    </xf>
    <xf borderId="19" fillId="6" fontId="1" numFmtId="0" xfId="0" applyAlignment="1" applyBorder="1" applyFont="1">
      <alignment horizontal="center"/>
    </xf>
    <xf borderId="25" fillId="6" fontId="1" numFmtId="0" xfId="0" applyAlignment="1" applyBorder="1" applyFont="1">
      <alignment horizontal="center"/>
    </xf>
    <xf borderId="20" fillId="6" fontId="1" numFmtId="0" xfId="0" applyAlignment="1" applyBorder="1" applyFont="1">
      <alignment horizontal="center"/>
    </xf>
    <xf borderId="20" fillId="6" fontId="1" numFmtId="1" xfId="0" applyBorder="1" applyFont="1" applyNumberFormat="1"/>
    <xf borderId="19" fillId="4" fontId="1" numFmtId="1" xfId="0" applyBorder="1" applyFont="1" applyNumberFormat="1"/>
    <xf borderId="0" fillId="4" fontId="9" numFmtId="0" xfId="0" applyAlignment="1" applyFont="1">
      <alignment horizontal="right" shrinkToFit="0" wrapText="1"/>
    </xf>
    <xf borderId="19" fillId="4" fontId="1" numFmtId="0" xfId="0" applyAlignment="1" applyBorder="1" applyFont="1">
      <alignment horizontal="center"/>
    </xf>
    <xf borderId="25" fillId="4" fontId="1" numFmtId="0" xfId="0" applyAlignment="1" applyBorder="1" applyFont="1">
      <alignment horizontal="center"/>
    </xf>
    <xf borderId="20" fillId="4" fontId="1" numFmtId="0" xfId="0" applyAlignment="1" applyBorder="1" applyFont="1">
      <alignment horizontal="center"/>
    </xf>
    <xf borderId="20" fillId="4" fontId="1" numFmtId="1" xfId="0" applyBorder="1" applyFont="1" applyNumberFormat="1"/>
    <xf borderId="19" fillId="9" fontId="1" numFmtId="1" xfId="0" applyBorder="1" applyFont="1" applyNumberFormat="1"/>
    <xf borderId="0" fillId="9" fontId="9" numFmtId="0" xfId="0" applyAlignment="1" applyFont="1">
      <alignment horizontal="right" shrinkToFit="0" wrapText="1"/>
    </xf>
    <xf borderId="19" fillId="9" fontId="1" numFmtId="0" xfId="0" applyAlignment="1" applyBorder="1" applyFont="1">
      <alignment horizontal="center"/>
    </xf>
    <xf borderId="25" fillId="9" fontId="1" numFmtId="0" xfId="0" applyAlignment="1" applyBorder="1" applyFont="1">
      <alignment horizontal="center"/>
    </xf>
    <xf borderId="20" fillId="9" fontId="1" numFmtId="0" xfId="0" applyAlignment="1" applyBorder="1" applyFont="1">
      <alignment horizontal="center"/>
    </xf>
    <xf borderId="20" fillId="9" fontId="1" numFmtId="1" xfId="0" applyBorder="1" applyFont="1" applyNumberFormat="1"/>
    <xf borderId="19" fillId="5" fontId="1" numFmtId="1" xfId="0" applyBorder="1" applyFont="1" applyNumberFormat="1"/>
    <xf borderId="0" fillId="5" fontId="9" numFmtId="0" xfId="0" applyAlignment="1" applyFont="1">
      <alignment horizontal="right" shrinkToFit="0" wrapText="1"/>
    </xf>
    <xf borderId="19" fillId="5" fontId="1" numFmtId="0" xfId="0" applyAlignment="1" applyBorder="1" applyFont="1">
      <alignment horizontal="center"/>
    </xf>
    <xf borderId="25" fillId="5" fontId="1" numFmtId="0" xfId="0" applyAlignment="1" applyBorder="1" applyFont="1">
      <alignment horizontal="center"/>
    </xf>
    <xf borderId="20" fillId="5" fontId="1" numFmtId="0" xfId="0" applyAlignment="1" applyBorder="1" applyFont="1">
      <alignment horizontal="center"/>
    </xf>
    <xf borderId="20" fillId="5" fontId="1" numFmtId="1" xfId="0" applyBorder="1" applyFont="1" applyNumberFormat="1"/>
    <xf borderId="19" fillId="7" fontId="1" numFmtId="1" xfId="0" applyBorder="1" applyFont="1" applyNumberFormat="1"/>
    <xf borderId="0" fillId="7" fontId="9" numFmtId="0" xfId="0" applyAlignment="1" applyFont="1">
      <alignment horizontal="right" shrinkToFit="0" wrapText="1"/>
    </xf>
    <xf borderId="19" fillId="7" fontId="1" numFmtId="0" xfId="0" applyAlignment="1" applyBorder="1" applyFont="1">
      <alignment horizontal="center"/>
    </xf>
    <xf borderId="25" fillId="7" fontId="1" numFmtId="0" xfId="0" applyAlignment="1" applyBorder="1" applyFont="1">
      <alignment horizontal="center"/>
    </xf>
    <xf borderId="20" fillId="7" fontId="1" numFmtId="0" xfId="0" applyAlignment="1" applyBorder="1" applyFont="1">
      <alignment horizontal="center"/>
    </xf>
    <xf borderId="20" fillId="7" fontId="1" numFmtId="1" xfId="0" applyBorder="1" applyFont="1" applyNumberFormat="1"/>
    <xf borderId="19" fillId="13" fontId="1" numFmtId="1" xfId="0" applyBorder="1" applyFill="1" applyFont="1" applyNumberFormat="1"/>
    <xf borderId="0" fillId="13" fontId="9" numFmtId="0" xfId="0" applyAlignment="1" applyFont="1">
      <alignment horizontal="right"/>
    </xf>
    <xf borderId="19" fillId="13" fontId="1" numFmtId="0" xfId="0" applyAlignment="1" applyBorder="1" applyFont="1">
      <alignment horizontal="center"/>
    </xf>
    <xf borderId="25" fillId="13" fontId="1" numFmtId="0" xfId="0" applyAlignment="1" applyBorder="1" applyFont="1">
      <alignment horizontal="center"/>
    </xf>
    <xf borderId="20" fillId="13" fontId="1" numFmtId="0" xfId="0" applyAlignment="1" applyBorder="1" applyFont="1">
      <alignment horizontal="center"/>
    </xf>
    <xf borderId="20" fillId="13" fontId="1" numFmtId="1" xfId="0" applyBorder="1" applyFont="1" applyNumberFormat="1"/>
    <xf borderId="21" fillId="14" fontId="1" numFmtId="1" xfId="0" applyBorder="1" applyFill="1" applyFont="1" applyNumberFormat="1"/>
    <xf borderId="22" fillId="14" fontId="9" numFmtId="0" xfId="0" applyAlignment="1" applyBorder="1" applyFont="1">
      <alignment horizontal="right"/>
    </xf>
    <xf borderId="21" fillId="14" fontId="1" numFmtId="0" xfId="0" applyAlignment="1" applyBorder="1" applyFont="1">
      <alignment horizontal="center"/>
    </xf>
    <xf borderId="26" fillId="14" fontId="1" numFmtId="0" xfId="0" applyAlignment="1" applyBorder="1" applyFont="1">
      <alignment horizontal="center"/>
    </xf>
    <xf borderId="23" fillId="14" fontId="1" numFmtId="0" xfId="0" applyAlignment="1" applyBorder="1" applyFont="1">
      <alignment horizontal="center"/>
    </xf>
    <xf borderId="23" fillId="14" fontId="1" numFmtId="1" xfId="0" applyBorder="1" applyFont="1" applyNumberFormat="1"/>
    <xf borderId="0" fillId="0" fontId="1" numFmtId="0" xfId="0" applyAlignment="1" applyFont="1">
      <alignment horizontal="center"/>
    </xf>
    <xf borderId="0" fillId="15" fontId="10" numFmtId="0" xfId="0" applyFill="1" applyFont="1"/>
    <xf borderId="0" fillId="0" fontId="1" numFmtId="0" xfId="0" applyAlignment="1" applyFont="1">
      <alignment horizontal="right"/>
    </xf>
    <xf borderId="0" fillId="0" fontId="1" numFmtId="0" xfId="0" applyAlignment="1" applyFont="1">
      <alignment horizontal="left"/>
    </xf>
    <xf borderId="16" fillId="5" fontId="1" numFmtId="0" xfId="0" applyAlignment="1" applyBorder="1" applyFont="1">
      <alignment horizontal="right"/>
    </xf>
    <xf borderId="17" fillId="5" fontId="1" numFmtId="0" xfId="0" applyBorder="1" applyFont="1"/>
    <xf borderId="18" fillId="5" fontId="1" numFmtId="0" xfId="0" applyBorder="1" applyFont="1"/>
    <xf borderId="19" fillId="7" fontId="1" numFmtId="0" xfId="0" applyAlignment="1" applyBorder="1" applyFont="1">
      <alignment horizontal="right"/>
    </xf>
    <xf borderId="0" fillId="7" fontId="1" numFmtId="0" xfId="0" applyFont="1"/>
    <xf borderId="20" fillId="7" fontId="1" numFmtId="0" xfId="0" applyBorder="1" applyFont="1"/>
    <xf borderId="21" fillId="16" fontId="1" numFmtId="0" xfId="0" applyAlignment="1" applyBorder="1" applyFill="1" applyFont="1">
      <alignment horizontal="right"/>
    </xf>
    <xf borderId="22" fillId="16" fontId="1" numFmtId="0" xfId="0" applyBorder="1" applyFont="1"/>
    <xf borderId="23" fillId="16" fontId="1" numFmtId="0" xfId="0" applyBorder="1" applyFont="1"/>
    <xf borderId="0" fillId="16" fontId="1" numFmtId="0" xfId="0" applyFont="1"/>
    <xf borderId="27" fillId="9" fontId="1" numFmtId="0" xfId="0" applyAlignment="1" applyBorder="1" applyFont="1">
      <alignment horizontal="right"/>
    </xf>
    <xf borderId="28" fillId="9" fontId="1" numFmtId="0" xfId="0" applyBorder="1" applyFont="1"/>
    <xf borderId="29" fillId="9" fontId="1" numFmtId="0" xfId="0" applyBorder="1" applyFont="1"/>
    <xf borderId="28" fillId="13" fontId="1" numFmtId="0" xfId="0" applyAlignment="1" applyBorder="1" applyFont="1">
      <alignment horizontal="right"/>
    </xf>
    <xf borderId="28" fillId="13" fontId="1" numFmtId="0" xfId="0" applyBorder="1" applyFont="1"/>
    <xf borderId="29" fillId="13" fontId="1" numFmtId="0" xfId="0" applyBorder="1" applyFont="1"/>
    <xf borderId="28" fillId="4" fontId="1" numFmtId="0" xfId="0" applyAlignment="1" applyBorder="1" applyFont="1">
      <alignment horizontal="right"/>
    </xf>
    <xf borderId="28" fillId="4" fontId="1" numFmtId="0" xfId="0" applyBorder="1" applyFont="1"/>
    <xf borderId="29" fillId="4" fontId="1" numFmtId="0" xfId="0" applyBorder="1" applyFont="1"/>
    <xf borderId="28" fillId="16" fontId="1" numFmtId="0" xfId="0" applyAlignment="1" applyBorder="1" applyFont="1">
      <alignment horizontal="right"/>
    </xf>
    <xf borderId="28" fillId="16" fontId="1" numFmtId="0" xfId="0" applyBorder="1" applyFont="1"/>
    <xf borderId="29" fillId="16" fontId="1" numFmtId="0" xfId="0" applyBorder="1" applyFont="1"/>
    <xf borderId="27" fillId="12" fontId="1" numFmtId="0" xfId="0" applyAlignment="1" applyBorder="1" applyFont="1">
      <alignment horizontal="right"/>
    </xf>
    <xf borderId="28" fillId="12" fontId="1" numFmtId="0" xfId="0" applyBorder="1" applyFont="1"/>
    <xf borderId="29" fillId="12" fontId="1" numFmtId="0" xfId="0" applyBorder="1" applyFont="1"/>
    <xf borderId="27" fillId="14" fontId="1" numFmtId="0" xfId="0" applyAlignment="1" applyBorder="1" applyFont="1">
      <alignment horizontal="right"/>
    </xf>
    <xf borderId="28" fillId="14" fontId="1" numFmtId="0" xfId="0" applyBorder="1" applyFont="1"/>
    <xf borderId="29" fillId="14" fontId="1" numFmtId="0" xfId="0" applyBorder="1" applyFont="1"/>
    <xf borderId="27" fillId="16" fontId="1" numFmtId="0" xfId="0" applyAlignment="1" applyBorder="1" applyFont="1">
      <alignment horizontal="right"/>
    </xf>
    <xf borderId="21" fillId="17" fontId="1" numFmtId="0" xfId="0" applyAlignment="1" applyBorder="1" applyFill="1" applyFont="1">
      <alignment horizontal="right"/>
    </xf>
    <xf borderId="22" fillId="17" fontId="1" numFmtId="0" xfId="0" applyBorder="1" applyFont="1"/>
    <xf borderId="23" fillId="17" fontId="1" numFmtId="0" xfId="0" applyBorder="1" applyFont="1"/>
    <xf borderId="28" fillId="6" fontId="1" numFmtId="0" xfId="0" applyAlignment="1" applyBorder="1" applyFont="1">
      <alignment horizontal="right"/>
    </xf>
    <xf borderId="28" fillId="6" fontId="1" numFmtId="0" xfId="0" applyBorder="1" applyFont="1"/>
    <xf borderId="29" fillId="6" fontId="1" numFmtId="0" xfId="0" applyBorder="1" applyFont="1"/>
    <xf borderId="27" fillId="18" fontId="1" numFmtId="0" xfId="0" applyAlignment="1" applyBorder="1" applyFill="1" applyFont="1">
      <alignment horizontal="right"/>
    </xf>
    <xf borderId="28" fillId="18" fontId="1" numFmtId="0" xfId="0" applyBorder="1" applyFont="1"/>
    <xf borderId="29" fillId="18" fontId="1" numFmtId="0" xfId="0" applyBorder="1" applyFont="1"/>
    <xf borderId="0" fillId="15" fontId="11" numFmtId="0" xfId="0" applyFont="1"/>
    <xf borderId="0" fillId="0" fontId="12" numFmtId="0" xfId="0" applyFont="1"/>
    <xf borderId="0" fillId="9" fontId="1" numFmtId="0" xfId="0" applyAlignment="1" applyFont="1">
      <alignment shrinkToFit="0" vertical="top" wrapText="1"/>
    </xf>
    <xf borderId="0" fillId="9" fontId="1" numFmtId="0" xfId="0" applyAlignment="1" applyFont="1">
      <alignment shrinkToFit="0" wrapText="1"/>
    </xf>
    <xf borderId="0" fillId="12" fontId="1" numFmtId="0" xfId="0" applyAlignment="1" applyFont="1">
      <alignment shrinkToFit="0" vertical="top" wrapText="1"/>
    </xf>
    <xf borderId="0" fillId="12" fontId="1" numFmtId="0" xfId="0" applyAlignment="1" applyFont="1">
      <alignment shrinkToFit="0" wrapText="1"/>
    </xf>
    <xf borderId="0" fillId="4" fontId="1" numFmtId="0" xfId="0" applyAlignment="1" applyFont="1">
      <alignment shrinkToFit="0" vertical="top" wrapText="1"/>
    </xf>
    <xf borderId="0" fillId="4" fontId="1" numFmtId="0" xfId="0" applyAlignment="1" applyFont="1">
      <alignment shrinkToFit="0" wrapText="1"/>
    </xf>
    <xf borderId="0" fillId="9" fontId="1" numFmtId="164" xfId="0" applyAlignment="1" applyFont="1" applyNumberFormat="1">
      <alignment shrinkToFit="0" vertical="top" wrapText="1"/>
    </xf>
    <xf borderId="0" fillId="12" fontId="1" numFmtId="164" xfId="0" applyAlignment="1" applyFont="1" applyNumberFormat="1">
      <alignment shrinkToFit="0" vertical="top" wrapText="1"/>
    </xf>
    <xf borderId="0" fillId="4" fontId="1" numFmtId="164" xfId="0" applyAlignment="1" applyFont="1" applyNumberFormat="1">
      <alignment shrinkToFit="0" vertical="top" wrapText="1"/>
    </xf>
    <xf borderId="0" fillId="0" fontId="1" numFmtId="0" xfId="0" applyAlignment="1" applyFont="1">
      <alignment shrinkToFit="0" wrapText="1"/>
    </xf>
    <xf borderId="0" fillId="19" fontId="1" numFmtId="0" xfId="0" applyFill="1" applyFont="1"/>
    <xf borderId="0" fillId="7" fontId="13" numFmtId="0" xfId="0" applyAlignment="1" applyFont="1">
      <alignment shrinkToFit="0" wrapText="0"/>
    </xf>
    <xf borderId="0" fillId="20" fontId="1" numFmtId="0" xfId="0" applyFill="1" applyFont="1"/>
    <xf borderId="0" fillId="20" fontId="14" numFmtId="0" xfId="0" applyAlignment="1" applyFont="1">
      <alignment shrinkToFit="0" wrapText="0"/>
    </xf>
    <xf borderId="0" fillId="7" fontId="15" numFmtId="0" xfId="0" applyAlignment="1" applyFont="1">
      <alignment shrinkToFit="0" wrapText="0"/>
    </xf>
    <xf borderId="0" fillId="0" fontId="16" numFmtId="0" xfId="0" applyAlignment="1" applyFont="1">
      <alignment readingOrder="0"/>
    </xf>
    <xf borderId="0" fillId="0" fontId="16" numFmtId="4" xfId="0" applyFont="1" applyNumberFormat="1"/>
    <xf borderId="0" fillId="0" fontId="16" numFmtId="4" xfId="0" applyAlignment="1" applyFont="1" applyNumberFormat="1">
      <alignment readingOrder="0"/>
    </xf>
    <xf borderId="0" fillId="5" fontId="17" numFmtId="0" xfId="0" applyAlignment="1" applyFont="1">
      <alignment readingOrder="0"/>
    </xf>
    <xf borderId="0" fillId="0" fontId="16" numFmtId="0" xfId="0" applyFont="1"/>
    <xf borderId="0" fillId="15" fontId="1" numFmtId="0" xfId="0" applyFont="1"/>
    <xf borderId="0" fillId="21" fontId="1" numFmtId="0" xfId="0" applyFill="1" applyFont="1"/>
    <xf borderId="0" fillId="0" fontId="12" numFmtId="0" xfId="0" applyAlignment="1" applyFont="1">
      <alignment readingOrder="0"/>
    </xf>
    <xf borderId="0" fillId="0" fontId="12" numFmtId="4" xfId="0" applyFont="1" applyNumberFormat="1"/>
    <xf borderId="0" fillId="0" fontId="12" numFmtId="4" xfId="0" applyAlignment="1" applyFont="1" applyNumberFormat="1">
      <alignment readingOrder="0"/>
    </xf>
    <xf borderId="0" fillId="8" fontId="1" numFmtId="0" xfId="0" applyFont="1"/>
    <xf borderId="0" fillId="8" fontId="1" numFmtId="4" xfId="0" applyFont="1" applyNumberFormat="1"/>
    <xf borderId="0" fillId="5" fontId="17" numFmtId="4" xfId="0" applyAlignment="1" applyFont="1" applyNumberFormat="1">
      <alignment readingOrder="0"/>
    </xf>
    <xf borderId="0" fillId="5" fontId="1" numFmtId="0" xfId="0" applyAlignment="1" applyFont="1">
      <alignment vertical="bottom"/>
    </xf>
    <xf borderId="0" fillId="5" fontId="17" numFmtId="0" xfId="0" applyFont="1"/>
    <xf borderId="0" fillId="0" fontId="17" numFmtId="0" xfId="0" applyFont="1"/>
    <xf borderId="0" fillId="5" fontId="17" numFmtId="0" xfId="0" applyAlignment="1" applyFont="1">
      <alignment horizontal="center"/>
    </xf>
    <xf borderId="0" fillId="15" fontId="17" numFmtId="0" xfId="0" applyFont="1"/>
    <xf borderId="0" fillId="5" fontId="17" numFmtId="0" xfId="0" applyAlignment="1" applyFont="1">
      <alignment horizontal="right"/>
    </xf>
    <xf borderId="0" fillId="21" fontId="17" numFmtId="0" xfId="0" applyFont="1"/>
    <xf borderId="0" fillId="7" fontId="17" numFmtId="0" xfId="0" applyAlignment="1" applyFont="1">
      <alignment readingOrder="0"/>
    </xf>
    <xf borderId="0" fillId="7" fontId="1" numFmtId="0" xfId="0" applyAlignment="1" applyFont="1">
      <alignment vertical="bottom"/>
    </xf>
    <xf borderId="0" fillId="7" fontId="17" numFmtId="0" xfId="0" applyFont="1"/>
    <xf borderId="0" fillId="7" fontId="17" numFmtId="0" xfId="0" applyAlignment="1" applyFont="1">
      <alignment horizontal="center"/>
    </xf>
    <xf borderId="0" fillId="7" fontId="17" numFmtId="0" xfId="0" applyAlignment="1" applyFont="1">
      <alignment horizontal="right"/>
    </xf>
    <xf borderId="0" fillId="15" fontId="16" numFmtId="0" xfId="0" applyFont="1"/>
    <xf borderId="0" fillId="7" fontId="1" numFmtId="0" xfId="0" applyAlignment="1" applyFont="1">
      <alignment readingOrder="0" vertical="bottom"/>
    </xf>
    <xf borderId="0" fillId="21" fontId="17" numFmtId="0" xfId="0" applyAlignment="1" applyFont="1">
      <alignment horizontal="center"/>
    </xf>
    <xf borderId="0" fillId="0" fontId="9" numFmtId="0" xfId="0" applyFont="1"/>
    <xf borderId="0" fillId="22" fontId="18" numFmtId="0" xfId="0" applyAlignment="1" applyFill="1" applyFont="1">
      <alignment horizontal="center" vertical="center"/>
    </xf>
    <xf borderId="16" fillId="0" fontId="1" numFmtId="0" xfId="0" applyAlignment="1" applyBorder="1" applyFont="1">
      <alignment horizontal="left" vertical="center"/>
    </xf>
    <xf borderId="17" fillId="0" fontId="1" numFmtId="0" xfId="0" applyAlignment="1" applyBorder="1" applyFont="1">
      <alignment vertical="center"/>
    </xf>
    <xf borderId="17" fillId="0" fontId="1" numFmtId="0" xfId="0" applyAlignment="1" applyBorder="1" applyFont="1">
      <alignment shrinkToFit="0" vertical="center" wrapText="1"/>
    </xf>
    <xf borderId="18" fillId="0" fontId="19" numFmtId="0" xfId="0" applyAlignment="1" applyBorder="1" applyFont="1">
      <alignment horizontal="left" shrinkToFit="0" wrapText="1"/>
    </xf>
    <xf borderId="16" fillId="0" fontId="20" numFmtId="49" xfId="0" applyAlignment="1" applyBorder="1" applyFont="1" applyNumberFormat="1">
      <alignment horizontal="right"/>
    </xf>
    <xf borderId="18" fillId="0" fontId="21" numFmtId="0" xfId="0" applyBorder="1" applyFont="1"/>
    <xf borderId="19" fillId="0" fontId="22" numFmtId="0" xfId="0" applyBorder="1" applyFont="1"/>
    <xf borderId="20" fillId="0" fontId="19" numFmtId="0" xfId="0" applyAlignment="1" applyBorder="1" applyFont="1">
      <alignment horizontal="left" shrinkToFit="0" wrapText="1"/>
    </xf>
    <xf borderId="19" fillId="0" fontId="20" numFmtId="49" xfId="0" applyAlignment="1" applyBorder="1" applyFont="1" applyNumberFormat="1">
      <alignment horizontal="right"/>
    </xf>
    <xf borderId="20" fillId="15" fontId="23" numFmtId="0" xfId="0" applyBorder="1" applyFont="1"/>
    <xf borderId="21" fillId="0" fontId="22" numFmtId="0" xfId="0" applyBorder="1" applyFont="1"/>
    <xf borderId="22" fillId="0" fontId="22" numFmtId="0" xfId="0" applyBorder="1" applyFont="1"/>
    <xf borderId="23" fillId="0" fontId="19" numFmtId="0" xfId="0" applyAlignment="1" applyBorder="1" applyFont="1">
      <alignment horizontal="left" shrinkToFit="0" wrapText="1"/>
    </xf>
    <xf borderId="21" fillId="0" fontId="20" numFmtId="49" xfId="0" applyAlignment="1" applyBorder="1" applyFont="1" applyNumberFormat="1">
      <alignment horizontal="right"/>
    </xf>
    <xf borderId="23" fillId="15" fontId="23" numFmtId="0" xfId="0" applyBorder="1" applyFont="1"/>
    <xf borderId="0" fillId="0" fontId="1" numFmtId="0" xfId="0" applyAlignment="1" applyFont="1">
      <alignment vertical="center"/>
    </xf>
    <xf borderId="0" fillId="0" fontId="1" numFmtId="0" xfId="0" applyAlignment="1" applyFont="1">
      <alignment shrinkToFit="0" vertical="center" wrapText="1"/>
    </xf>
    <xf borderId="17" fillId="0" fontId="1" numFmtId="0" xfId="0" applyAlignment="1" applyBorder="1" applyFont="1">
      <alignment horizontal="center" shrinkToFit="0" vertical="center" wrapText="1"/>
    </xf>
    <xf borderId="27" fillId="22" fontId="18" numFmtId="0" xfId="0" applyAlignment="1" applyBorder="1" applyFont="1">
      <alignment horizontal="center" vertical="center"/>
    </xf>
    <xf borderId="28" fillId="0" fontId="22" numFmtId="0" xfId="0" applyBorder="1" applyFont="1"/>
    <xf borderId="17" fillId="0" fontId="1" numFmtId="0" xfId="0" applyAlignment="1" applyBorder="1" applyFont="1">
      <alignment horizontal="center" vertical="center"/>
    </xf>
    <xf borderId="0" fillId="0" fontId="1" numFmtId="0" xfId="0" applyAlignment="1" applyFont="1">
      <alignment horizontal="center" vertical="center"/>
    </xf>
    <xf borderId="27" fillId="0" fontId="1" numFmtId="0" xfId="0" applyAlignment="1" applyBorder="1" applyFont="1">
      <alignment horizontal="center" vertical="center"/>
    </xf>
    <xf borderId="28" fillId="0" fontId="1" numFmtId="0" xfId="0" applyBorder="1" applyFont="1"/>
    <xf borderId="29" fillId="0" fontId="22" numFmtId="0" xfId="0" applyBorder="1" applyFont="1"/>
    <xf borderId="28" fillId="0" fontId="1" numFmtId="0" xfId="0" applyAlignment="1" applyBorder="1" applyFont="1">
      <alignment shrinkToFit="0" vertical="top" wrapText="1"/>
    </xf>
    <xf borderId="29" fillId="0" fontId="1" numFmtId="0" xfId="0" applyBorder="1" applyFont="1"/>
    <xf borderId="27" fillId="0" fontId="1" numFmtId="0" xfId="0" applyBorder="1" applyFont="1"/>
    <xf borderId="30" fillId="0" fontId="1" numFmtId="0" xfId="0" applyAlignment="1" applyBorder="1" applyFont="1">
      <alignment horizontal="center" vertical="center"/>
    </xf>
    <xf borderId="0" fillId="0" fontId="24" numFmtId="0" xfId="0" applyFont="1"/>
    <xf borderId="30" fillId="0" fontId="25" numFmtId="0" xfId="0" applyBorder="1" applyFont="1"/>
    <xf borderId="28" fillId="0" fontId="25" numFmtId="0" xfId="0" applyBorder="1" applyFont="1"/>
    <xf borderId="25" fillId="9" fontId="1" numFmtId="0" xfId="0" applyBorder="1" applyFont="1"/>
    <xf borderId="0" fillId="0" fontId="25" numFmtId="0" xfId="0" applyFont="1"/>
    <xf borderId="20" fillId="0" fontId="1" numFmtId="0" xfId="0" applyBorder="1" applyFont="1"/>
    <xf borderId="25" fillId="12" fontId="1" numFmtId="0" xfId="0" applyBorder="1" applyFont="1"/>
    <xf borderId="25" fillId="7" fontId="1" numFmtId="0" xfId="0" applyBorder="1" applyFont="1"/>
    <xf borderId="26" fillId="12" fontId="1" numFmtId="0" xfId="0" applyBorder="1" applyFont="1"/>
    <xf borderId="22" fillId="0" fontId="1" numFmtId="0" xfId="0" applyBorder="1" applyFont="1"/>
    <xf borderId="22" fillId="0" fontId="25" numFmtId="0" xfId="0" applyBorder="1" applyFont="1"/>
    <xf borderId="23" fillId="0" fontId="1" numFmtId="0" xfId="0" applyBorder="1" applyFont="1"/>
    <xf borderId="0" fillId="11" fontId="25" numFmtId="0" xfId="0" applyFont="1"/>
    <xf borderId="20" fillId="0" fontId="1" numFmtId="0" xfId="0" applyAlignment="1" applyBorder="1" applyFont="1">
      <alignment shrinkToFit="0" wrapText="1"/>
    </xf>
    <xf borderId="30" fillId="0" fontId="1" numFmtId="3" xfId="0" applyBorder="1" applyFont="1" applyNumberFormat="1"/>
    <xf borderId="30" fillId="0" fontId="1" numFmtId="1" xfId="0" applyAlignment="1" applyBorder="1" applyFont="1" applyNumberFormat="1">
      <alignment horizontal="center"/>
    </xf>
    <xf borderId="30" fillId="0" fontId="1" numFmtId="3" xfId="0" applyAlignment="1" applyBorder="1" applyFont="1" applyNumberFormat="1">
      <alignment horizontal="center"/>
    </xf>
    <xf borderId="30" fillId="23" fontId="9" numFmtId="3" xfId="0" applyAlignment="1" applyBorder="1" applyFill="1" applyFont="1" applyNumberFormat="1">
      <alignment horizontal="center"/>
    </xf>
    <xf borderId="30" fillId="0" fontId="1" numFmtId="165" xfId="0" applyAlignment="1" applyBorder="1" applyFont="1" applyNumberFormat="1">
      <alignment horizontal="center"/>
    </xf>
    <xf borderId="25" fillId="24" fontId="1" numFmtId="3" xfId="0" applyAlignment="1" applyBorder="1" applyFill="1" applyFont="1" applyNumberFormat="1">
      <alignment horizontal="center"/>
    </xf>
    <xf borderId="19" fillId="24" fontId="1" numFmtId="3" xfId="0" applyAlignment="1" applyBorder="1" applyFont="1" applyNumberFormat="1">
      <alignment horizontal="center"/>
    </xf>
    <xf borderId="0" fillId="24" fontId="1" numFmtId="3" xfId="0" applyAlignment="1" applyFont="1" applyNumberFormat="1">
      <alignment horizontal="center"/>
    </xf>
    <xf borderId="20" fillId="24" fontId="1" numFmtId="3" xfId="0" applyAlignment="1" applyBorder="1" applyFont="1" applyNumberFormat="1">
      <alignment horizontal="center"/>
    </xf>
    <xf borderId="26" fillId="20" fontId="1" numFmtId="3" xfId="0" applyAlignment="1" applyBorder="1" applyFont="1" applyNumberFormat="1">
      <alignment horizontal="center"/>
    </xf>
    <xf borderId="19" fillId="0" fontId="1" numFmtId="3" xfId="0" applyBorder="1" applyFont="1" applyNumberFormat="1"/>
    <xf borderId="16" fillId="0" fontId="1" numFmtId="3" xfId="0" applyBorder="1" applyFont="1" applyNumberFormat="1"/>
    <xf borderId="17" fillId="0" fontId="1" numFmtId="3" xfId="0" applyBorder="1" applyFont="1" applyNumberFormat="1"/>
    <xf borderId="18" fillId="0" fontId="1" numFmtId="3" xfId="0" applyBorder="1" applyFont="1" applyNumberFormat="1"/>
    <xf borderId="20" fillId="0" fontId="1" numFmtId="3" xfId="0" applyBorder="1" applyFont="1" applyNumberFormat="1"/>
    <xf borderId="21" fillId="0" fontId="1" numFmtId="3" xfId="0" applyBorder="1" applyFont="1" applyNumberFormat="1"/>
    <xf borderId="22" fillId="0" fontId="1" numFmtId="3" xfId="0" applyBorder="1" applyFont="1" applyNumberFormat="1"/>
    <xf borderId="23" fillId="0" fontId="1" numFmtId="3" xfId="0" applyBorder="1" applyFont="1" applyNumberFormat="1"/>
    <xf borderId="16" fillId="0" fontId="1" numFmtId="0" xfId="0" applyBorder="1" applyFont="1"/>
    <xf borderId="17" fillId="0" fontId="1" numFmtId="0" xfId="0" applyBorder="1" applyFont="1"/>
    <xf borderId="18" fillId="0" fontId="1" numFmtId="0" xfId="0" applyBorder="1" applyFont="1"/>
    <xf borderId="19" fillId="0" fontId="1" numFmtId="0" xfId="0" applyBorder="1" applyFont="1"/>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zUUtLsxeaTC_XeO_rt3fEol7W0CCaufyvmkdK0PNrL0/edit" TargetMode="External"/><Relationship Id="rId2" Type="http://schemas.openxmlformats.org/officeDocument/2006/relationships/hyperlink" Target="https://docs.google.com/document/d/1zUUtLsxeaTC_XeO_rt3fEol7W0CCaufyvmkdK0PNrL0/edit" TargetMode="External"/><Relationship Id="rId3" Type="http://schemas.openxmlformats.org/officeDocument/2006/relationships/hyperlink" Target="https://docs.google.com/document/d/1zUUtLsxeaTC_XeO_rt3fEol7W0CCaufyvmkdK0PNrL0/edit" TargetMode="External"/><Relationship Id="rId4" Type="http://schemas.openxmlformats.org/officeDocument/2006/relationships/hyperlink" Target="https://docs.google.com/document/d/1zUUtLsxeaTC_XeO_rt3fEol7W0CCaufyvmkdK0PNrL0/edit" TargetMode="External"/><Relationship Id="rId11" Type="http://schemas.openxmlformats.org/officeDocument/2006/relationships/drawing" Target="../drawings/drawing9.xml"/><Relationship Id="rId10" Type="http://schemas.openxmlformats.org/officeDocument/2006/relationships/hyperlink" Target="https://docs.google.com/document/d/1zUUtLsxeaTC_XeO_rt3fEol7W0CCaufyvmkdK0PNrL0/edit" TargetMode="External"/><Relationship Id="rId9" Type="http://schemas.openxmlformats.org/officeDocument/2006/relationships/hyperlink" Target="https://docs.google.com/document/d/1zUUtLsxeaTC_XeO_rt3fEol7W0CCaufyvmkdK0PNrL0/edit" TargetMode="External"/><Relationship Id="rId5" Type="http://schemas.openxmlformats.org/officeDocument/2006/relationships/hyperlink" Target="https://docs.google.com/document/d/1zUUtLsxeaTC_XeO_rt3fEol7W0CCaufyvmkdK0PNrL0/edit" TargetMode="External"/><Relationship Id="rId6" Type="http://schemas.openxmlformats.org/officeDocument/2006/relationships/hyperlink" Target="https://docs.google.com/document/d/1zUUtLsxeaTC_XeO_rt3fEol7W0CCaufyvmkdK0PNrL0/edit" TargetMode="External"/><Relationship Id="rId7" Type="http://schemas.openxmlformats.org/officeDocument/2006/relationships/hyperlink" Target="https://docs.google.com/document/d/1zUUtLsxeaTC_XeO_rt3fEol7W0CCaufyvmkdK0PNrL0/edit" TargetMode="External"/><Relationship Id="rId8" Type="http://schemas.openxmlformats.org/officeDocument/2006/relationships/hyperlink" Target="https://docs.google.com/document/d/1zUUtLsxeaTC_XeO_rt3fEol7W0CCaufyvmkdK0PNrL0/edit"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B2" s="1" t="s">
        <v>0</v>
      </c>
      <c r="D2" s="2" t="s">
        <v>1</v>
      </c>
      <c r="E2" s="2"/>
      <c r="F2" s="2"/>
    </row>
    <row r="3" ht="15.75" customHeight="1">
      <c r="B3" s="3" t="s">
        <v>1</v>
      </c>
      <c r="D3" s="4" t="s">
        <v>2</v>
      </c>
      <c r="E3" s="5"/>
      <c r="F3" s="5"/>
    </row>
    <row r="4" ht="15.75" customHeight="1">
      <c r="B4" s="6" t="s">
        <v>3</v>
      </c>
      <c r="D4" s="7" t="s">
        <v>4</v>
      </c>
      <c r="E4" s="7" t="s">
        <v>5</v>
      </c>
      <c r="F4" s="7" t="s">
        <v>6</v>
      </c>
    </row>
    <row r="5" ht="15.75" customHeight="1">
      <c r="B5" s="3" t="s">
        <v>7</v>
      </c>
      <c r="D5" s="4" t="s">
        <v>8</v>
      </c>
      <c r="E5" s="5"/>
      <c r="F5" s="5"/>
    </row>
    <row r="6" ht="15.75" customHeight="1">
      <c r="B6" s="6" t="s">
        <v>9</v>
      </c>
    </row>
    <row r="7" ht="15.75" customHeight="1">
      <c r="B7" s="3" t="s">
        <v>10</v>
      </c>
    </row>
    <row r="8" ht="15.75" customHeight="1">
      <c r="B8" s="6" t="s">
        <v>11</v>
      </c>
    </row>
    <row r="9" ht="15.75" customHeight="1">
      <c r="B9" s="3" t="s">
        <v>12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Campañas" location="'Campañas'!A1" ref="B3"/>
    <hyperlink display="Campaña 01" location="'Campaña 01'!A1" ref="D3"/>
    <hyperlink display="Loots" location="Loots!A1" ref="B4"/>
    <hyperlink display="Campaña 02" location="'Bonus 02'!A1" ref="D4"/>
    <hyperlink display="Campaña 02.2" location="'Bonus 02.2'!A1" ref="E4"/>
    <hyperlink display="Campaña 02.4" location="'Bonus 02.4'!A1" ref="F4"/>
    <hyperlink display="Enemigos" location="Enemigos!A1" ref="B5"/>
    <hyperlink display="Campaña 3" location="'Campaña 02'!A1" ref="D5"/>
    <hyperlink display="Secretos" location="Secretos!A1" ref="B6"/>
    <hyperlink display="Finales" location="Finales!A1" ref="B7"/>
    <hyperlink display="Objetos" location="Objetos!A1" ref="B8"/>
    <hyperlink display="Años" location="'Años'!A1" ref="B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25"/>
    <col customWidth="1" min="2" max="3" width="12.63"/>
    <col customWidth="1" min="4" max="4" width="28.25"/>
    <col customWidth="1" min="5" max="5" width="23.75"/>
    <col customWidth="1" min="6" max="6" width="12.63"/>
    <col customWidth="1" min="9" max="9" width="16.13"/>
    <col customWidth="1" min="10" max="10" width="13.25"/>
    <col customWidth="1" min="11" max="11" width="17.13"/>
    <col customWidth="1" min="13" max="13" width="13.88"/>
  </cols>
  <sheetData>
    <row r="1" ht="15.75" customHeight="1">
      <c r="A1" s="8" t="s">
        <v>13</v>
      </c>
      <c r="B1" s="9" t="s">
        <v>14</v>
      </c>
      <c r="C1" s="9" t="s">
        <v>15</v>
      </c>
      <c r="D1" s="9" t="s">
        <v>16</v>
      </c>
      <c r="E1" s="9" t="s">
        <v>17</v>
      </c>
      <c r="F1" s="9" t="s">
        <v>18</v>
      </c>
      <c r="G1" s="9" t="s">
        <v>19</v>
      </c>
      <c r="H1" s="9" t="s">
        <v>20</v>
      </c>
      <c r="I1" s="9" t="s">
        <v>21</v>
      </c>
      <c r="J1" s="10" t="s">
        <v>22</v>
      </c>
    </row>
    <row r="2" ht="15.75" customHeight="1">
      <c r="A2" s="11" t="s">
        <v>23</v>
      </c>
      <c r="B2" s="12" t="s">
        <v>24</v>
      </c>
      <c r="C2" s="12" t="s">
        <v>25</v>
      </c>
      <c r="D2" s="12" t="s">
        <v>24</v>
      </c>
      <c r="E2" s="12" t="s">
        <v>24</v>
      </c>
      <c r="F2" s="12" t="s">
        <v>25</v>
      </c>
      <c r="G2" s="12" t="s">
        <v>26</v>
      </c>
      <c r="H2" s="12" t="s">
        <v>24</v>
      </c>
      <c r="I2" s="12" t="s">
        <v>27</v>
      </c>
      <c r="J2" s="13" t="s">
        <v>28</v>
      </c>
      <c r="K2" s="14" t="s">
        <v>29</v>
      </c>
    </row>
    <row r="3" ht="15.75" customHeight="1">
      <c r="A3" s="15" t="s">
        <v>30</v>
      </c>
      <c r="B3" s="16" t="s">
        <v>25</v>
      </c>
      <c r="C3" s="16" t="s">
        <v>24</v>
      </c>
      <c r="D3" s="16" t="s">
        <v>26</v>
      </c>
      <c r="E3" s="16" t="s">
        <v>24</v>
      </c>
      <c r="F3" s="16" t="s">
        <v>25</v>
      </c>
      <c r="G3" s="16" t="s">
        <v>24</v>
      </c>
      <c r="H3" s="16" t="s">
        <v>26</v>
      </c>
      <c r="I3" s="16" t="s">
        <v>31</v>
      </c>
      <c r="J3" s="17" t="s">
        <v>32</v>
      </c>
      <c r="K3" s="14" t="s">
        <v>33</v>
      </c>
    </row>
    <row r="4" ht="15.75" customHeight="1">
      <c r="A4" s="15" t="s">
        <v>34</v>
      </c>
      <c r="B4" s="16" t="s">
        <v>26</v>
      </c>
      <c r="C4" s="16" t="s">
        <v>26</v>
      </c>
      <c r="D4" s="16" t="s">
        <v>25</v>
      </c>
      <c r="E4" s="16" t="s">
        <v>24</v>
      </c>
      <c r="F4" s="16" t="s">
        <v>24</v>
      </c>
      <c r="G4" s="16" t="s">
        <v>24</v>
      </c>
      <c r="H4" s="16" t="s">
        <v>26</v>
      </c>
      <c r="I4" s="16" t="s">
        <v>35</v>
      </c>
      <c r="J4" s="17" t="s">
        <v>36</v>
      </c>
      <c r="K4" s="14" t="s">
        <v>37</v>
      </c>
    </row>
    <row r="5" ht="15.75" customHeight="1">
      <c r="A5" s="15" t="s">
        <v>38</v>
      </c>
      <c r="B5" s="16" t="s">
        <v>24</v>
      </c>
      <c r="C5" s="16" t="s">
        <v>24</v>
      </c>
      <c r="D5" s="16" t="s">
        <v>26</v>
      </c>
      <c r="E5" s="16" t="s">
        <v>25</v>
      </c>
      <c r="F5" s="16" t="s">
        <v>24</v>
      </c>
      <c r="G5" s="16" t="s">
        <v>24</v>
      </c>
      <c r="H5" s="16" t="s">
        <v>25</v>
      </c>
      <c r="I5" s="16" t="s">
        <v>39</v>
      </c>
      <c r="J5" s="17" t="s">
        <v>40</v>
      </c>
      <c r="K5" s="14" t="s">
        <v>29</v>
      </c>
    </row>
    <row r="6" ht="15.75" customHeight="1">
      <c r="A6" s="15" t="s">
        <v>41</v>
      </c>
      <c r="B6" s="16" t="s">
        <v>24</v>
      </c>
      <c r="C6" s="16" t="s">
        <v>24</v>
      </c>
      <c r="D6" s="16" t="s">
        <v>26</v>
      </c>
      <c r="E6" s="16" t="s">
        <v>25</v>
      </c>
      <c r="F6" s="16" t="s">
        <v>24</v>
      </c>
      <c r="G6" s="16" t="s">
        <v>25</v>
      </c>
      <c r="H6" s="16" t="s">
        <v>24</v>
      </c>
      <c r="I6" s="16" t="s">
        <v>42</v>
      </c>
      <c r="J6" s="17" t="s">
        <v>43</v>
      </c>
      <c r="K6" s="14" t="s">
        <v>29</v>
      </c>
    </row>
    <row r="7" ht="15.75" customHeight="1">
      <c r="A7" s="15" t="s">
        <v>44</v>
      </c>
      <c r="B7" s="16" t="s">
        <v>26</v>
      </c>
      <c r="C7" s="16" t="s">
        <v>24</v>
      </c>
      <c r="D7" s="16" t="s">
        <v>24</v>
      </c>
      <c r="E7" s="16" t="s">
        <v>24</v>
      </c>
      <c r="F7" s="16" t="s">
        <v>26</v>
      </c>
      <c r="G7" s="16" t="s">
        <v>24</v>
      </c>
      <c r="H7" s="16" t="s">
        <v>25</v>
      </c>
      <c r="I7" s="16" t="s">
        <v>45</v>
      </c>
      <c r="J7" s="17" t="s">
        <v>31</v>
      </c>
      <c r="K7" s="14" t="s">
        <v>46</v>
      </c>
    </row>
    <row r="8" ht="15.75" customHeight="1">
      <c r="A8" s="15" t="s">
        <v>47</v>
      </c>
      <c r="B8" s="16" t="s">
        <v>25</v>
      </c>
      <c r="C8" s="16" t="s">
        <v>26</v>
      </c>
      <c r="D8" s="16" t="s">
        <v>24</v>
      </c>
      <c r="E8" s="16" t="s">
        <v>25</v>
      </c>
      <c r="F8" s="16" t="s">
        <v>25</v>
      </c>
      <c r="G8" s="16" t="s">
        <v>26</v>
      </c>
      <c r="H8" s="16" t="s">
        <v>24</v>
      </c>
      <c r="I8" s="16" t="s">
        <v>48</v>
      </c>
      <c r="J8" s="17" t="s">
        <v>49</v>
      </c>
      <c r="K8" s="14" t="s">
        <v>50</v>
      </c>
    </row>
    <row r="9" ht="15.75" customHeight="1">
      <c r="A9" s="15" t="s">
        <v>51</v>
      </c>
      <c r="B9" s="16" t="s">
        <v>26</v>
      </c>
      <c r="C9" s="16" t="s">
        <v>24</v>
      </c>
      <c r="D9" s="16" t="s">
        <v>24</v>
      </c>
      <c r="E9" s="16" t="s">
        <v>24</v>
      </c>
      <c r="F9" s="16" t="s">
        <v>25</v>
      </c>
      <c r="G9" s="16" t="s">
        <v>24</v>
      </c>
      <c r="H9" s="16" t="s">
        <v>25</v>
      </c>
      <c r="I9" s="16" t="s">
        <v>52</v>
      </c>
      <c r="J9" s="17" t="s">
        <v>39</v>
      </c>
      <c r="K9" s="14" t="s">
        <v>53</v>
      </c>
    </row>
    <row r="10" ht="15.75" customHeight="1">
      <c r="A10" s="15" t="s">
        <v>54</v>
      </c>
      <c r="B10" s="16" t="s">
        <v>24</v>
      </c>
      <c r="C10" s="16" t="s">
        <v>25</v>
      </c>
      <c r="D10" s="16" t="s">
        <v>26</v>
      </c>
      <c r="E10" s="16" t="s">
        <v>24</v>
      </c>
      <c r="F10" s="16" t="s">
        <v>24</v>
      </c>
      <c r="G10" s="16" t="s">
        <v>26</v>
      </c>
      <c r="H10" s="16" t="s">
        <v>24</v>
      </c>
      <c r="I10" s="16" t="s">
        <v>55</v>
      </c>
      <c r="J10" s="17" t="s">
        <v>56</v>
      </c>
      <c r="K10" s="14" t="s">
        <v>57</v>
      </c>
    </row>
    <row r="11" ht="15.75" customHeight="1">
      <c r="A11" s="15" t="s">
        <v>58</v>
      </c>
      <c r="B11" s="16" t="s">
        <v>25</v>
      </c>
      <c r="C11" s="16" t="s">
        <v>24</v>
      </c>
      <c r="D11" s="16" t="s">
        <v>24</v>
      </c>
      <c r="E11" s="16" t="s">
        <v>26</v>
      </c>
      <c r="F11" s="16" t="s">
        <v>26</v>
      </c>
      <c r="G11" s="16" t="s">
        <v>25</v>
      </c>
      <c r="H11" s="16" t="s">
        <v>24</v>
      </c>
      <c r="I11" s="16" t="s">
        <v>56</v>
      </c>
      <c r="J11" s="17" t="s">
        <v>49</v>
      </c>
      <c r="K11" s="14" t="s">
        <v>59</v>
      </c>
    </row>
    <row r="12" ht="15.75" customHeight="1">
      <c r="A12" s="15" t="s">
        <v>60</v>
      </c>
      <c r="B12" s="16" t="s">
        <v>26</v>
      </c>
      <c r="C12" s="16" t="s">
        <v>25</v>
      </c>
      <c r="D12" s="16" t="s">
        <v>26</v>
      </c>
      <c r="E12" s="16" t="s">
        <v>24</v>
      </c>
      <c r="F12" s="16" t="s">
        <v>24</v>
      </c>
      <c r="G12" s="16" t="s">
        <v>25</v>
      </c>
      <c r="H12" s="16" t="s">
        <v>24</v>
      </c>
      <c r="I12" s="16" t="s">
        <v>61</v>
      </c>
      <c r="J12" s="17" t="s">
        <v>62</v>
      </c>
      <c r="K12" s="14" t="s">
        <v>63</v>
      </c>
    </row>
    <row r="13" ht="15.75" customHeight="1">
      <c r="A13" s="15" t="s">
        <v>64</v>
      </c>
      <c r="B13" s="16" t="s">
        <v>26</v>
      </c>
      <c r="C13" s="16" t="s">
        <v>25</v>
      </c>
      <c r="D13" s="16" t="s">
        <v>26</v>
      </c>
      <c r="E13" s="16" t="s">
        <v>24</v>
      </c>
      <c r="F13" s="16" t="s">
        <v>24</v>
      </c>
      <c r="G13" s="16" t="s">
        <v>25</v>
      </c>
      <c r="H13" s="16" t="s">
        <v>24</v>
      </c>
      <c r="I13" s="16" t="s">
        <v>65</v>
      </c>
      <c r="J13" s="17" t="s">
        <v>66</v>
      </c>
      <c r="K13" s="14" t="s">
        <v>67</v>
      </c>
    </row>
    <row r="14" ht="15.75" customHeight="1">
      <c r="A14" s="15" t="s">
        <v>68</v>
      </c>
      <c r="B14" s="16" t="s">
        <v>25</v>
      </c>
      <c r="C14" s="16" t="s">
        <v>25</v>
      </c>
      <c r="D14" s="16" t="s">
        <v>24</v>
      </c>
      <c r="E14" s="16" t="s">
        <v>25</v>
      </c>
      <c r="F14" s="16" t="s">
        <v>24</v>
      </c>
      <c r="G14" s="16" t="s">
        <v>25</v>
      </c>
      <c r="H14" s="16" t="s">
        <v>24</v>
      </c>
      <c r="I14" s="16" t="s">
        <v>27</v>
      </c>
      <c r="J14" s="16" t="s">
        <v>69</v>
      </c>
      <c r="K14" s="14" t="s">
        <v>63</v>
      </c>
    </row>
    <row r="15" ht="15.75" customHeight="1">
      <c r="A15" s="15" t="s">
        <v>70</v>
      </c>
      <c r="B15" s="16" t="s">
        <v>25</v>
      </c>
      <c r="C15" s="16" t="s">
        <v>24</v>
      </c>
      <c r="D15" s="16" t="s">
        <v>26</v>
      </c>
      <c r="E15" s="16" t="s">
        <v>25</v>
      </c>
      <c r="F15" s="16" t="s">
        <v>24</v>
      </c>
      <c r="G15" s="16" t="s">
        <v>26</v>
      </c>
      <c r="H15" s="16" t="s">
        <v>26</v>
      </c>
      <c r="I15" s="16" t="s">
        <v>71</v>
      </c>
      <c r="J15" s="17" t="s">
        <v>43</v>
      </c>
      <c r="K15" s="14" t="s">
        <v>63</v>
      </c>
    </row>
    <row r="16" ht="15.75" customHeight="1">
      <c r="A16" s="15" t="s">
        <v>72</v>
      </c>
      <c r="B16" s="16" t="s">
        <v>24</v>
      </c>
      <c r="C16" s="16" t="s">
        <v>24</v>
      </c>
      <c r="D16" s="16" t="s">
        <v>24</v>
      </c>
      <c r="E16" s="16" t="s">
        <v>24</v>
      </c>
      <c r="F16" s="16" t="s">
        <v>25</v>
      </c>
      <c r="G16" s="16" t="s">
        <v>24</v>
      </c>
      <c r="H16" s="16" t="s">
        <v>24</v>
      </c>
      <c r="I16" s="16" t="s">
        <v>73</v>
      </c>
      <c r="J16" s="17" t="s">
        <v>74</v>
      </c>
      <c r="K16" s="14" t="s">
        <v>75</v>
      </c>
    </row>
    <row r="17" ht="15.75" customHeight="1">
      <c r="A17" s="15" t="s">
        <v>76</v>
      </c>
      <c r="B17" s="16" t="s">
        <v>24</v>
      </c>
      <c r="C17" s="16" t="s">
        <v>26</v>
      </c>
      <c r="D17" s="16" t="s">
        <v>25</v>
      </c>
      <c r="E17" s="16" t="s">
        <v>25</v>
      </c>
      <c r="F17" s="16" t="s">
        <v>24</v>
      </c>
      <c r="G17" s="16" t="s">
        <v>26</v>
      </c>
      <c r="H17" s="16" t="s">
        <v>26</v>
      </c>
      <c r="I17" s="16" t="s">
        <v>27</v>
      </c>
      <c r="J17" s="17" t="s">
        <v>28</v>
      </c>
      <c r="K17" s="14" t="s">
        <v>63</v>
      </c>
    </row>
    <row r="18" ht="15.75" customHeight="1">
      <c r="A18" s="15" t="s">
        <v>77</v>
      </c>
      <c r="B18" s="16" t="s">
        <v>24</v>
      </c>
      <c r="C18" s="16" t="s">
        <v>26</v>
      </c>
      <c r="D18" s="16" t="s">
        <v>25</v>
      </c>
      <c r="E18" s="16" t="s">
        <v>24</v>
      </c>
      <c r="F18" s="16" t="s">
        <v>24</v>
      </c>
      <c r="G18" s="16" t="s">
        <v>24</v>
      </c>
      <c r="H18" s="16" t="s">
        <v>25</v>
      </c>
      <c r="I18" s="16" t="s">
        <v>69</v>
      </c>
      <c r="J18" s="17" t="s">
        <v>74</v>
      </c>
      <c r="K18" s="14" t="s">
        <v>63</v>
      </c>
    </row>
    <row r="19" ht="15.75" customHeight="1">
      <c r="A19" s="15" t="s">
        <v>78</v>
      </c>
      <c r="B19" s="16" t="s">
        <v>24</v>
      </c>
      <c r="C19" s="16" t="s">
        <v>24</v>
      </c>
      <c r="D19" s="16" t="s">
        <v>24</v>
      </c>
      <c r="E19" s="16" t="s">
        <v>24</v>
      </c>
      <c r="F19" s="16" t="s">
        <v>25</v>
      </c>
      <c r="G19" s="16" t="s">
        <v>25</v>
      </c>
      <c r="H19" s="16" t="s">
        <v>24</v>
      </c>
      <c r="I19" s="16" t="s">
        <v>79</v>
      </c>
      <c r="J19" s="17" t="s">
        <v>43</v>
      </c>
      <c r="K19" s="14" t="s">
        <v>80</v>
      </c>
    </row>
    <row r="20" ht="15.75" customHeight="1">
      <c r="A20" s="15" t="s">
        <v>81</v>
      </c>
      <c r="B20" s="16" t="s">
        <v>24</v>
      </c>
      <c r="C20" s="16" t="s">
        <v>26</v>
      </c>
      <c r="D20" s="16" t="s">
        <v>25</v>
      </c>
      <c r="E20" s="16" t="s">
        <v>24</v>
      </c>
      <c r="F20" s="16" t="s">
        <v>24</v>
      </c>
      <c r="G20" s="16" t="s">
        <v>25</v>
      </c>
      <c r="H20" s="16" t="s">
        <v>24</v>
      </c>
      <c r="I20" s="16" t="s">
        <v>28</v>
      </c>
      <c r="J20" s="17" t="s">
        <v>27</v>
      </c>
      <c r="K20" s="14" t="s">
        <v>63</v>
      </c>
    </row>
    <row r="21" ht="15.75" customHeight="1">
      <c r="A21" s="18"/>
      <c r="B21" s="18"/>
      <c r="C21" s="18"/>
      <c r="D21" s="18"/>
      <c r="E21" s="18"/>
      <c r="F21" s="18"/>
      <c r="G21" s="18"/>
      <c r="H21" s="18"/>
      <c r="I21" s="18"/>
      <c r="J21" s="18"/>
      <c r="K21" s="18"/>
      <c r="L21" s="18"/>
      <c r="M21" s="18"/>
      <c r="N21" s="18"/>
    </row>
    <row r="22" ht="15.75" customHeight="1">
      <c r="A22" s="19" t="s">
        <v>82</v>
      </c>
      <c r="B22" s="20" t="s">
        <v>21</v>
      </c>
      <c r="C22" s="20" t="s">
        <v>22</v>
      </c>
      <c r="D22" s="20" t="s">
        <v>83</v>
      </c>
      <c r="E22" s="20" t="s">
        <v>84</v>
      </c>
      <c r="F22" s="20" t="s">
        <v>85</v>
      </c>
      <c r="G22" s="20" t="s">
        <v>86</v>
      </c>
      <c r="H22" s="20" t="s">
        <v>87</v>
      </c>
      <c r="I22" s="20" t="s">
        <v>88</v>
      </c>
      <c r="J22" s="20" t="s">
        <v>89</v>
      </c>
      <c r="K22" s="20" t="s">
        <v>90</v>
      </c>
      <c r="L22" s="20" t="s">
        <v>91</v>
      </c>
      <c r="M22" s="20" t="s">
        <v>92</v>
      </c>
      <c r="N22" s="21" t="s">
        <v>93</v>
      </c>
    </row>
    <row r="23" ht="48.0" customHeight="1">
      <c r="A23" s="22" t="s">
        <v>94</v>
      </c>
      <c r="B23" s="23" t="s">
        <v>49</v>
      </c>
      <c r="C23" s="23" t="s">
        <v>31</v>
      </c>
      <c r="D23" s="23" t="s">
        <v>95</v>
      </c>
      <c r="E23" s="23" t="s">
        <v>96</v>
      </c>
      <c r="F23" s="23" t="s">
        <v>97</v>
      </c>
      <c r="G23" s="23" t="s">
        <v>98</v>
      </c>
      <c r="H23" s="23" t="s">
        <v>99</v>
      </c>
      <c r="I23" s="23" t="s">
        <v>100</v>
      </c>
      <c r="J23" s="23" t="s">
        <v>101</v>
      </c>
      <c r="K23" s="23" t="s">
        <v>102</v>
      </c>
      <c r="L23" s="23" t="s">
        <v>103</v>
      </c>
      <c r="M23" s="23" t="s">
        <v>104</v>
      </c>
      <c r="N23" s="24" t="s">
        <v>105</v>
      </c>
    </row>
    <row r="24" ht="15.75" customHeight="1">
      <c r="A24" s="22" t="s">
        <v>106</v>
      </c>
      <c r="B24" s="23" t="s">
        <v>107</v>
      </c>
      <c r="C24" s="23" t="s">
        <v>108</v>
      </c>
      <c r="D24" s="23" t="s">
        <v>109</v>
      </c>
      <c r="E24" s="23" t="s">
        <v>110</v>
      </c>
      <c r="F24" s="23" t="s">
        <v>111</v>
      </c>
      <c r="G24" s="23" t="s">
        <v>112</v>
      </c>
      <c r="H24" s="23" t="s">
        <v>27</v>
      </c>
      <c r="I24" s="23" t="s">
        <v>40</v>
      </c>
      <c r="J24" s="23" t="s">
        <v>101</v>
      </c>
      <c r="K24" s="23" t="s">
        <v>113</v>
      </c>
      <c r="L24" s="23" t="s">
        <v>114</v>
      </c>
      <c r="M24" s="23" t="s">
        <v>26</v>
      </c>
      <c r="N24" s="24" t="s">
        <v>115</v>
      </c>
    </row>
    <row r="25" ht="15.75" customHeight="1">
      <c r="A25" s="22" t="s">
        <v>116</v>
      </c>
      <c r="B25" s="23" t="s">
        <v>40</v>
      </c>
      <c r="C25" s="23" t="s">
        <v>27</v>
      </c>
      <c r="D25" s="23" t="s">
        <v>117</v>
      </c>
      <c r="E25" s="23" t="s">
        <v>118</v>
      </c>
      <c r="F25" s="23" t="s">
        <v>112</v>
      </c>
      <c r="G25" s="23" t="s">
        <v>119</v>
      </c>
      <c r="H25" s="23" t="s">
        <v>40</v>
      </c>
      <c r="I25" s="23" t="s">
        <v>27</v>
      </c>
      <c r="J25" s="23" t="s">
        <v>101</v>
      </c>
      <c r="K25" s="23" t="s">
        <v>120</v>
      </c>
      <c r="L25" s="23" t="s">
        <v>121</v>
      </c>
      <c r="M25" s="23" t="s">
        <v>122</v>
      </c>
      <c r="N25" s="24" t="s">
        <v>123</v>
      </c>
    </row>
    <row r="26" ht="15.75" customHeight="1">
      <c r="A26" s="22" t="s">
        <v>124</v>
      </c>
      <c r="B26" s="23" t="s">
        <v>28</v>
      </c>
      <c r="C26" s="23" t="s">
        <v>125</v>
      </c>
      <c r="D26" s="23" t="s">
        <v>126</v>
      </c>
      <c r="E26" s="23" t="s">
        <v>127</v>
      </c>
      <c r="F26" s="23" t="s">
        <v>128</v>
      </c>
      <c r="G26" s="23" t="s">
        <v>129</v>
      </c>
      <c r="H26" s="23" t="s">
        <v>130</v>
      </c>
      <c r="I26" s="23" t="s">
        <v>131</v>
      </c>
      <c r="J26" s="23" t="s">
        <v>101</v>
      </c>
      <c r="K26" s="23" t="s">
        <v>132</v>
      </c>
      <c r="L26" s="23" t="s">
        <v>133</v>
      </c>
      <c r="M26" s="23" t="s">
        <v>26</v>
      </c>
      <c r="N26" s="24" t="s">
        <v>134</v>
      </c>
    </row>
    <row r="27" ht="15.75" customHeight="1">
      <c r="A27" s="22" t="s">
        <v>135</v>
      </c>
      <c r="B27" s="23" t="s">
        <v>136</v>
      </c>
      <c r="C27" s="23" t="s">
        <v>137</v>
      </c>
      <c r="D27" s="23" t="s">
        <v>138</v>
      </c>
      <c r="E27" s="23" t="s">
        <v>139</v>
      </c>
      <c r="F27" s="23" t="s">
        <v>140</v>
      </c>
      <c r="G27" s="23" t="s">
        <v>141</v>
      </c>
      <c r="H27" s="23" t="s">
        <v>142</v>
      </c>
      <c r="I27" s="23" t="s">
        <v>143</v>
      </c>
      <c r="J27" s="23" t="s">
        <v>101</v>
      </c>
      <c r="K27" s="23" t="s">
        <v>144</v>
      </c>
      <c r="L27" s="23" t="s">
        <v>121</v>
      </c>
      <c r="M27" s="23" t="s">
        <v>145</v>
      </c>
      <c r="N27" s="24" t="s">
        <v>146</v>
      </c>
    </row>
    <row r="28" ht="15.75" customHeight="1">
      <c r="A28" s="22" t="s">
        <v>147</v>
      </c>
      <c r="B28" s="23" t="s">
        <v>148</v>
      </c>
      <c r="C28" s="23" t="s">
        <v>27</v>
      </c>
      <c r="D28" s="23" t="s">
        <v>138</v>
      </c>
      <c r="E28" s="23" t="s">
        <v>149</v>
      </c>
      <c r="F28" s="23" t="s">
        <v>150</v>
      </c>
      <c r="G28" s="23" t="s">
        <v>151</v>
      </c>
      <c r="H28" s="23" t="s">
        <v>152</v>
      </c>
      <c r="I28" s="23" t="s">
        <v>153</v>
      </c>
      <c r="J28" s="23" t="s">
        <v>101</v>
      </c>
      <c r="K28" s="23" t="s">
        <v>154</v>
      </c>
      <c r="L28" s="23" t="s">
        <v>155</v>
      </c>
      <c r="M28" s="23" t="s">
        <v>145</v>
      </c>
      <c r="N28" s="24" t="s">
        <v>156</v>
      </c>
    </row>
    <row r="29" ht="15.75" customHeight="1">
      <c r="A29" s="22" t="s">
        <v>157</v>
      </c>
      <c r="B29" s="23" t="s">
        <v>28</v>
      </c>
      <c r="C29" s="23" t="s">
        <v>27</v>
      </c>
      <c r="D29" s="23" t="s">
        <v>158</v>
      </c>
      <c r="E29" s="23" t="s">
        <v>159</v>
      </c>
      <c r="F29" s="23" t="s">
        <v>160</v>
      </c>
      <c r="G29" s="23" t="s">
        <v>161</v>
      </c>
      <c r="H29" s="23" t="s">
        <v>162</v>
      </c>
      <c r="I29" s="23" t="s">
        <v>163</v>
      </c>
      <c r="J29" s="23" t="s">
        <v>101</v>
      </c>
      <c r="K29" s="23" t="s">
        <v>164</v>
      </c>
      <c r="L29" s="23" t="s">
        <v>165</v>
      </c>
      <c r="M29" s="23" t="s">
        <v>166</v>
      </c>
      <c r="N29" s="24" t="s">
        <v>167</v>
      </c>
    </row>
    <row r="30" ht="15.75" customHeight="1">
      <c r="A30" s="22" t="s">
        <v>168</v>
      </c>
      <c r="B30" s="23" t="s">
        <v>27</v>
      </c>
      <c r="C30" s="23" t="s">
        <v>40</v>
      </c>
      <c r="D30" s="25" t="s">
        <v>169</v>
      </c>
      <c r="E30" s="23" t="s">
        <v>110</v>
      </c>
      <c r="F30" s="23" t="s">
        <v>170</v>
      </c>
      <c r="G30" s="23" t="s">
        <v>171</v>
      </c>
      <c r="H30" s="23" t="s">
        <v>172</v>
      </c>
      <c r="I30" s="23" t="s">
        <v>173</v>
      </c>
      <c r="J30" s="23" t="s">
        <v>101</v>
      </c>
      <c r="K30" s="23" t="s">
        <v>174</v>
      </c>
      <c r="L30" s="23" t="s">
        <v>175</v>
      </c>
      <c r="M30" s="23" t="s">
        <v>166</v>
      </c>
      <c r="N30" s="24" t="s">
        <v>176</v>
      </c>
    </row>
    <row r="31" ht="15.75" customHeight="1">
      <c r="A31" s="22" t="s">
        <v>177</v>
      </c>
      <c r="B31" s="23" t="s">
        <v>178</v>
      </c>
      <c r="C31" s="23" t="s">
        <v>27</v>
      </c>
      <c r="D31" s="23" t="s">
        <v>179</v>
      </c>
      <c r="E31" s="23" t="s">
        <v>180</v>
      </c>
      <c r="F31" s="23" t="s">
        <v>160</v>
      </c>
      <c r="G31" s="23" t="s">
        <v>181</v>
      </c>
      <c r="H31" s="23" t="s">
        <v>182</v>
      </c>
      <c r="I31" s="23" t="s">
        <v>183</v>
      </c>
      <c r="J31" s="23" t="s">
        <v>101</v>
      </c>
      <c r="K31" s="23" t="s">
        <v>184</v>
      </c>
      <c r="L31" s="23" t="s">
        <v>185</v>
      </c>
      <c r="M31" s="23" t="s">
        <v>145</v>
      </c>
      <c r="N31" s="24" t="s">
        <v>186</v>
      </c>
    </row>
    <row r="32" ht="15.75" customHeight="1">
      <c r="A32" s="22" t="s">
        <v>187</v>
      </c>
      <c r="B32" s="23" t="s">
        <v>69</v>
      </c>
      <c r="C32" s="23" t="s">
        <v>62</v>
      </c>
      <c r="D32" s="23" t="s">
        <v>188</v>
      </c>
      <c r="E32" s="23" t="s">
        <v>189</v>
      </c>
      <c r="F32" s="23" t="s">
        <v>160</v>
      </c>
      <c r="G32" s="23" t="s">
        <v>190</v>
      </c>
      <c r="H32" s="23" t="s">
        <v>191</v>
      </c>
      <c r="I32" s="23" t="s">
        <v>62</v>
      </c>
      <c r="J32" s="23" t="s">
        <v>101</v>
      </c>
      <c r="K32" s="23" t="s">
        <v>192</v>
      </c>
      <c r="L32" s="23" t="s">
        <v>193</v>
      </c>
      <c r="M32" s="23" t="s">
        <v>166</v>
      </c>
      <c r="N32" s="24" t="s">
        <v>194</v>
      </c>
    </row>
    <row r="33" ht="15.75" customHeight="1">
      <c r="A33" s="22" t="s">
        <v>195</v>
      </c>
      <c r="B33" s="23" t="s">
        <v>71</v>
      </c>
      <c r="C33" s="23" t="s">
        <v>27</v>
      </c>
      <c r="D33" s="23" t="s">
        <v>196</v>
      </c>
      <c r="E33" s="23" t="s">
        <v>197</v>
      </c>
      <c r="F33" s="23" t="s">
        <v>198</v>
      </c>
      <c r="G33" s="23" t="s">
        <v>181</v>
      </c>
      <c r="H33" s="23" t="s">
        <v>71</v>
      </c>
      <c r="I33" s="23" t="s">
        <v>27</v>
      </c>
      <c r="J33" s="23" t="s">
        <v>101</v>
      </c>
      <c r="K33" s="23" t="s">
        <v>199</v>
      </c>
      <c r="L33" s="23" t="s">
        <v>200</v>
      </c>
      <c r="M33" s="23" t="s">
        <v>201</v>
      </c>
      <c r="N33" s="24" t="s">
        <v>186</v>
      </c>
    </row>
    <row r="34" ht="15.75" customHeight="1">
      <c r="A34" s="26" t="s">
        <v>202</v>
      </c>
      <c r="B34" s="27" t="s">
        <v>136</v>
      </c>
      <c r="C34" s="27" t="s">
        <v>125</v>
      </c>
      <c r="D34" s="27" t="s">
        <v>203</v>
      </c>
      <c r="E34" s="27" t="s">
        <v>204</v>
      </c>
      <c r="F34" s="27" t="s">
        <v>205</v>
      </c>
      <c r="G34" s="27" t="s">
        <v>206</v>
      </c>
      <c r="H34" s="27" t="s">
        <v>207</v>
      </c>
      <c r="I34" s="27" t="s">
        <v>208</v>
      </c>
      <c r="J34" s="27" t="s">
        <v>101</v>
      </c>
      <c r="K34" s="27" t="s">
        <v>209</v>
      </c>
      <c r="L34" s="27" t="s">
        <v>210</v>
      </c>
      <c r="M34" s="27" t="s">
        <v>166</v>
      </c>
      <c r="N34" s="28" t="s">
        <v>211</v>
      </c>
    </row>
    <row r="35" ht="15.75" customHeight="1">
      <c r="A35" s="29"/>
      <c r="B35" s="29"/>
      <c r="C35" s="29"/>
      <c r="D35" s="29"/>
      <c r="E35" s="29"/>
      <c r="F35" s="29"/>
      <c r="G35" s="29"/>
      <c r="H35" s="29"/>
      <c r="I35" s="29"/>
      <c r="J35" s="29"/>
      <c r="K35" s="29"/>
      <c r="L35" s="29"/>
      <c r="M35" s="29"/>
      <c r="N35" s="29"/>
    </row>
    <row r="36" ht="15.75" customHeight="1">
      <c r="A36" s="29"/>
      <c r="B36" s="29"/>
      <c r="C36" s="29"/>
      <c r="D36" s="29"/>
      <c r="E36" s="29"/>
      <c r="F36" s="29"/>
      <c r="G36" s="29"/>
      <c r="H36" s="29"/>
      <c r="I36" s="29"/>
      <c r="J36" s="29"/>
      <c r="K36" s="29"/>
      <c r="L36" s="29"/>
      <c r="M36" s="29"/>
      <c r="N36" s="29"/>
    </row>
    <row r="37" ht="15.75" customHeight="1">
      <c r="A37" s="29"/>
      <c r="B37" s="29"/>
      <c r="C37" s="29"/>
      <c r="D37" s="29"/>
      <c r="E37" s="29"/>
      <c r="F37" s="29"/>
      <c r="G37" s="29"/>
      <c r="H37" s="29"/>
      <c r="I37" s="29"/>
      <c r="J37" s="29"/>
      <c r="K37" s="29"/>
      <c r="L37" s="29"/>
      <c r="M37" s="29"/>
      <c r="N37" s="29"/>
    </row>
    <row r="38" ht="15.75" customHeight="1">
      <c r="A38" s="29"/>
      <c r="B38" s="29"/>
      <c r="C38" s="29"/>
      <c r="D38" s="29"/>
      <c r="E38" s="29"/>
      <c r="F38" s="29"/>
      <c r="G38" s="29"/>
      <c r="H38" s="29"/>
      <c r="I38" s="29"/>
      <c r="J38" s="29"/>
      <c r="K38" s="29"/>
      <c r="L38" s="29"/>
      <c r="M38" s="29"/>
      <c r="N38" s="29"/>
    </row>
    <row r="39" ht="15.75" customHeight="1">
      <c r="A39" s="29"/>
      <c r="B39" s="29"/>
      <c r="C39" s="29"/>
      <c r="D39" s="29"/>
      <c r="E39" s="29"/>
      <c r="F39" s="29"/>
      <c r="G39" s="29"/>
      <c r="H39" s="29"/>
      <c r="I39" s="29"/>
      <c r="J39" s="29"/>
      <c r="K39" s="29"/>
      <c r="L39" s="29"/>
      <c r="M39" s="29"/>
      <c r="N39" s="29"/>
    </row>
    <row r="40" ht="15.75" customHeight="1">
      <c r="A40" s="29"/>
      <c r="B40" s="29"/>
      <c r="C40" s="29"/>
      <c r="D40" s="29"/>
      <c r="E40" s="29"/>
      <c r="F40" s="29"/>
      <c r="G40" s="29"/>
      <c r="H40" s="29"/>
      <c r="I40" s="29"/>
      <c r="J40" s="29"/>
      <c r="K40" s="29"/>
      <c r="L40" s="29"/>
      <c r="M40" s="29"/>
      <c r="N40" s="29"/>
    </row>
    <row r="41" ht="15.75" customHeight="1">
      <c r="A41" s="29"/>
      <c r="B41" s="29"/>
      <c r="C41" s="29"/>
      <c r="D41" s="29"/>
      <c r="E41" s="29"/>
      <c r="F41" s="29"/>
      <c r="G41" s="29"/>
      <c r="H41" s="29"/>
      <c r="I41" s="29"/>
      <c r="J41" s="29"/>
      <c r="K41" s="29"/>
      <c r="L41" s="29"/>
      <c r="M41" s="29"/>
      <c r="N41" s="2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J20">
    <cfRule type="containsText" dxfId="0" priority="1" operator="containsText" text="SI">
      <formula>NOT(ISERROR(SEARCH(("SI"),(B2))))</formula>
    </cfRule>
  </conditionalFormatting>
  <conditionalFormatting sqref="B2:J20">
    <cfRule type="containsText" dxfId="1" priority="2" operator="containsText" text="NO">
      <formula>NOT(ISERROR(SEARCH(("NO"),(B2))))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B2" s="30" t="str">
        <f>'Bonificadores - Bastrea Guerrer'!E1</f>
        <v>Humano de Bastrea, Guerrero  de Nivel 30</v>
      </c>
      <c r="G2" s="14">
        <v>30.0</v>
      </c>
      <c r="I2" s="30" t="str">
        <f>'Bonificadores - Ascaria Guerrer'!E1</f>
        <v>Humano de Ascaria, Guerrero  de Nivel 30</v>
      </c>
      <c r="N2" s="14">
        <v>30.0</v>
      </c>
    </row>
    <row r="3" ht="15.75" customHeight="1">
      <c r="B3" s="31" t="str">
        <f>'Bonificadores - Bastrea Guerrer'!E2</f>
        <v>Fue</v>
      </c>
      <c r="C3" s="32" t="str">
        <f>'Bonificadores - Bastrea Guerrer'!F2</f>
        <v>Des</v>
      </c>
      <c r="D3" s="32" t="str">
        <f>'Bonificadores - Bastrea Guerrer'!G2</f>
        <v>Con</v>
      </c>
      <c r="E3" s="32" t="str">
        <f>'Bonificadores - Bastrea Guerrer'!H2</f>
        <v>Int</v>
      </c>
      <c r="F3" s="32" t="str">
        <f>'Bonificadores - Bastrea Guerrer'!I2</f>
        <v>Sab</v>
      </c>
      <c r="G3" s="33" t="str">
        <f>'Bonificadores - Bastrea Guerrer'!J2</f>
        <v>Car</v>
      </c>
      <c r="I3" s="31" t="str">
        <f>'Bonificadores - Ascaria Guerrer'!E2</f>
        <v>Fue</v>
      </c>
      <c r="J3" s="32" t="str">
        <f>'Bonificadores - Ascaria Guerrer'!F2</f>
        <v>Des</v>
      </c>
      <c r="K3" s="32" t="str">
        <f>'Bonificadores - Ascaria Guerrer'!G2</f>
        <v>Con</v>
      </c>
      <c r="L3" s="32" t="str">
        <f>'Bonificadores - Ascaria Guerrer'!H2</f>
        <v>Int</v>
      </c>
      <c r="M3" s="32" t="str">
        <f>'Bonificadores - Ascaria Guerrer'!I2</f>
        <v>Sab</v>
      </c>
      <c r="N3" s="33" t="str">
        <f>'Bonificadores - Ascaria Guerrer'!J2</f>
        <v>Car</v>
      </c>
    </row>
    <row r="4" ht="15.75" customHeight="1">
      <c r="B4" s="34">
        <f>'Bonificadores - Bastrea Guerrer'!E3</f>
        <v>76</v>
      </c>
      <c r="C4" s="35">
        <f>'Bonificadores - Bastrea Guerrer'!F3</f>
        <v>44</v>
      </c>
      <c r="D4" s="35">
        <f>'Bonificadores - Bastrea Guerrer'!G3</f>
        <v>9</v>
      </c>
      <c r="E4" s="35">
        <f>'Bonificadores - Bastrea Guerrer'!H3</f>
        <v>10</v>
      </c>
      <c r="F4" s="35">
        <f>'Bonificadores - Bastrea Guerrer'!I3</f>
        <v>40</v>
      </c>
      <c r="G4" s="36">
        <f>'Bonificadores - Bastrea Guerrer'!J3</f>
        <v>11</v>
      </c>
      <c r="I4" s="34">
        <f>'Bonificadores - Ascaria Guerrer'!E3</f>
        <v>44</v>
      </c>
      <c r="J4" s="35">
        <f>'Bonificadores - Ascaria Guerrer'!F3</f>
        <v>12</v>
      </c>
      <c r="K4" s="35">
        <f>'Bonificadores - Ascaria Guerrer'!G3</f>
        <v>10</v>
      </c>
      <c r="L4" s="35">
        <f>'Bonificadores - Ascaria Guerrer'!H3</f>
        <v>42</v>
      </c>
      <c r="M4" s="35">
        <f>'Bonificadores - Ascaria Guerrer'!I3</f>
        <v>41</v>
      </c>
      <c r="N4" s="36">
        <f>'Bonificadores - Ascaria Guerrer'!J3</f>
        <v>11</v>
      </c>
    </row>
    <row r="5" ht="15.75" customHeight="1">
      <c r="B5" s="37">
        <f>'Bonificadores - Bastrea Guerrer'!E4</f>
        <v>30.74665914</v>
      </c>
      <c r="C5" s="38">
        <f>'Bonificadores - Bastrea Guerrer'!F4</f>
        <v>14.51950741</v>
      </c>
      <c r="D5" s="38">
        <f>'Bonificadores - Bastrea Guerrer'!G4</f>
        <v>-3</v>
      </c>
      <c r="E5" s="38">
        <f>'Bonificadores - Bastrea Guerrer'!H4</f>
        <v>-2</v>
      </c>
      <c r="F5" s="38">
        <f>'Bonificadores - Bastrea Guerrer'!I4</f>
        <v>12.55257993</v>
      </c>
      <c r="G5" s="39">
        <f>'Bonificadores - Bastrea Guerrer'!J4</f>
        <v>-2</v>
      </c>
      <c r="I5" s="37">
        <f>'Bonificadores - Ascaria Guerrer'!E4</f>
        <v>14.51950741</v>
      </c>
      <c r="J5" s="38">
        <f>'Bonificadores - Ascaria Guerrer'!F4</f>
        <v>-1</v>
      </c>
      <c r="K5" s="38">
        <f>'Bonificadores - Ascaria Guerrer'!G4</f>
        <v>-2</v>
      </c>
      <c r="L5" s="38">
        <f>'Bonificadores - Ascaria Guerrer'!H4</f>
        <v>13.53604367</v>
      </c>
      <c r="M5" s="38">
        <f>'Bonificadores - Ascaria Guerrer'!I4</f>
        <v>13.0443118</v>
      </c>
      <c r="N5" s="39">
        <f>'Bonificadores - Ascaria Guerrer'!J4</f>
        <v>-2</v>
      </c>
    </row>
    <row r="6" ht="15.75" customHeight="1"/>
    <row r="7" ht="15.75" customHeight="1">
      <c r="B7" s="30" t="str">
        <f>'Bonificadores - Bastrea Paladin'!E1</f>
        <v>Humano de Bastrea, Paladin de Nivel 30</v>
      </c>
      <c r="G7" s="14">
        <v>30.0</v>
      </c>
      <c r="I7" s="30" t="str">
        <f>'Bonificadores - Ascaria Paladin'!E1</f>
        <v>Humano de Ascaria, Paladin de Nivel 30</v>
      </c>
      <c r="N7" s="14">
        <v>30.0</v>
      </c>
    </row>
    <row r="8" ht="15.75" customHeight="1">
      <c r="B8" s="31" t="str">
        <f>'Bonificadores - Bastrea Paladin'!E2</f>
        <v>Fue</v>
      </c>
      <c r="C8" s="32" t="str">
        <f>'Bonificadores - Bastrea Paladin'!F2</f>
        <v>Des</v>
      </c>
      <c r="D8" s="32" t="str">
        <f>'Bonificadores - Bastrea Paladin'!G2</f>
        <v>Con</v>
      </c>
      <c r="E8" s="32" t="str">
        <f>'Bonificadores - Bastrea Paladin'!H2</f>
        <v>Int</v>
      </c>
      <c r="F8" s="32" t="str">
        <f>'Bonificadores - Bastrea Paladin'!I2</f>
        <v>Sab</v>
      </c>
      <c r="G8" s="33" t="str">
        <f>'Bonificadores - Bastrea Paladin'!J2</f>
        <v>Car</v>
      </c>
      <c r="I8" s="31" t="str">
        <f>'Bonificadores - Ascaria Paladin'!E2</f>
        <v>Fue</v>
      </c>
      <c r="J8" s="32" t="str">
        <f>'Bonificadores - Ascaria Paladin'!F2</f>
        <v>Des</v>
      </c>
      <c r="K8" s="32" t="str">
        <f>'Bonificadores - Ascaria Paladin'!G2</f>
        <v>Con</v>
      </c>
      <c r="L8" s="32" t="str">
        <f>'Bonificadores - Ascaria Paladin'!H2</f>
        <v>Int</v>
      </c>
      <c r="M8" s="32" t="str">
        <f>'Bonificadores - Ascaria Paladin'!I2</f>
        <v>Sab</v>
      </c>
      <c r="N8" s="33" t="str">
        <f>'Bonificadores - Ascaria Paladin'!J2</f>
        <v>Car</v>
      </c>
    </row>
    <row r="9" ht="15.75" customHeight="1">
      <c r="B9" s="34">
        <f>'Bonificadores - Bastrea Paladin'!E3</f>
        <v>44</v>
      </c>
      <c r="C9" s="35">
        <f>'Bonificadores - Bastrea Paladin'!F3</f>
        <v>43</v>
      </c>
      <c r="D9" s="35">
        <f>'Bonificadores - Bastrea Paladin'!G3</f>
        <v>39</v>
      </c>
      <c r="E9" s="35">
        <f>'Bonificadores - Bastrea Paladin'!H3</f>
        <v>10</v>
      </c>
      <c r="F9" s="35">
        <f>'Bonificadores - Bastrea Paladin'!I3</f>
        <v>42</v>
      </c>
      <c r="G9" s="36">
        <f>'Bonificadores - Bastrea Paladin'!J3</f>
        <v>12</v>
      </c>
      <c r="I9" s="34">
        <f>'Bonificadores - Ascaria Paladin'!E3</f>
        <v>14</v>
      </c>
      <c r="J9" s="35">
        <f>'Bonificadores - Ascaria Paladin'!F3</f>
        <v>11</v>
      </c>
      <c r="K9" s="35">
        <f>'Bonificadores - Ascaria Paladin'!G3</f>
        <v>40</v>
      </c>
      <c r="L9" s="35">
        <f>'Bonificadores - Ascaria Paladin'!H3</f>
        <v>42</v>
      </c>
      <c r="M9" s="35">
        <f>'Bonificadores - Ascaria Paladin'!I3</f>
        <v>41</v>
      </c>
      <c r="N9" s="36">
        <f>'Bonificadores - Ascaria Paladin'!J3</f>
        <v>12</v>
      </c>
    </row>
    <row r="10" ht="15.75" customHeight="1">
      <c r="B10" s="37">
        <f>'Bonificadores - Bastrea Paladin'!E4</f>
        <v>14.51950741</v>
      </c>
      <c r="C10" s="38">
        <f>'Bonificadores - Bastrea Paladin'!F4</f>
        <v>14.02777554</v>
      </c>
      <c r="D10" s="38">
        <f>'Bonificadores - Bastrea Paladin'!G4</f>
        <v>12.06084805</v>
      </c>
      <c r="E10" s="38">
        <f>'Bonificadores - Bastrea Paladin'!H4</f>
        <v>-2</v>
      </c>
      <c r="F10" s="38">
        <f>'Bonificadores - Bastrea Paladin'!I4</f>
        <v>13.53604367</v>
      </c>
      <c r="G10" s="39">
        <f>'Bonificadores - Bastrea Paladin'!J4</f>
        <v>-1</v>
      </c>
      <c r="I10" s="37">
        <f>'Bonificadores - Ascaria Paladin'!E4</f>
        <v>0</v>
      </c>
      <c r="J10" s="38">
        <f>'Bonificadores - Ascaria Paladin'!F4</f>
        <v>-2</v>
      </c>
      <c r="K10" s="38">
        <f>'Bonificadores - Ascaria Paladin'!G4</f>
        <v>12.55257993</v>
      </c>
      <c r="L10" s="38">
        <f>'Bonificadores - Ascaria Paladin'!H4</f>
        <v>13.53604367</v>
      </c>
      <c r="M10" s="38">
        <f>'Bonificadores - Ascaria Paladin'!I4</f>
        <v>13.0443118</v>
      </c>
      <c r="N10" s="39">
        <f>'Bonificadores - Ascaria Paladin'!J4</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3.63"/>
    <col customWidth="1" min="2" max="2" width="12.63"/>
    <col customWidth="1" min="3" max="3" width="23.75"/>
    <col customWidth="1" min="4" max="4" width="23.0"/>
    <col customWidth="1" min="5" max="5" width="25.75"/>
    <col customWidth="1" min="6" max="6" width="12.63"/>
    <col customWidth="1" min="7" max="7" width="23.75"/>
    <col customWidth="1" min="8" max="8" width="75.5"/>
    <col customWidth="1" min="9" max="9" width="2.5"/>
    <col customWidth="1" min="10" max="10" width="16.75"/>
    <col customWidth="1" min="11" max="11" width="79.88"/>
    <col customWidth="1" min="12" max="12" width="2.38"/>
    <col customWidth="1" min="13" max="13" width="17.88"/>
    <col customWidth="1" min="14" max="14" width="90.0"/>
  </cols>
  <sheetData>
    <row r="1" ht="15.75" customHeight="1">
      <c r="A1" s="40" t="s">
        <v>212</v>
      </c>
      <c r="B1" s="41" t="s">
        <v>213</v>
      </c>
      <c r="C1" s="42" t="s">
        <v>214</v>
      </c>
      <c r="D1" s="42" t="s">
        <v>215</v>
      </c>
      <c r="E1" s="42" t="s">
        <v>216</v>
      </c>
      <c r="G1" s="14" t="str">
        <f t="shared" ref="G1:G41" si="1">C1</f>
        <v>Apoyo</v>
      </c>
      <c r="I1" s="43"/>
      <c r="J1" s="14" t="str">
        <f t="shared" ref="J1:J41" si="2">D1</f>
        <v>Fisico</v>
      </c>
      <c r="L1" s="43"/>
      <c r="M1" s="14" t="str">
        <f t="shared" ref="M1:M41" si="3">E1</f>
        <v>Magia</v>
      </c>
    </row>
    <row r="2" ht="15.75" customHeight="1">
      <c r="A2" s="44">
        <v>1.0</v>
      </c>
      <c r="B2" s="45" t="s">
        <v>217</v>
      </c>
      <c r="C2" s="46" t="s">
        <v>218</v>
      </c>
      <c r="D2" s="47" t="s">
        <v>219</v>
      </c>
      <c r="E2" s="48" t="s">
        <v>220</v>
      </c>
      <c r="G2" s="44" t="str">
        <f t="shared" si="1"/>
        <v>Sacrificio</v>
      </c>
      <c r="H2" s="49" t="s">
        <v>221</v>
      </c>
      <c r="I2" s="43"/>
      <c r="J2" s="44" t="str">
        <f t="shared" si="2"/>
        <v>Destructor</v>
      </c>
      <c r="K2" s="49" t="s">
        <v>222</v>
      </c>
      <c r="L2" s="43"/>
      <c r="M2" s="44" t="str">
        <f t="shared" si="3"/>
        <v>Susurro Demoniaco</v>
      </c>
      <c r="N2" s="49" t="s">
        <v>223</v>
      </c>
    </row>
    <row r="3" ht="15.75" customHeight="1">
      <c r="A3" s="50">
        <v>1.0</v>
      </c>
      <c r="B3" s="51" t="str">
        <f>'Clases  Razas'!D1</f>
        <v>CHRONOS</v>
      </c>
      <c r="C3" s="52" t="s">
        <v>224</v>
      </c>
      <c r="D3" s="53" t="s">
        <v>225</v>
      </c>
      <c r="E3" s="54" t="s">
        <v>226</v>
      </c>
      <c r="G3" s="50" t="str">
        <f t="shared" si="1"/>
        <v>Mano de luz</v>
      </c>
      <c r="H3" s="55" t="s">
        <v>227</v>
      </c>
      <c r="I3" s="43"/>
      <c r="J3" s="50" t="str">
        <f t="shared" si="2"/>
        <v>Fuerza interna</v>
      </c>
      <c r="K3" s="55" t="s">
        <v>228</v>
      </c>
      <c r="L3" s="43"/>
      <c r="M3" s="50" t="str">
        <f t="shared" si="3"/>
        <v>Destello luminiscente</v>
      </c>
      <c r="N3" s="55" t="s">
        <v>229</v>
      </c>
    </row>
    <row r="4" ht="15.75" customHeight="1">
      <c r="A4" s="56">
        <v>1.0</v>
      </c>
      <c r="B4" s="57" t="str">
        <f>'Clases  Razas'!E1</f>
        <v>SOFÍA</v>
      </c>
      <c r="C4" s="58" t="s">
        <v>230</v>
      </c>
      <c r="D4" s="59" t="s">
        <v>231</v>
      </c>
      <c r="E4" s="60" t="s">
        <v>232</v>
      </c>
      <c r="G4" s="56" t="str">
        <f t="shared" si="1"/>
        <v>Tiempo radiante</v>
      </c>
      <c r="H4" s="61" t="s">
        <v>233</v>
      </c>
      <c r="I4" s="43"/>
      <c r="J4" s="56" t="str">
        <f t="shared" si="2"/>
        <v>Confianza Extrema</v>
      </c>
      <c r="K4" s="61" t="s">
        <v>234</v>
      </c>
      <c r="L4" s="43"/>
      <c r="M4" s="56" t="str">
        <f t="shared" si="3"/>
        <v>Ayuda incomensurable</v>
      </c>
      <c r="N4" s="61" t="s">
        <v>235</v>
      </c>
    </row>
    <row r="5" ht="15.75" customHeight="1">
      <c r="A5" s="62">
        <v>1.0</v>
      </c>
      <c r="B5" s="63" t="str">
        <f>'Clases  Razas'!F1</f>
        <v>ENVIDIA</v>
      </c>
      <c r="C5" s="64" t="s">
        <v>236</v>
      </c>
      <c r="D5" s="65" t="s">
        <v>237</v>
      </c>
      <c r="E5" s="66" t="s">
        <v>238</v>
      </c>
      <c r="G5" s="62" t="str">
        <f t="shared" si="1"/>
        <v>Manos largas</v>
      </c>
      <c r="H5" s="67" t="s">
        <v>239</v>
      </c>
      <c r="I5" s="43"/>
      <c r="J5" s="62" t="str">
        <f t="shared" si="2"/>
        <v>Desarme</v>
      </c>
      <c r="K5" s="67" t="s">
        <v>240</v>
      </c>
      <c r="L5" s="43"/>
      <c r="M5" s="62" t="str">
        <f t="shared" si="3"/>
        <v>Ilusionista</v>
      </c>
      <c r="N5" s="67" t="s">
        <v>241</v>
      </c>
    </row>
    <row r="6" ht="15.75" customHeight="1">
      <c r="A6" s="68">
        <v>1.0</v>
      </c>
      <c r="B6" s="69" t="str">
        <f>'Clases  Razas'!G1</f>
        <v>VIDA</v>
      </c>
      <c r="C6" s="70" t="s">
        <v>242</v>
      </c>
      <c r="D6" s="71" t="s">
        <v>243</v>
      </c>
      <c r="E6" s="72" t="s">
        <v>244</v>
      </c>
      <c r="G6" s="68" t="str">
        <f t="shared" si="1"/>
        <v>Guía divina</v>
      </c>
      <c r="H6" s="73" t="s">
        <v>245</v>
      </c>
      <c r="I6" s="43"/>
      <c r="J6" s="68" t="str">
        <f t="shared" si="2"/>
        <v>Golpe sanador</v>
      </c>
      <c r="K6" s="73" t="s">
        <v>246</v>
      </c>
      <c r="L6" s="43"/>
      <c r="M6" s="68" t="str">
        <f t="shared" si="3"/>
        <v>Potencia celestial</v>
      </c>
      <c r="N6" s="73" t="s">
        <v>247</v>
      </c>
    </row>
    <row r="7" ht="15.75" customHeight="1">
      <c r="A7" s="74">
        <v>1.0</v>
      </c>
      <c r="B7" s="75" t="str">
        <f>'Clases  Razas'!H1</f>
        <v>MUERTE</v>
      </c>
      <c r="C7" s="76" t="s">
        <v>248</v>
      </c>
      <c r="D7" s="77" t="s">
        <v>249</v>
      </c>
      <c r="E7" s="78" t="s">
        <v>250</v>
      </c>
      <c r="G7" s="74" t="str">
        <f t="shared" si="1"/>
        <v>Bloqueo necrótico</v>
      </c>
      <c r="H7" s="79" t="s">
        <v>251</v>
      </c>
      <c r="I7" s="43"/>
      <c r="J7" s="74" t="str">
        <f t="shared" si="2"/>
        <v>Ataque maldito</v>
      </c>
      <c r="K7" s="79" t="s">
        <v>252</v>
      </c>
      <c r="L7" s="43"/>
      <c r="M7" s="74" t="str">
        <f t="shared" si="3"/>
        <v>Invocación decrepita</v>
      </c>
      <c r="N7" s="79" t="s">
        <v>253</v>
      </c>
    </row>
    <row r="8" ht="15.75" customHeight="1">
      <c r="A8" s="80">
        <v>1.0</v>
      </c>
      <c r="B8" s="81" t="str">
        <f>'Clases  Razas'!B1</f>
        <v>EGOS</v>
      </c>
      <c r="C8" s="82" t="s">
        <v>254</v>
      </c>
      <c r="D8" s="83" t="s">
        <v>255</v>
      </c>
      <c r="E8" s="84" t="s">
        <v>256</v>
      </c>
      <c r="G8" s="80" t="str">
        <f t="shared" si="1"/>
        <v>Aliento moral</v>
      </c>
      <c r="H8" s="85" t="s">
        <v>257</v>
      </c>
      <c r="I8" s="43"/>
      <c r="J8" s="80" t="str">
        <f t="shared" si="2"/>
        <v>Crítico asegurado</v>
      </c>
      <c r="K8" s="85" t="s">
        <v>258</v>
      </c>
      <c r="L8" s="43"/>
      <c r="M8" s="80" t="str">
        <f t="shared" si="3"/>
        <v>Renovación mágica</v>
      </c>
      <c r="N8" s="85" t="s">
        <v>259</v>
      </c>
    </row>
    <row r="9" ht="15.75" customHeight="1">
      <c r="A9" s="86">
        <v>1.0</v>
      </c>
      <c r="B9" s="87" t="str">
        <f>'Clases  Razas'!C1</f>
        <v>EROS</v>
      </c>
      <c r="C9" s="88" t="s">
        <v>260</v>
      </c>
      <c r="D9" s="89" t="s">
        <v>261</v>
      </c>
      <c r="E9" s="90" t="s">
        <v>262</v>
      </c>
      <c r="G9" s="86" t="str">
        <f t="shared" si="1"/>
        <v>Seducción mortífera</v>
      </c>
      <c r="H9" s="91" t="s">
        <v>263</v>
      </c>
      <c r="I9" s="43"/>
      <c r="J9" s="86" t="str">
        <f t="shared" si="2"/>
        <v>Amor tóxico</v>
      </c>
      <c r="K9" s="91" t="s">
        <v>264</v>
      </c>
      <c r="L9" s="43"/>
      <c r="M9" s="86" t="str">
        <f t="shared" si="3"/>
        <v>Succión de espíritu</v>
      </c>
      <c r="N9" s="91" t="s">
        <v>265</v>
      </c>
    </row>
    <row r="10" ht="15.75" customHeight="1">
      <c r="A10" s="44">
        <v>2.0</v>
      </c>
      <c r="B10" s="45" t="str">
        <f t="shared" ref="B10:B41" si="5">B2</f>
        <v>Gurkazaal</v>
      </c>
      <c r="C10" s="46" t="str">
        <f t="shared" ref="C10:E10" si="4">C2 &amp;$C$43</f>
        <v>Sacrificio de Nivel 2</v>
      </c>
      <c r="D10" s="47" t="str">
        <f t="shared" si="4"/>
        <v>Destructor de Nivel 2</v>
      </c>
      <c r="E10" s="48" t="str">
        <f t="shared" si="4"/>
        <v>Susurro Demoniaco de Nivel 2</v>
      </c>
      <c r="G10" s="44" t="str">
        <f t="shared" si="1"/>
        <v>Sacrificio de Nivel 2</v>
      </c>
      <c r="H10" s="49"/>
      <c r="I10" s="43"/>
      <c r="J10" s="44" t="str">
        <f t="shared" si="2"/>
        <v>Destructor de Nivel 2</v>
      </c>
      <c r="K10" s="49"/>
      <c r="L10" s="43"/>
      <c r="M10" s="44" t="str">
        <f t="shared" si="3"/>
        <v>Susurro Demoniaco de Nivel 2</v>
      </c>
      <c r="N10" s="49"/>
    </row>
    <row r="11" ht="15.75" customHeight="1">
      <c r="A11" s="50">
        <v>2.0</v>
      </c>
      <c r="B11" s="51" t="str">
        <f t="shared" si="5"/>
        <v>CHRONOS</v>
      </c>
      <c r="C11" s="52" t="str">
        <f t="shared" ref="C11:E11" si="6">C3 &amp;$C$43</f>
        <v>Mano de luz de Nivel 2</v>
      </c>
      <c r="D11" s="53" t="str">
        <f t="shared" si="6"/>
        <v>Fuerza interna de Nivel 2</v>
      </c>
      <c r="E11" s="54" t="str">
        <f t="shared" si="6"/>
        <v>Destello luminiscente de Nivel 2</v>
      </c>
      <c r="G11" s="50" t="str">
        <f t="shared" si="1"/>
        <v>Mano de luz de Nivel 2</v>
      </c>
      <c r="H11" s="55"/>
      <c r="I11" s="43"/>
      <c r="J11" s="50" t="str">
        <f t="shared" si="2"/>
        <v>Fuerza interna de Nivel 2</v>
      </c>
      <c r="K11" s="55"/>
      <c r="L11" s="43"/>
      <c r="M11" s="50" t="str">
        <f t="shared" si="3"/>
        <v>Destello luminiscente de Nivel 2</v>
      </c>
      <c r="N11" s="55"/>
    </row>
    <row r="12" ht="15.75" customHeight="1">
      <c r="A12" s="56">
        <v>2.0</v>
      </c>
      <c r="B12" s="57" t="str">
        <f t="shared" si="5"/>
        <v>SOFÍA</v>
      </c>
      <c r="C12" s="58" t="str">
        <f t="shared" ref="C12:E12" si="7">C4 &amp;$C$43</f>
        <v>Tiempo radiante de Nivel 2</v>
      </c>
      <c r="D12" s="59" t="str">
        <f t="shared" si="7"/>
        <v>Confianza Extrema de Nivel 2</v>
      </c>
      <c r="E12" s="60" t="str">
        <f t="shared" si="7"/>
        <v>Ayuda incomensurable de Nivel 2</v>
      </c>
      <c r="G12" s="56" t="str">
        <f t="shared" si="1"/>
        <v>Tiempo radiante de Nivel 2</v>
      </c>
      <c r="H12" s="61"/>
      <c r="I12" s="43"/>
      <c r="J12" s="56" t="str">
        <f t="shared" si="2"/>
        <v>Confianza Extrema de Nivel 2</v>
      </c>
      <c r="K12" s="61"/>
      <c r="L12" s="43"/>
      <c r="M12" s="56" t="str">
        <f t="shared" si="3"/>
        <v>Ayuda incomensurable de Nivel 2</v>
      </c>
      <c r="N12" s="61"/>
    </row>
    <row r="13" ht="15.75" customHeight="1">
      <c r="A13" s="62">
        <v>2.0</v>
      </c>
      <c r="B13" s="63" t="str">
        <f t="shared" si="5"/>
        <v>ENVIDIA</v>
      </c>
      <c r="C13" s="64" t="str">
        <f t="shared" ref="C13:E13" si="8">C5 &amp;$C$43</f>
        <v>Manos largas de Nivel 2</v>
      </c>
      <c r="D13" s="65" t="str">
        <f t="shared" si="8"/>
        <v>Desarme de Nivel 2</v>
      </c>
      <c r="E13" s="66" t="str">
        <f t="shared" si="8"/>
        <v>Ilusionista de Nivel 2</v>
      </c>
      <c r="G13" s="62" t="str">
        <f t="shared" si="1"/>
        <v>Manos largas de Nivel 2</v>
      </c>
      <c r="H13" s="67"/>
      <c r="I13" s="43"/>
      <c r="J13" s="62" t="str">
        <f t="shared" si="2"/>
        <v>Desarme de Nivel 2</v>
      </c>
      <c r="K13" s="67"/>
      <c r="L13" s="43"/>
      <c r="M13" s="62" t="str">
        <f t="shared" si="3"/>
        <v>Ilusionista de Nivel 2</v>
      </c>
      <c r="N13" s="67"/>
    </row>
    <row r="14" ht="15.75" customHeight="1">
      <c r="A14" s="68">
        <v>2.0</v>
      </c>
      <c r="B14" s="69" t="str">
        <f t="shared" si="5"/>
        <v>VIDA</v>
      </c>
      <c r="C14" s="70" t="str">
        <f t="shared" ref="C14:E14" si="9">C6 &amp;$C$43</f>
        <v>Guía divina de Nivel 2</v>
      </c>
      <c r="D14" s="71" t="str">
        <f t="shared" si="9"/>
        <v>Golpe sanador de Nivel 2</v>
      </c>
      <c r="E14" s="72" t="str">
        <f t="shared" si="9"/>
        <v>Potencia celestial de Nivel 2</v>
      </c>
      <c r="G14" s="68" t="str">
        <f t="shared" si="1"/>
        <v>Guía divina de Nivel 2</v>
      </c>
      <c r="H14" s="73"/>
      <c r="I14" s="43"/>
      <c r="J14" s="68" t="str">
        <f t="shared" si="2"/>
        <v>Golpe sanador de Nivel 2</v>
      </c>
      <c r="K14" s="73"/>
      <c r="L14" s="43"/>
      <c r="M14" s="68" t="str">
        <f t="shared" si="3"/>
        <v>Potencia celestial de Nivel 2</v>
      </c>
      <c r="N14" s="73"/>
    </row>
    <row r="15" ht="15.75" customHeight="1">
      <c r="A15" s="74">
        <v>2.0</v>
      </c>
      <c r="B15" s="75" t="str">
        <f t="shared" si="5"/>
        <v>MUERTE</v>
      </c>
      <c r="C15" s="76" t="str">
        <f t="shared" ref="C15:E15" si="10">C7 &amp;$C$43</f>
        <v>Bloqueo necrótico de Nivel 2</v>
      </c>
      <c r="D15" s="77" t="str">
        <f t="shared" si="10"/>
        <v>Ataque maldito de Nivel 2</v>
      </c>
      <c r="E15" s="78" t="str">
        <f t="shared" si="10"/>
        <v>Invocación decrepita de Nivel 2</v>
      </c>
      <c r="G15" s="74" t="str">
        <f t="shared" si="1"/>
        <v>Bloqueo necrótico de Nivel 2</v>
      </c>
      <c r="H15" s="79"/>
      <c r="I15" s="43"/>
      <c r="J15" s="74" t="str">
        <f t="shared" si="2"/>
        <v>Ataque maldito de Nivel 2</v>
      </c>
      <c r="K15" s="79"/>
      <c r="L15" s="43"/>
      <c r="M15" s="74" t="str">
        <f t="shared" si="3"/>
        <v>Invocación decrepita de Nivel 2</v>
      </c>
      <c r="N15" s="79"/>
    </row>
    <row r="16" ht="15.75" customHeight="1">
      <c r="A16" s="80">
        <v>2.0</v>
      </c>
      <c r="B16" s="81" t="str">
        <f t="shared" si="5"/>
        <v>EGOS</v>
      </c>
      <c r="C16" s="82" t="str">
        <f t="shared" ref="C16:E16" si="11">C8 &amp;$C$43</f>
        <v>Aliento moral de Nivel 2</v>
      </c>
      <c r="D16" s="83" t="str">
        <f t="shared" si="11"/>
        <v>Crítico asegurado de Nivel 2</v>
      </c>
      <c r="E16" s="84" t="str">
        <f t="shared" si="11"/>
        <v>Renovación mágica de Nivel 2</v>
      </c>
      <c r="G16" s="80" t="str">
        <f t="shared" si="1"/>
        <v>Aliento moral de Nivel 2</v>
      </c>
      <c r="H16" s="85"/>
      <c r="I16" s="43"/>
      <c r="J16" s="80" t="str">
        <f t="shared" si="2"/>
        <v>Crítico asegurado de Nivel 2</v>
      </c>
      <c r="K16" s="85"/>
      <c r="L16" s="43"/>
      <c r="M16" s="80" t="str">
        <f t="shared" si="3"/>
        <v>Renovación mágica de Nivel 2</v>
      </c>
      <c r="N16" s="85"/>
    </row>
    <row r="17" ht="15.75" customHeight="1">
      <c r="A17" s="86">
        <v>2.0</v>
      </c>
      <c r="B17" s="87" t="str">
        <f t="shared" si="5"/>
        <v>EROS</v>
      </c>
      <c r="C17" s="88" t="str">
        <f t="shared" ref="C17:E17" si="12">C9 &amp;$C$43</f>
        <v>Seducción mortífera de Nivel 2</v>
      </c>
      <c r="D17" s="89" t="str">
        <f t="shared" si="12"/>
        <v>Amor tóxico de Nivel 2</v>
      </c>
      <c r="E17" s="90" t="str">
        <f t="shared" si="12"/>
        <v>Succión de espíritu de Nivel 2</v>
      </c>
      <c r="G17" s="86" t="str">
        <f t="shared" si="1"/>
        <v>Seducción mortífera de Nivel 2</v>
      </c>
      <c r="H17" s="91"/>
      <c r="I17" s="43"/>
      <c r="J17" s="86" t="str">
        <f t="shared" si="2"/>
        <v>Amor tóxico de Nivel 2</v>
      </c>
      <c r="K17" s="91"/>
      <c r="L17" s="43"/>
      <c r="M17" s="86" t="str">
        <f t="shared" si="3"/>
        <v>Succión de espíritu de Nivel 2</v>
      </c>
      <c r="N17" s="91"/>
    </row>
    <row r="18" ht="15.75" customHeight="1">
      <c r="A18" s="44">
        <v>3.0</v>
      </c>
      <c r="B18" s="45" t="str">
        <f t="shared" si="5"/>
        <v>Gurkazaal</v>
      </c>
      <c r="C18" s="46" t="str">
        <f t="shared" ref="C18:E18" si="13">C2&amp;$C$44</f>
        <v>Sacrificio de Nivel 3</v>
      </c>
      <c r="D18" s="47" t="str">
        <f t="shared" si="13"/>
        <v>Destructor de Nivel 3</v>
      </c>
      <c r="E18" s="48" t="str">
        <f t="shared" si="13"/>
        <v>Susurro Demoniaco de Nivel 3</v>
      </c>
      <c r="G18" s="44" t="str">
        <f t="shared" si="1"/>
        <v>Sacrificio de Nivel 3</v>
      </c>
      <c r="H18" s="49"/>
      <c r="I18" s="43"/>
      <c r="J18" s="44" t="str">
        <f t="shared" si="2"/>
        <v>Destructor de Nivel 3</v>
      </c>
      <c r="K18" s="49"/>
      <c r="L18" s="43"/>
      <c r="M18" s="44" t="str">
        <f t="shared" si="3"/>
        <v>Susurro Demoniaco de Nivel 3</v>
      </c>
      <c r="N18" s="49"/>
    </row>
    <row r="19" ht="15.75" customHeight="1">
      <c r="A19" s="50">
        <v>3.0</v>
      </c>
      <c r="B19" s="51" t="str">
        <f t="shared" si="5"/>
        <v>CHRONOS</v>
      </c>
      <c r="C19" s="52" t="str">
        <f t="shared" ref="C19:E19" si="14">C3&amp;$C$44</f>
        <v>Mano de luz de Nivel 3</v>
      </c>
      <c r="D19" s="53" t="str">
        <f t="shared" si="14"/>
        <v>Fuerza interna de Nivel 3</v>
      </c>
      <c r="E19" s="54" t="str">
        <f t="shared" si="14"/>
        <v>Destello luminiscente de Nivel 3</v>
      </c>
      <c r="G19" s="50" t="str">
        <f t="shared" si="1"/>
        <v>Mano de luz de Nivel 3</v>
      </c>
      <c r="H19" s="55"/>
      <c r="I19" s="43"/>
      <c r="J19" s="50" t="str">
        <f t="shared" si="2"/>
        <v>Fuerza interna de Nivel 3</v>
      </c>
      <c r="K19" s="55"/>
      <c r="L19" s="43"/>
      <c r="M19" s="50" t="str">
        <f t="shared" si="3"/>
        <v>Destello luminiscente de Nivel 3</v>
      </c>
      <c r="N19" s="55"/>
    </row>
    <row r="20" ht="15.75" customHeight="1">
      <c r="A20" s="56">
        <v>3.0</v>
      </c>
      <c r="B20" s="57" t="str">
        <f t="shared" si="5"/>
        <v>SOFÍA</v>
      </c>
      <c r="C20" s="58" t="str">
        <f t="shared" ref="C20:E20" si="15">C4&amp;$C$44</f>
        <v>Tiempo radiante de Nivel 3</v>
      </c>
      <c r="D20" s="59" t="str">
        <f t="shared" si="15"/>
        <v>Confianza Extrema de Nivel 3</v>
      </c>
      <c r="E20" s="60" t="str">
        <f t="shared" si="15"/>
        <v>Ayuda incomensurable de Nivel 3</v>
      </c>
      <c r="G20" s="56" t="str">
        <f t="shared" si="1"/>
        <v>Tiempo radiante de Nivel 3</v>
      </c>
      <c r="H20" s="61"/>
      <c r="I20" s="43"/>
      <c r="J20" s="56" t="str">
        <f t="shared" si="2"/>
        <v>Confianza Extrema de Nivel 3</v>
      </c>
      <c r="K20" s="61"/>
      <c r="L20" s="43"/>
      <c r="M20" s="56" t="str">
        <f t="shared" si="3"/>
        <v>Ayuda incomensurable de Nivel 3</v>
      </c>
      <c r="N20" s="61"/>
    </row>
    <row r="21" ht="15.75" customHeight="1">
      <c r="A21" s="62">
        <v>3.0</v>
      </c>
      <c r="B21" s="63" t="str">
        <f t="shared" si="5"/>
        <v>ENVIDIA</v>
      </c>
      <c r="C21" s="64" t="str">
        <f t="shared" ref="C21:E21" si="16">C5&amp;$C$44</f>
        <v>Manos largas de Nivel 3</v>
      </c>
      <c r="D21" s="65" t="str">
        <f t="shared" si="16"/>
        <v>Desarme de Nivel 3</v>
      </c>
      <c r="E21" s="66" t="str">
        <f t="shared" si="16"/>
        <v>Ilusionista de Nivel 3</v>
      </c>
      <c r="G21" s="62" t="str">
        <f t="shared" si="1"/>
        <v>Manos largas de Nivel 3</v>
      </c>
      <c r="H21" s="67"/>
      <c r="I21" s="43"/>
      <c r="J21" s="62" t="str">
        <f t="shared" si="2"/>
        <v>Desarme de Nivel 3</v>
      </c>
      <c r="K21" s="67"/>
      <c r="L21" s="43"/>
      <c r="M21" s="62" t="str">
        <f t="shared" si="3"/>
        <v>Ilusionista de Nivel 3</v>
      </c>
      <c r="N21" s="67"/>
    </row>
    <row r="22" ht="15.75" customHeight="1">
      <c r="A22" s="68">
        <v>3.0</v>
      </c>
      <c r="B22" s="69" t="str">
        <f t="shared" si="5"/>
        <v>VIDA</v>
      </c>
      <c r="C22" s="70" t="str">
        <f t="shared" ref="C22:E22" si="17">C6&amp;$C$44</f>
        <v>Guía divina de Nivel 3</v>
      </c>
      <c r="D22" s="71" t="str">
        <f t="shared" si="17"/>
        <v>Golpe sanador de Nivel 3</v>
      </c>
      <c r="E22" s="72" t="str">
        <f t="shared" si="17"/>
        <v>Potencia celestial de Nivel 3</v>
      </c>
      <c r="G22" s="68" t="str">
        <f t="shared" si="1"/>
        <v>Guía divina de Nivel 3</v>
      </c>
      <c r="H22" s="73"/>
      <c r="I22" s="43"/>
      <c r="J22" s="68" t="str">
        <f t="shared" si="2"/>
        <v>Golpe sanador de Nivel 3</v>
      </c>
      <c r="K22" s="73"/>
      <c r="L22" s="43"/>
      <c r="M22" s="68" t="str">
        <f t="shared" si="3"/>
        <v>Potencia celestial de Nivel 3</v>
      </c>
      <c r="N22" s="73"/>
    </row>
    <row r="23" ht="15.75" customHeight="1">
      <c r="A23" s="74">
        <v>3.0</v>
      </c>
      <c r="B23" s="75" t="str">
        <f t="shared" si="5"/>
        <v>MUERTE</v>
      </c>
      <c r="C23" s="76" t="str">
        <f t="shared" ref="C23:E23" si="18">C7&amp;$C$44</f>
        <v>Bloqueo necrótico de Nivel 3</v>
      </c>
      <c r="D23" s="77" t="str">
        <f t="shared" si="18"/>
        <v>Ataque maldito de Nivel 3</v>
      </c>
      <c r="E23" s="78" t="str">
        <f t="shared" si="18"/>
        <v>Invocación decrepita de Nivel 3</v>
      </c>
      <c r="G23" s="74" t="str">
        <f t="shared" si="1"/>
        <v>Bloqueo necrótico de Nivel 3</v>
      </c>
      <c r="H23" s="79"/>
      <c r="I23" s="43"/>
      <c r="J23" s="74" t="str">
        <f t="shared" si="2"/>
        <v>Ataque maldito de Nivel 3</v>
      </c>
      <c r="K23" s="79"/>
      <c r="L23" s="43"/>
      <c r="M23" s="74" t="str">
        <f t="shared" si="3"/>
        <v>Invocación decrepita de Nivel 3</v>
      </c>
      <c r="N23" s="79"/>
    </row>
    <row r="24" ht="15.75" customHeight="1">
      <c r="A24" s="80">
        <v>3.0</v>
      </c>
      <c r="B24" s="81" t="str">
        <f t="shared" si="5"/>
        <v>EGOS</v>
      </c>
      <c r="C24" s="82" t="str">
        <f t="shared" ref="C24:E24" si="19">C8&amp;$C$44</f>
        <v>Aliento moral de Nivel 3</v>
      </c>
      <c r="D24" s="83" t="str">
        <f t="shared" si="19"/>
        <v>Crítico asegurado de Nivel 3</v>
      </c>
      <c r="E24" s="84" t="str">
        <f t="shared" si="19"/>
        <v>Renovación mágica de Nivel 3</v>
      </c>
      <c r="G24" s="80" t="str">
        <f t="shared" si="1"/>
        <v>Aliento moral de Nivel 3</v>
      </c>
      <c r="H24" s="85"/>
      <c r="I24" s="43"/>
      <c r="J24" s="80" t="str">
        <f t="shared" si="2"/>
        <v>Crítico asegurado de Nivel 3</v>
      </c>
      <c r="K24" s="85"/>
      <c r="L24" s="43"/>
      <c r="M24" s="80" t="str">
        <f t="shared" si="3"/>
        <v>Renovación mágica de Nivel 3</v>
      </c>
      <c r="N24" s="85"/>
    </row>
    <row r="25" ht="15.75" customHeight="1">
      <c r="A25" s="86">
        <v>3.0</v>
      </c>
      <c r="B25" s="87" t="str">
        <f t="shared" si="5"/>
        <v>EROS</v>
      </c>
      <c r="C25" s="88" t="str">
        <f t="shared" ref="C25:E25" si="20">C9&amp;$C$44</f>
        <v>Seducción mortífera de Nivel 3</v>
      </c>
      <c r="D25" s="89" t="str">
        <f t="shared" si="20"/>
        <v>Amor tóxico de Nivel 3</v>
      </c>
      <c r="E25" s="90" t="str">
        <f t="shared" si="20"/>
        <v>Succión de espíritu de Nivel 3</v>
      </c>
      <c r="G25" s="86" t="str">
        <f t="shared" si="1"/>
        <v>Seducción mortífera de Nivel 3</v>
      </c>
      <c r="H25" s="91"/>
      <c r="I25" s="43"/>
      <c r="J25" s="86" t="str">
        <f t="shared" si="2"/>
        <v>Amor tóxico de Nivel 3</v>
      </c>
      <c r="K25" s="91"/>
      <c r="L25" s="43"/>
      <c r="M25" s="86" t="str">
        <f t="shared" si="3"/>
        <v>Succión de espíritu de Nivel 3</v>
      </c>
      <c r="N25" s="91"/>
    </row>
    <row r="26" ht="15.75" customHeight="1">
      <c r="A26" s="44">
        <v>4.0</v>
      </c>
      <c r="B26" s="45" t="str">
        <f t="shared" si="5"/>
        <v>Gurkazaal</v>
      </c>
      <c r="C26" s="46" t="s">
        <v>266</v>
      </c>
      <c r="D26" s="47" t="s">
        <v>266</v>
      </c>
      <c r="E26" s="48" t="s">
        <v>266</v>
      </c>
      <c r="G26" s="44" t="str">
        <f t="shared" si="1"/>
        <v>-</v>
      </c>
      <c r="H26" s="49"/>
      <c r="I26" s="43"/>
      <c r="J26" s="44" t="str">
        <f t="shared" si="2"/>
        <v>-</v>
      </c>
      <c r="K26" s="49"/>
      <c r="L26" s="43"/>
      <c r="M26" s="44" t="str">
        <f t="shared" si="3"/>
        <v>-</v>
      </c>
      <c r="N26" s="49"/>
    </row>
    <row r="27" ht="15.75" customHeight="1">
      <c r="A27" s="50">
        <v>4.0</v>
      </c>
      <c r="B27" s="51" t="str">
        <f t="shared" si="5"/>
        <v>CHRONOS</v>
      </c>
      <c r="C27" s="52" t="s">
        <v>266</v>
      </c>
      <c r="D27" s="53" t="s">
        <v>266</v>
      </c>
      <c r="E27" s="54" t="s">
        <v>266</v>
      </c>
      <c r="G27" s="50" t="str">
        <f t="shared" si="1"/>
        <v>-</v>
      </c>
      <c r="H27" s="55"/>
      <c r="I27" s="43"/>
      <c r="J27" s="50" t="str">
        <f t="shared" si="2"/>
        <v>-</v>
      </c>
      <c r="K27" s="55"/>
      <c r="L27" s="43"/>
      <c r="M27" s="50" t="str">
        <f t="shared" si="3"/>
        <v>-</v>
      </c>
      <c r="N27" s="55"/>
    </row>
    <row r="28" ht="15.75" customHeight="1">
      <c r="A28" s="56">
        <v>4.0</v>
      </c>
      <c r="B28" s="57" t="str">
        <f t="shared" si="5"/>
        <v>SOFÍA</v>
      </c>
      <c r="C28" s="58" t="s">
        <v>266</v>
      </c>
      <c r="D28" s="59" t="s">
        <v>266</v>
      </c>
      <c r="E28" s="60" t="s">
        <v>266</v>
      </c>
      <c r="G28" s="56" t="str">
        <f t="shared" si="1"/>
        <v>-</v>
      </c>
      <c r="H28" s="61"/>
      <c r="I28" s="43"/>
      <c r="J28" s="56" t="str">
        <f t="shared" si="2"/>
        <v>-</v>
      </c>
      <c r="K28" s="61"/>
      <c r="L28" s="43"/>
      <c r="M28" s="56" t="str">
        <f t="shared" si="3"/>
        <v>-</v>
      </c>
      <c r="N28" s="61"/>
    </row>
    <row r="29" ht="15.75" customHeight="1">
      <c r="A29" s="62">
        <v>4.0</v>
      </c>
      <c r="B29" s="63" t="str">
        <f t="shared" si="5"/>
        <v>ENVIDIA</v>
      </c>
      <c r="C29" s="64" t="s">
        <v>266</v>
      </c>
      <c r="D29" s="65" t="s">
        <v>266</v>
      </c>
      <c r="E29" s="66" t="s">
        <v>266</v>
      </c>
      <c r="G29" s="62" t="str">
        <f t="shared" si="1"/>
        <v>-</v>
      </c>
      <c r="H29" s="67"/>
      <c r="I29" s="43"/>
      <c r="J29" s="62" t="str">
        <f t="shared" si="2"/>
        <v>-</v>
      </c>
      <c r="K29" s="67"/>
      <c r="L29" s="43"/>
      <c r="M29" s="62" t="str">
        <f t="shared" si="3"/>
        <v>-</v>
      </c>
      <c r="N29" s="67"/>
    </row>
    <row r="30" ht="15.75" customHeight="1">
      <c r="A30" s="68">
        <v>4.0</v>
      </c>
      <c r="B30" s="69" t="str">
        <f t="shared" si="5"/>
        <v>VIDA</v>
      </c>
      <c r="C30" s="70" t="s">
        <v>266</v>
      </c>
      <c r="D30" s="71" t="s">
        <v>266</v>
      </c>
      <c r="E30" s="72" t="s">
        <v>266</v>
      </c>
      <c r="G30" s="68" t="str">
        <f t="shared" si="1"/>
        <v>-</v>
      </c>
      <c r="H30" s="73"/>
      <c r="I30" s="43"/>
      <c r="J30" s="68" t="str">
        <f t="shared" si="2"/>
        <v>-</v>
      </c>
      <c r="K30" s="73"/>
      <c r="L30" s="43"/>
      <c r="M30" s="68" t="str">
        <f t="shared" si="3"/>
        <v>-</v>
      </c>
      <c r="N30" s="73"/>
    </row>
    <row r="31" ht="15.75" customHeight="1">
      <c r="A31" s="74">
        <v>4.0</v>
      </c>
      <c r="B31" s="75" t="str">
        <f t="shared" si="5"/>
        <v>MUERTE</v>
      </c>
      <c r="C31" s="76" t="s">
        <v>266</v>
      </c>
      <c r="D31" s="77" t="s">
        <v>266</v>
      </c>
      <c r="E31" s="78" t="s">
        <v>266</v>
      </c>
      <c r="G31" s="74" t="str">
        <f t="shared" si="1"/>
        <v>-</v>
      </c>
      <c r="H31" s="79"/>
      <c r="I31" s="43"/>
      <c r="J31" s="74" t="str">
        <f t="shared" si="2"/>
        <v>-</v>
      </c>
      <c r="K31" s="79"/>
      <c r="L31" s="43"/>
      <c r="M31" s="74" t="str">
        <f t="shared" si="3"/>
        <v>-</v>
      </c>
      <c r="N31" s="79"/>
    </row>
    <row r="32" ht="15.75" customHeight="1">
      <c r="A32" s="80">
        <v>4.0</v>
      </c>
      <c r="B32" s="81" t="str">
        <f t="shared" si="5"/>
        <v>EGOS</v>
      </c>
      <c r="C32" s="82" t="s">
        <v>266</v>
      </c>
      <c r="D32" s="83" t="s">
        <v>266</v>
      </c>
      <c r="E32" s="84" t="s">
        <v>266</v>
      </c>
      <c r="G32" s="80" t="str">
        <f t="shared" si="1"/>
        <v>-</v>
      </c>
      <c r="H32" s="85"/>
      <c r="I32" s="43"/>
      <c r="J32" s="80" t="str">
        <f t="shared" si="2"/>
        <v>-</v>
      </c>
      <c r="K32" s="85"/>
      <c r="L32" s="43"/>
      <c r="M32" s="80" t="str">
        <f t="shared" si="3"/>
        <v>-</v>
      </c>
      <c r="N32" s="85"/>
    </row>
    <row r="33" ht="15.75" customHeight="1">
      <c r="A33" s="86">
        <v>4.0</v>
      </c>
      <c r="B33" s="87" t="str">
        <f t="shared" si="5"/>
        <v>EROS</v>
      </c>
      <c r="C33" s="88" t="s">
        <v>266</v>
      </c>
      <c r="D33" s="89" t="s">
        <v>266</v>
      </c>
      <c r="E33" s="90" t="s">
        <v>266</v>
      </c>
      <c r="G33" s="86" t="str">
        <f t="shared" si="1"/>
        <v>-</v>
      </c>
      <c r="H33" s="91"/>
      <c r="I33" s="43"/>
      <c r="J33" s="86" t="str">
        <f t="shared" si="2"/>
        <v>-</v>
      </c>
      <c r="K33" s="91"/>
      <c r="L33" s="43"/>
      <c r="M33" s="86" t="str">
        <f t="shared" si="3"/>
        <v>-</v>
      </c>
      <c r="N33" s="91"/>
    </row>
    <row r="34" ht="15.75" customHeight="1">
      <c r="A34" s="44">
        <v>5.0</v>
      </c>
      <c r="B34" s="45" t="str">
        <f t="shared" si="5"/>
        <v>Gurkazaal</v>
      </c>
      <c r="C34" s="46" t="s">
        <v>267</v>
      </c>
      <c r="D34" s="47" t="s">
        <v>268</v>
      </c>
      <c r="E34" s="48" t="s">
        <v>269</v>
      </c>
      <c r="G34" s="44" t="str">
        <f t="shared" si="1"/>
        <v>Castigo</v>
      </c>
      <c r="H34" s="49"/>
      <c r="I34" s="43"/>
      <c r="J34" s="44" t="str">
        <f t="shared" si="2"/>
        <v>Pulverizador</v>
      </c>
      <c r="K34" s="49"/>
      <c r="L34" s="43"/>
      <c r="M34" s="44" t="str">
        <f t="shared" si="3"/>
        <v>Purgatorio</v>
      </c>
      <c r="N34" s="49"/>
    </row>
    <row r="35" ht="15.75" customHeight="1">
      <c r="A35" s="50">
        <v>5.0</v>
      </c>
      <c r="B35" s="51" t="str">
        <f t="shared" si="5"/>
        <v>CHRONOS</v>
      </c>
      <c r="C35" s="52" t="s">
        <v>270</v>
      </c>
      <c r="D35" s="53" t="s">
        <v>271</v>
      </c>
      <c r="E35" s="54" t="s">
        <v>272</v>
      </c>
      <c r="G35" s="50" t="str">
        <f t="shared" si="1"/>
        <v>Canción del tiempo</v>
      </c>
      <c r="H35" s="55"/>
      <c r="I35" s="43"/>
      <c r="J35" s="50" t="str">
        <f t="shared" si="2"/>
        <v>Volver a empezar</v>
      </c>
      <c r="K35" s="55"/>
      <c r="L35" s="43"/>
      <c r="M35" s="50" t="str">
        <f t="shared" si="3"/>
        <v>Infinita confusión</v>
      </c>
      <c r="N35" s="55"/>
    </row>
    <row r="36" ht="15.75" customHeight="1">
      <c r="A36" s="56">
        <v>5.0</v>
      </c>
      <c r="B36" s="57" t="str">
        <f t="shared" si="5"/>
        <v>SOFÍA</v>
      </c>
      <c r="C36" s="58" t="s">
        <v>273</v>
      </c>
      <c r="D36" s="59" t="s">
        <v>274</v>
      </c>
      <c r="E36" s="60" t="s">
        <v>275</v>
      </c>
      <c r="G36" s="56" t="str">
        <f t="shared" si="1"/>
        <v>Saber de Ekait</v>
      </c>
      <c r="H36" s="61"/>
      <c r="I36" s="43"/>
      <c r="J36" s="56" t="str">
        <f t="shared" si="2"/>
        <v>Hermandad del conocimiento</v>
      </c>
      <c r="K36" s="61"/>
      <c r="L36" s="43"/>
      <c r="M36" s="56" t="str">
        <f t="shared" si="3"/>
        <v>Estandarte de Ranmont</v>
      </c>
      <c r="N36" s="61"/>
    </row>
    <row r="37" ht="15.75" customHeight="1">
      <c r="A37" s="62">
        <v>5.0</v>
      </c>
      <c r="B37" s="63" t="str">
        <f t="shared" si="5"/>
        <v>ENVIDIA</v>
      </c>
      <c r="C37" s="64" t="s">
        <v>276</v>
      </c>
      <c r="D37" s="65" t="s">
        <v>277</v>
      </c>
      <c r="E37" s="66" t="s">
        <v>278</v>
      </c>
      <c r="G37" s="62" t="str">
        <f t="shared" si="1"/>
        <v>Ley de Tabaxi</v>
      </c>
      <c r="H37" s="67"/>
      <c r="I37" s="43"/>
      <c r="J37" s="62" t="str">
        <f t="shared" si="2"/>
        <v>Azote de filos</v>
      </c>
      <c r="K37" s="67"/>
      <c r="L37" s="43"/>
      <c r="M37" s="62" t="str">
        <f t="shared" si="3"/>
        <v>Guardia de Ashye</v>
      </c>
      <c r="N37" s="67"/>
    </row>
    <row r="38" ht="15.75" customHeight="1">
      <c r="A38" s="68">
        <v>5.0</v>
      </c>
      <c r="B38" s="69" t="str">
        <f t="shared" si="5"/>
        <v>VIDA</v>
      </c>
      <c r="C38" s="70" t="s">
        <v>279</v>
      </c>
      <c r="D38" s="71" t="s">
        <v>280</v>
      </c>
      <c r="E38" s="72" t="s">
        <v>281</v>
      </c>
      <c r="G38" s="68" t="str">
        <f t="shared" si="1"/>
        <v>El mesías de Numandum</v>
      </c>
      <c r="H38" s="73"/>
      <c r="I38" s="43"/>
      <c r="J38" s="68" t="str">
        <f t="shared" si="2"/>
        <v>Brisa de Argent</v>
      </c>
      <c r="K38" s="73"/>
      <c r="L38" s="43"/>
      <c r="M38" s="68" t="str">
        <f t="shared" si="3"/>
        <v>Conocimiento inequívoco</v>
      </c>
      <c r="N38" s="73"/>
    </row>
    <row r="39" ht="15.75" customHeight="1">
      <c r="A39" s="74">
        <v>5.0</v>
      </c>
      <c r="B39" s="75" t="str">
        <f t="shared" si="5"/>
        <v>MUERTE</v>
      </c>
      <c r="C39" s="76" t="s">
        <v>282</v>
      </c>
      <c r="D39" s="77" t="s">
        <v>283</v>
      </c>
      <c r="E39" s="78" t="s">
        <v>284</v>
      </c>
      <c r="G39" s="74" t="str">
        <f t="shared" si="1"/>
        <v>Murallas de Perishton</v>
      </c>
      <c r="H39" s="79"/>
      <c r="I39" s="43"/>
      <c r="J39" s="74" t="str">
        <f t="shared" si="2"/>
        <v>Necrosis</v>
      </c>
      <c r="K39" s="79"/>
      <c r="L39" s="43"/>
      <c r="M39" s="74" t="str">
        <f t="shared" si="3"/>
        <v>Batallón de Nocturnsea</v>
      </c>
      <c r="N39" s="79"/>
    </row>
    <row r="40" ht="15.75" customHeight="1">
      <c r="A40" s="80">
        <v>5.0</v>
      </c>
      <c r="B40" s="81" t="str">
        <f t="shared" si="5"/>
        <v>EGOS</v>
      </c>
      <c r="C40" s="82" t="s">
        <v>285</v>
      </c>
      <c r="D40" s="83" t="s">
        <v>286</v>
      </c>
      <c r="E40" s="84" t="s">
        <v>287</v>
      </c>
      <c r="G40" s="80" t="str">
        <f t="shared" si="1"/>
        <v>El grito de Bomengrid</v>
      </c>
      <c r="H40" s="85"/>
      <c r="I40" s="43"/>
      <c r="J40" s="80" t="str">
        <f t="shared" si="2"/>
        <v>Precision devastadora</v>
      </c>
      <c r="K40" s="85"/>
      <c r="L40" s="43"/>
      <c r="M40" s="80" t="str">
        <f t="shared" si="3"/>
        <v>Llamada de los ancestros</v>
      </c>
      <c r="N40" s="85"/>
    </row>
    <row r="41" ht="15.75" customHeight="1">
      <c r="A41" s="86">
        <v>5.0</v>
      </c>
      <c r="B41" s="87" t="str">
        <f t="shared" si="5"/>
        <v>EROS</v>
      </c>
      <c r="C41" s="88" t="s">
        <v>288</v>
      </c>
      <c r="D41" s="89" t="s">
        <v>289</v>
      </c>
      <c r="E41" s="90" t="s">
        <v>290</v>
      </c>
      <c r="G41" s="86" t="str">
        <f t="shared" si="1"/>
        <v>Melodía de Ayashii</v>
      </c>
      <c r="H41" s="91"/>
      <c r="I41" s="43"/>
      <c r="J41" s="86" t="str">
        <f t="shared" si="2"/>
        <v>Suicidio emocional</v>
      </c>
      <c r="K41" s="91"/>
      <c r="L41" s="43"/>
      <c r="M41" s="86" t="str">
        <f t="shared" si="3"/>
        <v>Rosario sinuoso</v>
      </c>
      <c r="N41" s="91"/>
    </row>
    <row r="42" ht="15.75" customHeight="1">
      <c r="A42" s="40"/>
      <c r="B42" s="41"/>
      <c r="C42" s="92"/>
      <c r="D42" s="92"/>
      <c r="E42" s="92"/>
      <c r="I42" s="43"/>
      <c r="L42" s="43"/>
    </row>
    <row r="43" ht="15.75" customHeight="1">
      <c r="A43" s="40"/>
      <c r="B43" s="41"/>
      <c r="C43" s="93" t="s">
        <v>291</v>
      </c>
      <c r="D43" s="92"/>
      <c r="E43" s="92"/>
      <c r="I43" s="43"/>
      <c r="L43" s="43"/>
    </row>
    <row r="44" ht="15.75" customHeight="1">
      <c r="A44" s="40"/>
      <c r="B44" s="41"/>
      <c r="C44" s="93" t="s">
        <v>292</v>
      </c>
      <c r="D44" s="92"/>
      <c r="E44" s="92"/>
      <c r="I44" s="43"/>
      <c r="L44" s="43"/>
    </row>
    <row r="45" ht="15.75" customHeight="1">
      <c r="A45" s="40"/>
      <c r="B45" s="41"/>
      <c r="C45" s="92"/>
      <c r="D45" s="92"/>
      <c r="E45" s="92"/>
      <c r="I45" s="43"/>
      <c r="L45" s="43"/>
    </row>
    <row r="46" ht="15.75" customHeight="1">
      <c r="A46" s="40"/>
      <c r="B46" s="41"/>
      <c r="C46" s="92"/>
      <c r="D46" s="92"/>
      <c r="E46" s="92"/>
      <c r="I46" s="43"/>
      <c r="L46" s="43"/>
    </row>
    <row r="47" ht="15.75" customHeight="1">
      <c r="A47" s="40"/>
      <c r="B47" s="41"/>
      <c r="C47" s="92"/>
      <c r="D47" s="92"/>
      <c r="E47" s="92"/>
      <c r="I47" s="43"/>
      <c r="L47" s="43"/>
    </row>
    <row r="48" ht="15.75" customHeight="1">
      <c r="A48" s="40"/>
      <c r="B48" s="41"/>
      <c r="C48" s="92"/>
      <c r="D48" s="92"/>
      <c r="E48" s="92"/>
      <c r="I48" s="43"/>
      <c r="L48" s="43"/>
    </row>
    <row r="49" ht="15.75" customHeight="1">
      <c r="A49" s="40"/>
      <c r="B49" s="41"/>
      <c r="C49" s="92"/>
      <c r="D49" s="92"/>
      <c r="E49" s="92"/>
      <c r="I49" s="43"/>
      <c r="L49" s="43"/>
    </row>
    <row r="50" ht="15.75" customHeight="1">
      <c r="A50" s="40"/>
      <c r="B50" s="41"/>
      <c r="C50" s="92"/>
      <c r="D50" s="92"/>
      <c r="E50" s="92"/>
      <c r="I50" s="43"/>
      <c r="L50" s="43"/>
    </row>
    <row r="51" ht="15.75" customHeight="1">
      <c r="A51" s="40"/>
      <c r="B51" s="41"/>
      <c r="C51" s="92"/>
      <c r="D51" s="92"/>
      <c r="E51" s="92"/>
      <c r="I51" s="43"/>
      <c r="L51" s="43"/>
    </row>
    <row r="52" ht="15.75" customHeight="1">
      <c r="A52" s="40"/>
      <c r="B52" s="41"/>
      <c r="C52" s="92"/>
      <c r="D52" s="92"/>
      <c r="E52" s="92"/>
      <c r="I52" s="43"/>
      <c r="L52" s="43"/>
    </row>
    <row r="53" ht="15.75" customHeight="1">
      <c r="A53" s="40"/>
      <c r="B53" s="41"/>
      <c r="C53" s="92"/>
      <c r="D53" s="92"/>
      <c r="E53" s="92"/>
      <c r="I53" s="43"/>
      <c r="L53" s="43"/>
    </row>
    <row r="54" ht="15.75" customHeight="1">
      <c r="A54" s="40"/>
      <c r="B54" s="41"/>
      <c r="C54" s="92"/>
      <c r="D54" s="92"/>
      <c r="E54" s="92"/>
      <c r="I54" s="43"/>
      <c r="L54" s="43"/>
    </row>
    <row r="55" ht="15.75" customHeight="1">
      <c r="A55" s="40"/>
      <c r="B55" s="41"/>
      <c r="C55" s="92"/>
      <c r="D55" s="92"/>
      <c r="E55" s="92"/>
      <c r="I55" s="43"/>
      <c r="L55" s="43"/>
    </row>
    <row r="56" ht="15.75" customHeight="1">
      <c r="A56" s="40"/>
      <c r="B56" s="41"/>
      <c r="C56" s="92"/>
      <c r="D56" s="92"/>
      <c r="E56" s="92"/>
      <c r="I56" s="43"/>
      <c r="L56" s="43"/>
    </row>
    <row r="57" ht="15.75" customHeight="1">
      <c r="A57" s="40"/>
      <c r="B57" s="41"/>
      <c r="C57" s="92"/>
      <c r="D57" s="92"/>
      <c r="E57" s="92"/>
      <c r="I57" s="43"/>
      <c r="L57" s="43"/>
    </row>
    <row r="58" ht="15.75" customHeight="1">
      <c r="A58" s="40"/>
      <c r="B58" s="41"/>
      <c r="C58" s="92"/>
      <c r="D58" s="92"/>
      <c r="E58" s="92"/>
      <c r="I58" s="43"/>
      <c r="L58" s="43"/>
    </row>
    <row r="59" ht="15.75" customHeight="1">
      <c r="A59" s="40"/>
      <c r="B59" s="41"/>
      <c r="C59" s="92"/>
      <c r="D59" s="92"/>
      <c r="E59" s="92"/>
      <c r="I59" s="43"/>
      <c r="L59" s="43"/>
    </row>
    <row r="60" ht="15.75" customHeight="1">
      <c r="A60" s="40"/>
      <c r="B60" s="41"/>
      <c r="C60" s="92"/>
      <c r="D60" s="92"/>
      <c r="E60" s="92"/>
      <c r="I60" s="43"/>
      <c r="L60" s="43"/>
    </row>
    <row r="61" ht="15.75" customHeight="1">
      <c r="A61" s="40"/>
      <c r="B61" s="41"/>
      <c r="C61" s="92"/>
      <c r="D61" s="92"/>
      <c r="E61" s="92"/>
      <c r="I61" s="43"/>
      <c r="L61" s="43"/>
    </row>
    <row r="62" ht="15.75" customHeight="1">
      <c r="A62" s="40"/>
      <c r="B62" s="41"/>
      <c r="C62" s="92"/>
      <c r="D62" s="92"/>
      <c r="E62" s="92"/>
      <c r="I62" s="43"/>
      <c r="L62" s="43"/>
    </row>
    <row r="63" ht="15.75" customHeight="1">
      <c r="A63" s="40"/>
      <c r="B63" s="41"/>
      <c r="C63" s="92"/>
      <c r="D63" s="92"/>
      <c r="E63" s="92"/>
      <c r="I63" s="43"/>
      <c r="L63" s="43"/>
    </row>
    <row r="64" ht="15.75" customHeight="1">
      <c r="A64" s="40"/>
      <c r="B64" s="41"/>
      <c r="C64" s="92"/>
      <c r="D64" s="92"/>
      <c r="E64" s="92"/>
      <c r="I64" s="43"/>
      <c r="L64" s="43"/>
    </row>
    <row r="65" ht="15.75" customHeight="1">
      <c r="A65" s="40"/>
      <c r="B65" s="41"/>
      <c r="C65" s="92"/>
      <c r="D65" s="92"/>
      <c r="E65" s="92"/>
      <c r="I65" s="43"/>
      <c r="L65" s="43"/>
    </row>
    <row r="66" ht="15.75" customHeight="1">
      <c r="A66" s="40"/>
      <c r="B66" s="41"/>
      <c r="C66" s="92"/>
      <c r="D66" s="92"/>
      <c r="E66" s="92"/>
      <c r="I66" s="43"/>
      <c r="L66" s="43"/>
    </row>
    <row r="67" ht="15.75" customHeight="1">
      <c r="A67" s="40"/>
      <c r="B67" s="41"/>
      <c r="C67" s="92"/>
      <c r="D67" s="92"/>
      <c r="E67" s="92"/>
      <c r="I67" s="43"/>
      <c r="L67" s="43"/>
    </row>
    <row r="68" ht="15.75" customHeight="1">
      <c r="A68" s="40"/>
      <c r="B68" s="41"/>
      <c r="C68" s="92"/>
      <c r="D68" s="92"/>
      <c r="E68" s="92"/>
      <c r="I68" s="43"/>
      <c r="L68" s="43"/>
    </row>
    <row r="69" ht="15.75" customHeight="1">
      <c r="A69" s="40"/>
      <c r="B69" s="41"/>
      <c r="C69" s="92"/>
      <c r="D69" s="92"/>
      <c r="E69" s="92"/>
      <c r="I69" s="43"/>
      <c r="L69" s="43"/>
    </row>
    <row r="70" ht="15.75" customHeight="1">
      <c r="A70" s="40"/>
      <c r="B70" s="41"/>
      <c r="C70" s="92"/>
      <c r="D70" s="92"/>
      <c r="E70" s="92"/>
      <c r="I70" s="43"/>
      <c r="L70" s="43"/>
    </row>
    <row r="71" ht="15.75" customHeight="1">
      <c r="A71" s="40"/>
      <c r="B71" s="41"/>
      <c r="C71" s="92"/>
      <c r="D71" s="92"/>
      <c r="E71" s="92"/>
      <c r="I71" s="43"/>
      <c r="L71" s="43"/>
    </row>
    <row r="72" ht="15.75" customHeight="1">
      <c r="A72" s="40"/>
      <c r="B72" s="41"/>
      <c r="C72" s="92"/>
      <c r="D72" s="92"/>
      <c r="E72" s="92"/>
      <c r="I72" s="43"/>
      <c r="L72" s="43"/>
    </row>
    <row r="73" ht="15.75" customHeight="1">
      <c r="A73" s="40"/>
      <c r="B73" s="41"/>
      <c r="C73" s="92"/>
      <c r="D73" s="92"/>
      <c r="E73" s="92"/>
      <c r="I73" s="43"/>
      <c r="L73" s="43"/>
    </row>
    <row r="74" ht="15.75" customHeight="1">
      <c r="A74" s="40"/>
      <c r="B74" s="41"/>
      <c r="C74" s="92"/>
      <c r="D74" s="92"/>
      <c r="E74" s="92"/>
      <c r="I74" s="43"/>
      <c r="L74" s="43"/>
    </row>
    <row r="75" ht="15.75" customHeight="1">
      <c r="A75" s="40"/>
      <c r="B75" s="41"/>
      <c r="C75" s="92"/>
      <c r="D75" s="92"/>
      <c r="E75" s="92"/>
      <c r="I75" s="43"/>
      <c r="L75" s="43"/>
    </row>
    <row r="76" ht="15.75" customHeight="1">
      <c r="A76" s="40"/>
      <c r="B76" s="41"/>
      <c r="C76" s="92"/>
      <c r="D76" s="92"/>
      <c r="E76" s="92"/>
      <c r="I76" s="43"/>
      <c r="L76" s="43"/>
    </row>
    <row r="77" ht="15.75" customHeight="1">
      <c r="A77" s="40"/>
      <c r="B77" s="41"/>
      <c r="C77" s="92"/>
      <c r="D77" s="92"/>
      <c r="E77" s="92"/>
      <c r="I77" s="43"/>
      <c r="L77" s="43"/>
    </row>
    <row r="78" ht="15.75" customHeight="1">
      <c r="A78" s="40"/>
      <c r="B78" s="41"/>
      <c r="C78" s="92"/>
      <c r="D78" s="92"/>
      <c r="E78" s="92"/>
      <c r="I78" s="43"/>
      <c r="L78" s="43"/>
    </row>
    <row r="79" ht="15.75" customHeight="1">
      <c r="A79" s="40"/>
      <c r="B79" s="41"/>
      <c r="C79" s="92"/>
      <c r="D79" s="92"/>
      <c r="E79" s="92"/>
      <c r="I79" s="43"/>
      <c r="L79" s="43"/>
    </row>
    <row r="80" ht="15.75" customHeight="1">
      <c r="A80" s="40"/>
      <c r="B80" s="41"/>
      <c r="C80" s="92"/>
      <c r="D80" s="92"/>
      <c r="E80" s="92"/>
      <c r="I80" s="43"/>
      <c r="L80" s="43"/>
    </row>
    <row r="81" ht="15.75" customHeight="1">
      <c r="A81" s="40"/>
      <c r="B81" s="41"/>
      <c r="C81" s="92"/>
      <c r="D81" s="92"/>
      <c r="E81" s="92"/>
      <c r="I81" s="43"/>
      <c r="L81" s="43"/>
    </row>
    <row r="82" ht="15.75" customHeight="1">
      <c r="A82" s="40"/>
      <c r="B82" s="41"/>
      <c r="C82" s="92"/>
      <c r="D82" s="92"/>
      <c r="E82" s="92"/>
      <c r="I82" s="43"/>
      <c r="L82" s="43"/>
    </row>
    <row r="83" ht="15.75" customHeight="1">
      <c r="A83" s="40"/>
      <c r="B83" s="41"/>
      <c r="C83" s="92"/>
      <c r="D83" s="92"/>
      <c r="E83" s="92"/>
      <c r="I83" s="43"/>
      <c r="L83" s="43"/>
    </row>
    <row r="84" ht="15.75" customHeight="1">
      <c r="A84" s="40"/>
      <c r="B84" s="41"/>
      <c r="C84" s="92"/>
      <c r="D84" s="92"/>
      <c r="E84" s="92"/>
      <c r="I84" s="43"/>
      <c r="L84" s="43"/>
    </row>
    <row r="85" ht="15.75" customHeight="1">
      <c r="A85" s="40"/>
      <c r="B85" s="41"/>
      <c r="C85" s="92"/>
      <c r="D85" s="92"/>
      <c r="E85" s="92"/>
      <c r="I85" s="43"/>
      <c r="L85" s="43"/>
    </row>
    <row r="86" ht="15.75" customHeight="1">
      <c r="A86" s="40"/>
      <c r="B86" s="41"/>
      <c r="C86" s="92"/>
      <c r="D86" s="92"/>
      <c r="E86" s="92"/>
      <c r="I86" s="43"/>
      <c r="L86" s="43"/>
    </row>
    <row r="87" ht="15.75" customHeight="1">
      <c r="A87" s="40"/>
      <c r="B87" s="41"/>
      <c r="C87" s="92"/>
      <c r="D87" s="92"/>
      <c r="E87" s="92"/>
      <c r="I87" s="43"/>
      <c r="L87" s="43"/>
    </row>
    <row r="88" ht="15.75" customHeight="1">
      <c r="A88" s="40"/>
      <c r="B88" s="41"/>
      <c r="C88" s="92"/>
      <c r="D88" s="92"/>
      <c r="E88" s="92"/>
      <c r="I88" s="43"/>
      <c r="L88" s="43"/>
    </row>
    <row r="89" ht="15.75" customHeight="1">
      <c r="A89" s="40"/>
      <c r="B89" s="41"/>
      <c r="C89" s="92"/>
      <c r="D89" s="92"/>
      <c r="E89" s="92"/>
      <c r="I89" s="43"/>
      <c r="L89" s="43"/>
    </row>
    <row r="90" ht="15.75" customHeight="1">
      <c r="A90" s="40"/>
      <c r="B90" s="41"/>
      <c r="C90" s="92"/>
      <c r="D90" s="92"/>
      <c r="E90" s="92"/>
      <c r="I90" s="43"/>
      <c r="L90" s="43"/>
    </row>
    <row r="91" ht="15.75" customHeight="1">
      <c r="A91" s="40"/>
      <c r="B91" s="41"/>
      <c r="C91" s="92"/>
      <c r="D91" s="92"/>
      <c r="E91" s="92"/>
      <c r="I91" s="43"/>
      <c r="L91" s="43"/>
    </row>
    <row r="92" ht="15.75" customHeight="1">
      <c r="A92" s="40"/>
      <c r="B92" s="41"/>
      <c r="C92" s="92"/>
      <c r="D92" s="92"/>
      <c r="E92" s="92"/>
      <c r="I92" s="43"/>
      <c r="L92" s="43"/>
    </row>
    <row r="93" ht="15.75" customHeight="1">
      <c r="A93" s="40"/>
      <c r="B93" s="41"/>
      <c r="C93" s="92"/>
      <c r="D93" s="92"/>
      <c r="E93" s="92"/>
      <c r="I93" s="43"/>
      <c r="L93" s="43"/>
    </row>
    <row r="94" ht="15.75" customHeight="1">
      <c r="A94" s="40"/>
      <c r="B94" s="41"/>
      <c r="C94" s="92"/>
      <c r="D94" s="92"/>
      <c r="E94" s="92"/>
      <c r="I94" s="43"/>
      <c r="L94" s="43"/>
    </row>
    <row r="95" ht="15.75" customHeight="1">
      <c r="A95" s="40"/>
      <c r="B95" s="41"/>
      <c r="C95" s="92"/>
      <c r="D95" s="92"/>
      <c r="E95" s="92"/>
      <c r="I95" s="43"/>
      <c r="L95" s="43"/>
    </row>
    <row r="96" ht="15.75" customHeight="1">
      <c r="A96" s="40"/>
      <c r="B96" s="41"/>
      <c r="C96" s="92"/>
      <c r="D96" s="92"/>
      <c r="E96" s="92"/>
      <c r="I96" s="43"/>
      <c r="L96" s="43"/>
    </row>
    <row r="97" ht="15.75" customHeight="1">
      <c r="A97" s="40"/>
      <c r="B97" s="41"/>
      <c r="C97" s="92"/>
      <c r="D97" s="92"/>
      <c r="E97" s="92"/>
      <c r="I97" s="43"/>
      <c r="L97" s="43"/>
    </row>
    <row r="98" ht="15.75" customHeight="1">
      <c r="A98" s="40"/>
      <c r="B98" s="41"/>
      <c r="C98" s="92"/>
      <c r="D98" s="92"/>
      <c r="E98" s="92"/>
      <c r="I98" s="43"/>
      <c r="L98" s="43"/>
    </row>
    <row r="99" ht="15.75" customHeight="1">
      <c r="A99" s="40"/>
      <c r="B99" s="41"/>
      <c r="C99" s="92"/>
      <c r="D99" s="92"/>
      <c r="E99" s="92"/>
      <c r="I99" s="43"/>
      <c r="L99" s="43"/>
    </row>
    <row r="100" ht="15.75" customHeight="1">
      <c r="A100" s="40"/>
      <c r="B100" s="41"/>
      <c r="C100" s="92"/>
      <c r="D100" s="92"/>
      <c r="E100" s="92"/>
      <c r="I100" s="43"/>
      <c r="L100" s="43"/>
    </row>
    <row r="101" ht="15.75" customHeight="1">
      <c r="A101" s="40"/>
      <c r="B101" s="41"/>
      <c r="C101" s="92"/>
      <c r="D101" s="92"/>
      <c r="E101" s="92"/>
      <c r="I101" s="43"/>
      <c r="L101" s="43"/>
    </row>
    <row r="102" ht="15.75" customHeight="1">
      <c r="A102" s="40"/>
      <c r="B102" s="41"/>
      <c r="C102" s="92"/>
      <c r="D102" s="92"/>
      <c r="E102" s="92"/>
      <c r="I102" s="43"/>
      <c r="L102" s="43"/>
    </row>
    <row r="103" ht="15.75" customHeight="1">
      <c r="A103" s="40"/>
      <c r="B103" s="41"/>
      <c r="C103" s="92"/>
      <c r="D103" s="92"/>
      <c r="E103" s="92"/>
      <c r="I103" s="43"/>
      <c r="L103" s="43"/>
    </row>
    <row r="104" ht="15.75" customHeight="1">
      <c r="A104" s="40"/>
      <c r="B104" s="41"/>
      <c r="C104" s="92"/>
      <c r="D104" s="92"/>
      <c r="E104" s="92"/>
      <c r="I104" s="43"/>
      <c r="L104" s="43"/>
    </row>
    <row r="105" ht="15.75" customHeight="1">
      <c r="A105" s="40"/>
      <c r="B105" s="41"/>
      <c r="C105" s="92"/>
      <c r="D105" s="92"/>
      <c r="E105" s="92"/>
      <c r="I105" s="43"/>
      <c r="L105" s="43"/>
    </row>
    <row r="106" ht="15.75" customHeight="1">
      <c r="A106" s="40"/>
      <c r="B106" s="41"/>
      <c r="C106" s="92"/>
      <c r="D106" s="92"/>
      <c r="E106" s="92"/>
      <c r="I106" s="43"/>
      <c r="L106" s="43"/>
    </row>
    <row r="107" ht="15.75" customHeight="1">
      <c r="A107" s="40"/>
      <c r="B107" s="41"/>
      <c r="C107" s="92"/>
      <c r="D107" s="92"/>
      <c r="E107" s="92"/>
      <c r="I107" s="43"/>
      <c r="L107" s="43"/>
    </row>
    <row r="108" ht="15.75" customHeight="1">
      <c r="A108" s="40"/>
      <c r="B108" s="41"/>
      <c r="C108" s="92"/>
      <c r="D108" s="92"/>
      <c r="E108" s="92"/>
      <c r="I108" s="43"/>
      <c r="L108" s="43"/>
    </row>
    <row r="109" ht="15.75" customHeight="1">
      <c r="A109" s="40"/>
      <c r="B109" s="41"/>
      <c r="C109" s="92"/>
      <c r="D109" s="92"/>
      <c r="E109" s="92"/>
      <c r="I109" s="43"/>
      <c r="L109" s="43"/>
    </row>
    <row r="110" ht="15.75" customHeight="1">
      <c r="A110" s="40"/>
      <c r="B110" s="41"/>
      <c r="C110" s="92"/>
      <c r="D110" s="92"/>
      <c r="E110" s="92"/>
      <c r="I110" s="43"/>
      <c r="L110" s="43"/>
    </row>
    <row r="111" ht="15.75" customHeight="1">
      <c r="A111" s="40"/>
      <c r="B111" s="41"/>
      <c r="C111" s="92"/>
      <c r="D111" s="92"/>
      <c r="E111" s="92"/>
      <c r="I111" s="43"/>
      <c r="L111" s="43"/>
    </row>
    <row r="112" ht="15.75" customHeight="1">
      <c r="A112" s="40"/>
      <c r="B112" s="41"/>
      <c r="C112" s="92"/>
      <c r="D112" s="92"/>
      <c r="E112" s="92"/>
      <c r="I112" s="43"/>
      <c r="L112" s="43"/>
    </row>
    <row r="113" ht="15.75" customHeight="1">
      <c r="A113" s="40"/>
      <c r="B113" s="41"/>
      <c r="C113" s="92"/>
      <c r="D113" s="92"/>
      <c r="E113" s="92"/>
      <c r="I113" s="43"/>
      <c r="L113" s="43"/>
    </row>
    <row r="114" ht="15.75" customHeight="1">
      <c r="A114" s="40"/>
      <c r="B114" s="41"/>
      <c r="C114" s="92"/>
      <c r="D114" s="92"/>
      <c r="E114" s="92"/>
      <c r="I114" s="43"/>
      <c r="L114" s="43"/>
    </row>
    <row r="115" ht="15.75" customHeight="1">
      <c r="A115" s="40"/>
      <c r="B115" s="41"/>
      <c r="C115" s="92"/>
      <c r="D115" s="92"/>
      <c r="E115" s="92"/>
      <c r="I115" s="43"/>
      <c r="L115" s="43"/>
    </row>
    <row r="116" ht="15.75" customHeight="1">
      <c r="A116" s="40"/>
      <c r="B116" s="41"/>
      <c r="C116" s="92"/>
      <c r="D116" s="92"/>
      <c r="E116" s="92"/>
      <c r="I116" s="43"/>
      <c r="L116" s="43"/>
    </row>
    <row r="117" ht="15.75" customHeight="1">
      <c r="A117" s="40"/>
      <c r="B117" s="41"/>
      <c r="C117" s="92"/>
      <c r="D117" s="92"/>
      <c r="E117" s="92"/>
      <c r="I117" s="43"/>
      <c r="L117" s="43"/>
    </row>
    <row r="118" ht="15.75" customHeight="1">
      <c r="A118" s="40"/>
      <c r="B118" s="41"/>
      <c r="C118" s="92"/>
      <c r="D118" s="92"/>
      <c r="E118" s="92"/>
      <c r="I118" s="43"/>
      <c r="L118" s="43"/>
    </row>
    <row r="119" ht="15.75" customHeight="1">
      <c r="A119" s="40"/>
      <c r="B119" s="41"/>
      <c r="C119" s="92"/>
      <c r="D119" s="92"/>
      <c r="E119" s="92"/>
      <c r="I119" s="43"/>
      <c r="L119" s="43"/>
    </row>
    <row r="120" ht="15.75" customHeight="1">
      <c r="A120" s="40"/>
      <c r="B120" s="41"/>
      <c r="C120" s="92"/>
      <c r="D120" s="92"/>
      <c r="E120" s="92"/>
      <c r="I120" s="43"/>
      <c r="L120" s="43"/>
    </row>
    <row r="121" ht="15.75" customHeight="1">
      <c r="A121" s="40"/>
      <c r="B121" s="41"/>
      <c r="C121" s="92"/>
      <c r="D121" s="92"/>
      <c r="E121" s="92"/>
      <c r="I121" s="43"/>
      <c r="L121" s="43"/>
    </row>
    <row r="122" ht="15.75" customHeight="1">
      <c r="A122" s="40"/>
      <c r="B122" s="41"/>
      <c r="C122" s="92"/>
      <c r="D122" s="92"/>
      <c r="E122" s="92"/>
      <c r="I122" s="43"/>
      <c r="L122" s="43"/>
    </row>
    <row r="123" ht="15.75" customHeight="1">
      <c r="A123" s="40"/>
      <c r="B123" s="41"/>
      <c r="C123" s="92"/>
      <c r="D123" s="92"/>
      <c r="E123" s="92"/>
      <c r="I123" s="43"/>
      <c r="L123" s="43"/>
    </row>
    <row r="124" ht="15.75" customHeight="1">
      <c r="A124" s="40"/>
      <c r="B124" s="41"/>
      <c r="C124" s="92"/>
      <c r="D124" s="92"/>
      <c r="E124" s="92"/>
      <c r="I124" s="43"/>
      <c r="L124" s="43"/>
    </row>
    <row r="125" ht="15.75" customHeight="1">
      <c r="A125" s="40"/>
      <c r="B125" s="41"/>
      <c r="C125" s="92"/>
      <c r="D125" s="92"/>
      <c r="E125" s="92"/>
      <c r="I125" s="43"/>
      <c r="L125" s="43"/>
    </row>
    <row r="126" ht="15.75" customHeight="1">
      <c r="A126" s="40"/>
      <c r="B126" s="41"/>
      <c r="C126" s="92"/>
      <c r="D126" s="92"/>
      <c r="E126" s="92"/>
      <c r="I126" s="43"/>
      <c r="L126" s="43"/>
    </row>
    <row r="127" ht="15.75" customHeight="1">
      <c r="A127" s="40"/>
      <c r="B127" s="41"/>
      <c r="C127" s="92"/>
      <c r="D127" s="92"/>
      <c r="E127" s="92"/>
      <c r="I127" s="43"/>
      <c r="L127" s="43"/>
    </row>
    <row r="128" ht="15.75" customHeight="1">
      <c r="A128" s="40"/>
      <c r="B128" s="41"/>
      <c r="C128" s="92"/>
      <c r="D128" s="92"/>
      <c r="E128" s="92"/>
      <c r="I128" s="43"/>
      <c r="L128" s="43"/>
    </row>
    <row r="129" ht="15.75" customHeight="1">
      <c r="A129" s="40"/>
      <c r="B129" s="41"/>
      <c r="C129" s="92"/>
      <c r="D129" s="92"/>
      <c r="E129" s="92"/>
      <c r="I129" s="43"/>
      <c r="L129" s="43"/>
    </row>
    <row r="130" ht="15.75" customHeight="1">
      <c r="A130" s="40"/>
      <c r="B130" s="41"/>
      <c r="C130" s="92"/>
      <c r="D130" s="92"/>
      <c r="E130" s="92"/>
      <c r="I130" s="43"/>
      <c r="L130" s="43"/>
    </row>
    <row r="131" ht="15.75" customHeight="1">
      <c r="A131" s="40"/>
      <c r="B131" s="41"/>
      <c r="C131" s="92"/>
      <c r="D131" s="92"/>
      <c r="E131" s="92"/>
      <c r="I131" s="43"/>
      <c r="L131" s="43"/>
    </row>
    <row r="132" ht="15.75" customHeight="1">
      <c r="A132" s="40"/>
      <c r="B132" s="41"/>
      <c r="C132" s="92"/>
      <c r="D132" s="92"/>
      <c r="E132" s="92"/>
      <c r="I132" s="43"/>
      <c r="L132" s="43"/>
    </row>
    <row r="133" ht="15.75" customHeight="1">
      <c r="A133" s="40"/>
      <c r="B133" s="41"/>
      <c r="C133" s="92"/>
      <c r="D133" s="92"/>
      <c r="E133" s="92"/>
      <c r="I133" s="43"/>
      <c r="L133" s="43"/>
    </row>
    <row r="134" ht="15.75" customHeight="1">
      <c r="A134" s="40"/>
      <c r="B134" s="41"/>
      <c r="C134" s="92"/>
      <c r="D134" s="92"/>
      <c r="E134" s="92"/>
      <c r="I134" s="43"/>
      <c r="L134" s="43"/>
    </row>
    <row r="135" ht="15.75" customHeight="1">
      <c r="A135" s="40"/>
      <c r="B135" s="41"/>
      <c r="C135" s="92"/>
      <c r="D135" s="92"/>
      <c r="E135" s="92"/>
      <c r="I135" s="43"/>
      <c r="L135" s="43"/>
    </row>
    <row r="136" ht="15.75" customHeight="1">
      <c r="A136" s="40"/>
      <c r="B136" s="41"/>
      <c r="C136" s="92"/>
      <c r="D136" s="92"/>
      <c r="E136" s="92"/>
      <c r="I136" s="43"/>
      <c r="L136" s="43"/>
    </row>
    <row r="137" ht="15.75" customHeight="1">
      <c r="A137" s="40"/>
      <c r="B137" s="41"/>
      <c r="C137" s="92"/>
      <c r="D137" s="92"/>
      <c r="E137" s="92"/>
      <c r="I137" s="43"/>
      <c r="L137" s="43"/>
    </row>
    <row r="138" ht="15.75" customHeight="1">
      <c r="A138" s="40"/>
      <c r="B138" s="41"/>
      <c r="C138" s="92"/>
      <c r="D138" s="92"/>
      <c r="E138" s="92"/>
      <c r="I138" s="43"/>
      <c r="L138" s="43"/>
    </row>
    <row r="139" ht="15.75" customHeight="1">
      <c r="A139" s="40"/>
      <c r="B139" s="41"/>
      <c r="C139" s="92"/>
      <c r="D139" s="92"/>
      <c r="E139" s="92"/>
      <c r="I139" s="43"/>
      <c r="L139" s="43"/>
    </row>
    <row r="140" ht="15.75" customHeight="1">
      <c r="A140" s="40"/>
      <c r="B140" s="41"/>
      <c r="C140" s="92"/>
      <c r="D140" s="92"/>
      <c r="E140" s="92"/>
      <c r="I140" s="43"/>
      <c r="L140" s="43"/>
    </row>
    <row r="141" ht="15.75" customHeight="1">
      <c r="A141" s="40"/>
      <c r="B141" s="41"/>
      <c r="C141" s="92"/>
      <c r="D141" s="92"/>
      <c r="E141" s="92"/>
      <c r="I141" s="43"/>
      <c r="L141" s="43"/>
    </row>
    <row r="142" ht="15.75" customHeight="1">
      <c r="A142" s="40"/>
      <c r="B142" s="41"/>
      <c r="C142" s="92"/>
      <c r="D142" s="92"/>
      <c r="E142" s="92"/>
      <c r="I142" s="43"/>
      <c r="L142" s="43"/>
    </row>
    <row r="143" ht="15.75" customHeight="1">
      <c r="A143" s="40"/>
      <c r="B143" s="41"/>
      <c r="C143" s="92"/>
      <c r="D143" s="92"/>
      <c r="E143" s="92"/>
      <c r="I143" s="43"/>
      <c r="L143" s="43"/>
    </row>
    <row r="144" ht="15.75" customHeight="1">
      <c r="A144" s="40"/>
      <c r="B144" s="41"/>
      <c r="C144" s="92"/>
      <c r="D144" s="92"/>
      <c r="E144" s="92"/>
      <c r="I144" s="43"/>
      <c r="L144" s="43"/>
    </row>
    <row r="145" ht="15.75" customHeight="1">
      <c r="A145" s="40"/>
      <c r="B145" s="41"/>
      <c r="C145" s="92"/>
      <c r="D145" s="92"/>
      <c r="E145" s="92"/>
      <c r="I145" s="43"/>
      <c r="L145" s="43"/>
    </row>
    <row r="146" ht="15.75" customHeight="1">
      <c r="A146" s="40"/>
      <c r="B146" s="41"/>
      <c r="C146" s="92"/>
      <c r="D146" s="92"/>
      <c r="E146" s="92"/>
      <c r="I146" s="43"/>
      <c r="L146" s="43"/>
    </row>
    <row r="147" ht="15.75" customHeight="1">
      <c r="A147" s="40"/>
      <c r="B147" s="41"/>
      <c r="C147" s="92"/>
      <c r="D147" s="92"/>
      <c r="E147" s="92"/>
      <c r="I147" s="43"/>
      <c r="L147" s="43"/>
    </row>
    <row r="148" ht="15.75" customHeight="1">
      <c r="A148" s="40"/>
      <c r="B148" s="41"/>
      <c r="C148" s="92"/>
      <c r="D148" s="92"/>
      <c r="E148" s="92"/>
      <c r="I148" s="43"/>
      <c r="L148" s="43"/>
    </row>
    <row r="149" ht="15.75" customHeight="1">
      <c r="A149" s="40"/>
      <c r="B149" s="41"/>
      <c r="C149" s="92"/>
      <c r="D149" s="92"/>
      <c r="E149" s="92"/>
      <c r="I149" s="43"/>
      <c r="L149" s="43"/>
    </row>
    <row r="150" ht="15.75" customHeight="1">
      <c r="A150" s="40"/>
      <c r="B150" s="41"/>
      <c r="C150" s="92"/>
      <c r="D150" s="92"/>
      <c r="E150" s="92"/>
      <c r="I150" s="43"/>
      <c r="L150" s="43"/>
    </row>
    <row r="151" ht="15.75" customHeight="1">
      <c r="A151" s="40"/>
      <c r="B151" s="41"/>
      <c r="C151" s="92"/>
      <c r="D151" s="92"/>
      <c r="E151" s="92"/>
      <c r="I151" s="43"/>
      <c r="L151" s="43"/>
    </row>
    <row r="152" ht="15.75" customHeight="1">
      <c r="A152" s="40"/>
      <c r="B152" s="41"/>
      <c r="C152" s="92"/>
      <c r="D152" s="92"/>
      <c r="E152" s="92"/>
      <c r="I152" s="43"/>
      <c r="L152" s="43"/>
    </row>
    <row r="153" ht="15.75" customHeight="1">
      <c r="A153" s="40"/>
      <c r="B153" s="41"/>
      <c r="C153" s="92"/>
      <c r="D153" s="92"/>
      <c r="E153" s="92"/>
      <c r="I153" s="43"/>
      <c r="L153" s="43"/>
    </row>
    <row r="154" ht="15.75" customHeight="1">
      <c r="A154" s="40"/>
      <c r="B154" s="41"/>
      <c r="C154" s="92"/>
      <c r="D154" s="92"/>
      <c r="E154" s="92"/>
      <c r="I154" s="43"/>
      <c r="L154" s="43"/>
    </row>
    <row r="155" ht="15.75" customHeight="1">
      <c r="A155" s="40"/>
      <c r="B155" s="41"/>
      <c r="C155" s="92"/>
      <c r="D155" s="92"/>
      <c r="E155" s="92"/>
      <c r="I155" s="43"/>
      <c r="L155" s="43"/>
    </row>
    <row r="156" ht="15.75" customHeight="1">
      <c r="A156" s="40"/>
      <c r="B156" s="41"/>
      <c r="C156" s="92"/>
      <c r="D156" s="92"/>
      <c r="E156" s="92"/>
      <c r="I156" s="43"/>
      <c r="L156" s="43"/>
    </row>
    <row r="157" ht="15.75" customHeight="1">
      <c r="A157" s="40"/>
      <c r="B157" s="41"/>
      <c r="C157" s="92"/>
      <c r="D157" s="92"/>
      <c r="E157" s="92"/>
      <c r="I157" s="43"/>
      <c r="L157" s="43"/>
    </row>
    <row r="158" ht="15.75" customHeight="1">
      <c r="A158" s="40"/>
      <c r="B158" s="41"/>
      <c r="C158" s="92"/>
      <c r="D158" s="92"/>
      <c r="E158" s="92"/>
      <c r="I158" s="43"/>
      <c r="L158" s="43"/>
    </row>
    <row r="159" ht="15.75" customHeight="1">
      <c r="A159" s="40"/>
      <c r="B159" s="41"/>
      <c r="C159" s="92"/>
      <c r="D159" s="92"/>
      <c r="E159" s="92"/>
      <c r="I159" s="43"/>
      <c r="L159" s="43"/>
    </row>
    <row r="160" ht="15.75" customHeight="1">
      <c r="A160" s="40"/>
      <c r="B160" s="41"/>
      <c r="C160" s="92"/>
      <c r="D160" s="92"/>
      <c r="E160" s="92"/>
      <c r="I160" s="43"/>
      <c r="L160" s="43"/>
    </row>
    <row r="161" ht="15.75" customHeight="1">
      <c r="A161" s="40"/>
      <c r="B161" s="41"/>
      <c r="C161" s="92"/>
      <c r="D161" s="92"/>
      <c r="E161" s="92"/>
      <c r="I161" s="43"/>
      <c r="L161" s="43"/>
    </row>
    <row r="162" ht="15.75" customHeight="1">
      <c r="A162" s="40"/>
      <c r="B162" s="41"/>
      <c r="C162" s="92"/>
      <c r="D162" s="92"/>
      <c r="E162" s="92"/>
      <c r="I162" s="43"/>
      <c r="L162" s="43"/>
    </row>
    <row r="163" ht="15.75" customHeight="1">
      <c r="A163" s="40"/>
      <c r="B163" s="41"/>
      <c r="C163" s="92"/>
      <c r="D163" s="92"/>
      <c r="E163" s="92"/>
      <c r="I163" s="43"/>
      <c r="L163" s="43"/>
    </row>
    <row r="164" ht="15.75" customHeight="1">
      <c r="A164" s="40"/>
      <c r="B164" s="41"/>
      <c r="C164" s="92"/>
      <c r="D164" s="92"/>
      <c r="E164" s="92"/>
      <c r="I164" s="43"/>
      <c r="L164" s="43"/>
    </row>
    <row r="165" ht="15.75" customHeight="1">
      <c r="A165" s="40"/>
      <c r="B165" s="41"/>
      <c r="C165" s="92"/>
      <c r="D165" s="92"/>
      <c r="E165" s="92"/>
      <c r="I165" s="43"/>
      <c r="L165" s="43"/>
    </row>
    <row r="166" ht="15.75" customHeight="1">
      <c r="A166" s="40"/>
      <c r="B166" s="41"/>
      <c r="C166" s="92"/>
      <c r="D166" s="92"/>
      <c r="E166" s="92"/>
      <c r="I166" s="43"/>
      <c r="L166" s="43"/>
    </row>
    <row r="167" ht="15.75" customHeight="1">
      <c r="A167" s="40"/>
      <c r="B167" s="41"/>
      <c r="C167" s="92"/>
      <c r="D167" s="92"/>
      <c r="E167" s="92"/>
      <c r="I167" s="43"/>
      <c r="L167" s="43"/>
    </row>
    <row r="168" ht="15.75" customHeight="1">
      <c r="A168" s="40"/>
      <c r="B168" s="41"/>
      <c r="C168" s="92"/>
      <c r="D168" s="92"/>
      <c r="E168" s="92"/>
      <c r="I168" s="43"/>
      <c r="L168" s="43"/>
    </row>
    <row r="169" ht="15.75" customHeight="1">
      <c r="A169" s="40"/>
      <c r="B169" s="41"/>
      <c r="C169" s="92"/>
      <c r="D169" s="92"/>
      <c r="E169" s="92"/>
      <c r="I169" s="43"/>
      <c r="L169" s="43"/>
    </row>
    <row r="170" ht="15.75" customHeight="1">
      <c r="A170" s="40"/>
      <c r="B170" s="41"/>
      <c r="C170" s="92"/>
      <c r="D170" s="92"/>
      <c r="E170" s="92"/>
      <c r="I170" s="43"/>
      <c r="L170" s="43"/>
    </row>
    <row r="171" ht="15.75" customHeight="1">
      <c r="A171" s="40"/>
      <c r="B171" s="41"/>
      <c r="C171" s="92"/>
      <c r="D171" s="92"/>
      <c r="E171" s="92"/>
      <c r="I171" s="43"/>
      <c r="L171" s="43"/>
    </row>
    <row r="172" ht="15.75" customHeight="1">
      <c r="A172" s="40"/>
      <c r="B172" s="41"/>
      <c r="C172" s="92"/>
      <c r="D172" s="92"/>
      <c r="E172" s="92"/>
      <c r="I172" s="43"/>
      <c r="L172" s="43"/>
    </row>
    <row r="173" ht="15.75" customHeight="1">
      <c r="A173" s="40"/>
      <c r="B173" s="41"/>
      <c r="C173" s="92"/>
      <c r="D173" s="92"/>
      <c r="E173" s="92"/>
      <c r="I173" s="43"/>
      <c r="L173" s="43"/>
    </row>
    <row r="174" ht="15.75" customHeight="1">
      <c r="A174" s="40"/>
      <c r="B174" s="41"/>
      <c r="C174" s="92"/>
      <c r="D174" s="92"/>
      <c r="E174" s="92"/>
      <c r="I174" s="43"/>
      <c r="L174" s="43"/>
    </row>
    <row r="175" ht="15.75" customHeight="1">
      <c r="A175" s="40"/>
      <c r="B175" s="41"/>
      <c r="C175" s="92"/>
      <c r="D175" s="92"/>
      <c r="E175" s="92"/>
      <c r="I175" s="43"/>
      <c r="L175" s="43"/>
    </row>
    <row r="176" ht="15.75" customHeight="1">
      <c r="A176" s="40"/>
      <c r="B176" s="41"/>
      <c r="C176" s="92"/>
      <c r="D176" s="92"/>
      <c r="E176" s="92"/>
      <c r="I176" s="43"/>
      <c r="L176" s="43"/>
    </row>
    <row r="177" ht="15.75" customHeight="1">
      <c r="A177" s="40"/>
      <c r="B177" s="41"/>
      <c r="C177" s="92"/>
      <c r="D177" s="92"/>
      <c r="E177" s="92"/>
      <c r="I177" s="43"/>
      <c r="L177" s="43"/>
    </row>
    <row r="178" ht="15.75" customHeight="1">
      <c r="A178" s="40"/>
      <c r="B178" s="41"/>
      <c r="C178" s="92"/>
      <c r="D178" s="92"/>
      <c r="E178" s="92"/>
      <c r="I178" s="43"/>
      <c r="L178" s="43"/>
    </row>
    <row r="179" ht="15.75" customHeight="1">
      <c r="A179" s="40"/>
      <c r="B179" s="41"/>
      <c r="C179" s="92"/>
      <c r="D179" s="92"/>
      <c r="E179" s="92"/>
      <c r="I179" s="43"/>
      <c r="L179" s="43"/>
    </row>
    <row r="180" ht="15.75" customHeight="1">
      <c r="A180" s="40"/>
      <c r="B180" s="41"/>
      <c r="C180" s="92"/>
      <c r="D180" s="92"/>
      <c r="E180" s="92"/>
      <c r="I180" s="43"/>
      <c r="L180" s="43"/>
    </row>
    <row r="181" ht="15.75" customHeight="1">
      <c r="A181" s="40"/>
      <c r="B181" s="41"/>
      <c r="C181" s="92"/>
      <c r="D181" s="92"/>
      <c r="E181" s="92"/>
      <c r="I181" s="43"/>
      <c r="L181" s="43"/>
    </row>
    <row r="182" ht="15.75" customHeight="1">
      <c r="A182" s="40"/>
      <c r="B182" s="41"/>
      <c r="C182" s="92"/>
      <c r="D182" s="92"/>
      <c r="E182" s="92"/>
      <c r="I182" s="43"/>
      <c r="L182" s="43"/>
    </row>
    <row r="183" ht="15.75" customHeight="1">
      <c r="A183" s="40"/>
      <c r="B183" s="41"/>
      <c r="C183" s="92"/>
      <c r="D183" s="92"/>
      <c r="E183" s="92"/>
      <c r="I183" s="43"/>
      <c r="L183" s="43"/>
    </row>
    <row r="184" ht="15.75" customHeight="1">
      <c r="A184" s="40"/>
      <c r="B184" s="41"/>
      <c r="C184" s="92"/>
      <c r="D184" s="92"/>
      <c r="E184" s="92"/>
      <c r="I184" s="43"/>
      <c r="L184" s="43"/>
    </row>
    <row r="185" ht="15.75" customHeight="1">
      <c r="A185" s="40"/>
      <c r="B185" s="41"/>
      <c r="C185" s="92"/>
      <c r="D185" s="92"/>
      <c r="E185" s="92"/>
      <c r="I185" s="43"/>
      <c r="L185" s="43"/>
    </row>
    <row r="186" ht="15.75" customHeight="1">
      <c r="A186" s="40"/>
      <c r="B186" s="41"/>
      <c r="C186" s="92"/>
      <c r="D186" s="92"/>
      <c r="E186" s="92"/>
      <c r="I186" s="43"/>
      <c r="L186" s="43"/>
    </row>
    <row r="187" ht="15.75" customHeight="1">
      <c r="A187" s="40"/>
      <c r="B187" s="41"/>
      <c r="C187" s="92"/>
      <c r="D187" s="92"/>
      <c r="E187" s="92"/>
      <c r="I187" s="43"/>
      <c r="L187" s="43"/>
    </row>
    <row r="188" ht="15.75" customHeight="1">
      <c r="A188" s="40"/>
      <c r="B188" s="41"/>
      <c r="C188" s="92"/>
      <c r="D188" s="92"/>
      <c r="E188" s="92"/>
      <c r="I188" s="43"/>
      <c r="L188" s="43"/>
    </row>
    <row r="189" ht="15.75" customHeight="1">
      <c r="A189" s="40"/>
      <c r="B189" s="41"/>
      <c r="C189" s="92"/>
      <c r="D189" s="92"/>
      <c r="E189" s="92"/>
      <c r="I189" s="43"/>
      <c r="L189" s="43"/>
    </row>
    <row r="190" ht="15.75" customHeight="1">
      <c r="A190" s="40"/>
      <c r="B190" s="41"/>
      <c r="C190" s="92"/>
      <c r="D190" s="92"/>
      <c r="E190" s="92"/>
      <c r="I190" s="43"/>
      <c r="L190" s="43"/>
    </row>
    <row r="191" ht="15.75" customHeight="1">
      <c r="A191" s="40"/>
      <c r="B191" s="41"/>
      <c r="C191" s="92"/>
      <c r="D191" s="92"/>
      <c r="E191" s="92"/>
      <c r="I191" s="43"/>
      <c r="L191" s="43"/>
    </row>
    <row r="192" ht="15.75" customHeight="1">
      <c r="A192" s="40"/>
      <c r="B192" s="41"/>
      <c r="C192" s="92"/>
      <c r="D192" s="92"/>
      <c r="E192" s="92"/>
      <c r="I192" s="43"/>
      <c r="L192" s="43"/>
    </row>
    <row r="193" ht="15.75" customHeight="1">
      <c r="A193" s="40"/>
      <c r="B193" s="41"/>
      <c r="C193" s="92"/>
      <c r="D193" s="92"/>
      <c r="E193" s="92"/>
      <c r="I193" s="43"/>
      <c r="L193" s="43"/>
    </row>
    <row r="194" ht="15.75" customHeight="1">
      <c r="A194" s="40"/>
      <c r="B194" s="41"/>
      <c r="C194" s="92"/>
      <c r="D194" s="92"/>
      <c r="E194" s="92"/>
      <c r="I194" s="43"/>
      <c r="L194" s="43"/>
    </row>
    <row r="195" ht="15.75" customHeight="1">
      <c r="A195" s="40"/>
      <c r="B195" s="41"/>
      <c r="C195" s="92"/>
      <c r="D195" s="92"/>
      <c r="E195" s="92"/>
      <c r="I195" s="43"/>
      <c r="L195" s="43"/>
    </row>
    <row r="196" ht="15.75" customHeight="1">
      <c r="A196" s="40"/>
      <c r="B196" s="41"/>
      <c r="C196" s="92"/>
      <c r="D196" s="92"/>
      <c r="E196" s="92"/>
      <c r="I196" s="43"/>
      <c r="L196" s="43"/>
    </row>
    <row r="197" ht="15.75" customHeight="1">
      <c r="A197" s="40"/>
      <c r="B197" s="41"/>
      <c r="C197" s="92"/>
      <c r="D197" s="92"/>
      <c r="E197" s="92"/>
      <c r="I197" s="43"/>
      <c r="L197" s="43"/>
    </row>
    <row r="198" ht="15.75" customHeight="1">
      <c r="A198" s="40"/>
      <c r="B198" s="41"/>
      <c r="C198" s="92"/>
      <c r="D198" s="92"/>
      <c r="E198" s="92"/>
      <c r="I198" s="43"/>
      <c r="L198" s="43"/>
    </row>
    <row r="199" ht="15.75" customHeight="1">
      <c r="A199" s="40"/>
      <c r="B199" s="41"/>
      <c r="C199" s="92"/>
      <c r="D199" s="92"/>
      <c r="E199" s="92"/>
      <c r="I199" s="43"/>
      <c r="L199" s="43"/>
    </row>
    <row r="200" ht="15.75" customHeight="1">
      <c r="A200" s="40"/>
      <c r="B200" s="41"/>
      <c r="C200" s="92"/>
      <c r="D200" s="92"/>
      <c r="E200" s="92"/>
      <c r="I200" s="43"/>
      <c r="L200" s="43"/>
    </row>
    <row r="201" ht="15.75" customHeight="1">
      <c r="A201" s="40"/>
      <c r="B201" s="41"/>
      <c r="C201" s="92"/>
      <c r="D201" s="92"/>
      <c r="E201" s="92"/>
      <c r="I201" s="43"/>
      <c r="L201" s="43"/>
    </row>
    <row r="202" ht="15.75" customHeight="1">
      <c r="A202" s="40"/>
      <c r="B202" s="41"/>
      <c r="C202" s="92"/>
      <c r="D202" s="92"/>
      <c r="E202" s="92"/>
      <c r="I202" s="43"/>
      <c r="L202" s="43"/>
    </row>
    <row r="203" ht="15.75" customHeight="1">
      <c r="A203" s="40"/>
      <c r="B203" s="41"/>
      <c r="C203" s="92"/>
      <c r="D203" s="92"/>
      <c r="E203" s="92"/>
      <c r="I203" s="43"/>
      <c r="L203" s="43"/>
    </row>
    <row r="204" ht="15.75" customHeight="1">
      <c r="A204" s="40"/>
      <c r="B204" s="41"/>
      <c r="C204" s="92"/>
      <c r="D204" s="92"/>
      <c r="E204" s="92"/>
      <c r="I204" s="43"/>
      <c r="L204" s="43"/>
    </row>
    <row r="205" ht="15.75" customHeight="1">
      <c r="A205" s="40"/>
      <c r="B205" s="41"/>
      <c r="C205" s="92"/>
      <c r="D205" s="92"/>
      <c r="E205" s="92"/>
      <c r="I205" s="43"/>
      <c r="L205" s="43"/>
    </row>
    <row r="206" ht="15.75" customHeight="1">
      <c r="A206" s="40"/>
      <c r="B206" s="41"/>
      <c r="C206" s="92"/>
      <c r="D206" s="92"/>
      <c r="E206" s="92"/>
      <c r="I206" s="43"/>
      <c r="L206" s="43"/>
    </row>
    <row r="207" ht="15.75" customHeight="1">
      <c r="A207" s="40"/>
      <c r="B207" s="41"/>
      <c r="C207" s="92"/>
      <c r="D207" s="92"/>
      <c r="E207" s="92"/>
      <c r="I207" s="43"/>
      <c r="L207" s="43"/>
    </row>
    <row r="208" ht="15.75" customHeight="1">
      <c r="A208" s="40"/>
      <c r="B208" s="41"/>
      <c r="C208" s="92"/>
      <c r="D208" s="92"/>
      <c r="E208" s="92"/>
      <c r="I208" s="43"/>
      <c r="L208" s="43"/>
    </row>
    <row r="209" ht="15.75" customHeight="1">
      <c r="A209" s="40"/>
      <c r="B209" s="41"/>
      <c r="C209" s="92"/>
      <c r="D209" s="92"/>
      <c r="E209" s="92"/>
      <c r="I209" s="43"/>
      <c r="L209" s="43"/>
    </row>
    <row r="210" ht="15.75" customHeight="1">
      <c r="A210" s="40"/>
      <c r="B210" s="41"/>
      <c r="C210" s="92"/>
      <c r="D210" s="92"/>
      <c r="E210" s="92"/>
      <c r="I210" s="43"/>
      <c r="L210" s="43"/>
    </row>
    <row r="211" ht="15.75" customHeight="1">
      <c r="A211" s="40"/>
      <c r="B211" s="41"/>
      <c r="C211" s="92"/>
      <c r="D211" s="92"/>
      <c r="E211" s="92"/>
      <c r="I211" s="43"/>
      <c r="L211" s="43"/>
    </row>
    <row r="212" ht="15.75" customHeight="1">
      <c r="A212" s="40"/>
      <c r="B212" s="41"/>
      <c r="C212" s="92"/>
      <c r="D212" s="92"/>
      <c r="E212" s="92"/>
      <c r="I212" s="43"/>
      <c r="L212" s="43"/>
    </row>
    <row r="213" ht="15.75" customHeight="1">
      <c r="A213" s="40"/>
      <c r="B213" s="41"/>
      <c r="C213" s="92"/>
      <c r="D213" s="92"/>
      <c r="E213" s="92"/>
      <c r="I213" s="43"/>
      <c r="L213" s="43"/>
    </row>
    <row r="214" ht="15.75" customHeight="1">
      <c r="A214" s="40"/>
      <c r="B214" s="41"/>
      <c r="C214" s="92"/>
      <c r="D214" s="92"/>
      <c r="E214" s="92"/>
      <c r="I214" s="43"/>
      <c r="L214" s="43"/>
    </row>
    <row r="215" ht="15.75" customHeight="1">
      <c r="A215" s="40"/>
      <c r="B215" s="41"/>
      <c r="C215" s="92"/>
      <c r="D215" s="92"/>
      <c r="E215" s="92"/>
      <c r="I215" s="43"/>
      <c r="L215" s="43"/>
    </row>
    <row r="216" ht="15.75" customHeight="1">
      <c r="A216" s="40"/>
      <c r="B216" s="41"/>
      <c r="C216" s="92"/>
      <c r="D216" s="92"/>
      <c r="E216" s="92"/>
      <c r="I216" s="43"/>
      <c r="L216" s="43"/>
    </row>
    <row r="217" ht="15.75" customHeight="1">
      <c r="A217" s="40"/>
      <c r="B217" s="41"/>
      <c r="C217" s="92"/>
      <c r="D217" s="92"/>
      <c r="E217" s="92"/>
      <c r="I217" s="43"/>
      <c r="L217" s="43"/>
    </row>
    <row r="218" ht="15.75" customHeight="1">
      <c r="A218" s="40"/>
      <c r="B218" s="41"/>
      <c r="C218" s="92"/>
      <c r="D218" s="92"/>
      <c r="E218" s="92"/>
      <c r="I218" s="43"/>
      <c r="L218" s="43"/>
    </row>
    <row r="219" ht="15.75" customHeight="1">
      <c r="A219" s="40"/>
      <c r="B219" s="41"/>
      <c r="C219" s="92"/>
      <c r="D219" s="92"/>
      <c r="E219" s="92"/>
      <c r="I219" s="43"/>
      <c r="L219" s="43"/>
    </row>
    <row r="220" ht="15.75" customHeight="1">
      <c r="A220" s="40"/>
      <c r="B220" s="41"/>
      <c r="C220" s="92"/>
      <c r="D220" s="92"/>
      <c r="E220" s="92"/>
      <c r="I220" s="43"/>
      <c r="L220" s="43"/>
    </row>
    <row r="221" ht="15.75" customHeight="1">
      <c r="A221" s="40"/>
      <c r="B221" s="41"/>
      <c r="C221" s="92"/>
      <c r="D221" s="92"/>
      <c r="E221" s="92"/>
      <c r="I221" s="43"/>
      <c r="L221" s="43"/>
    </row>
    <row r="222" ht="15.75" customHeight="1">
      <c r="A222" s="40"/>
      <c r="B222" s="41"/>
      <c r="C222" s="92"/>
      <c r="D222" s="92"/>
      <c r="E222" s="92"/>
      <c r="I222" s="43"/>
      <c r="L222" s="43"/>
    </row>
    <row r="223" ht="15.75" customHeight="1">
      <c r="A223" s="40"/>
      <c r="B223" s="41"/>
      <c r="C223" s="92"/>
      <c r="D223" s="92"/>
      <c r="E223" s="92"/>
      <c r="I223" s="43"/>
      <c r="L223" s="43"/>
    </row>
    <row r="224" ht="15.75" customHeight="1">
      <c r="A224" s="40"/>
      <c r="B224" s="41"/>
      <c r="C224" s="92"/>
      <c r="D224" s="92"/>
      <c r="E224" s="92"/>
      <c r="I224" s="43"/>
      <c r="L224" s="43"/>
    </row>
    <row r="225" ht="15.75" customHeight="1">
      <c r="A225" s="40"/>
      <c r="B225" s="41"/>
      <c r="C225" s="92"/>
      <c r="D225" s="92"/>
      <c r="E225" s="92"/>
      <c r="I225" s="43"/>
      <c r="L225" s="43"/>
    </row>
    <row r="226" ht="15.75" customHeight="1">
      <c r="A226" s="40"/>
      <c r="B226" s="41"/>
      <c r="C226" s="92"/>
      <c r="D226" s="92"/>
      <c r="E226" s="92"/>
      <c r="I226" s="43"/>
      <c r="L226" s="43"/>
    </row>
    <row r="227" ht="15.75" customHeight="1">
      <c r="A227" s="40"/>
      <c r="B227" s="41"/>
      <c r="C227" s="92"/>
      <c r="D227" s="92"/>
      <c r="E227" s="92"/>
      <c r="I227" s="43"/>
      <c r="L227" s="43"/>
    </row>
    <row r="228" ht="15.75" customHeight="1">
      <c r="A228" s="40"/>
      <c r="B228" s="41"/>
      <c r="C228" s="92"/>
      <c r="D228" s="92"/>
      <c r="E228" s="92"/>
      <c r="I228" s="43"/>
      <c r="L228" s="43"/>
    </row>
    <row r="229" ht="15.75" customHeight="1">
      <c r="A229" s="40"/>
      <c r="B229" s="41"/>
      <c r="C229" s="92"/>
      <c r="D229" s="92"/>
      <c r="E229" s="92"/>
      <c r="I229" s="43"/>
      <c r="L229" s="43"/>
    </row>
    <row r="230" ht="15.75" customHeight="1">
      <c r="A230" s="40"/>
      <c r="B230" s="41"/>
      <c r="C230" s="92"/>
      <c r="D230" s="92"/>
      <c r="E230" s="92"/>
      <c r="I230" s="43"/>
      <c r="L230" s="43"/>
    </row>
    <row r="231" ht="15.75" customHeight="1">
      <c r="A231" s="40"/>
      <c r="B231" s="41"/>
      <c r="C231" s="92"/>
      <c r="D231" s="92"/>
      <c r="E231" s="92"/>
      <c r="I231" s="43"/>
      <c r="L231" s="43"/>
    </row>
    <row r="232" ht="15.75" customHeight="1">
      <c r="A232" s="40"/>
      <c r="B232" s="41"/>
      <c r="C232" s="92"/>
      <c r="D232" s="92"/>
      <c r="E232" s="92"/>
      <c r="I232" s="43"/>
      <c r="L232" s="43"/>
    </row>
    <row r="233" ht="15.75" customHeight="1">
      <c r="A233" s="40"/>
      <c r="B233" s="41"/>
      <c r="C233" s="92"/>
      <c r="D233" s="92"/>
      <c r="E233" s="92"/>
      <c r="I233" s="43"/>
      <c r="L233" s="43"/>
    </row>
    <row r="234" ht="15.75" customHeight="1">
      <c r="A234" s="40"/>
      <c r="B234" s="41"/>
      <c r="C234" s="92"/>
      <c r="D234" s="92"/>
      <c r="E234" s="92"/>
      <c r="I234" s="43"/>
      <c r="L234" s="43"/>
    </row>
    <row r="235" ht="15.75" customHeight="1">
      <c r="A235" s="40"/>
      <c r="B235" s="41"/>
      <c r="C235" s="92"/>
      <c r="D235" s="92"/>
      <c r="E235" s="92"/>
      <c r="I235" s="43"/>
      <c r="L235" s="43"/>
    </row>
    <row r="236" ht="15.75" customHeight="1">
      <c r="A236" s="40"/>
      <c r="B236" s="41"/>
      <c r="C236" s="92"/>
      <c r="D236" s="92"/>
      <c r="E236" s="92"/>
      <c r="I236" s="43"/>
      <c r="L236" s="43"/>
    </row>
    <row r="237" ht="15.75" customHeight="1">
      <c r="A237" s="40"/>
      <c r="B237" s="41"/>
      <c r="C237" s="92"/>
      <c r="D237" s="92"/>
      <c r="E237" s="92"/>
      <c r="I237" s="43"/>
      <c r="L237" s="43"/>
    </row>
    <row r="238" ht="15.75" customHeight="1">
      <c r="A238" s="40"/>
      <c r="B238" s="41"/>
      <c r="C238" s="92"/>
      <c r="D238" s="92"/>
      <c r="E238" s="92"/>
      <c r="I238" s="43"/>
      <c r="L238" s="43"/>
    </row>
    <row r="239" ht="15.75" customHeight="1">
      <c r="A239" s="40"/>
      <c r="B239" s="41"/>
      <c r="C239" s="92"/>
      <c r="D239" s="92"/>
      <c r="E239" s="92"/>
      <c r="I239" s="43"/>
      <c r="L239" s="43"/>
    </row>
    <row r="240" ht="15.75" customHeight="1">
      <c r="A240" s="40"/>
      <c r="B240" s="41"/>
      <c r="C240" s="92"/>
      <c r="D240" s="92"/>
      <c r="E240" s="92"/>
      <c r="I240" s="43"/>
      <c r="L240" s="43"/>
    </row>
    <row r="241" ht="15.75" customHeight="1">
      <c r="A241" s="40"/>
      <c r="B241" s="41"/>
      <c r="C241" s="92"/>
      <c r="D241" s="92"/>
      <c r="E241" s="92"/>
      <c r="I241" s="43"/>
      <c r="L241" s="43"/>
    </row>
    <row r="242" ht="15.75" customHeight="1">
      <c r="A242" s="40"/>
      <c r="B242" s="41"/>
      <c r="C242" s="92"/>
      <c r="D242" s="92"/>
      <c r="E242" s="92"/>
      <c r="I242" s="43"/>
      <c r="L242" s="43"/>
    </row>
    <row r="243" ht="15.75" customHeight="1">
      <c r="A243" s="40"/>
      <c r="B243" s="41"/>
      <c r="C243" s="92"/>
      <c r="D243" s="92"/>
      <c r="E243" s="92"/>
      <c r="I243" s="43"/>
      <c r="L243" s="43"/>
    </row>
    <row r="244" ht="15.75" customHeight="1">
      <c r="A244" s="40"/>
      <c r="B244" s="41"/>
      <c r="C244" s="92"/>
      <c r="D244" s="92"/>
      <c r="E244" s="92"/>
      <c r="I244" s="43"/>
      <c r="L244" s="4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7.63"/>
    <col customWidth="1" min="3" max="3" width="18.38"/>
    <col customWidth="1" min="4" max="4" width="27.25"/>
    <col customWidth="1" min="5" max="5" width="16.25"/>
    <col customWidth="1" min="6" max="6" width="12.63"/>
    <col customWidth="1" min="8" max="8" width="14.5"/>
    <col customWidth="1" min="10" max="10" width="19.38"/>
  </cols>
  <sheetData>
    <row r="1" ht="15.75" customHeight="1">
      <c r="A1" s="94" t="s">
        <v>1</v>
      </c>
      <c r="B1" s="95" t="s">
        <v>293</v>
      </c>
      <c r="C1" s="95" t="s">
        <v>294</v>
      </c>
      <c r="D1" s="95" t="s">
        <v>295</v>
      </c>
      <c r="E1" s="95" t="s">
        <v>296</v>
      </c>
      <c r="F1" s="95" t="s">
        <v>297</v>
      </c>
      <c r="G1" s="14" t="s">
        <v>298</v>
      </c>
      <c r="H1" s="14" t="s">
        <v>299</v>
      </c>
      <c r="I1" s="14" t="s">
        <v>11</v>
      </c>
      <c r="J1" s="14" t="s">
        <v>300</v>
      </c>
      <c r="K1" s="14" t="s">
        <v>301</v>
      </c>
      <c r="L1" s="14" t="s">
        <v>302</v>
      </c>
    </row>
    <row r="2" ht="15.75" customHeight="1">
      <c r="A2" s="96">
        <v>1.0</v>
      </c>
      <c r="B2" s="97" t="str">
        <f>'Campaña 01'!C2</f>
        <v>Matanza de Boundington</v>
      </c>
      <c r="C2" s="97" t="s">
        <v>303</v>
      </c>
      <c r="D2" s="97" t="s">
        <v>304</v>
      </c>
      <c r="E2" s="97"/>
      <c r="F2" s="97"/>
      <c r="G2" s="97"/>
      <c r="H2" s="97"/>
      <c r="I2" s="97"/>
      <c r="J2" s="97" t="str">
        <f>'Campaña 01'!$C$4&amp;" "&amp;'Campaña 01'!$D$4</f>
        <v>757 Despertar Elemental</v>
      </c>
      <c r="K2" s="97">
        <v>4.0</v>
      </c>
      <c r="L2" s="98"/>
    </row>
    <row r="3" ht="15.75" customHeight="1">
      <c r="A3" s="99">
        <v>2.0</v>
      </c>
      <c r="B3" s="100" t="str">
        <f>'Campaña 02'!C1</f>
        <v>Segundo asedio a Ranmont</v>
      </c>
      <c r="C3" s="100" t="s">
        <v>305</v>
      </c>
      <c r="D3" s="100" t="s">
        <v>306</v>
      </c>
      <c r="E3" s="100"/>
      <c r="F3" s="100"/>
      <c r="G3" s="100"/>
      <c r="H3" s="100"/>
      <c r="I3" s="100"/>
      <c r="J3" s="100" t="str">
        <f>'Campaña 02'!C4&amp;" "&amp;'Campaña 02'!D4</f>
        <v>864 Despertar Elemental</v>
      </c>
      <c r="K3" s="100">
        <v>4.0</v>
      </c>
      <c r="L3" s="101"/>
    </row>
    <row r="4" ht="15.75" customHeight="1">
      <c r="A4" s="102" t="s">
        <v>307</v>
      </c>
      <c r="B4" s="103" t="s">
        <v>308</v>
      </c>
      <c r="C4" s="103"/>
      <c r="D4" s="103"/>
      <c r="E4" s="103"/>
      <c r="F4" s="103"/>
      <c r="G4" s="103"/>
      <c r="H4" s="103"/>
      <c r="I4" s="103"/>
      <c r="J4" s="103"/>
      <c r="K4" s="103">
        <v>4.0</v>
      </c>
      <c r="L4" s="104"/>
      <c r="M4" s="105"/>
      <c r="N4" s="105"/>
      <c r="O4" s="105"/>
      <c r="P4" s="105"/>
      <c r="Q4" s="105"/>
      <c r="R4" s="105"/>
      <c r="S4" s="105"/>
      <c r="T4" s="105"/>
      <c r="U4" s="105"/>
      <c r="V4" s="105"/>
      <c r="W4" s="105"/>
      <c r="X4" s="105"/>
      <c r="Y4" s="105"/>
      <c r="Z4" s="105"/>
      <c r="AA4" s="105"/>
      <c r="AB4" s="105"/>
    </row>
    <row r="5" ht="15.75" customHeight="1">
      <c r="A5" s="106" t="s">
        <v>309</v>
      </c>
      <c r="B5" s="107" t="str">
        <f>'Bonus 02'!D2</f>
        <v>Escapada de Boundington</v>
      </c>
      <c r="C5" s="107" t="s">
        <v>310</v>
      </c>
      <c r="D5" s="107" t="s">
        <v>311</v>
      </c>
      <c r="E5" s="107"/>
      <c r="F5" s="107"/>
      <c r="G5" s="107"/>
      <c r="H5" s="107"/>
      <c r="I5" s="107"/>
      <c r="J5" s="107" t="str">
        <f>'Bonus 02'!$D$4&amp;" "&amp;'Bonus 02'!$E$4</f>
        <v>757 Despertar Elemental</v>
      </c>
      <c r="K5" s="107">
        <v>4.0</v>
      </c>
      <c r="L5" s="108"/>
    </row>
    <row r="6" ht="15.75" customHeight="1">
      <c r="A6" s="109" t="s">
        <v>312</v>
      </c>
      <c r="B6" s="110" t="str">
        <f>'Bonus 02.2'!C1</f>
        <v>Incursion en las Santas Montañas</v>
      </c>
      <c r="C6" s="110" t="s">
        <v>313</v>
      </c>
      <c r="D6" s="110" t="s">
        <v>314</v>
      </c>
      <c r="E6" s="110"/>
      <c r="F6" s="110"/>
      <c r="G6" s="110"/>
      <c r="H6" s="110"/>
      <c r="I6" s="110"/>
      <c r="J6" s="110" t="str">
        <f>'Bonus 02.2'!$C$4&amp;" "&amp;'Bonus 02.2'!$D$4</f>
        <v>- Despertar Elemental</v>
      </c>
      <c r="K6" s="110">
        <v>4.0</v>
      </c>
      <c r="L6" s="111"/>
    </row>
    <row r="7" ht="15.75" customHeight="1">
      <c r="A7" s="112" t="s">
        <v>315</v>
      </c>
      <c r="B7" s="113" t="str">
        <f>'Bonus 02.4'!C1</f>
        <v>La lagrima de Perishton</v>
      </c>
      <c r="C7" s="113" t="s">
        <v>316</v>
      </c>
      <c r="D7" s="113" t="s">
        <v>317</v>
      </c>
      <c r="E7" s="113"/>
      <c r="F7" s="113"/>
      <c r="G7" s="113"/>
      <c r="H7" s="113"/>
      <c r="I7" s="113"/>
      <c r="J7" s="113" t="str">
        <f>'Bonus 02.4'!$C$4&amp;" "&amp;'Bonus 02.4'!$D$4</f>
        <v>- Despertar Elemental</v>
      </c>
      <c r="K7" s="113">
        <v>4.0</v>
      </c>
      <c r="L7" s="114"/>
    </row>
    <row r="8" ht="15.75" customHeight="1">
      <c r="A8" s="115" t="s">
        <v>307</v>
      </c>
      <c r="B8" s="116" t="s">
        <v>318</v>
      </c>
      <c r="C8" s="116"/>
      <c r="D8" s="116"/>
      <c r="E8" s="116"/>
      <c r="F8" s="116"/>
      <c r="G8" s="116"/>
      <c r="H8" s="116"/>
      <c r="I8" s="116"/>
      <c r="J8" s="116"/>
      <c r="K8" s="116">
        <v>4.0</v>
      </c>
      <c r="L8" s="117"/>
      <c r="M8" s="105"/>
      <c r="N8" s="105"/>
      <c r="O8" s="105"/>
      <c r="P8" s="105"/>
      <c r="Q8" s="105"/>
      <c r="R8" s="105"/>
      <c r="S8" s="105"/>
      <c r="T8" s="105"/>
      <c r="U8" s="105"/>
      <c r="V8" s="105"/>
      <c r="W8" s="105"/>
      <c r="X8" s="105"/>
      <c r="Y8" s="105"/>
      <c r="Z8" s="105"/>
      <c r="AA8" s="105"/>
      <c r="AB8" s="105"/>
    </row>
    <row r="9" ht="15.75" customHeight="1">
      <c r="A9" s="118">
        <v>5.0</v>
      </c>
      <c r="B9" s="119" t="s">
        <v>319</v>
      </c>
      <c r="C9" s="119"/>
      <c r="D9" s="119" t="s">
        <v>320</v>
      </c>
      <c r="E9" s="119"/>
      <c r="F9" s="119"/>
      <c r="G9" s="119"/>
      <c r="H9" s="119"/>
      <c r="I9" s="119"/>
      <c r="J9" s="119"/>
      <c r="K9" s="119">
        <v>4.0</v>
      </c>
      <c r="L9" s="120"/>
    </row>
    <row r="10" ht="15.75" customHeight="1">
      <c r="A10" s="121">
        <v>6.0</v>
      </c>
      <c r="B10" s="122" t="s">
        <v>321</v>
      </c>
      <c r="C10" s="122"/>
      <c r="D10" s="122" t="s">
        <v>322</v>
      </c>
      <c r="E10" s="122"/>
      <c r="F10" s="122"/>
      <c r="G10" s="122"/>
      <c r="H10" s="122"/>
      <c r="I10" s="122"/>
      <c r="J10" s="122"/>
      <c r="K10" s="122">
        <v>4.0</v>
      </c>
      <c r="L10" s="123"/>
    </row>
    <row r="11" ht="15.75" customHeight="1">
      <c r="A11" s="124" t="s">
        <v>307</v>
      </c>
      <c r="B11" s="116" t="s">
        <v>323</v>
      </c>
      <c r="C11" s="116"/>
      <c r="D11" s="116"/>
      <c r="E11" s="116"/>
      <c r="F11" s="116"/>
      <c r="G11" s="116"/>
      <c r="H11" s="116"/>
      <c r="I11" s="116"/>
      <c r="J11" s="116"/>
      <c r="K11" s="116">
        <v>4.0</v>
      </c>
      <c r="L11" s="117"/>
      <c r="M11" s="105"/>
      <c r="N11" s="105"/>
      <c r="O11" s="105"/>
      <c r="P11" s="105"/>
      <c r="Q11" s="105"/>
      <c r="R11" s="105"/>
      <c r="S11" s="105"/>
      <c r="T11" s="105"/>
      <c r="U11" s="105"/>
      <c r="V11" s="105"/>
      <c r="W11" s="105"/>
      <c r="X11" s="105"/>
      <c r="Y11" s="105"/>
      <c r="Z11" s="105"/>
      <c r="AA11" s="105"/>
      <c r="AB11" s="105"/>
    </row>
    <row r="12" ht="15.75" customHeight="1">
      <c r="A12" s="96">
        <v>7.0</v>
      </c>
      <c r="B12" s="97" t="s">
        <v>324</v>
      </c>
      <c r="C12" s="97"/>
      <c r="D12" s="97" t="s">
        <v>325</v>
      </c>
      <c r="E12" s="97"/>
      <c r="F12" s="97"/>
      <c r="G12" s="97"/>
      <c r="H12" s="97"/>
      <c r="I12" s="97"/>
      <c r="J12" s="97"/>
      <c r="K12" s="97">
        <v>4.0</v>
      </c>
      <c r="L12" s="98"/>
    </row>
    <row r="13" ht="15.75" customHeight="1">
      <c r="A13" s="99">
        <v>8.0</v>
      </c>
      <c r="B13" s="100" t="s">
        <v>326</v>
      </c>
      <c r="C13" s="100"/>
      <c r="D13" s="100" t="s">
        <v>327</v>
      </c>
      <c r="E13" s="100"/>
      <c r="F13" s="100"/>
      <c r="G13" s="100"/>
      <c r="H13" s="100"/>
      <c r="I13" s="100"/>
      <c r="J13" s="100"/>
      <c r="K13" s="100">
        <v>4.0</v>
      </c>
      <c r="L13" s="101"/>
    </row>
    <row r="14" ht="15.75" customHeight="1">
      <c r="A14" s="125">
        <v>9.0</v>
      </c>
      <c r="B14" s="126" t="s">
        <v>328</v>
      </c>
      <c r="C14" s="126"/>
      <c r="D14" s="126" t="s">
        <v>311</v>
      </c>
      <c r="E14" s="126"/>
      <c r="F14" s="126"/>
      <c r="G14" s="126"/>
      <c r="H14" s="126"/>
      <c r="I14" s="126"/>
      <c r="J14" s="126"/>
      <c r="K14" s="126">
        <v>4.0</v>
      </c>
      <c r="L14" s="127"/>
    </row>
    <row r="15" ht="15.75" customHeight="1">
      <c r="A15" s="106">
        <v>10.0</v>
      </c>
      <c r="B15" s="107" t="s">
        <v>329</v>
      </c>
      <c r="C15" s="107"/>
      <c r="D15" s="107" t="s">
        <v>314</v>
      </c>
      <c r="E15" s="107"/>
      <c r="F15" s="107"/>
      <c r="G15" s="107"/>
      <c r="H15" s="107"/>
      <c r="I15" s="107"/>
      <c r="J15" s="107"/>
      <c r="K15" s="107">
        <v>4.0</v>
      </c>
      <c r="L15" s="108"/>
    </row>
    <row r="16" ht="15.75" customHeight="1">
      <c r="A16" s="109">
        <v>11.0</v>
      </c>
      <c r="B16" s="110" t="s">
        <v>330</v>
      </c>
      <c r="C16" s="110"/>
      <c r="D16" s="110" t="s">
        <v>331</v>
      </c>
      <c r="E16" s="110"/>
      <c r="F16" s="110"/>
      <c r="G16" s="110"/>
      <c r="H16" s="110"/>
      <c r="I16" s="110"/>
      <c r="J16" s="110"/>
      <c r="K16" s="110">
        <v>4.0</v>
      </c>
      <c r="L16" s="111"/>
    </row>
    <row r="17" ht="15.75" customHeight="1">
      <c r="A17" s="112"/>
      <c r="B17" s="113"/>
      <c r="C17" s="113"/>
      <c r="D17" s="113"/>
      <c r="E17" s="113"/>
      <c r="F17" s="113"/>
      <c r="G17" s="113"/>
      <c r="H17" s="113"/>
      <c r="I17" s="113"/>
      <c r="J17" s="113"/>
      <c r="K17" s="113">
        <v>4.0</v>
      </c>
      <c r="L17" s="114"/>
    </row>
    <row r="18" ht="15.75" customHeight="1">
      <c r="A18" s="128"/>
      <c r="B18" s="129"/>
      <c r="C18" s="129"/>
      <c r="D18" s="129"/>
      <c r="E18" s="129"/>
      <c r="F18" s="129"/>
      <c r="G18" s="129"/>
      <c r="H18" s="129"/>
      <c r="I18" s="129"/>
      <c r="J18" s="129"/>
      <c r="K18" s="129">
        <v>4.0</v>
      </c>
      <c r="L18" s="130"/>
    </row>
    <row r="19" ht="15.75" customHeight="1">
      <c r="A19" s="118"/>
      <c r="B19" s="119"/>
      <c r="C19" s="119"/>
      <c r="D19" s="119"/>
      <c r="E19" s="119"/>
      <c r="F19" s="119"/>
      <c r="G19" s="119"/>
      <c r="H19" s="119"/>
      <c r="I19" s="119"/>
      <c r="J19" s="119"/>
      <c r="K19" s="119">
        <v>4.0</v>
      </c>
      <c r="L19" s="120"/>
    </row>
    <row r="20" ht="15.75" customHeight="1">
      <c r="A20" s="121"/>
      <c r="B20" s="122"/>
      <c r="C20" s="122"/>
      <c r="D20" s="122"/>
      <c r="E20" s="122"/>
      <c r="F20" s="122"/>
      <c r="G20" s="122"/>
      <c r="H20" s="122"/>
      <c r="I20" s="122"/>
      <c r="J20" s="122"/>
      <c r="K20" s="122">
        <v>4.0</v>
      </c>
      <c r="L20" s="123"/>
    </row>
    <row r="21" ht="15.75" customHeight="1">
      <c r="A21" s="131"/>
      <c r="B21" s="132"/>
      <c r="C21" s="132"/>
      <c r="D21" s="132"/>
      <c r="E21" s="132"/>
      <c r="F21" s="132"/>
      <c r="G21" s="132"/>
      <c r="H21" s="132"/>
      <c r="I21" s="132"/>
      <c r="J21" s="132"/>
      <c r="K21" s="132">
        <v>4.0</v>
      </c>
      <c r="L21" s="133"/>
    </row>
    <row r="22" ht="15.75" customHeight="1">
      <c r="A22" s="96"/>
      <c r="B22" s="97"/>
      <c r="C22" s="97"/>
      <c r="D22" s="97"/>
      <c r="E22" s="97"/>
      <c r="F22" s="97"/>
      <c r="G22" s="97"/>
      <c r="H22" s="97"/>
      <c r="I22" s="97"/>
      <c r="J22" s="97"/>
      <c r="K22" s="97">
        <v>4.0</v>
      </c>
      <c r="L22" s="98"/>
    </row>
    <row r="23" ht="15.75" customHeight="1">
      <c r="A23" s="99"/>
      <c r="B23" s="100"/>
      <c r="C23" s="100"/>
      <c r="D23" s="100"/>
      <c r="E23" s="100"/>
      <c r="F23" s="100"/>
      <c r="G23" s="100"/>
      <c r="H23" s="100"/>
      <c r="I23" s="100"/>
      <c r="J23" s="100"/>
      <c r="K23" s="100">
        <v>4.0</v>
      </c>
      <c r="L23" s="101"/>
    </row>
    <row r="24" ht="15.75" customHeight="1">
      <c r="A24" s="125"/>
      <c r="B24" s="126"/>
      <c r="C24" s="126"/>
      <c r="D24" s="126"/>
      <c r="E24" s="126"/>
      <c r="F24" s="126"/>
      <c r="G24" s="126"/>
      <c r="H24" s="126"/>
      <c r="I24" s="126"/>
      <c r="J24" s="126"/>
      <c r="K24" s="126">
        <v>4.0</v>
      </c>
      <c r="L24" s="127"/>
    </row>
    <row r="25" ht="15.75" customHeight="1">
      <c r="A25" s="106"/>
      <c r="B25" s="107"/>
      <c r="C25" s="107"/>
      <c r="D25" s="107"/>
      <c r="E25" s="107"/>
      <c r="F25" s="107"/>
      <c r="G25" s="107"/>
      <c r="H25" s="107"/>
      <c r="I25" s="107"/>
      <c r="J25" s="107"/>
      <c r="K25" s="107">
        <v>4.0</v>
      </c>
      <c r="L25" s="108"/>
    </row>
    <row r="26" ht="15.75" customHeight="1">
      <c r="A26" s="109"/>
      <c r="B26" s="110"/>
      <c r="C26" s="110"/>
      <c r="D26" s="110"/>
      <c r="E26" s="110"/>
      <c r="F26" s="110"/>
      <c r="G26" s="110"/>
      <c r="H26" s="110"/>
      <c r="I26" s="110"/>
      <c r="J26" s="110"/>
      <c r="K26" s="110">
        <v>4.0</v>
      </c>
      <c r="L26" s="111"/>
    </row>
    <row r="27" ht="15.75" customHeight="1">
      <c r="A27" s="112"/>
      <c r="B27" s="113"/>
      <c r="C27" s="113"/>
      <c r="D27" s="113"/>
      <c r="E27" s="113"/>
      <c r="F27" s="113"/>
      <c r="G27" s="113"/>
      <c r="H27" s="113"/>
      <c r="I27" s="113"/>
      <c r="J27" s="113"/>
      <c r="K27" s="113">
        <v>4.0</v>
      </c>
      <c r="L27" s="114"/>
    </row>
    <row r="28" ht="15.75" customHeight="1">
      <c r="A28" s="128"/>
      <c r="B28" s="129"/>
      <c r="C28" s="129"/>
      <c r="D28" s="129"/>
      <c r="E28" s="129"/>
      <c r="F28" s="129"/>
      <c r="G28" s="129"/>
      <c r="H28" s="129"/>
      <c r="I28" s="129"/>
      <c r="J28" s="129"/>
      <c r="K28" s="129">
        <v>4.0</v>
      </c>
      <c r="L28" s="130"/>
    </row>
    <row r="29" ht="15.75" customHeight="1">
      <c r="A29" s="118"/>
      <c r="B29" s="119"/>
      <c r="C29" s="119"/>
      <c r="D29" s="119"/>
      <c r="E29" s="119"/>
      <c r="F29" s="119"/>
      <c r="G29" s="119"/>
      <c r="H29" s="119"/>
      <c r="I29" s="119"/>
      <c r="J29" s="119"/>
      <c r="K29" s="119">
        <v>4.0</v>
      </c>
      <c r="L29" s="120"/>
    </row>
    <row r="30" ht="15.75" customHeight="1">
      <c r="A30" s="121"/>
      <c r="B30" s="122"/>
      <c r="C30" s="122"/>
      <c r="D30" s="122"/>
      <c r="E30" s="122"/>
      <c r="F30" s="122"/>
      <c r="G30" s="122"/>
      <c r="H30" s="122"/>
      <c r="I30" s="122"/>
      <c r="J30" s="122"/>
      <c r="K30" s="122"/>
      <c r="L30" s="123"/>
    </row>
    <row r="31" ht="15.75" customHeight="1">
      <c r="A31" s="131"/>
      <c r="B31" s="132"/>
      <c r="C31" s="132"/>
      <c r="D31" s="132"/>
      <c r="E31" s="132"/>
      <c r="F31" s="132"/>
      <c r="G31" s="132"/>
      <c r="H31" s="132"/>
      <c r="I31" s="132"/>
      <c r="J31" s="132"/>
      <c r="K31" s="132"/>
      <c r="L31" s="133"/>
    </row>
    <row r="32" ht="15.75" customHeight="1">
      <c r="A32" s="94"/>
    </row>
    <row r="33" ht="15.75" customHeight="1">
      <c r="A33" s="94"/>
    </row>
    <row r="34" ht="15.75" customHeight="1">
      <c r="A34" s="94"/>
    </row>
    <row r="35" ht="15.75" customHeight="1">
      <c r="A35" s="94"/>
    </row>
    <row r="36" ht="15.75" customHeight="1">
      <c r="A36" s="94"/>
    </row>
    <row r="37" ht="15.75" customHeight="1">
      <c r="A37" s="94"/>
    </row>
    <row r="38" ht="15.75" customHeight="1">
      <c r="A38" s="94"/>
    </row>
    <row r="39" ht="15.75" customHeight="1">
      <c r="A39" s="94"/>
    </row>
    <row r="40" ht="15.75" customHeight="1">
      <c r="A40" s="94"/>
    </row>
    <row r="41" ht="15.75" customHeight="1">
      <c r="A41" s="94"/>
    </row>
    <row r="42" ht="15.75" customHeight="1">
      <c r="A42" s="94"/>
    </row>
    <row r="43" ht="15.75" customHeight="1">
      <c r="A43" s="94"/>
    </row>
    <row r="44" ht="15.75" customHeight="1">
      <c r="A44" s="94"/>
    </row>
    <row r="45" ht="15.75" customHeight="1">
      <c r="A45" s="94"/>
    </row>
    <row r="46" ht="15.75" customHeight="1">
      <c r="A46" s="94"/>
    </row>
    <row r="47" ht="15.75" customHeight="1">
      <c r="A47" s="94"/>
    </row>
    <row r="48" ht="15.75" customHeight="1">
      <c r="A48" s="94"/>
    </row>
    <row r="49" ht="15.75" customHeight="1">
      <c r="A49" s="94"/>
    </row>
    <row r="50" ht="15.75" customHeight="1">
      <c r="A50" s="94"/>
    </row>
    <row r="51" ht="15.75" customHeight="1">
      <c r="A51" s="94"/>
    </row>
    <row r="52" ht="15.75" customHeight="1">
      <c r="A52" s="94"/>
    </row>
    <row r="53" ht="15.75" customHeight="1">
      <c r="A53" s="94"/>
    </row>
    <row r="54" ht="15.75" customHeight="1">
      <c r="A54" s="94"/>
    </row>
    <row r="55" ht="15.75" customHeight="1">
      <c r="A55" s="94"/>
    </row>
    <row r="56" ht="15.75" customHeight="1">
      <c r="A56" s="94"/>
    </row>
    <row r="57" ht="15.75" customHeight="1">
      <c r="A57" s="94"/>
    </row>
    <row r="58" ht="15.75" customHeight="1">
      <c r="A58" s="94"/>
    </row>
    <row r="59" ht="15.75" customHeight="1">
      <c r="A59" s="94"/>
    </row>
    <row r="60" ht="15.75" customHeight="1">
      <c r="A60" s="94"/>
    </row>
    <row r="61" ht="15.75" customHeight="1">
      <c r="A61" s="94"/>
    </row>
    <row r="62" ht="15.75" customHeight="1">
      <c r="A62" s="94"/>
    </row>
    <row r="63" ht="15.75" customHeight="1">
      <c r="A63" s="94"/>
    </row>
    <row r="64" ht="15.75" customHeight="1">
      <c r="A64" s="94"/>
    </row>
    <row r="65" ht="15.75" customHeight="1">
      <c r="A65" s="94"/>
    </row>
    <row r="66" ht="15.75" customHeight="1">
      <c r="A66" s="94"/>
    </row>
    <row r="67" ht="15.75" customHeight="1">
      <c r="A67" s="94"/>
    </row>
    <row r="68" ht="15.75" customHeight="1">
      <c r="A68" s="94"/>
    </row>
    <row r="69" ht="15.75" customHeight="1">
      <c r="A69" s="94"/>
    </row>
    <row r="70" ht="15.75" customHeight="1">
      <c r="A70" s="94"/>
    </row>
    <row r="71" ht="15.75" customHeight="1">
      <c r="A71" s="94"/>
    </row>
    <row r="72" ht="15.75" customHeight="1">
      <c r="A72" s="94"/>
    </row>
    <row r="73" ht="15.75" customHeight="1">
      <c r="A73" s="94"/>
    </row>
    <row r="74" ht="15.75" customHeight="1">
      <c r="A74" s="94"/>
    </row>
    <row r="75" ht="15.75" customHeight="1">
      <c r="A75" s="94"/>
    </row>
    <row r="76" ht="15.75" customHeight="1">
      <c r="A76" s="94"/>
    </row>
    <row r="77" ht="15.75" customHeight="1">
      <c r="A77" s="94"/>
    </row>
    <row r="78" ht="15.75" customHeight="1">
      <c r="A78" s="94"/>
    </row>
    <row r="79" ht="15.75" customHeight="1">
      <c r="A79" s="94"/>
    </row>
    <row r="80" ht="15.75" customHeight="1">
      <c r="A80" s="94"/>
    </row>
    <row r="81" ht="15.75" customHeight="1">
      <c r="A81" s="94"/>
    </row>
    <row r="82" ht="15.75" customHeight="1">
      <c r="A82" s="94"/>
    </row>
    <row r="83" ht="15.75" customHeight="1">
      <c r="A83" s="94"/>
    </row>
    <row r="84" ht="15.75" customHeight="1">
      <c r="A84" s="94"/>
    </row>
    <row r="85" ht="15.75" customHeight="1">
      <c r="A85" s="94"/>
    </row>
    <row r="86" ht="15.75" customHeight="1">
      <c r="A86" s="94"/>
    </row>
    <row r="87" ht="15.75" customHeight="1">
      <c r="A87" s="94"/>
    </row>
    <row r="88" ht="15.75" customHeight="1">
      <c r="A88" s="94"/>
    </row>
    <row r="89" ht="15.75" customHeight="1">
      <c r="A89" s="94"/>
    </row>
    <row r="90" ht="15.75" customHeight="1">
      <c r="A90" s="94"/>
    </row>
    <row r="91" ht="15.75" customHeight="1">
      <c r="A91" s="94"/>
    </row>
    <row r="92" ht="15.75" customHeight="1">
      <c r="A92" s="94"/>
    </row>
    <row r="93" ht="15.75" customHeight="1">
      <c r="A93" s="94"/>
    </row>
    <row r="94" ht="15.75" customHeight="1">
      <c r="A94" s="94"/>
    </row>
    <row r="95" ht="15.75" customHeight="1">
      <c r="A95" s="94"/>
    </row>
    <row r="96" ht="15.75" customHeight="1">
      <c r="A96" s="94"/>
    </row>
    <row r="97" ht="15.75" customHeight="1">
      <c r="A97" s="94"/>
    </row>
    <row r="98" ht="15.75" customHeight="1">
      <c r="A98" s="94"/>
    </row>
    <row r="99" ht="15.75" customHeight="1">
      <c r="A99" s="94"/>
    </row>
    <row r="100" ht="15.75" customHeight="1">
      <c r="A100" s="94"/>
    </row>
    <row r="101" ht="15.75" customHeight="1">
      <c r="A101" s="94"/>
    </row>
    <row r="102" ht="15.75" customHeight="1">
      <c r="A102" s="94"/>
    </row>
    <row r="103" ht="15.75" customHeight="1">
      <c r="A103" s="94"/>
    </row>
    <row r="104" ht="15.75" customHeight="1">
      <c r="A104" s="94"/>
    </row>
    <row r="105" ht="15.75" customHeight="1">
      <c r="A105" s="94"/>
    </row>
    <row r="106" ht="15.75" customHeight="1">
      <c r="A106" s="94"/>
    </row>
    <row r="107" ht="15.75" customHeight="1">
      <c r="A107" s="94"/>
    </row>
    <row r="108" ht="15.75" customHeight="1">
      <c r="A108" s="94"/>
    </row>
    <row r="109" ht="15.75" customHeight="1">
      <c r="A109" s="94"/>
    </row>
    <row r="110" ht="15.75" customHeight="1">
      <c r="A110" s="94"/>
    </row>
    <row r="111" ht="15.75" customHeight="1">
      <c r="A111" s="94"/>
    </row>
    <row r="112" ht="15.75" customHeight="1">
      <c r="A112" s="94"/>
    </row>
    <row r="113" ht="15.75" customHeight="1">
      <c r="A113" s="94"/>
    </row>
    <row r="114" ht="15.75" customHeight="1">
      <c r="A114" s="94"/>
    </row>
    <row r="115" ht="15.75" customHeight="1">
      <c r="A115" s="94"/>
    </row>
    <row r="116" ht="15.75" customHeight="1">
      <c r="A116" s="94"/>
    </row>
    <row r="117" ht="15.75" customHeight="1">
      <c r="A117" s="94"/>
    </row>
    <row r="118" ht="15.75" customHeight="1">
      <c r="A118" s="94"/>
    </row>
    <row r="119" ht="15.75" customHeight="1">
      <c r="A119" s="94"/>
    </row>
    <row r="120" ht="15.75" customHeight="1">
      <c r="A120" s="94"/>
    </row>
    <row r="121" ht="15.75" customHeight="1">
      <c r="A121" s="94"/>
    </row>
    <row r="122" ht="15.75" customHeight="1">
      <c r="A122" s="94"/>
    </row>
    <row r="123" ht="15.75" customHeight="1">
      <c r="A123" s="94"/>
    </row>
    <row r="124" ht="15.75" customHeight="1">
      <c r="A124" s="94"/>
    </row>
    <row r="125" ht="15.75" customHeight="1">
      <c r="A125" s="94"/>
    </row>
    <row r="126" ht="15.75" customHeight="1">
      <c r="A126" s="94"/>
    </row>
    <row r="127" ht="15.75" customHeight="1">
      <c r="A127" s="94"/>
    </row>
    <row r="128" ht="15.75" customHeight="1">
      <c r="A128" s="94"/>
    </row>
    <row r="129" ht="15.75" customHeight="1">
      <c r="A129" s="94"/>
    </row>
    <row r="130" ht="15.75" customHeight="1">
      <c r="A130" s="94"/>
    </row>
    <row r="131" ht="15.75" customHeight="1">
      <c r="A131" s="94"/>
    </row>
    <row r="132" ht="15.75" customHeight="1">
      <c r="A132" s="94"/>
    </row>
    <row r="133" ht="15.75" customHeight="1">
      <c r="A133" s="94"/>
    </row>
    <row r="134" ht="15.75" customHeight="1">
      <c r="A134" s="94"/>
    </row>
    <row r="135" ht="15.75" customHeight="1">
      <c r="A135" s="94"/>
    </row>
    <row r="136" ht="15.75" customHeight="1">
      <c r="A136" s="94"/>
    </row>
    <row r="137" ht="15.75" customHeight="1">
      <c r="A137" s="94"/>
    </row>
    <row r="138" ht="15.75" customHeight="1">
      <c r="A138" s="94"/>
    </row>
    <row r="139" ht="15.75" customHeight="1">
      <c r="A139" s="94"/>
    </row>
    <row r="140" ht="15.75" customHeight="1">
      <c r="A140" s="94"/>
    </row>
    <row r="141" ht="15.75" customHeight="1">
      <c r="A141" s="94"/>
    </row>
    <row r="142" ht="15.75" customHeight="1">
      <c r="A142" s="94"/>
    </row>
    <row r="143" ht="15.75" customHeight="1">
      <c r="A143" s="94"/>
    </row>
    <row r="144" ht="15.75" customHeight="1">
      <c r="A144" s="94"/>
    </row>
    <row r="145" ht="15.75" customHeight="1">
      <c r="A145" s="94"/>
    </row>
    <row r="146" ht="15.75" customHeight="1">
      <c r="A146" s="94"/>
    </row>
    <row r="147" ht="15.75" customHeight="1">
      <c r="A147" s="94"/>
    </row>
    <row r="148" ht="15.75" customHeight="1">
      <c r="A148" s="94"/>
    </row>
    <row r="149" ht="15.75" customHeight="1">
      <c r="A149" s="94"/>
    </row>
    <row r="150" ht="15.75" customHeight="1">
      <c r="A150" s="94"/>
    </row>
    <row r="151" ht="15.75" customHeight="1">
      <c r="A151" s="94"/>
    </row>
    <row r="152" ht="15.75" customHeight="1">
      <c r="A152" s="94"/>
    </row>
    <row r="153" ht="15.75" customHeight="1">
      <c r="A153" s="94"/>
    </row>
    <row r="154" ht="15.75" customHeight="1">
      <c r="A154" s="94"/>
    </row>
    <row r="155" ht="15.75" customHeight="1">
      <c r="A155" s="94"/>
    </row>
    <row r="156" ht="15.75" customHeight="1">
      <c r="A156" s="94"/>
    </row>
    <row r="157" ht="15.75" customHeight="1">
      <c r="A157" s="94"/>
    </row>
    <row r="158" ht="15.75" customHeight="1">
      <c r="A158" s="94"/>
    </row>
    <row r="159" ht="15.75" customHeight="1">
      <c r="A159" s="94"/>
    </row>
    <row r="160" ht="15.75" customHeight="1">
      <c r="A160" s="94"/>
    </row>
    <row r="161" ht="15.75" customHeight="1">
      <c r="A161" s="94"/>
    </row>
    <row r="162" ht="15.75" customHeight="1">
      <c r="A162" s="94"/>
    </row>
    <row r="163" ht="15.75" customHeight="1">
      <c r="A163" s="94"/>
    </row>
    <row r="164" ht="15.75" customHeight="1">
      <c r="A164" s="94"/>
    </row>
    <row r="165" ht="15.75" customHeight="1">
      <c r="A165" s="94"/>
    </row>
    <row r="166" ht="15.75" customHeight="1">
      <c r="A166" s="94"/>
    </row>
    <row r="167" ht="15.75" customHeight="1">
      <c r="A167" s="94"/>
    </row>
    <row r="168" ht="15.75" customHeight="1">
      <c r="A168" s="94"/>
    </row>
    <row r="169" ht="15.75" customHeight="1">
      <c r="A169" s="94"/>
    </row>
    <row r="170" ht="15.75" customHeight="1">
      <c r="A170" s="94"/>
    </row>
    <row r="171" ht="15.75" customHeight="1">
      <c r="A171" s="94"/>
    </row>
    <row r="172" ht="15.75" customHeight="1">
      <c r="A172" s="94"/>
    </row>
    <row r="173" ht="15.75" customHeight="1">
      <c r="A173" s="94"/>
    </row>
    <row r="174" ht="15.75" customHeight="1">
      <c r="A174" s="94"/>
    </row>
    <row r="175" ht="15.75" customHeight="1">
      <c r="A175" s="94"/>
    </row>
    <row r="176" ht="15.75" customHeight="1">
      <c r="A176" s="94"/>
    </row>
    <row r="177" ht="15.75" customHeight="1">
      <c r="A177" s="94"/>
    </row>
    <row r="178" ht="15.75" customHeight="1">
      <c r="A178" s="94"/>
    </row>
    <row r="179" ht="15.75" customHeight="1">
      <c r="A179" s="94"/>
    </row>
    <row r="180" ht="15.75" customHeight="1">
      <c r="A180" s="94"/>
    </row>
    <row r="181" ht="15.75" customHeight="1">
      <c r="A181" s="94"/>
    </row>
    <row r="182" ht="15.75" customHeight="1">
      <c r="A182" s="94"/>
    </row>
    <row r="183" ht="15.75" customHeight="1">
      <c r="A183" s="94"/>
    </row>
    <row r="184" ht="15.75" customHeight="1">
      <c r="A184" s="94"/>
    </row>
    <row r="185" ht="15.75" customHeight="1">
      <c r="A185" s="94"/>
    </row>
    <row r="186" ht="15.75" customHeight="1">
      <c r="A186" s="94"/>
    </row>
    <row r="187" ht="15.75" customHeight="1">
      <c r="A187" s="94"/>
    </row>
    <row r="188" ht="15.75" customHeight="1">
      <c r="A188" s="94"/>
    </row>
    <row r="189" ht="15.75" customHeight="1">
      <c r="A189" s="94"/>
    </row>
    <row r="190" ht="15.75" customHeight="1">
      <c r="A190" s="94"/>
    </row>
    <row r="191" ht="15.75" customHeight="1">
      <c r="A191" s="94"/>
    </row>
    <row r="192" ht="15.75" customHeight="1">
      <c r="A192" s="94"/>
    </row>
    <row r="193" ht="15.75" customHeight="1">
      <c r="A193" s="94"/>
    </row>
    <row r="194" ht="15.75" customHeight="1">
      <c r="A194" s="94"/>
    </row>
    <row r="195" ht="15.75" customHeight="1">
      <c r="A195" s="94"/>
    </row>
    <row r="196" ht="15.75" customHeight="1">
      <c r="A196" s="94"/>
    </row>
    <row r="197" ht="15.75" customHeight="1">
      <c r="A197" s="94"/>
    </row>
    <row r="198" ht="15.75" customHeight="1">
      <c r="A198" s="94"/>
    </row>
    <row r="199" ht="15.75" customHeight="1">
      <c r="A199" s="94"/>
    </row>
    <row r="200" ht="15.75" customHeight="1">
      <c r="A200" s="94"/>
    </row>
    <row r="201" ht="15.75" customHeight="1">
      <c r="A201" s="94"/>
    </row>
    <row r="202" ht="15.75" customHeight="1">
      <c r="A202" s="94"/>
    </row>
    <row r="203" ht="15.75" customHeight="1">
      <c r="A203" s="94"/>
    </row>
    <row r="204" ht="15.75" customHeight="1">
      <c r="A204" s="94"/>
    </row>
    <row r="205" ht="15.75" customHeight="1">
      <c r="A205" s="94"/>
    </row>
    <row r="206" ht="15.75" customHeight="1">
      <c r="A206" s="94"/>
    </row>
    <row r="207" ht="15.75" customHeight="1">
      <c r="A207" s="94"/>
    </row>
    <row r="208" ht="15.75" customHeight="1">
      <c r="A208" s="94"/>
    </row>
    <row r="209" ht="15.75" customHeight="1">
      <c r="A209" s="94"/>
    </row>
    <row r="210" ht="15.75" customHeight="1">
      <c r="A210" s="94"/>
    </row>
    <row r="211" ht="15.75" customHeight="1">
      <c r="A211" s="94"/>
    </row>
    <row r="212" ht="15.75" customHeight="1">
      <c r="A212" s="94"/>
    </row>
    <row r="213" ht="15.75" customHeight="1">
      <c r="A213" s="94"/>
    </row>
    <row r="214" ht="15.75" customHeight="1">
      <c r="A214" s="94"/>
    </row>
    <row r="215" ht="15.75" customHeight="1">
      <c r="A215" s="94"/>
    </row>
    <row r="216" ht="15.75" customHeight="1">
      <c r="A216" s="94"/>
    </row>
    <row r="217" ht="15.75" customHeight="1">
      <c r="A217" s="94"/>
    </row>
    <row r="218" ht="15.75" customHeight="1">
      <c r="A218" s="94"/>
    </row>
    <row r="219" ht="15.75" customHeight="1">
      <c r="A219" s="94"/>
    </row>
    <row r="220" ht="15.75" customHeight="1">
      <c r="A220" s="94"/>
    </row>
    <row r="221" ht="15.75" customHeight="1">
      <c r="A221" s="94"/>
    </row>
    <row r="222" ht="15.75" customHeight="1">
      <c r="A222" s="94"/>
    </row>
    <row r="223" ht="15.75" customHeight="1">
      <c r="A223" s="94"/>
    </row>
    <row r="224" ht="15.75" customHeight="1">
      <c r="A224" s="94"/>
    </row>
    <row r="225" ht="15.75" customHeight="1">
      <c r="A225" s="94"/>
    </row>
    <row r="226" ht="15.75" customHeight="1">
      <c r="A226" s="94"/>
    </row>
    <row r="227" ht="15.75" customHeight="1">
      <c r="A227" s="94"/>
    </row>
    <row r="228" ht="15.75" customHeight="1">
      <c r="A228" s="94"/>
    </row>
    <row r="229" ht="15.75" customHeight="1">
      <c r="A229" s="9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min="4" max="4" width="14.13"/>
    <col customWidth="1" min="5" max="5" width="12.63"/>
    <col customWidth="1" min="6" max="6" width="17.38"/>
  </cols>
  <sheetData>
    <row r="1" ht="15.75" customHeight="1">
      <c r="A1" s="14" t="s">
        <v>332</v>
      </c>
      <c r="B1" s="14" t="s">
        <v>213</v>
      </c>
      <c r="C1" s="14" t="s">
        <v>333</v>
      </c>
      <c r="D1" s="14" t="s">
        <v>334</v>
      </c>
      <c r="E1" s="14" t="s">
        <v>335</v>
      </c>
      <c r="F1" s="14" t="s">
        <v>336</v>
      </c>
      <c r="G1" s="14" t="s">
        <v>337</v>
      </c>
      <c r="H1" s="14" t="s">
        <v>338</v>
      </c>
    </row>
    <row r="2" ht="15.75" customHeight="1">
      <c r="A2" s="14">
        <v>11.0</v>
      </c>
      <c r="B2" s="14" t="s">
        <v>297</v>
      </c>
      <c r="C2" s="14" t="str">
        <f>Objetos!A3</f>
        <v>Equipo Cultista</v>
      </c>
      <c r="D2" s="14" t="str">
        <f>Objetos!E3</f>
        <v>1d20 ( +10)</v>
      </c>
      <c r="E2" s="14" t="str">
        <f>Enemigos!A2</f>
        <v>Cultista</v>
      </c>
      <c r="F2" s="14" t="s">
        <v>339</v>
      </c>
      <c r="G2" s="14">
        <f>Enemigos!B2</f>
        <v>29</v>
      </c>
      <c r="H2" s="134">
        <v>25.0</v>
      </c>
    </row>
    <row r="3" ht="15.75" customHeight="1">
      <c r="A3" s="14">
        <v>1.9</v>
      </c>
      <c r="B3" s="14" t="s">
        <v>297</v>
      </c>
      <c r="C3" s="14" t="str">
        <f>Objetos!A7</f>
        <v>Equipo Venides</v>
      </c>
      <c r="D3" s="14" t="str">
        <f>Objetos!E7</f>
        <v>1d20 (+23)</v>
      </c>
      <c r="E3" s="14" t="str">
        <f>Enemigos!A4</f>
        <v>Venides</v>
      </c>
      <c r="F3" s="14" t="s">
        <v>339</v>
      </c>
      <c r="G3" s="14">
        <v>1.0</v>
      </c>
      <c r="H3" s="14">
        <v>100.0</v>
      </c>
    </row>
    <row r="4" ht="15.75" customHeight="1">
      <c r="A4" s="14">
        <v>0.3</v>
      </c>
      <c r="B4" s="14" t="s">
        <v>340</v>
      </c>
      <c r="C4" s="14" t="str">
        <f>Objetos!A23</f>
        <v>Equipo Soldado</v>
      </c>
      <c r="D4" s="14" t="str">
        <f>Objetos!E23</f>
        <v>1d20 (+23)</v>
      </c>
      <c r="E4" s="14" t="str">
        <f>Enemigos!A3</f>
        <v>Guard</v>
      </c>
      <c r="F4" s="14" t="s">
        <v>339</v>
      </c>
      <c r="G4" s="14">
        <v>20.0</v>
      </c>
      <c r="H4" s="14">
        <v>25.0</v>
      </c>
    </row>
    <row r="5" ht="15.75" customHeight="1">
      <c r="A5" s="14">
        <v>0.6</v>
      </c>
      <c r="B5" s="14" t="s">
        <v>297</v>
      </c>
      <c r="C5" s="14" t="str">
        <f>Objetos!A11</f>
        <v>Equipo Edul</v>
      </c>
      <c r="D5" s="14" t="str">
        <f>Objetos!E11</f>
        <v>1d20 ( +25)</v>
      </c>
      <c r="E5" s="14" t="str">
        <f>Enemigos!A5</f>
        <v>Edul</v>
      </c>
      <c r="F5" s="14" t="s">
        <v>339</v>
      </c>
      <c r="G5" s="14">
        <v>1.0</v>
      </c>
      <c r="H5" s="14">
        <v>225.0</v>
      </c>
    </row>
    <row r="6" ht="15.75" customHeight="1">
      <c r="A6" s="14">
        <v>0.7</v>
      </c>
      <c r="B6" s="14" t="s">
        <v>297</v>
      </c>
      <c r="C6" s="14" t="str">
        <f>Objetos!A15</f>
        <v>Equipo Venira</v>
      </c>
      <c r="D6" s="14" t="str">
        <f>Objetos!E15</f>
        <v>1d20 ( +25)</v>
      </c>
      <c r="E6" s="14" t="str">
        <f>Enemigos!A6</f>
        <v>Venira</v>
      </c>
      <c r="F6" s="14" t="s">
        <v>339</v>
      </c>
      <c r="G6" s="14">
        <v>1.0</v>
      </c>
      <c r="H6" s="14">
        <v>225.0</v>
      </c>
    </row>
    <row r="7" ht="15.75" customHeight="1">
      <c r="A7" s="14">
        <v>50.0</v>
      </c>
      <c r="B7" s="14" t="s">
        <v>297</v>
      </c>
      <c r="C7" s="14" t="str">
        <f>Objetos!A19</f>
        <v>Equipo Sandes</v>
      </c>
      <c r="D7" s="14" t="str">
        <f>Objetos!E19</f>
        <v>1d20 ( +10)</v>
      </c>
      <c r="E7" s="14" t="str">
        <f>Enemigos!A11</f>
        <v>Sandes</v>
      </c>
      <c r="F7" s="14" t="s">
        <v>339</v>
      </c>
      <c r="G7" s="14">
        <v>1.0</v>
      </c>
      <c r="H7" s="14">
        <v>450.0</v>
      </c>
    </row>
    <row r="8" ht="15.75" customHeight="1">
      <c r="B8" s="14"/>
      <c r="F8" s="14"/>
    </row>
    <row r="9" ht="15.75" customHeight="1">
      <c r="B9" s="14"/>
      <c r="F9" s="14"/>
    </row>
    <row r="10" ht="15.75" customHeight="1">
      <c r="B10" s="14"/>
      <c r="F10" s="14"/>
    </row>
    <row r="11" ht="15.75" customHeight="1">
      <c r="B11" s="14"/>
      <c r="F11" s="14"/>
    </row>
    <row r="12" ht="15.75" customHeight="1">
      <c r="B12" s="14"/>
      <c r="F12" s="14"/>
    </row>
    <row r="13" ht="15.75" customHeight="1">
      <c r="B13" s="14"/>
      <c r="F13" s="14"/>
    </row>
    <row r="14" ht="15.75" customHeight="1">
      <c r="B14" s="14"/>
      <c r="F14" s="14"/>
    </row>
    <row r="15" ht="15.75" customHeight="1">
      <c r="B15" s="14"/>
      <c r="F15" s="14"/>
    </row>
    <row r="16" ht="15.75" customHeight="1">
      <c r="B16" s="14"/>
      <c r="F16" s="14"/>
    </row>
    <row r="17" ht="15.75" customHeight="1">
      <c r="B17" s="14"/>
      <c r="F17" s="14"/>
    </row>
    <row r="18" ht="15.75" customHeight="1">
      <c r="B18" s="14"/>
      <c r="F18" s="14"/>
    </row>
    <row r="19" ht="15.75" customHeight="1">
      <c r="B19" s="14"/>
      <c r="F19" s="14"/>
    </row>
    <row r="20" ht="15.75" customHeight="1">
      <c r="B20" s="14"/>
      <c r="F20" s="14"/>
    </row>
    <row r="21" ht="15.75" customHeight="1">
      <c r="B21" s="14"/>
      <c r="F21" s="14"/>
    </row>
    <row r="22" ht="15.75" customHeight="1">
      <c r="B22" s="14"/>
      <c r="F22" s="14"/>
    </row>
    <row r="23" ht="15.75" customHeight="1">
      <c r="B23" s="14"/>
      <c r="F23" s="14"/>
    </row>
    <row r="24" ht="15.75" customHeight="1">
      <c r="B24" s="14"/>
      <c r="F24" s="14"/>
    </row>
    <row r="25" ht="15.75" customHeight="1">
      <c r="B25" s="14"/>
      <c r="F25" s="14"/>
    </row>
    <row r="26" ht="15.75" customHeight="1">
      <c r="B26" s="14"/>
      <c r="F26" s="14"/>
    </row>
    <row r="27" ht="15.75" customHeight="1">
      <c r="B27" s="14"/>
      <c r="F27" s="14"/>
    </row>
    <row r="28" ht="15.75" customHeight="1">
      <c r="B28" s="14"/>
      <c r="F28" s="14"/>
    </row>
    <row r="29" ht="15.75" customHeight="1">
      <c r="B29" s="14"/>
      <c r="F29" s="14"/>
    </row>
    <row r="30" ht="15.75" customHeight="1">
      <c r="B30" s="14"/>
      <c r="F30" s="14"/>
    </row>
    <row r="31" ht="15.75" customHeight="1">
      <c r="B31" s="14"/>
      <c r="F31" s="14"/>
    </row>
    <row r="32" ht="15.75" customHeight="1">
      <c r="B32" s="14"/>
      <c r="F32" s="14"/>
    </row>
    <row r="33" ht="15.75" customHeight="1">
      <c r="B33" s="14"/>
      <c r="F33" s="14"/>
    </row>
    <row r="34" ht="15.75" customHeight="1">
      <c r="B34" s="14"/>
      <c r="F34" s="14"/>
    </row>
    <row r="35" ht="15.75" customHeight="1">
      <c r="B35" s="14"/>
      <c r="F35" s="14"/>
    </row>
    <row r="36" ht="15.75" customHeight="1">
      <c r="B36" s="14"/>
      <c r="F36" s="14"/>
    </row>
    <row r="37" ht="15.75" customHeight="1">
      <c r="B37" s="14"/>
      <c r="F37" s="14"/>
    </row>
    <row r="38" ht="15.75" customHeight="1">
      <c r="B38" s="14"/>
      <c r="F38" s="14"/>
    </row>
    <row r="39" ht="15.75" customHeight="1">
      <c r="B39" s="14"/>
      <c r="F39" s="14"/>
    </row>
    <row r="40" ht="15.75" customHeight="1">
      <c r="B40" s="14"/>
      <c r="F40" s="14"/>
    </row>
    <row r="41" ht="15.75" customHeight="1">
      <c r="B41" s="14"/>
      <c r="F41" s="14"/>
    </row>
    <row r="42" ht="15.75" customHeight="1">
      <c r="B42" s="14"/>
      <c r="F42" s="14"/>
    </row>
    <row r="43" ht="15.75" customHeight="1">
      <c r="B43" s="14"/>
      <c r="F43" s="14"/>
    </row>
    <row r="44" ht="15.75" customHeight="1">
      <c r="B44" s="14"/>
      <c r="F44" s="14"/>
    </row>
    <row r="45" ht="15.75" customHeight="1">
      <c r="B45" s="14"/>
      <c r="F45" s="14"/>
    </row>
    <row r="46" ht="15.75" customHeight="1">
      <c r="B46" s="14"/>
      <c r="F46" s="14"/>
    </row>
    <row r="47" ht="15.75" customHeight="1">
      <c r="B47" s="14"/>
      <c r="F47" s="14"/>
    </row>
    <row r="48" ht="15.75" customHeight="1">
      <c r="B48" s="14"/>
      <c r="F48" s="14"/>
    </row>
    <row r="49" ht="15.75" customHeight="1">
      <c r="B49" s="14"/>
      <c r="F49" s="14"/>
    </row>
    <row r="50" ht="15.75" customHeight="1">
      <c r="B50" s="14"/>
      <c r="F50" s="14"/>
    </row>
    <row r="51" ht="15.75" customHeight="1">
      <c r="B51" s="14"/>
      <c r="F51" s="14"/>
    </row>
    <row r="52" ht="15.75" customHeight="1">
      <c r="B52" s="14"/>
      <c r="F52" s="14"/>
    </row>
    <row r="53" ht="15.75" customHeight="1">
      <c r="B53" s="14"/>
      <c r="F53" s="14"/>
    </row>
    <row r="54" ht="15.75" customHeight="1">
      <c r="B54" s="14"/>
      <c r="F54" s="14"/>
    </row>
    <row r="55" ht="15.75" customHeight="1">
      <c r="B55" s="14"/>
      <c r="F55" s="14"/>
    </row>
    <row r="56" ht="15.75" customHeight="1">
      <c r="B56" s="14"/>
      <c r="F56" s="14"/>
    </row>
    <row r="57" ht="15.75" customHeight="1">
      <c r="B57" s="14"/>
      <c r="F57" s="14"/>
    </row>
    <row r="58" ht="15.75" customHeight="1">
      <c r="B58" s="14"/>
      <c r="F58" s="14"/>
    </row>
    <row r="59" ht="15.75" customHeight="1">
      <c r="B59" s="14"/>
      <c r="F59" s="14"/>
    </row>
    <row r="60" ht="15.75" customHeight="1">
      <c r="B60" s="14"/>
      <c r="F60" s="14"/>
    </row>
    <row r="61" ht="15.75" customHeight="1">
      <c r="B61" s="14"/>
      <c r="F61" s="14"/>
    </row>
    <row r="62" ht="15.75" customHeight="1">
      <c r="B62" s="14"/>
      <c r="F62" s="14"/>
    </row>
    <row r="63" ht="15.75" customHeight="1">
      <c r="B63" s="14"/>
      <c r="F63" s="14"/>
    </row>
    <row r="64" ht="15.75" customHeight="1">
      <c r="B64" s="14"/>
      <c r="F64" s="14"/>
    </row>
    <row r="65" ht="15.75" customHeight="1">
      <c r="B65" s="14"/>
      <c r="F65" s="14"/>
    </row>
    <row r="66" ht="15.75" customHeight="1">
      <c r="B66" s="14"/>
      <c r="F66" s="14"/>
    </row>
    <row r="67" ht="15.75" customHeight="1">
      <c r="B67" s="14"/>
      <c r="F67" s="14"/>
    </row>
    <row r="68" ht="15.75" customHeight="1">
      <c r="B68" s="14"/>
      <c r="F68" s="14"/>
    </row>
    <row r="69" ht="15.75" customHeight="1">
      <c r="B69" s="14"/>
      <c r="F69" s="14"/>
    </row>
    <row r="70" ht="15.75" customHeight="1">
      <c r="B70" s="14"/>
      <c r="F70" s="14"/>
    </row>
    <row r="71" ht="15.75" customHeight="1">
      <c r="B71" s="14"/>
      <c r="F71" s="14"/>
    </row>
    <row r="72" ht="15.75" customHeight="1">
      <c r="B72" s="14"/>
      <c r="F72" s="14"/>
    </row>
    <row r="73" ht="15.75" customHeight="1">
      <c r="B73" s="14"/>
      <c r="F73" s="14"/>
    </row>
    <row r="74" ht="15.75" customHeight="1">
      <c r="B74" s="14"/>
      <c r="F74" s="14"/>
    </row>
    <row r="75" ht="15.75" customHeight="1">
      <c r="B75" s="14"/>
      <c r="F75" s="14"/>
    </row>
    <row r="76" ht="15.75" customHeight="1">
      <c r="B76" s="14"/>
      <c r="F76" s="14"/>
    </row>
    <row r="77" ht="15.75" customHeight="1">
      <c r="B77" s="14"/>
      <c r="F77" s="14"/>
    </row>
    <row r="78" ht="15.75" customHeight="1">
      <c r="B78" s="14"/>
      <c r="F78" s="14"/>
    </row>
    <row r="79" ht="15.75" customHeight="1">
      <c r="B79" s="14"/>
      <c r="F79" s="14"/>
    </row>
    <row r="80" ht="15.75" customHeight="1">
      <c r="B80" s="14"/>
      <c r="F80" s="14"/>
    </row>
    <row r="81" ht="15.75" customHeight="1">
      <c r="B81" s="14"/>
      <c r="F81" s="14"/>
    </row>
    <row r="82" ht="15.75" customHeight="1">
      <c r="B82" s="14"/>
      <c r="F82" s="14"/>
    </row>
    <row r="83" ht="15.75" customHeight="1">
      <c r="B83" s="14"/>
      <c r="F83" s="14"/>
    </row>
    <row r="84" ht="15.75" customHeight="1">
      <c r="B84" s="14"/>
      <c r="F84" s="14"/>
    </row>
    <row r="85" ht="15.75" customHeight="1">
      <c r="B85" s="14"/>
      <c r="F85" s="14"/>
    </row>
    <row r="86" ht="15.75" customHeight="1">
      <c r="B86" s="14"/>
      <c r="F86" s="14"/>
    </row>
    <row r="87" ht="15.75" customHeight="1">
      <c r="B87" s="14"/>
      <c r="F87" s="14"/>
    </row>
    <row r="88" ht="15.75" customHeight="1">
      <c r="B88" s="14"/>
      <c r="F88" s="14"/>
    </row>
    <row r="89" ht="15.75" customHeight="1">
      <c r="B89" s="14"/>
      <c r="F89" s="14"/>
    </row>
    <row r="90" ht="15.75" customHeight="1">
      <c r="B90" s="14"/>
      <c r="F90" s="14"/>
    </row>
    <row r="91" ht="15.75" customHeight="1">
      <c r="B91" s="14"/>
      <c r="F91" s="14"/>
    </row>
    <row r="92" ht="15.75" customHeight="1">
      <c r="B92" s="14"/>
      <c r="F92" s="14"/>
    </row>
    <row r="93" ht="15.75" customHeight="1">
      <c r="B93" s="14"/>
      <c r="F93" s="14"/>
    </row>
    <row r="94" ht="15.75" customHeight="1">
      <c r="B94" s="14"/>
      <c r="F94" s="14"/>
    </row>
    <row r="95" ht="15.75" customHeight="1">
      <c r="B95" s="14"/>
      <c r="F95" s="14"/>
    </row>
    <row r="96" ht="15.75" customHeight="1">
      <c r="B96" s="14"/>
      <c r="F96" s="14"/>
    </row>
    <row r="97" ht="15.75" customHeight="1">
      <c r="B97" s="14"/>
      <c r="F97" s="14"/>
    </row>
    <row r="98" ht="15.75" customHeight="1">
      <c r="B98" s="14"/>
      <c r="F98" s="14"/>
    </row>
    <row r="99" ht="15.75" customHeight="1">
      <c r="B99" s="14"/>
      <c r="F99" s="14"/>
    </row>
    <row r="100" ht="15.75" customHeight="1">
      <c r="B100" s="14"/>
      <c r="F100" s="14"/>
    </row>
    <row r="101" ht="15.75" customHeight="1">
      <c r="B101" s="14"/>
      <c r="F101" s="14"/>
    </row>
    <row r="102" ht="15.75" customHeight="1">
      <c r="B102" s="14"/>
      <c r="F102" s="14"/>
    </row>
    <row r="103" ht="15.75" customHeight="1">
      <c r="B103" s="14"/>
      <c r="F103" s="14"/>
    </row>
    <row r="104" ht="15.75" customHeight="1">
      <c r="B104" s="14"/>
      <c r="F104" s="14"/>
    </row>
    <row r="105" ht="15.75" customHeight="1">
      <c r="B105" s="14"/>
      <c r="F105" s="14"/>
    </row>
    <row r="106" ht="15.75" customHeight="1">
      <c r="B106" s="14"/>
      <c r="F106" s="14"/>
    </row>
    <row r="107" ht="15.75" customHeight="1">
      <c r="B107" s="14"/>
      <c r="F107" s="14"/>
    </row>
    <row r="108" ht="15.75" customHeight="1">
      <c r="B108" s="14"/>
      <c r="F108" s="14"/>
    </row>
    <row r="109" ht="15.75" customHeight="1">
      <c r="B109" s="14"/>
      <c r="F109" s="14"/>
    </row>
    <row r="110" ht="15.75" customHeight="1">
      <c r="B110" s="14"/>
      <c r="F110" s="14"/>
    </row>
    <row r="111" ht="15.75" customHeight="1">
      <c r="B111" s="14"/>
      <c r="F111" s="14"/>
    </row>
    <row r="112" ht="15.75" customHeight="1">
      <c r="B112" s="14"/>
      <c r="F112" s="14"/>
    </row>
    <row r="113" ht="15.75" customHeight="1">
      <c r="B113" s="14"/>
      <c r="F113" s="14"/>
    </row>
    <row r="114" ht="15.75" customHeight="1">
      <c r="B114" s="14"/>
      <c r="F114" s="14"/>
    </row>
    <row r="115" ht="15.75" customHeight="1">
      <c r="B115" s="14"/>
      <c r="F115" s="14"/>
    </row>
    <row r="116" ht="15.75" customHeight="1">
      <c r="B116" s="14"/>
      <c r="F116" s="14"/>
    </row>
    <row r="117" ht="15.75" customHeight="1">
      <c r="B117" s="14"/>
      <c r="F117" s="14"/>
    </row>
    <row r="118" ht="15.75" customHeight="1">
      <c r="B118" s="14"/>
      <c r="F118" s="14"/>
    </row>
    <row r="119" ht="15.75" customHeight="1">
      <c r="B119" s="14"/>
      <c r="F119" s="14"/>
    </row>
    <row r="120" ht="15.75" customHeight="1">
      <c r="B120" s="14"/>
      <c r="F120" s="14"/>
    </row>
    <row r="121" ht="15.75" customHeight="1">
      <c r="B121" s="14"/>
      <c r="F121" s="14"/>
    </row>
    <row r="122" ht="15.75" customHeight="1">
      <c r="B122" s="14"/>
      <c r="F122" s="14"/>
    </row>
    <row r="123" ht="15.75" customHeight="1">
      <c r="B123" s="14"/>
      <c r="F123" s="14"/>
    </row>
    <row r="124" ht="15.75" customHeight="1">
      <c r="B124" s="14"/>
      <c r="F124" s="14"/>
    </row>
    <row r="125" ht="15.75" customHeight="1">
      <c r="B125" s="14"/>
      <c r="F125" s="14"/>
    </row>
    <row r="126" ht="15.75" customHeight="1">
      <c r="B126" s="14"/>
      <c r="F126" s="14"/>
    </row>
    <row r="127" ht="15.75" customHeight="1">
      <c r="B127" s="14"/>
      <c r="F127" s="14"/>
    </row>
    <row r="128" ht="15.75" customHeight="1">
      <c r="B128" s="14"/>
      <c r="F128" s="14"/>
    </row>
    <row r="129" ht="15.75" customHeight="1">
      <c r="B129" s="14"/>
      <c r="F129" s="14"/>
    </row>
    <row r="130" ht="15.75" customHeight="1">
      <c r="B130" s="14"/>
      <c r="F130" s="14"/>
    </row>
    <row r="131" ht="15.75" customHeight="1">
      <c r="B131" s="14"/>
      <c r="F131" s="14"/>
    </row>
    <row r="132" ht="15.75" customHeight="1">
      <c r="B132" s="14"/>
      <c r="F132" s="14"/>
    </row>
    <row r="133" ht="15.75" customHeight="1">
      <c r="B133" s="14"/>
      <c r="F133" s="14"/>
    </row>
    <row r="134" ht="15.75" customHeight="1">
      <c r="B134" s="14"/>
      <c r="F134" s="14"/>
    </row>
    <row r="135" ht="15.75" customHeight="1">
      <c r="B135" s="14"/>
      <c r="F135" s="14"/>
    </row>
    <row r="136" ht="15.75" customHeight="1">
      <c r="B136" s="14"/>
      <c r="F136" s="14"/>
    </row>
    <row r="137" ht="15.75" customHeight="1">
      <c r="B137" s="14"/>
      <c r="F137" s="14"/>
    </row>
    <row r="138" ht="15.75" customHeight="1">
      <c r="B138" s="14"/>
      <c r="F138" s="14"/>
    </row>
    <row r="139" ht="15.75" customHeight="1">
      <c r="B139" s="14"/>
      <c r="F139" s="14"/>
    </row>
    <row r="140" ht="15.75" customHeight="1">
      <c r="B140" s="14"/>
      <c r="F140" s="14"/>
    </row>
    <row r="141" ht="15.75" customHeight="1">
      <c r="B141" s="14"/>
      <c r="F141" s="14"/>
    </row>
    <row r="142" ht="15.75" customHeight="1">
      <c r="B142" s="14"/>
      <c r="F142" s="14"/>
    </row>
    <row r="143" ht="15.75" customHeight="1">
      <c r="B143" s="14"/>
      <c r="F143" s="14"/>
    </row>
    <row r="144" ht="15.75" customHeight="1">
      <c r="B144" s="14"/>
      <c r="F144" s="14"/>
    </row>
    <row r="145" ht="15.75" customHeight="1">
      <c r="B145" s="14"/>
      <c r="F145" s="14"/>
    </row>
    <row r="146" ht="15.75" customHeight="1">
      <c r="B146" s="14"/>
      <c r="F146" s="14"/>
    </row>
    <row r="147" ht="15.75" customHeight="1">
      <c r="B147" s="14"/>
      <c r="F147" s="14"/>
    </row>
    <row r="148" ht="15.75" customHeight="1">
      <c r="B148" s="14"/>
      <c r="F148" s="14"/>
    </row>
    <row r="149" ht="15.75" customHeight="1">
      <c r="B149" s="14"/>
      <c r="F149" s="14"/>
    </row>
    <row r="150" ht="15.75" customHeight="1">
      <c r="B150" s="14"/>
      <c r="F150" s="14"/>
    </row>
    <row r="151" ht="15.75" customHeight="1">
      <c r="B151" s="14"/>
      <c r="F151" s="14"/>
    </row>
    <row r="152" ht="15.75" customHeight="1">
      <c r="B152" s="14"/>
      <c r="F152" s="14"/>
    </row>
    <row r="153" ht="15.75" customHeight="1">
      <c r="B153" s="14"/>
      <c r="F153" s="14"/>
    </row>
    <row r="154" ht="15.75" customHeight="1">
      <c r="B154" s="14"/>
      <c r="F154" s="14"/>
    </row>
    <row r="155" ht="15.75" customHeight="1">
      <c r="B155" s="14"/>
      <c r="F155" s="14"/>
    </row>
    <row r="156" ht="15.75" customHeight="1">
      <c r="B156" s="14"/>
      <c r="F156" s="14"/>
    </row>
    <row r="157" ht="15.75" customHeight="1">
      <c r="B157" s="14"/>
      <c r="F157" s="14"/>
    </row>
    <row r="158" ht="15.75" customHeight="1">
      <c r="B158" s="14"/>
      <c r="F158" s="14"/>
    </row>
    <row r="159" ht="15.75" customHeight="1">
      <c r="B159" s="14"/>
      <c r="F159" s="14"/>
    </row>
    <row r="160" ht="15.75" customHeight="1">
      <c r="B160" s="14"/>
      <c r="F160" s="14"/>
    </row>
    <row r="161" ht="15.75" customHeight="1">
      <c r="B161" s="14"/>
      <c r="F161" s="14"/>
    </row>
    <row r="162" ht="15.75" customHeight="1">
      <c r="B162" s="14"/>
      <c r="F162" s="14"/>
    </row>
    <row r="163" ht="15.75" customHeight="1">
      <c r="B163" s="14"/>
      <c r="F163" s="14"/>
    </row>
    <row r="164" ht="15.75" customHeight="1">
      <c r="B164" s="14"/>
      <c r="F164" s="14"/>
    </row>
    <row r="165" ht="15.75" customHeight="1">
      <c r="B165" s="14"/>
      <c r="F165" s="14"/>
    </row>
    <row r="166" ht="15.75" customHeight="1">
      <c r="B166" s="14"/>
      <c r="F166" s="14"/>
    </row>
    <row r="167" ht="15.75" customHeight="1">
      <c r="B167" s="14"/>
      <c r="F167" s="14"/>
    </row>
    <row r="168" ht="15.75" customHeight="1">
      <c r="B168" s="14"/>
      <c r="F168" s="14"/>
    </row>
    <row r="169" ht="15.75" customHeight="1">
      <c r="B169" s="14"/>
      <c r="F169" s="14"/>
    </row>
    <row r="170" ht="15.75" customHeight="1">
      <c r="B170" s="14"/>
      <c r="F170" s="14"/>
    </row>
    <row r="171" ht="15.75" customHeight="1">
      <c r="B171" s="14"/>
      <c r="F171" s="14"/>
    </row>
    <row r="172" ht="15.75" customHeight="1">
      <c r="B172" s="14"/>
      <c r="F172" s="14"/>
    </row>
    <row r="173" ht="15.75" customHeight="1">
      <c r="B173" s="14"/>
      <c r="F173" s="14"/>
    </row>
    <row r="174" ht="15.75" customHeight="1">
      <c r="B174" s="14"/>
      <c r="F174" s="14"/>
    </row>
    <row r="175" ht="15.75" customHeight="1">
      <c r="B175" s="14"/>
      <c r="F175" s="14"/>
    </row>
    <row r="176" ht="15.75" customHeight="1">
      <c r="B176" s="14"/>
      <c r="F176" s="14"/>
    </row>
    <row r="177" ht="15.75" customHeight="1">
      <c r="B177" s="14"/>
      <c r="F177" s="14"/>
    </row>
    <row r="178" ht="15.75" customHeight="1">
      <c r="B178" s="14"/>
      <c r="F178" s="14"/>
    </row>
    <row r="179" ht="15.75" customHeight="1">
      <c r="B179" s="14"/>
      <c r="F179" s="14"/>
    </row>
    <row r="180" ht="15.75" customHeight="1">
      <c r="B180" s="14"/>
      <c r="F180" s="14"/>
    </row>
    <row r="181" ht="15.75" customHeight="1">
      <c r="B181" s="14"/>
      <c r="F181" s="14"/>
    </row>
    <row r="182" ht="15.75" customHeight="1">
      <c r="B182" s="14"/>
      <c r="F182" s="14"/>
    </row>
    <row r="183" ht="15.75" customHeight="1">
      <c r="B183" s="14"/>
      <c r="F183" s="14"/>
    </row>
    <row r="184" ht="15.75" customHeight="1">
      <c r="B184" s="14"/>
      <c r="F184" s="14"/>
    </row>
    <row r="185" ht="15.75" customHeight="1">
      <c r="B185" s="14"/>
      <c r="F185" s="14"/>
    </row>
    <row r="186" ht="15.75" customHeight="1">
      <c r="B186" s="14"/>
      <c r="F186" s="14"/>
    </row>
    <row r="187" ht="15.75" customHeight="1">
      <c r="B187" s="14"/>
      <c r="F187" s="14"/>
    </row>
    <row r="188" ht="15.75" customHeight="1">
      <c r="B188" s="14"/>
      <c r="F188" s="14"/>
    </row>
    <row r="189" ht="15.75" customHeight="1">
      <c r="B189" s="14"/>
      <c r="F189" s="14"/>
    </row>
    <row r="190" ht="15.75" customHeight="1">
      <c r="B190" s="14"/>
      <c r="F190" s="14"/>
    </row>
    <row r="191" ht="15.75" customHeight="1">
      <c r="B191" s="14"/>
      <c r="F191" s="14"/>
    </row>
    <row r="192" ht="15.75" customHeight="1">
      <c r="B192" s="14"/>
      <c r="F192" s="14"/>
    </row>
    <row r="193" ht="15.75" customHeight="1">
      <c r="B193" s="14"/>
      <c r="F193" s="14"/>
    </row>
    <row r="194" ht="15.75" customHeight="1">
      <c r="B194" s="14"/>
      <c r="F194" s="14"/>
    </row>
    <row r="195" ht="15.75" customHeight="1">
      <c r="B195" s="14"/>
      <c r="F195" s="14"/>
    </row>
    <row r="196" ht="15.75" customHeight="1">
      <c r="B196" s="14"/>
      <c r="F196" s="14"/>
    </row>
    <row r="197" ht="15.75" customHeight="1">
      <c r="B197" s="14"/>
      <c r="F197" s="14"/>
    </row>
    <row r="198" ht="15.75" customHeight="1">
      <c r="B198" s="14"/>
      <c r="F198" s="14"/>
    </row>
    <row r="199" ht="15.75" customHeight="1">
      <c r="B199" s="14"/>
      <c r="F199" s="14"/>
    </row>
    <row r="200" ht="15.75" customHeight="1">
      <c r="B200" s="14"/>
      <c r="F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35"/>
    </row>
    <row r="222" ht="15.75" customHeight="1">
      <c r="B222" s="135"/>
    </row>
    <row r="223" ht="15.75" customHeight="1">
      <c r="B223" s="135"/>
    </row>
    <row r="224" ht="15.75" customHeight="1">
      <c r="B224" s="135"/>
    </row>
    <row r="225" ht="15.75" customHeight="1">
      <c r="B225" s="135"/>
    </row>
    <row r="226" ht="15.75" customHeight="1">
      <c r="B226" s="135"/>
    </row>
    <row r="227" ht="15.75" customHeight="1">
      <c r="B227" s="135"/>
    </row>
    <row r="228" ht="15.75" customHeight="1">
      <c r="B228" s="135"/>
    </row>
    <row r="229" ht="15.75" customHeight="1">
      <c r="B229" s="135"/>
    </row>
    <row r="230" ht="15.75" customHeight="1">
      <c r="B230" s="135"/>
    </row>
    <row r="231" ht="15.75" customHeight="1">
      <c r="B231" s="135"/>
    </row>
    <row r="232" ht="15.75" customHeight="1">
      <c r="B232" s="135"/>
    </row>
    <row r="233" ht="15.75" customHeight="1">
      <c r="B233" s="135"/>
    </row>
    <row r="234" ht="15.75" customHeight="1">
      <c r="B234" s="135"/>
    </row>
    <row r="235" ht="15.75" customHeight="1">
      <c r="B235" s="135"/>
    </row>
    <row r="236" ht="15.75" customHeight="1">
      <c r="B236" s="135"/>
    </row>
    <row r="237" ht="15.75" customHeight="1">
      <c r="B237" s="135"/>
    </row>
    <row r="238" ht="15.75" customHeight="1">
      <c r="B238" s="135"/>
    </row>
    <row r="239" ht="15.75" customHeight="1">
      <c r="B239" s="135"/>
    </row>
    <row r="240" ht="15.75" customHeight="1">
      <c r="B240" s="135"/>
    </row>
    <row r="241" ht="15.75" customHeight="1">
      <c r="B241" s="135"/>
    </row>
    <row r="242" ht="15.75" customHeight="1">
      <c r="B242" s="135"/>
    </row>
    <row r="243" ht="15.75" customHeight="1">
      <c r="B243" s="135"/>
    </row>
    <row r="244" ht="15.75" customHeight="1">
      <c r="B244" s="135"/>
    </row>
    <row r="245" ht="15.75" customHeight="1">
      <c r="B245" s="135"/>
    </row>
    <row r="246" ht="15.75" customHeight="1">
      <c r="B246" s="135"/>
    </row>
    <row r="247" ht="15.75" customHeight="1">
      <c r="B247" s="135"/>
    </row>
    <row r="248" ht="15.75" customHeight="1">
      <c r="B248" s="135"/>
    </row>
    <row r="249" ht="15.75" customHeight="1">
      <c r="B249" s="135"/>
    </row>
    <row r="250" ht="15.75" customHeight="1">
      <c r="B250" s="135"/>
    </row>
    <row r="251" ht="15.75" customHeight="1">
      <c r="B251" s="135"/>
    </row>
    <row r="252" ht="15.75" customHeight="1">
      <c r="B252" s="135"/>
    </row>
    <row r="253" ht="15.75" customHeight="1">
      <c r="B253" s="135"/>
    </row>
    <row r="254" ht="15.75" customHeight="1">
      <c r="B254" s="135"/>
    </row>
    <row r="255" ht="15.75" customHeight="1">
      <c r="B255" s="135"/>
    </row>
    <row r="256" ht="15.75" customHeight="1">
      <c r="B256" s="135"/>
    </row>
    <row r="257" ht="15.75" customHeight="1">
      <c r="B257" s="135"/>
    </row>
    <row r="258" ht="15.75" customHeight="1">
      <c r="B258" s="135"/>
    </row>
    <row r="259" ht="15.75" customHeight="1">
      <c r="B259" s="135"/>
    </row>
    <row r="260" ht="15.75" customHeight="1">
      <c r="B260" s="135"/>
    </row>
    <row r="261" ht="15.75" customHeight="1">
      <c r="B261" s="135"/>
    </row>
    <row r="262" ht="15.75" customHeight="1">
      <c r="B262" s="135"/>
    </row>
    <row r="263" ht="15.75" customHeight="1">
      <c r="B263" s="135"/>
    </row>
    <row r="264" ht="15.75" customHeight="1">
      <c r="B264" s="135"/>
    </row>
    <row r="265" ht="15.75" customHeight="1">
      <c r="B265" s="135"/>
    </row>
    <row r="266" ht="15.75" customHeight="1">
      <c r="B266" s="135"/>
    </row>
    <row r="267" ht="15.75" customHeight="1">
      <c r="B267" s="135"/>
    </row>
    <row r="268" ht="15.75" customHeight="1">
      <c r="B268" s="135"/>
    </row>
    <row r="269" ht="15.75" customHeight="1">
      <c r="B269" s="135"/>
    </row>
    <row r="270" ht="15.75" customHeight="1">
      <c r="B270" s="135"/>
    </row>
    <row r="271" ht="15.75" customHeight="1">
      <c r="B271" s="135"/>
    </row>
    <row r="272" ht="15.75" customHeight="1">
      <c r="B272" s="135"/>
    </row>
    <row r="273" ht="15.75" customHeight="1">
      <c r="B273" s="135"/>
    </row>
    <row r="274" ht="15.75" customHeight="1">
      <c r="B274" s="135"/>
    </row>
    <row r="275" ht="15.75" customHeight="1">
      <c r="B275" s="135"/>
    </row>
    <row r="276" ht="15.75" customHeight="1">
      <c r="B276" s="135"/>
    </row>
    <row r="277" ht="15.75" customHeight="1">
      <c r="B277" s="135"/>
    </row>
    <row r="278" ht="15.75" customHeight="1">
      <c r="B278" s="135"/>
    </row>
    <row r="279" ht="15.75" customHeight="1">
      <c r="B279" s="135"/>
    </row>
    <row r="280" ht="15.75" customHeight="1">
      <c r="B280" s="135"/>
    </row>
    <row r="281" ht="15.75" customHeight="1">
      <c r="B281" s="135"/>
    </row>
    <row r="282" ht="15.75" customHeight="1">
      <c r="B282" s="135"/>
    </row>
    <row r="283" ht="15.75" customHeight="1">
      <c r="B283" s="135"/>
    </row>
    <row r="284" ht="15.75" customHeight="1">
      <c r="B284" s="135"/>
    </row>
    <row r="285" ht="15.75" customHeight="1">
      <c r="B285" s="135"/>
    </row>
    <row r="286" ht="15.75" customHeight="1">
      <c r="B286" s="135"/>
    </row>
    <row r="287" ht="15.75" customHeight="1">
      <c r="B287" s="135"/>
    </row>
    <row r="288" ht="15.75" customHeight="1">
      <c r="B288" s="135"/>
    </row>
    <row r="289" ht="15.75" customHeight="1">
      <c r="B289" s="135"/>
    </row>
    <row r="290" ht="15.75" customHeight="1">
      <c r="B290" s="135"/>
    </row>
    <row r="291" ht="15.75" customHeight="1">
      <c r="B291" s="135"/>
    </row>
    <row r="292" ht="15.75" customHeight="1">
      <c r="B292" s="135"/>
    </row>
    <row r="293" ht="15.75" customHeight="1">
      <c r="B293" s="135"/>
    </row>
    <row r="294" ht="15.75" customHeight="1">
      <c r="B294" s="135"/>
    </row>
    <row r="295" ht="15.75" customHeight="1">
      <c r="B295" s="135"/>
    </row>
    <row r="296" ht="15.75" customHeight="1">
      <c r="B296" s="135"/>
    </row>
    <row r="297" ht="15.75" customHeight="1">
      <c r="B297" s="135"/>
    </row>
    <row r="298" ht="15.75" customHeight="1">
      <c r="B298" s="135"/>
    </row>
    <row r="299" ht="15.75" customHeight="1">
      <c r="B299" s="135"/>
    </row>
    <row r="300" ht="15.75" customHeight="1">
      <c r="B300" s="135"/>
    </row>
    <row r="301" ht="15.75" customHeight="1">
      <c r="B301" s="135"/>
    </row>
    <row r="302" ht="15.75" customHeight="1">
      <c r="B302" s="135"/>
    </row>
    <row r="303" ht="15.75" customHeight="1">
      <c r="B303" s="135"/>
    </row>
    <row r="304" ht="15.75" customHeight="1">
      <c r="B304" s="135"/>
    </row>
    <row r="305" ht="15.75" customHeight="1">
      <c r="B305" s="135"/>
    </row>
    <row r="306" ht="15.75" customHeight="1">
      <c r="B306" s="135"/>
    </row>
    <row r="307" ht="15.75" customHeight="1">
      <c r="B307" s="135"/>
    </row>
    <row r="308" ht="15.75" customHeight="1">
      <c r="B308" s="135"/>
    </row>
    <row r="309" ht="15.75" customHeight="1">
      <c r="B309" s="135"/>
    </row>
    <row r="310" ht="15.75" customHeight="1">
      <c r="B310" s="135"/>
    </row>
    <row r="311" ht="15.75" customHeight="1">
      <c r="B311" s="135"/>
    </row>
    <row r="312" ht="15.75" customHeight="1">
      <c r="B312" s="135"/>
    </row>
    <row r="313" ht="15.75" customHeight="1">
      <c r="B313" s="135"/>
    </row>
    <row r="314" ht="15.75" customHeight="1">
      <c r="B314" s="135"/>
    </row>
    <row r="315" ht="15.75" customHeight="1">
      <c r="B315" s="135"/>
    </row>
    <row r="316" ht="15.75" customHeight="1">
      <c r="B316" s="135"/>
    </row>
    <row r="317" ht="15.75" customHeight="1">
      <c r="B317" s="135"/>
    </row>
    <row r="318" ht="15.75" customHeight="1">
      <c r="B318" s="135"/>
    </row>
    <row r="319" ht="15.75" customHeight="1">
      <c r="B319" s="135"/>
    </row>
    <row r="320" ht="15.75" customHeight="1">
      <c r="B320" s="135"/>
    </row>
    <row r="321" ht="15.75" customHeight="1">
      <c r="B321" s="135"/>
    </row>
    <row r="322" ht="15.75" customHeight="1">
      <c r="B322" s="135"/>
    </row>
    <row r="323" ht="15.75" customHeight="1">
      <c r="B323" s="135"/>
    </row>
    <row r="324" ht="15.75" customHeight="1">
      <c r="B324" s="135"/>
    </row>
    <row r="325" ht="15.75" customHeight="1">
      <c r="B325" s="135"/>
    </row>
    <row r="326" ht="15.75" customHeight="1">
      <c r="B326" s="135"/>
    </row>
    <row r="327" ht="15.75" customHeight="1">
      <c r="B327" s="135"/>
    </row>
    <row r="328" ht="15.75" customHeight="1">
      <c r="B328" s="135"/>
    </row>
    <row r="329" ht="15.75" customHeight="1">
      <c r="B329" s="135"/>
    </row>
    <row r="330" ht="15.75" customHeight="1">
      <c r="B330" s="135"/>
    </row>
    <row r="331" ht="15.75" customHeight="1">
      <c r="B331" s="135"/>
    </row>
    <row r="332" ht="15.75" customHeight="1">
      <c r="B332" s="135"/>
    </row>
    <row r="333" ht="15.75" customHeight="1">
      <c r="B333" s="135"/>
    </row>
    <row r="334" ht="15.75" customHeight="1">
      <c r="B334" s="135"/>
    </row>
    <row r="335" ht="15.75" customHeight="1">
      <c r="B335" s="135"/>
    </row>
    <row r="336" ht="15.75" customHeight="1">
      <c r="B336" s="135"/>
    </row>
    <row r="337" ht="15.75" customHeight="1">
      <c r="B337" s="135"/>
    </row>
    <row r="338" ht="15.75" customHeight="1">
      <c r="B338" s="135"/>
    </row>
    <row r="339" ht="15.75" customHeight="1">
      <c r="B339" s="135"/>
    </row>
    <row r="340" ht="15.75" customHeight="1">
      <c r="B340" s="135"/>
    </row>
    <row r="341" ht="15.75" customHeight="1">
      <c r="B341" s="135"/>
    </row>
    <row r="342" ht="15.75" customHeight="1">
      <c r="B342" s="135"/>
    </row>
    <row r="343" ht="15.75" customHeight="1">
      <c r="B343" s="135"/>
    </row>
    <row r="344" ht="15.75" customHeight="1">
      <c r="B344" s="135"/>
    </row>
    <row r="345" ht="15.75" customHeight="1">
      <c r="B345" s="135"/>
    </row>
    <row r="346" ht="15.75" customHeight="1">
      <c r="B346" s="135"/>
    </row>
    <row r="347" ht="15.75" customHeight="1">
      <c r="B347" s="135"/>
    </row>
    <row r="348" ht="15.75" customHeight="1">
      <c r="B348" s="135"/>
    </row>
    <row r="349" ht="15.75" customHeight="1">
      <c r="B349" s="135"/>
    </row>
    <row r="350" ht="15.75" customHeight="1">
      <c r="B350" s="135"/>
    </row>
    <row r="351" ht="15.75" customHeight="1">
      <c r="B351" s="135"/>
    </row>
    <row r="352" ht="15.75" customHeight="1">
      <c r="B352" s="135"/>
    </row>
    <row r="353" ht="15.75" customHeight="1">
      <c r="B353" s="135"/>
    </row>
    <row r="354" ht="15.75" customHeight="1">
      <c r="B354" s="135"/>
    </row>
    <row r="355" ht="15.75" customHeight="1">
      <c r="B355" s="135"/>
    </row>
    <row r="356" ht="15.75" customHeight="1">
      <c r="B356" s="135"/>
    </row>
    <row r="357" ht="15.75" customHeight="1">
      <c r="B357" s="135"/>
    </row>
    <row r="358" ht="15.75" customHeight="1">
      <c r="B358" s="135"/>
    </row>
    <row r="359" ht="15.75" customHeight="1">
      <c r="B359" s="135"/>
    </row>
    <row r="360" ht="15.75" customHeight="1">
      <c r="B360" s="135"/>
    </row>
    <row r="361" ht="15.75" customHeight="1">
      <c r="B361" s="135"/>
    </row>
    <row r="362" ht="15.75" customHeight="1">
      <c r="B362" s="135"/>
    </row>
    <row r="363" ht="15.75" customHeight="1">
      <c r="B363" s="135"/>
    </row>
    <row r="364" ht="15.75" customHeight="1">
      <c r="B364" s="135"/>
    </row>
    <row r="365" ht="15.75" customHeight="1">
      <c r="B365" s="135"/>
    </row>
    <row r="366" ht="15.75" customHeight="1">
      <c r="B366" s="135"/>
    </row>
    <row r="367" ht="15.75" customHeight="1">
      <c r="B367" s="135"/>
    </row>
    <row r="368" ht="15.75" customHeight="1">
      <c r="B368" s="135"/>
    </row>
    <row r="369" ht="15.75" customHeight="1">
      <c r="B369" s="135"/>
    </row>
    <row r="370" ht="15.75" customHeight="1">
      <c r="B370" s="135"/>
    </row>
    <row r="371" ht="15.75" customHeight="1">
      <c r="B371" s="135"/>
    </row>
    <row r="372" ht="15.75" customHeight="1">
      <c r="B372" s="135"/>
    </row>
    <row r="373" ht="15.75" customHeight="1">
      <c r="B373" s="135"/>
    </row>
    <row r="374" ht="15.75" customHeight="1">
      <c r="B374" s="135"/>
    </row>
    <row r="375" ht="15.75" customHeight="1">
      <c r="B375" s="135"/>
    </row>
    <row r="376" ht="15.75" customHeight="1">
      <c r="B376" s="135"/>
    </row>
    <row r="377" ht="15.75" customHeight="1">
      <c r="B377" s="135"/>
    </row>
    <row r="378" ht="15.75" customHeight="1">
      <c r="B378" s="135"/>
    </row>
    <row r="379" ht="15.75" customHeight="1">
      <c r="B379" s="135"/>
    </row>
    <row r="380" ht="15.75" customHeight="1">
      <c r="B380" s="135"/>
    </row>
    <row r="381" ht="15.75" customHeight="1">
      <c r="B381" s="135"/>
    </row>
    <row r="382" ht="15.75" customHeight="1">
      <c r="B382" s="135"/>
    </row>
    <row r="383" ht="15.75" customHeight="1">
      <c r="B383" s="135"/>
    </row>
    <row r="384" ht="15.75" customHeight="1">
      <c r="B384" s="135"/>
    </row>
    <row r="385" ht="15.75" customHeight="1">
      <c r="B385" s="135"/>
    </row>
    <row r="386" ht="15.75" customHeight="1">
      <c r="B386" s="135"/>
    </row>
    <row r="387" ht="15.75" customHeight="1">
      <c r="B387" s="135"/>
    </row>
    <row r="388" ht="15.75" customHeight="1">
      <c r="B388" s="135"/>
    </row>
    <row r="389" ht="15.75" customHeight="1">
      <c r="B389" s="135"/>
    </row>
    <row r="390" ht="15.75" customHeight="1">
      <c r="B390" s="135"/>
    </row>
    <row r="391" ht="15.75" customHeight="1">
      <c r="B391" s="135"/>
    </row>
    <row r="392" ht="15.75" customHeight="1">
      <c r="B392" s="135"/>
    </row>
    <row r="393" ht="15.75" customHeight="1">
      <c r="B393" s="135"/>
    </row>
    <row r="394" ht="15.75" customHeight="1">
      <c r="B394" s="135"/>
    </row>
    <row r="395" ht="15.75" customHeight="1">
      <c r="B395" s="135"/>
    </row>
    <row r="396" ht="15.75" customHeight="1">
      <c r="B396" s="135"/>
    </row>
    <row r="397" ht="15.75" customHeight="1">
      <c r="B397" s="135"/>
    </row>
    <row r="398" ht="15.75" customHeight="1">
      <c r="B398" s="135"/>
    </row>
    <row r="399" ht="15.75" customHeight="1">
      <c r="B399" s="135"/>
    </row>
    <row r="400" ht="15.75" customHeight="1">
      <c r="B400" s="135"/>
    </row>
    <row r="401" ht="15.75" customHeight="1">
      <c r="B401" s="135"/>
    </row>
    <row r="402" ht="15.75" customHeight="1">
      <c r="B402" s="135"/>
    </row>
    <row r="403" ht="15.75" customHeight="1">
      <c r="B403" s="135"/>
    </row>
    <row r="404" ht="15.75" customHeight="1">
      <c r="B404" s="135"/>
    </row>
    <row r="405" ht="15.75" customHeight="1">
      <c r="B405" s="135"/>
    </row>
    <row r="406" ht="15.75" customHeight="1">
      <c r="B406" s="135"/>
    </row>
    <row r="407" ht="15.75" customHeight="1">
      <c r="B407" s="135"/>
    </row>
    <row r="408" ht="15.75" customHeight="1">
      <c r="B408" s="135"/>
    </row>
    <row r="409" ht="15.75" customHeight="1">
      <c r="B409" s="135"/>
    </row>
    <row r="410" ht="15.75" customHeight="1">
      <c r="B410" s="135"/>
    </row>
    <row r="411" ht="15.75" customHeight="1">
      <c r="B411" s="135"/>
    </row>
    <row r="412" ht="15.75" customHeight="1">
      <c r="B412" s="135"/>
    </row>
    <row r="413" ht="15.75" customHeight="1">
      <c r="B413" s="135"/>
    </row>
    <row r="414" ht="15.75" customHeight="1">
      <c r="B414" s="135"/>
    </row>
    <row r="415" ht="15.75" customHeight="1">
      <c r="B415" s="135"/>
    </row>
    <row r="416" ht="15.75" customHeight="1">
      <c r="B416" s="135"/>
    </row>
    <row r="417" ht="15.75" customHeight="1">
      <c r="B417" s="135"/>
    </row>
    <row r="418" ht="15.75" customHeight="1">
      <c r="B418" s="135"/>
    </row>
    <row r="419" ht="15.75" customHeight="1">
      <c r="B419" s="135"/>
    </row>
    <row r="420" ht="15.75" customHeight="1">
      <c r="B420" s="135"/>
    </row>
    <row r="421" ht="15.75" customHeight="1">
      <c r="B421" s="135"/>
    </row>
    <row r="422" ht="15.75" customHeight="1">
      <c r="B422" s="135"/>
    </row>
    <row r="423" ht="15.75" customHeight="1">
      <c r="B423" s="135"/>
    </row>
    <row r="424" ht="15.75" customHeight="1">
      <c r="B424" s="135"/>
    </row>
    <row r="425" ht="15.75" customHeight="1">
      <c r="B425" s="135"/>
    </row>
    <row r="426" ht="15.75" customHeight="1">
      <c r="B426" s="135"/>
    </row>
    <row r="427" ht="15.75" customHeight="1">
      <c r="B427" s="135"/>
    </row>
    <row r="428" ht="15.75" customHeight="1">
      <c r="B428" s="135"/>
    </row>
    <row r="429" ht="15.75" customHeight="1">
      <c r="B429" s="135"/>
    </row>
    <row r="430" ht="15.75" customHeight="1">
      <c r="B430" s="135"/>
    </row>
    <row r="431" ht="15.75" customHeight="1">
      <c r="B431" s="135"/>
    </row>
    <row r="432" ht="15.75" customHeight="1">
      <c r="B432" s="135"/>
    </row>
    <row r="433" ht="15.75" customHeight="1">
      <c r="B433" s="135"/>
    </row>
    <row r="434" ht="15.75" customHeight="1">
      <c r="B434" s="135"/>
    </row>
    <row r="435" ht="15.75" customHeight="1">
      <c r="B435" s="135"/>
    </row>
    <row r="436" ht="15.75" customHeight="1">
      <c r="B436" s="135"/>
    </row>
    <row r="437" ht="15.75" customHeight="1">
      <c r="B437" s="135"/>
    </row>
    <row r="438" ht="15.75" customHeight="1">
      <c r="B438" s="135"/>
    </row>
    <row r="439" ht="15.75" customHeight="1">
      <c r="B439" s="135"/>
    </row>
    <row r="440" ht="15.75" customHeight="1">
      <c r="B440" s="135"/>
    </row>
    <row r="441" ht="15.75" customHeight="1">
      <c r="B441" s="135"/>
    </row>
    <row r="442" ht="15.75" customHeight="1">
      <c r="B442" s="135"/>
    </row>
    <row r="443" ht="15.75" customHeight="1">
      <c r="B443" s="135"/>
    </row>
    <row r="444" ht="15.75" customHeight="1">
      <c r="B444" s="135"/>
    </row>
    <row r="445" ht="15.75" customHeight="1">
      <c r="B445" s="135"/>
    </row>
    <row r="446" ht="15.75" customHeight="1">
      <c r="B446" s="135"/>
    </row>
    <row r="447" ht="15.75" customHeight="1">
      <c r="B447" s="135"/>
    </row>
    <row r="448" ht="15.75" customHeight="1">
      <c r="B448" s="135"/>
    </row>
    <row r="449" ht="15.75" customHeight="1">
      <c r="B449" s="135"/>
    </row>
    <row r="450" ht="15.75" customHeight="1">
      <c r="B450" s="135"/>
    </row>
    <row r="451" ht="15.75" customHeight="1">
      <c r="B451" s="135"/>
    </row>
    <row r="452" ht="15.75" customHeight="1">
      <c r="B452" s="135"/>
    </row>
    <row r="453" ht="15.75" customHeight="1">
      <c r="B453" s="135"/>
    </row>
    <row r="454" ht="15.75" customHeight="1">
      <c r="B454" s="135"/>
    </row>
    <row r="455" ht="15.75" customHeight="1">
      <c r="B455" s="135"/>
    </row>
    <row r="456" ht="15.75" customHeight="1">
      <c r="B456" s="135"/>
    </row>
    <row r="457" ht="15.75" customHeight="1">
      <c r="B457" s="135"/>
    </row>
    <row r="458" ht="15.75" customHeight="1">
      <c r="B458" s="135"/>
    </row>
    <row r="459" ht="15.75" customHeight="1">
      <c r="B459" s="135"/>
    </row>
    <row r="460" ht="15.75" customHeight="1">
      <c r="B460" s="135"/>
    </row>
    <row r="461" ht="15.75" customHeight="1">
      <c r="B461" s="135"/>
    </row>
    <row r="462" ht="15.75" customHeight="1">
      <c r="B462" s="135"/>
    </row>
    <row r="463" ht="15.75" customHeight="1">
      <c r="B463" s="135"/>
    </row>
    <row r="464" ht="15.75" customHeight="1">
      <c r="B464" s="135"/>
    </row>
    <row r="465" ht="15.75" customHeight="1">
      <c r="B465" s="135"/>
    </row>
    <row r="466" ht="15.75" customHeight="1">
      <c r="B466" s="135"/>
    </row>
    <row r="467" ht="15.75" customHeight="1">
      <c r="B467" s="135"/>
    </row>
    <row r="468" ht="15.75" customHeight="1">
      <c r="B468" s="135"/>
    </row>
    <row r="469" ht="15.75" customHeight="1">
      <c r="B469" s="135"/>
    </row>
    <row r="470" ht="15.75" customHeight="1">
      <c r="B470" s="135"/>
    </row>
    <row r="471" ht="15.75" customHeight="1">
      <c r="B471" s="135"/>
    </row>
    <row r="472" ht="15.75" customHeight="1">
      <c r="B472" s="135"/>
    </row>
    <row r="473" ht="15.75" customHeight="1">
      <c r="B473" s="135"/>
    </row>
    <row r="474" ht="15.75" customHeight="1">
      <c r="B474" s="135"/>
    </row>
    <row r="475" ht="15.75" customHeight="1">
      <c r="B475" s="135"/>
    </row>
    <row r="476" ht="15.75" customHeight="1">
      <c r="B476" s="135"/>
    </row>
    <row r="477" ht="15.75" customHeight="1">
      <c r="B477" s="135"/>
    </row>
    <row r="478" ht="15.75" customHeight="1">
      <c r="B478" s="135"/>
    </row>
    <row r="479" ht="15.75" customHeight="1">
      <c r="B479" s="135"/>
    </row>
    <row r="480" ht="15.75" customHeight="1">
      <c r="B480" s="135"/>
    </row>
    <row r="481" ht="15.75" customHeight="1">
      <c r="B481" s="135"/>
    </row>
    <row r="482" ht="15.75" customHeight="1">
      <c r="B482" s="135"/>
    </row>
    <row r="483" ht="15.75" customHeight="1">
      <c r="B483" s="135"/>
    </row>
    <row r="484" ht="15.75" customHeight="1">
      <c r="B484" s="135"/>
    </row>
    <row r="485" ht="15.75" customHeight="1">
      <c r="B485" s="135"/>
    </row>
    <row r="486" ht="15.75" customHeight="1">
      <c r="B486" s="135"/>
    </row>
    <row r="487" ht="15.75" customHeight="1">
      <c r="B487" s="135"/>
    </row>
    <row r="488" ht="15.75" customHeight="1">
      <c r="B488" s="135"/>
    </row>
    <row r="489" ht="15.75" customHeight="1">
      <c r="B489" s="135"/>
    </row>
    <row r="490" ht="15.75" customHeight="1">
      <c r="B490" s="135"/>
    </row>
    <row r="491" ht="15.75" customHeight="1">
      <c r="B491" s="135"/>
    </row>
    <row r="492" ht="15.75" customHeight="1">
      <c r="B492" s="135"/>
    </row>
    <row r="493" ht="15.75" customHeight="1">
      <c r="B493" s="135"/>
    </row>
    <row r="494" ht="15.75" customHeight="1">
      <c r="B494" s="135"/>
    </row>
    <row r="495" ht="15.75" customHeight="1">
      <c r="B495" s="135"/>
    </row>
    <row r="496" ht="15.75" customHeight="1">
      <c r="B496" s="135"/>
    </row>
    <row r="497" ht="15.75" customHeight="1">
      <c r="B497" s="135"/>
    </row>
    <row r="498" ht="15.75" customHeight="1">
      <c r="B498" s="135"/>
    </row>
    <row r="499" ht="15.75" customHeight="1">
      <c r="B499" s="135"/>
    </row>
    <row r="500" ht="15.75" customHeight="1">
      <c r="B500" s="135"/>
    </row>
    <row r="501" ht="15.75" customHeight="1">
      <c r="B501" s="135"/>
    </row>
    <row r="502" ht="15.75" customHeight="1">
      <c r="B502" s="135"/>
    </row>
    <row r="503" ht="15.75" customHeight="1">
      <c r="B503" s="135"/>
    </row>
    <row r="504" ht="15.75" customHeight="1">
      <c r="B504" s="135"/>
    </row>
    <row r="505" ht="15.75" customHeight="1">
      <c r="B505" s="135"/>
    </row>
    <row r="506" ht="15.75" customHeight="1">
      <c r="B506" s="135"/>
    </row>
    <row r="507" ht="15.75" customHeight="1">
      <c r="B507" s="135"/>
    </row>
    <row r="508" ht="15.75" customHeight="1">
      <c r="B508" s="135"/>
    </row>
    <row r="509" ht="15.75" customHeight="1">
      <c r="B509" s="135"/>
    </row>
    <row r="510" ht="15.75" customHeight="1">
      <c r="B510" s="135"/>
    </row>
    <row r="511" ht="15.75" customHeight="1">
      <c r="B511" s="135"/>
    </row>
    <row r="512" ht="15.75" customHeight="1">
      <c r="B512" s="135"/>
    </row>
    <row r="513" ht="15.75" customHeight="1">
      <c r="B513" s="135"/>
    </row>
    <row r="514" ht="15.75" customHeight="1">
      <c r="B514" s="135"/>
    </row>
    <row r="515" ht="15.75" customHeight="1">
      <c r="B515" s="135"/>
    </row>
    <row r="516" ht="15.75" customHeight="1">
      <c r="B516" s="135"/>
    </row>
    <row r="517" ht="15.75" customHeight="1">
      <c r="B517" s="135"/>
    </row>
    <row r="518" ht="15.75" customHeight="1">
      <c r="B518" s="135"/>
    </row>
    <row r="519" ht="15.75" customHeight="1">
      <c r="B519" s="135"/>
    </row>
    <row r="520" ht="15.75" customHeight="1">
      <c r="B520" s="135"/>
    </row>
    <row r="521" ht="15.75" customHeight="1">
      <c r="B521" s="135"/>
    </row>
    <row r="522" ht="15.75" customHeight="1">
      <c r="B522" s="135"/>
    </row>
    <row r="523" ht="15.75" customHeight="1">
      <c r="B523" s="135"/>
    </row>
    <row r="524" ht="15.75" customHeight="1">
      <c r="B524" s="135"/>
    </row>
    <row r="525" ht="15.75" customHeight="1">
      <c r="B525" s="135"/>
    </row>
    <row r="526" ht="15.75" customHeight="1">
      <c r="B526" s="135"/>
    </row>
    <row r="527" ht="15.75" customHeight="1">
      <c r="B527" s="135"/>
    </row>
    <row r="528" ht="15.75" customHeight="1">
      <c r="B528" s="135"/>
    </row>
    <row r="529" ht="15.75" customHeight="1">
      <c r="B529" s="135"/>
    </row>
    <row r="530" ht="15.75" customHeight="1">
      <c r="B530" s="135"/>
    </row>
    <row r="531" ht="15.75" customHeight="1">
      <c r="B531" s="135"/>
    </row>
    <row r="532" ht="15.75" customHeight="1">
      <c r="B532" s="135"/>
    </row>
    <row r="533" ht="15.75" customHeight="1">
      <c r="B533" s="135"/>
    </row>
    <row r="534" ht="15.75" customHeight="1">
      <c r="B534" s="135"/>
    </row>
    <row r="535" ht="15.75" customHeight="1">
      <c r="B535" s="135"/>
    </row>
    <row r="536" ht="15.75" customHeight="1">
      <c r="B536" s="135"/>
    </row>
    <row r="537" ht="15.75" customHeight="1">
      <c r="B537" s="135"/>
    </row>
    <row r="538" ht="15.75" customHeight="1">
      <c r="B538" s="135"/>
    </row>
    <row r="539" ht="15.75" customHeight="1">
      <c r="B539" s="135"/>
    </row>
    <row r="540" ht="15.75" customHeight="1">
      <c r="B540" s="135"/>
    </row>
    <row r="541" ht="15.75" customHeight="1">
      <c r="B541" s="135"/>
    </row>
    <row r="542" ht="15.75" customHeight="1">
      <c r="B542" s="135"/>
    </row>
    <row r="543" ht="15.75" customHeight="1">
      <c r="B543" s="135"/>
    </row>
    <row r="544" ht="15.75" customHeight="1">
      <c r="B544" s="135"/>
    </row>
    <row r="545" ht="15.75" customHeight="1">
      <c r="B545" s="135"/>
    </row>
    <row r="546" ht="15.75" customHeight="1">
      <c r="B546" s="135"/>
    </row>
    <row r="547" ht="15.75" customHeight="1">
      <c r="B547" s="135"/>
    </row>
    <row r="548" ht="15.75" customHeight="1">
      <c r="B548" s="135"/>
    </row>
    <row r="549" ht="15.75" customHeight="1">
      <c r="B549" s="135"/>
    </row>
    <row r="550" ht="15.75" customHeight="1">
      <c r="B550" s="135"/>
    </row>
    <row r="551" ht="15.75" customHeight="1">
      <c r="B551" s="135"/>
    </row>
    <row r="552" ht="15.75" customHeight="1">
      <c r="B552" s="135"/>
    </row>
    <row r="553" ht="15.75" customHeight="1">
      <c r="B553" s="135"/>
    </row>
    <row r="554" ht="15.75" customHeight="1">
      <c r="B554" s="135"/>
    </row>
    <row r="555" ht="15.75" customHeight="1">
      <c r="B555" s="135"/>
    </row>
    <row r="556" ht="15.75" customHeight="1">
      <c r="B556" s="135"/>
    </row>
    <row r="557" ht="15.75" customHeight="1">
      <c r="B557" s="135"/>
    </row>
    <row r="558" ht="15.75" customHeight="1">
      <c r="B558" s="135"/>
    </row>
    <row r="559" ht="15.75" customHeight="1">
      <c r="B559" s="135"/>
    </row>
    <row r="560" ht="15.75" customHeight="1">
      <c r="B560" s="135"/>
    </row>
    <row r="561" ht="15.75" customHeight="1">
      <c r="B561" s="135"/>
    </row>
    <row r="562" ht="15.75" customHeight="1">
      <c r="B562" s="135"/>
    </row>
    <row r="563" ht="15.75" customHeight="1">
      <c r="B563" s="135"/>
    </row>
    <row r="564" ht="15.75" customHeight="1">
      <c r="B564" s="135"/>
    </row>
    <row r="565" ht="15.75" customHeight="1">
      <c r="B565" s="135"/>
    </row>
    <row r="566" ht="15.75" customHeight="1">
      <c r="B566" s="135"/>
    </row>
    <row r="567" ht="15.75" customHeight="1">
      <c r="B567" s="135"/>
    </row>
    <row r="568" ht="15.75" customHeight="1">
      <c r="B568" s="135"/>
    </row>
    <row r="569" ht="15.75" customHeight="1">
      <c r="B569" s="135"/>
    </row>
    <row r="570" ht="15.75" customHeight="1">
      <c r="B570" s="135"/>
    </row>
    <row r="571" ht="15.75" customHeight="1">
      <c r="B571" s="135"/>
    </row>
    <row r="572" ht="15.75" customHeight="1">
      <c r="B572" s="135"/>
    </row>
    <row r="573" ht="15.75" customHeight="1">
      <c r="B573" s="135"/>
    </row>
    <row r="574" ht="15.75" customHeight="1">
      <c r="B574" s="135"/>
    </row>
    <row r="575" ht="15.75" customHeight="1">
      <c r="B575" s="135"/>
    </row>
    <row r="576" ht="15.75" customHeight="1">
      <c r="B576" s="135"/>
    </row>
    <row r="577" ht="15.75" customHeight="1">
      <c r="B577" s="135"/>
    </row>
    <row r="578" ht="15.75" customHeight="1">
      <c r="B578" s="135"/>
    </row>
    <row r="579" ht="15.75" customHeight="1">
      <c r="B579" s="135"/>
    </row>
    <row r="580" ht="15.75" customHeight="1">
      <c r="B580" s="135"/>
    </row>
    <row r="581" ht="15.75" customHeight="1">
      <c r="B581" s="135"/>
    </row>
    <row r="582" ht="15.75" customHeight="1">
      <c r="B582" s="135"/>
    </row>
    <row r="583" ht="15.75" customHeight="1">
      <c r="B583" s="135"/>
    </row>
    <row r="584" ht="15.75" customHeight="1">
      <c r="B584" s="135"/>
    </row>
    <row r="585" ht="15.75" customHeight="1">
      <c r="B585" s="135"/>
    </row>
    <row r="586" ht="15.75" customHeight="1">
      <c r="B586" s="135"/>
    </row>
    <row r="587" ht="15.75" customHeight="1">
      <c r="B587" s="135"/>
    </row>
    <row r="588" ht="15.75" customHeight="1">
      <c r="B588" s="135"/>
    </row>
    <row r="589" ht="15.75" customHeight="1">
      <c r="B589" s="135"/>
    </row>
    <row r="590" ht="15.75" customHeight="1">
      <c r="B590" s="135"/>
    </row>
    <row r="591" ht="15.75" customHeight="1">
      <c r="B591" s="135"/>
    </row>
    <row r="592" ht="15.75" customHeight="1">
      <c r="B592" s="135"/>
    </row>
    <row r="593" ht="15.75" customHeight="1">
      <c r="B593" s="135"/>
    </row>
    <row r="594" ht="15.75" customHeight="1">
      <c r="B594" s="135"/>
    </row>
    <row r="595" ht="15.75" customHeight="1">
      <c r="B595" s="135"/>
    </row>
    <row r="596" ht="15.75" customHeight="1">
      <c r="B596" s="135"/>
    </row>
    <row r="597" ht="15.75" customHeight="1">
      <c r="B597" s="135"/>
    </row>
    <row r="598" ht="15.75" customHeight="1">
      <c r="B598" s="135"/>
    </row>
    <row r="599" ht="15.75" customHeight="1">
      <c r="B599" s="135"/>
    </row>
    <row r="600" ht="15.75" customHeight="1">
      <c r="B600" s="135"/>
    </row>
    <row r="601" ht="15.75" customHeight="1">
      <c r="B601" s="135"/>
    </row>
    <row r="602" ht="15.75" customHeight="1">
      <c r="B602" s="135"/>
    </row>
    <row r="603" ht="15.75" customHeight="1">
      <c r="B603" s="135"/>
    </row>
    <row r="604" ht="15.75" customHeight="1">
      <c r="B604" s="135"/>
    </row>
    <row r="605" ht="15.75" customHeight="1">
      <c r="B605" s="135"/>
    </row>
    <row r="606" ht="15.75" customHeight="1">
      <c r="B606" s="135"/>
    </row>
    <row r="607" ht="15.75" customHeight="1">
      <c r="B607" s="135"/>
    </row>
    <row r="608" ht="15.75" customHeight="1">
      <c r="B608" s="135"/>
    </row>
    <row r="609" ht="15.75" customHeight="1">
      <c r="B609" s="135"/>
    </row>
    <row r="610" ht="15.75" customHeight="1">
      <c r="B610" s="135"/>
    </row>
    <row r="611" ht="15.75" customHeight="1">
      <c r="B611" s="135"/>
    </row>
    <row r="612" ht="15.75" customHeight="1">
      <c r="B612" s="135"/>
    </row>
    <row r="613" ht="15.75" customHeight="1">
      <c r="B613" s="135"/>
    </row>
    <row r="614" ht="15.75" customHeight="1">
      <c r="B614" s="135"/>
    </row>
    <row r="615" ht="15.75" customHeight="1">
      <c r="B615" s="135"/>
    </row>
    <row r="616" ht="15.75" customHeight="1">
      <c r="B616" s="135"/>
    </row>
    <row r="617" ht="15.75" customHeight="1">
      <c r="B617" s="135"/>
    </row>
    <row r="618" ht="15.75" customHeight="1">
      <c r="B618" s="135"/>
    </row>
    <row r="619" ht="15.75" customHeight="1">
      <c r="B619" s="135"/>
    </row>
    <row r="620" ht="15.75" customHeight="1">
      <c r="B620" s="135"/>
    </row>
    <row r="621" ht="15.75" customHeight="1">
      <c r="B621" s="135"/>
    </row>
    <row r="622" ht="15.75" customHeight="1">
      <c r="B622" s="135"/>
    </row>
    <row r="623" ht="15.75" customHeight="1">
      <c r="B623" s="135"/>
    </row>
    <row r="624" ht="15.75" customHeight="1">
      <c r="B624" s="135"/>
    </row>
    <row r="625" ht="15.75" customHeight="1">
      <c r="B625" s="135"/>
    </row>
    <row r="626" ht="15.75" customHeight="1">
      <c r="B626" s="135"/>
    </row>
    <row r="627" ht="15.75" customHeight="1">
      <c r="B627" s="135"/>
    </row>
    <row r="628" ht="15.75" customHeight="1">
      <c r="B628" s="135"/>
    </row>
    <row r="629" ht="15.75" customHeight="1">
      <c r="B629" s="135"/>
    </row>
    <row r="630" ht="15.75" customHeight="1">
      <c r="B630" s="135"/>
    </row>
    <row r="631" ht="15.75" customHeight="1">
      <c r="B631" s="135"/>
    </row>
    <row r="632" ht="15.75" customHeight="1">
      <c r="B632" s="135"/>
    </row>
    <row r="633" ht="15.75" customHeight="1">
      <c r="B633" s="135"/>
    </row>
    <row r="634" ht="15.75" customHeight="1">
      <c r="B634" s="135"/>
    </row>
    <row r="635" ht="15.75" customHeight="1">
      <c r="B635" s="135"/>
    </row>
    <row r="636" ht="15.75" customHeight="1">
      <c r="B636" s="135"/>
    </row>
    <row r="637" ht="15.75" customHeight="1">
      <c r="B637" s="135"/>
    </row>
    <row r="638" ht="15.75" customHeight="1">
      <c r="B638" s="135"/>
    </row>
    <row r="639" ht="15.75" customHeight="1">
      <c r="B639" s="135"/>
    </row>
    <row r="640" ht="15.75" customHeight="1">
      <c r="B640" s="135"/>
    </row>
    <row r="641" ht="15.75" customHeight="1">
      <c r="B641" s="135"/>
    </row>
    <row r="642" ht="15.75" customHeight="1">
      <c r="B642" s="135"/>
    </row>
    <row r="643" ht="15.75" customHeight="1">
      <c r="B643" s="135"/>
    </row>
    <row r="644" ht="15.75" customHeight="1">
      <c r="B644" s="135"/>
    </row>
    <row r="645" ht="15.75" customHeight="1">
      <c r="B645" s="135"/>
    </row>
    <row r="646" ht="15.75" customHeight="1">
      <c r="B646" s="135"/>
    </row>
    <row r="647" ht="15.75" customHeight="1">
      <c r="B647" s="135"/>
    </row>
    <row r="648" ht="15.75" customHeight="1">
      <c r="B648" s="135"/>
    </row>
    <row r="649" ht="15.75" customHeight="1">
      <c r="B649" s="135"/>
    </row>
    <row r="650" ht="15.75" customHeight="1">
      <c r="B650" s="135"/>
    </row>
    <row r="651" ht="15.75" customHeight="1">
      <c r="B651" s="135"/>
    </row>
    <row r="652" ht="15.75" customHeight="1">
      <c r="B652" s="135"/>
    </row>
    <row r="653" ht="15.75" customHeight="1">
      <c r="B653" s="135"/>
    </row>
    <row r="654" ht="15.75" customHeight="1">
      <c r="B654" s="135"/>
    </row>
    <row r="655" ht="15.75" customHeight="1">
      <c r="B655" s="135"/>
    </row>
    <row r="656" ht="15.75" customHeight="1">
      <c r="B656" s="135"/>
    </row>
    <row r="657" ht="15.75" customHeight="1">
      <c r="B657" s="135"/>
    </row>
    <row r="658" ht="15.75" customHeight="1">
      <c r="B658" s="135"/>
    </row>
    <row r="659" ht="15.75" customHeight="1">
      <c r="B659" s="135"/>
    </row>
    <row r="660" ht="15.75" customHeight="1">
      <c r="B660" s="135"/>
    </row>
    <row r="661" ht="15.75" customHeight="1">
      <c r="B661" s="135"/>
    </row>
    <row r="662" ht="15.75" customHeight="1">
      <c r="B662" s="135"/>
    </row>
    <row r="663" ht="15.75" customHeight="1">
      <c r="B663" s="135"/>
    </row>
    <row r="664" ht="15.75" customHeight="1">
      <c r="B664" s="135"/>
    </row>
    <row r="665" ht="15.75" customHeight="1">
      <c r="B665" s="135"/>
    </row>
    <row r="666" ht="15.75" customHeight="1">
      <c r="B666" s="135"/>
    </row>
    <row r="667" ht="15.75" customHeight="1">
      <c r="B667" s="135"/>
    </row>
    <row r="668" ht="15.75" customHeight="1">
      <c r="B668" s="135"/>
    </row>
    <row r="669" ht="15.75" customHeight="1">
      <c r="B669" s="135"/>
    </row>
    <row r="670" ht="15.75" customHeight="1">
      <c r="B670" s="135"/>
    </row>
    <row r="671" ht="15.75" customHeight="1">
      <c r="B671" s="135"/>
    </row>
    <row r="672" ht="15.75" customHeight="1">
      <c r="B672" s="135"/>
    </row>
    <row r="673" ht="15.75" customHeight="1">
      <c r="B673" s="135"/>
    </row>
    <row r="674" ht="15.75" customHeight="1">
      <c r="B674" s="135"/>
    </row>
    <row r="675" ht="15.75" customHeight="1">
      <c r="B675" s="135"/>
    </row>
    <row r="676" ht="15.75" customHeight="1">
      <c r="B676" s="135"/>
    </row>
    <row r="677" ht="15.75" customHeight="1">
      <c r="B677" s="135"/>
    </row>
    <row r="678" ht="15.75" customHeight="1">
      <c r="B678" s="135"/>
    </row>
    <row r="679" ht="15.75" customHeight="1">
      <c r="B679" s="135"/>
    </row>
    <row r="680" ht="15.75" customHeight="1">
      <c r="B680" s="135"/>
    </row>
    <row r="681" ht="15.75" customHeight="1">
      <c r="B681" s="135"/>
    </row>
    <row r="682" ht="15.75" customHeight="1">
      <c r="B682" s="135"/>
    </row>
    <row r="683" ht="15.75" customHeight="1">
      <c r="B683" s="135"/>
    </row>
    <row r="684" ht="15.75" customHeight="1">
      <c r="B684" s="135"/>
    </row>
    <row r="685" ht="15.75" customHeight="1">
      <c r="B685" s="135"/>
    </row>
    <row r="686" ht="15.75" customHeight="1">
      <c r="B686" s="135"/>
    </row>
    <row r="687" ht="15.75" customHeight="1">
      <c r="B687" s="135"/>
    </row>
    <row r="688" ht="15.75" customHeight="1">
      <c r="B688" s="135"/>
    </row>
    <row r="689" ht="15.75" customHeight="1">
      <c r="B689" s="135"/>
    </row>
    <row r="690" ht="15.75" customHeight="1">
      <c r="B690" s="135"/>
    </row>
    <row r="691" ht="15.75" customHeight="1">
      <c r="B691" s="135"/>
    </row>
    <row r="692" ht="15.75" customHeight="1">
      <c r="B692" s="135"/>
    </row>
    <row r="693" ht="15.75" customHeight="1">
      <c r="B693" s="135"/>
    </row>
    <row r="694" ht="15.75" customHeight="1">
      <c r="B694" s="135"/>
    </row>
    <row r="695" ht="15.75" customHeight="1">
      <c r="B695" s="135"/>
    </row>
    <row r="696" ht="15.75" customHeight="1">
      <c r="B696" s="135"/>
    </row>
    <row r="697" ht="15.75" customHeight="1">
      <c r="B697" s="135"/>
    </row>
    <row r="698" ht="15.75" customHeight="1">
      <c r="B698" s="135"/>
    </row>
    <row r="699" ht="15.75" customHeight="1">
      <c r="B699" s="135"/>
    </row>
    <row r="700" ht="15.75" customHeight="1">
      <c r="B700" s="135"/>
    </row>
    <row r="701" ht="15.75" customHeight="1">
      <c r="B701" s="135"/>
    </row>
    <row r="702" ht="15.75" customHeight="1">
      <c r="B702" s="135"/>
    </row>
    <row r="703" ht="15.75" customHeight="1">
      <c r="B703" s="135"/>
    </row>
    <row r="704" ht="15.75" customHeight="1">
      <c r="B704" s="135"/>
    </row>
    <row r="705" ht="15.75" customHeight="1">
      <c r="B705" s="135"/>
    </row>
    <row r="706" ht="15.75" customHeight="1">
      <c r="B706" s="135"/>
    </row>
    <row r="707" ht="15.75" customHeight="1">
      <c r="B707" s="135"/>
    </row>
    <row r="708" ht="15.75" customHeight="1">
      <c r="B708" s="135"/>
    </row>
    <row r="709" ht="15.75" customHeight="1">
      <c r="B709" s="135"/>
    </row>
    <row r="710" ht="15.75" customHeight="1">
      <c r="B710" s="135"/>
    </row>
    <row r="711" ht="15.75" customHeight="1">
      <c r="B711" s="135"/>
    </row>
    <row r="712" ht="15.75" customHeight="1">
      <c r="B712" s="135"/>
    </row>
    <row r="713" ht="15.75" customHeight="1">
      <c r="B713" s="135"/>
    </row>
    <row r="714" ht="15.75" customHeight="1">
      <c r="B714" s="135"/>
    </row>
    <row r="715" ht="15.75" customHeight="1">
      <c r="B715" s="135"/>
    </row>
    <row r="716" ht="15.75" customHeight="1">
      <c r="B716" s="135"/>
    </row>
    <row r="717" ht="15.75" customHeight="1">
      <c r="B717" s="135"/>
    </row>
    <row r="718" ht="15.75" customHeight="1">
      <c r="B718" s="135"/>
    </row>
    <row r="719" ht="15.75" customHeight="1">
      <c r="B719" s="135"/>
    </row>
    <row r="720" ht="15.75" customHeight="1">
      <c r="B720" s="135"/>
    </row>
    <row r="721" ht="15.75" customHeight="1">
      <c r="B721" s="135"/>
    </row>
    <row r="722" ht="15.75" customHeight="1">
      <c r="B722" s="135"/>
    </row>
    <row r="723" ht="15.75" customHeight="1">
      <c r="B723" s="135"/>
    </row>
    <row r="724" ht="15.75" customHeight="1">
      <c r="B724" s="135"/>
    </row>
    <row r="725" ht="15.75" customHeight="1">
      <c r="B725" s="135"/>
    </row>
    <row r="726" ht="15.75" customHeight="1">
      <c r="B726" s="135"/>
    </row>
    <row r="727" ht="15.75" customHeight="1">
      <c r="B727" s="135"/>
    </row>
    <row r="728" ht="15.75" customHeight="1">
      <c r="B728" s="135"/>
    </row>
    <row r="729" ht="15.75" customHeight="1">
      <c r="B729" s="135"/>
    </row>
    <row r="730" ht="15.75" customHeight="1">
      <c r="B730" s="135"/>
    </row>
    <row r="731" ht="15.75" customHeight="1">
      <c r="B731" s="135"/>
    </row>
    <row r="732" ht="15.75" customHeight="1">
      <c r="B732" s="135"/>
    </row>
    <row r="733" ht="15.75" customHeight="1">
      <c r="B733" s="135"/>
    </row>
    <row r="734" ht="15.75" customHeight="1">
      <c r="B734" s="135"/>
    </row>
    <row r="735" ht="15.75" customHeight="1">
      <c r="B735" s="135"/>
    </row>
    <row r="736" ht="15.75" customHeight="1">
      <c r="B736" s="135"/>
    </row>
    <row r="737" ht="15.75" customHeight="1">
      <c r="B737" s="135"/>
    </row>
    <row r="738" ht="15.75" customHeight="1">
      <c r="B738" s="135"/>
    </row>
    <row r="739" ht="15.75" customHeight="1">
      <c r="B739" s="135"/>
    </row>
    <row r="740" ht="15.75" customHeight="1">
      <c r="B740" s="135"/>
    </row>
    <row r="741" ht="15.75" customHeight="1">
      <c r="B741" s="135"/>
    </row>
    <row r="742" ht="15.75" customHeight="1">
      <c r="B742" s="135"/>
    </row>
    <row r="743" ht="15.75" customHeight="1">
      <c r="B743" s="135"/>
    </row>
    <row r="744" ht="15.75" customHeight="1">
      <c r="B744" s="135"/>
    </row>
    <row r="745" ht="15.75" customHeight="1">
      <c r="B745" s="135"/>
    </row>
    <row r="746" ht="15.75" customHeight="1">
      <c r="B746" s="135"/>
    </row>
    <row r="747" ht="15.75" customHeight="1">
      <c r="B747" s="135"/>
    </row>
    <row r="748" ht="15.75" customHeight="1">
      <c r="B748" s="135"/>
    </row>
    <row r="749" ht="15.75" customHeight="1">
      <c r="B749" s="135"/>
    </row>
    <row r="750" ht="15.75" customHeight="1">
      <c r="B750" s="135"/>
    </row>
    <row r="751" ht="15.75" customHeight="1">
      <c r="B751" s="135"/>
    </row>
    <row r="752" ht="15.75" customHeight="1">
      <c r="B752" s="135"/>
    </row>
    <row r="753" ht="15.75" customHeight="1">
      <c r="B753" s="135"/>
    </row>
    <row r="754" ht="15.75" customHeight="1">
      <c r="B754" s="135"/>
    </row>
    <row r="755" ht="15.75" customHeight="1">
      <c r="B755" s="135"/>
    </row>
    <row r="756" ht="15.75" customHeight="1">
      <c r="B756" s="135"/>
    </row>
    <row r="757" ht="15.75" customHeight="1">
      <c r="B757" s="135"/>
    </row>
    <row r="758" ht="15.75" customHeight="1">
      <c r="B758" s="135"/>
    </row>
    <row r="759" ht="15.75" customHeight="1">
      <c r="B759" s="135"/>
    </row>
    <row r="760" ht="15.75" customHeight="1">
      <c r="B760" s="135"/>
    </row>
    <row r="761" ht="15.75" customHeight="1">
      <c r="B761" s="135"/>
    </row>
    <row r="762" ht="15.75" customHeight="1">
      <c r="B762" s="135"/>
    </row>
    <row r="763" ht="15.75" customHeight="1">
      <c r="B763" s="135"/>
    </row>
    <row r="764" ht="15.75" customHeight="1">
      <c r="B764" s="135"/>
    </row>
    <row r="765" ht="15.75" customHeight="1">
      <c r="B765" s="135"/>
    </row>
    <row r="766" ht="15.75" customHeight="1">
      <c r="B766" s="135"/>
    </row>
    <row r="767" ht="15.75" customHeight="1">
      <c r="B767" s="135"/>
    </row>
    <row r="768" ht="15.75" customHeight="1">
      <c r="B768" s="135"/>
    </row>
    <row r="769" ht="15.75" customHeight="1">
      <c r="B769" s="135"/>
    </row>
    <row r="770" ht="15.75" customHeight="1">
      <c r="B770" s="135"/>
    </row>
    <row r="771" ht="15.75" customHeight="1">
      <c r="B771" s="135"/>
    </row>
    <row r="772" ht="15.75" customHeight="1">
      <c r="B772" s="135"/>
    </row>
    <row r="773" ht="15.75" customHeight="1">
      <c r="B773" s="135"/>
    </row>
    <row r="774" ht="15.75" customHeight="1">
      <c r="B774" s="135"/>
    </row>
    <row r="775" ht="15.75" customHeight="1">
      <c r="B775" s="135"/>
    </row>
    <row r="776" ht="15.75" customHeight="1">
      <c r="B776" s="135"/>
    </row>
    <row r="777" ht="15.75" customHeight="1">
      <c r="B777" s="135"/>
    </row>
    <row r="778" ht="15.75" customHeight="1">
      <c r="B778" s="135"/>
    </row>
    <row r="779" ht="15.75" customHeight="1">
      <c r="B779" s="135"/>
    </row>
    <row r="780" ht="15.75" customHeight="1">
      <c r="B780" s="135"/>
    </row>
    <row r="781" ht="15.75" customHeight="1">
      <c r="B781" s="135"/>
    </row>
    <row r="782" ht="15.75" customHeight="1">
      <c r="B782" s="135"/>
    </row>
    <row r="783" ht="15.75" customHeight="1">
      <c r="B783" s="135"/>
    </row>
    <row r="784" ht="15.75" customHeight="1">
      <c r="B784" s="135"/>
    </row>
    <row r="785" ht="15.75" customHeight="1">
      <c r="B785" s="135"/>
    </row>
    <row r="786" ht="15.75" customHeight="1">
      <c r="B786" s="135"/>
    </row>
    <row r="787" ht="15.75" customHeight="1">
      <c r="B787" s="135"/>
    </row>
    <row r="788" ht="15.75" customHeight="1">
      <c r="B788" s="135"/>
    </row>
    <row r="789" ht="15.75" customHeight="1">
      <c r="B789" s="135"/>
    </row>
    <row r="790" ht="15.75" customHeight="1">
      <c r="B790" s="135"/>
    </row>
    <row r="791" ht="15.75" customHeight="1">
      <c r="B791" s="135"/>
    </row>
    <row r="792" ht="15.75" customHeight="1">
      <c r="B792" s="135"/>
    </row>
    <row r="793" ht="15.75" customHeight="1">
      <c r="B793" s="135"/>
    </row>
    <row r="794" ht="15.75" customHeight="1">
      <c r="B794" s="135"/>
    </row>
    <row r="795" ht="15.75" customHeight="1">
      <c r="B795" s="135"/>
    </row>
    <row r="796" ht="15.75" customHeight="1">
      <c r="B796" s="135"/>
    </row>
    <row r="797" ht="15.75" customHeight="1">
      <c r="B797" s="135"/>
    </row>
    <row r="798" ht="15.75" customHeight="1">
      <c r="B798" s="135"/>
    </row>
    <row r="799" ht="15.75" customHeight="1">
      <c r="B799" s="135"/>
    </row>
    <row r="800" ht="15.75" customHeight="1">
      <c r="B800" s="135"/>
    </row>
    <row r="801" ht="15.75" customHeight="1">
      <c r="B801" s="135"/>
    </row>
    <row r="802" ht="15.75" customHeight="1">
      <c r="B802" s="135"/>
    </row>
    <row r="803" ht="15.75" customHeight="1">
      <c r="B803" s="135"/>
    </row>
    <row r="804" ht="15.75" customHeight="1">
      <c r="B804" s="135"/>
    </row>
    <row r="805" ht="15.75" customHeight="1">
      <c r="B805" s="135"/>
    </row>
    <row r="806" ht="15.75" customHeight="1">
      <c r="B806" s="135"/>
    </row>
    <row r="807" ht="15.75" customHeight="1">
      <c r="B807" s="135"/>
    </row>
    <row r="808" ht="15.75" customHeight="1">
      <c r="B808" s="135"/>
    </row>
    <row r="809" ht="15.75" customHeight="1">
      <c r="B809" s="135"/>
    </row>
    <row r="810" ht="15.75" customHeight="1">
      <c r="B810" s="135"/>
    </row>
    <row r="811" ht="15.75" customHeight="1">
      <c r="B811" s="135"/>
    </row>
    <row r="812" ht="15.75" customHeight="1">
      <c r="B812" s="135"/>
    </row>
    <row r="813" ht="15.75" customHeight="1">
      <c r="B813" s="135"/>
    </row>
    <row r="814" ht="15.75" customHeight="1">
      <c r="B814" s="135"/>
    </row>
    <row r="815" ht="15.75" customHeight="1">
      <c r="B815" s="135"/>
    </row>
    <row r="816" ht="15.75" customHeight="1">
      <c r="B816" s="135"/>
    </row>
    <row r="817" ht="15.75" customHeight="1">
      <c r="B817" s="135"/>
    </row>
    <row r="818" ht="15.75" customHeight="1">
      <c r="B818" s="135"/>
    </row>
    <row r="819" ht="15.75" customHeight="1">
      <c r="B819" s="135"/>
    </row>
    <row r="820" ht="15.75" customHeight="1">
      <c r="B820" s="135"/>
    </row>
    <row r="821" ht="15.75" customHeight="1">
      <c r="B821" s="135"/>
    </row>
    <row r="822" ht="15.75" customHeight="1">
      <c r="B822" s="135"/>
    </row>
    <row r="823" ht="15.75" customHeight="1">
      <c r="B823" s="135"/>
    </row>
    <row r="824" ht="15.75" customHeight="1">
      <c r="B824" s="135"/>
    </row>
    <row r="825" ht="15.75" customHeight="1">
      <c r="B825" s="135"/>
    </row>
    <row r="826" ht="15.75" customHeight="1">
      <c r="B826" s="135"/>
    </row>
    <row r="827" ht="15.75" customHeight="1">
      <c r="B827" s="135"/>
    </row>
    <row r="828" ht="15.75" customHeight="1">
      <c r="B828" s="135"/>
    </row>
    <row r="829" ht="15.75" customHeight="1">
      <c r="B829" s="135"/>
    </row>
    <row r="830" ht="15.75" customHeight="1">
      <c r="B830" s="135"/>
    </row>
    <row r="831" ht="15.75" customHeight="1">
      <c r="B831" s="135"/>
    </row>
    <row r="832" ht="15.75" customHeight="1">
      <c r="B832" s="135"/>
    </row>
    <row r="833" ht="15.75" customHeight="1">
      <c r="B833" s="135"/>
    </row>
    <row r="834" ht="15.75" customHeight="1">
      <c r="B834" s="135"/>
    </row>
    <row r="835" ht="15.75" customHeight="1">
      <c r="B835" s="135"/>
    </row>
    <row r="836" ht="15.75" customHeight="1">
      <c r="B836" s="135"/>
    </row>
    <row r="837" ht="15.75" customHeight="1">
      <c r="B837" s="135"/>
    </row>
    <row r="838" ht="15.75" customHeight="1">
      <c r="B838" s="135"/>
    </row>
    <row r="839" ht="15.75" customHeight="1">
      <c r="B839" s="135"/>
    </row>
    <row r="840" ht="15.75" customHeight="1">
      <c r="B840" s="135"/>
    </row>
    <row r="841" ht="15.75" customHeight="1">
      <c r="B841" s="135"/>
    </row>
    <row r="842" ht="15.75" customHeight="1">
      <c r="B842" s="135"/>
    </row>
    <row r="843" ht="15.75" customHeight="1">
      <c r="B843" s="135"/>
    </row>
    <row r="844" ht="15.75" customHeight="1">
      <c r="B844" s="135"/>
    </row>
    <row r="845" ht="15.75" customHeight="1">
      <c r="B845" s="135"/>
    </row>
    <row r="846" ht="15.75" customHeight="1">
      <c r="B846" s="135"/>
    </row>
    <row r="847" ht="15.75" customHeight="1">
      <c r="B847" s="135"/>
    </row>
    <row r="848" ht="15.75" customHeight="1">
      <c r="B848" s="135"/>
    </row>
    <row r="849" ht="15.75" customHeight="1">
      <c r="B849" s="135"/>
    </row>
    <row r="850" ht="15.75" customHeight="1">
      <c r="B850" s="135"/>
    </row>
    <row r="851" ht="15.75" customHeight="1">
      <c r="B851" s="135"/>
    </row>
    <row r="852" ht="15.75" customHeight="1">
      <c r="B852" s="135"/>
    </row>
    <row r="853" ht="15.75" customHeight="1">
      <c r="B853" s="135"/>
    </row>
    <row r="854" ht="15.75" customHeight="1">
      <c r="B854" s="135"/>
    </row>
    <row r="855" ht="15.75" customHeight="1">
      <c r="B855" s="135"/>
    </row>
    <row r="856" ht="15.75" customHeight="1">
      <c r="B856" s="135"/>
    </row>
    <row r="857" ht="15.75" customHeight="1">
      <c r="B857" s="135"/>
    </row>
    <row r="858" ht="15.75" customHeight="1">
      <c r="B858" s="135"/>
    </row>
    <row r="859" ht="15.75" customHeight="1">
      <c r="B859" s="135"/>
    </row>
    <row r="860" ht="15.75" customHeight="1">
      <c r="B860" s="135"/>
    </row>
    <row r="861" ht="15.75" customHeight="1">
      <c r="B861" s="135"/>
    </row>
    <row r="862" ht="15.75" customHeight="1">
      <c r="B862" s="135"/>
    </row>
    <row r="863" ht="15.75" customHeight="1">
      <c r="B863" s="135"/>
    </row>
    <row r="864" ht="15.75" customHeight="1">
      <c r="B864" s="135"/>
    </row>
    <row r="865" ht="15.75" customHeight="1">
      <c r="B865" s="135"/>
    </row>
    <row r="866" ht="15.75" customHeight="1">
      <c r="B866" s="135"/>
    </row>
    <row r="867" ht="15.75" customHeight="1">
      <c r="B867" s="135"/>
    </row>
    <row r="868" ht="15.75" customHeight="1">
      <c r="B868" s="135"/>
    </row>
    <row r="869" ht="15.75" customHeight="1">
      <c r="B869" s="135"/>
    </row>
    <row r="870" ht="15.75" customHeight="1">
      <c r="B870" s="135"/>
    </row>
    <row r="871" ht="15.75" customHeight="1">
      <c r="B871" s="135"/>
    </row>
    <row r="872" ht="15.75" customHeight="1">
      <c r="B872" s="135"/>
    </row>
    <row r="873" ht="15.75" customHeight="1">
      <c r="B873" s="135"/>
    </row>
    <row r="874" ht="15.75" customHeight="1">
      <c r="B874" s="135"/>
    </row>
    <row r="875" ht="15.75" customHeight="1">
      <c r="B875" s="135"/>
    </row>
    <row r="876" ht="15.75" customHeight="1">
      <c r="B876" s="135"/>
    </row>
    <row r="877" ht="15.75" customHeight="1">
      <c r="B877" s="135"/>
    </row>
    <row r="878" ht="15.75" customHeight="1">
      <c r="B878" s="135"/>
    </row>
    <row r="879" ht="15.75" customHeight="1">
      <c r="B879" s="135"/>
    </row>
    <row r="880" ht="15.75" customHeight="1">
      <c r="B880" s="135"/>
    </row>
    <row r="881" ht="15.75" customHeight="1">
      <c r="B881" s="135"/>
    </row>
    <row r="882" ht="15.75" customHeight="1">
      <c r="B882" s="135"/>
    </row>
    <row r="883" ht="15.75" customHeight="1">
      <c r="B883" s="135"/>
    </row>
    <row r="884" ht="15.75" customHeight="1">
      <c r="B884" s="135"/>
    </row>
    <row r="885" ht="15.75" customHeight="1">
      <c r="B885" s="135"/>
    </row>
    <row r="886" ht="15.75" customHeight="1">
      <c r="B886" s="135"/>
    </row>
    <row r="887" ht="15.75" customHeight="1">
      <c r="B887" s="135"/>
    </row>
    <row r="888" ht="15.75" customHeight="1">
      <c r="B888" s="135"/>
    </row>
    <row r="889" ht="15.75" customHeight="1">
      <c r="B889" s="135"/>
    </row>
    <row r="890" ht="15.75" customHeight="1">
      <c r="B890" s="135"/>
    </row>
    <row r="891" ht="15.75" customHeight="1">
      <c r="B891" s="135"/>
    </row>
    <row r="892" ht="15.75" customHeight="1">
      <c r="B892" s="135"/>
    </row>
    <row r="893" ht="15.75" customHeight="1">
      <c r="B893" s="135"/>
    </row>
    <row r="894" ht="15.75" customHeight="1">
      <c r="B894" s="135"/>
    </row>
    <row r="895" ht="15.75" customHeight="1">
      <c r="B895" s="135"/>
    </row>
    <row r="896" ht="15.75" customHeight="1">
      <c r="B896" s="135"/>
    </row>
    <row r="897" ht="15.75" customHeight="1">
      <c r="B897" s="135"/>
    </row>
    <row r="898" ht="15.75" customHeight="1">
      <c r="B898" s="135"/>
    </row>
    <row r="899" ht="15.75" customHeight="1">
      <c r="B899" s="135"/>
    </row>
    <row r="900" ht="15.75" customHeight="1">
      <c r="B900" s="135"/>
    </row>
    <row r="901" ht="15.75" customHeight="1">
      <c r="B901" s="135"/>
    </row>
    <row r="902" ht="15.75" customHeight="1">
      <c r="B902" s="135"/>
    </row>
    <row r="903" ht="15.75" customHeight="1">
      <c r="B903" s="135"/>
    </row>
    <row r="904" ht="15.75" customHeight="1">
      <c r="B904" s="135"/>
    </row>
    <row r="905" ht="15.75" customHeight="1">
      <c r="B905" s="135"/>
    </row>
    <row r="906" ht="15.75" customHeight="1">
      <c r="B906" s="135"/>
    </row>
    <row r="907" ht="15.75" customHeight="1">
      <c r="B907" s="135"/>
    </row>
    <row r="908" ht="15.75" customHeight="1">
      <c r="B908" s="135"/>
    </row>
    <row r="909" ht="15.75" customHeight="1">
      <c r="B909" s="135"/>
    </row>
    <row r="910" ht="15.75" customHeight="1">
      <c r="B910" s="135"/>
    </row>
    <row r="911" ht="15.75" customHeight="1">
      <c r="B911" s="135"/>
    </row>
    <row r="912" ht="15.75" customHeight="1">
      <c r="B912" s="135"/>
    </row>
    <row r="913" ht="15.75" customHeight="1">
      <c r="B913" s="135"/>
    </row>
    <row r="914" ht="15.75" customHeight="1">
      <c r="B914" s="135"/>
    </row>
    <row r="915" ht="15.75" customHeight="1">
      <c r="B915" s="135"/>
    </row>
    <row r="916" ht="15.75" customHeight="1">
      <c r="B916" s="135"/>
    </row>
    <row r="917" ht="15.75" customHeight="1">
      <c r="B917" s="135"/>
    </row>
    <row r="918" ht="15.75" customHeight="1">
      <c r="B918" s="135"/>
    </row>
    <row r="919" ht="15.75" customHeight="1">
      <c r="B919" s="135"/>
    </row>
    <row r="920" ht="15.75" customHeight="1">
      <c r="B920" s="135"/>
    </row>
    <row r="921" ht="15.75" customHeight="1">
      <c r="B921" s="135"/>
    </row>
    <row r="922" ht="15.75" customHeight="1">
      <c r="B922" s="135"/>
    </row>
    <row r="923" ht="15.75" customHeight="1">
      <c r="B923" s="135"/>
    </row>
    <row r="924" ht="15.75" customHeight="1">
      <c r="B924" s="135"/>
    </row>
    <row r="925" ht="15.75" customHeight="1">
      <c r="B925" s="135"/>
    </row>
    <row r="926" ht="15.75" customHeight="1">
      <c r="B926" s="135"/>
    </row>
    <row r="927" ht="15.75" customHeight="1">
      <c r="B927" s="135"/>
    </row>
    <row r="928" ht="15.75" customHeight="1">
      <c r="B928" s="135"/>
    </row>
    <row r="929" ht="15.75" customHeight="1">
      <c r="B929" s="135"/>
    </row>
    <row r="930" ht="15.75" customHeight="1">
      <c r="B930" s="135"/>
    </row>
    <row r="931" ht="15.75" customHeight="1">
      <c r="B931" s="135"/>
    </row>
    <row r="932" ht="15.75" customHeight="1">
      <c r="B932" s="135"/>
    </row>
    <row r="933" ht="15.75" customHeight="1">
      <c r="B933" s="135"/>
    </row>
    <row r="934" ht="15.75" customHeight="1">
      <c r="B934" s="135"/>
    </row>
    <row r="935" ht="15.75" customHeight="1">
      <c r="B935" s="135"/>
    </row>
    <row r="936" ht="15.75" customHeight="1">
      <c r="B936" s="135"/>
    </row>
    <row r="937" ht="15.75" customHeight="1">
      <c r="B937" s="135"/>
    </row>
    <row r="938" ht="15.75" customHeight="1">
      <c r="B938" s="135"/>
    </row>
    <row r="939" ht="15.75" customHeight="1">
      <c r="B939" s="135"/>
    </row>
    <row r="940" ht="15.75" customHeight="1">
      <c r="B940" s="135"/>
    </row>
    <row r="941" ht="15.75" customHeight="1">
      <c r="B941" s="135"/>
    </row>
    <row r="942" ht="15.75" customHeight="1">
      <c r="B942" s="135"/>
    </row>
    <row r="943" ht="15.75" customHeight="1">
      <c r="B943" s="135"/>
    </row>
    <row r="944" ht="15.75" customHeight="1">
      <c r="B944" s="135"/>
    </row>
    <row r="945" ht="15.75" customHeight="1">
      <c r="B945" s="135"/>
    </row>
    <row r="946" ht="15.75" customHeight="1">
      <c r="B946" s="135"/>
    </row>
    <row r="947" ht="15.75" customHeight="1">
      <c r="B947" s="135"/>
    </row>
    <row r="948" ht="15.75" customHeight="1">
      <c r="B948" s="135"/>
    </row>
    <row r="949" ht="15.75" customHeight="1">
      <c r="B949" s="135"/>
    </row>
    <row r="950" ht="15.75" customHeight="1">
      <c r="B950" s="135"/>
    </row>
    <row r="951" ht="15.75" customHeight="1">
      <c r="B951" s="135"/>
    </row>
    <row r="952" ht="15.75" customHeight="1">
      <c r="B952" s="135"/>
    </row>
    <row r="953" ht="15.75" customHeight="1">
      <c r="B953" s="135"/>
    </row>
    <row r="954" ht="15.75" customHeight="1">
      <c r="B954" s="135"/>
    </row>
    <row r="955" ht="15.75" customHeight="1">
      <c r="B955" s="135"/>
    </row>
    <row r="956" ht="15.75" customHeight="1">
      <c r="B956" s="135"/>
    </row>
    <row r="957" ht="15.75" customHeight="1">
      <c r="B957" s="135"/>
    </row>
    <row r="958" ht="15.75" customHeight="1">
      <c r="B958" s="135"/>
    </row>
    <row r="959" ht="15.75" customHeight="1">
      <c r="B959" s="135"/>
    </row>
    <row r="960" ht="15.75" customHeight="1">
      <c r="B960" s="135"/>
    </row>
    <row r="961" ht="15.75" customHeight="1">
      <c r="B961" s="135"/>
    </row>
    <row r="962" ht="15.75" customHeight="1">
      <c r="B962" s="135"/>
    </row>
    <row r="963" ht="15.75" customHeight="1">
      <c r="B963" s="135"/>
    </row>
    <row r="964" ht="15.75" customHeight="1">
      <c r="B964" s="135"/>
    </row>
    <row r="965" ht="15.75" customHeight="1">
      <c r="B965" s="135"/>
    </row>
    <row r="966" ht="15.75" customHeight="1">
      <c r="B966" s="135"/>
    </row>
    <row r="967" ht="15.75" customHeight="1">
      <c r="B967" s="135"/>
    </row>
    <row r="968" ht="15.75" customHeight="1">
      <c r="B968" s="135"/>
    </row>
    <row r="969" ht="15.75" customHeight="1">
      <c r="B969" s="135"/>
    </row>
    <row r="970" ht="15.75" customHeight="1">
      <c r="B970" s="135"/>
    </row>
    <row r="971" ht="15.75" customHeight="1">
      <c r="B971" s="135"/>
    </row>
    <row r="972" ht="15.75" customHeight="1">
      <c r="B972" s="135"/>
    </row>
    <row r="973" ht="15.75" customHeight="1">
      <c r="B973" s="135"/>
    </row>
    <row r="974" ht="15.75" customHeight="1">
      <c r="B974" s="135"/>
    </row>
    <row r="975" ht="15.75" customHeight="1">
      <c r="B975" s="135"/>
    </row>
    <row r="976" ht="15.75" customHeight="1">
      <c r="B976" s="135"/>
    </row>
    <row r="977" ht="15.75" customHeight="1">
      <c r="B977" s="135"/>
    </row>
    <row r="978" ht="15.75" customHeight="1">
      <c r="B978" s="135"/>
    </row>
    <row r="979" ht="15.75" customHeight="1">
      <c r="B979" s="135"/>
    </row>
    <row r="980" ht="15.75" customHeight="1">
      <c r="B980" s="135"/>
    </row>
    <row r="981" ht="15.75" customHeight="1">
      <c r="B981" s="135"/>
    </row>
    <row r="982" ht="15.75" customHeight="1">
      <c r="B982" s="135"/>
    </row>
    <row r="983" ht="15.75" customHeight="1">
      <c r="B983" s="135"/>
    </row>
    <row r="984" ht="15.75" customHeight="1">
      <c r="B984" s="135"/>
    </row>
    <row r="985" ht="15.75" customHeight="1">
      <c r="B985" s="135"/>
    </row>
    <row r="986" ht="15.75" customHeight="1">
      <c r="B986" s="135"/>
    </row>
    <row r="987" ht="15.75" customHeight="1">
      <c r="B987" s="135"/>
    </row>
    <row r="988" ht="15.75" customHeight="1">
      <c r="B988" s="135"/>
    </row>
    <row r="989" ht="15.75" customHeight="1">
      <c r="B989" s="135"/>
    </row>
    <row r="990" ht="15.75" customHeight="1">
      <c r="B990" s="135"/>
    </row>
    <row r="991" ht="15.75" customHeight="1">
      <c r="B991" s="135"/>
    </row>
    <row r="992" ht="15.75" customHeight="1">
      <c r="B992" s="135"/>
    </row>
    <row r="993" ht="15.75" customHeight="1">
      <c r="B993" s="135"/>
    </row>
    <row r="994" ht="15.75" customHeight="1">
      <c r="B994" s="135"/>
    </row>
    <row r="995" ht="15.75" customHeight="1">
      <c r="B995" s="135"/>
    </row>
    <row r="996" ht="15.75" customHeight="1">
      <c r="B996" s="135"/>
    </row>
    <row r="997" ht="15.75" customHeight="1">
      <c r="B997" s="135"/>
    </row>
    <row r="998" ht="15.75" customHeight="1">
      <c r="B998" s="135"/>
    </row>
    <row r="999" ht="15.75" customHeight="1">
      <c r="B999" s="135"/>
    </row>
    <row r="1000" ht="15.75" customHeight="1">
      <c r="B1000" s="135"/>
    </row>
  </sheetData>
  <dataValidations>
    <dataValidation type="list" allowBlank="1" showErrorMessage="1" sqref="B2:B1000">
      <formula1>"Titanium,Oro,Plata,Bonce"</formula1>
    </dataValidation>
    <dataValidation type="list" allowBlank="1" showErrorMessage="1" sqref="F2:F200">
      <formula1>"Campaña 1,Campaña 2,Campaña 3"</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4" t="s">
        <v>341</v>
      </c>
      <c r="B1" s="14" t="s">
        <v>342</v>
      </c>
      <c r="C1" s="14" t="s">
        <v>343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25"/>
    <col customWidth="1" min="2" max="2" width="12.63"/>
    <col customWidth="1" min="3" max="3" width="156.5"/>
    <col customWidth="1" min="4" max="4" width="45.75"/>
    <col customWidth="1" min="5" max="5" width="38.13"/>
    <col customWidth="1" min="6" max="6" width="37.38"/>
  </cols>
  <sheetData>
    <row r="1" ht="15.75" customHeight="1">
      <c r="A1" s="14" t="s">
        <v>336</v>
      </c>
      <c r="B1" s="14" t="s">
        <v>10</v>
      </c>
      <c r="C1" s="14" t="s">
        <v>344</v>
      </c>
      <c r="D1" s="14" t="s">
        <v>345</v>
      </c>
      <c r="E1" s="14" t="s">
        <v>346</v>
      </c>
      <c r="F1" s="14" t="s">
        <v>347</v>
      </c>
    </row>
    <row r="2" ht="26.25" customHeight="1">
      <c r="A2" s="136">
        <v>1.0</v>
      </c>
      <c r="B2" s="136" t="s">
        <v>348</v>
      </c>
      <c r="C2" s="136" t="str">
        <f>'Campaña 01'!C5</f>
        <v>Ganas la confianza de Venides y pasas a la CAMPAÑA Nº2, esta nos hablara de como Venides logra llegar de nuevo a Nefaria y que se encuentra o descubre por el camino.</v>
      </c>
      <c r="D2" s="137"/>
      <c r="E2" s="137"/>
      <c r="F2" s="137"/>
      <c r="G2" s="137"/>
      <c r="H2" s="137"/>
      <c r="I2" s="137"/>
      <c r="J2" s="137"/>
      <c r="K2" s="137"/>
      <c r="L2" s="137"/>
      <c r="M2" s="137"/>
      <c r="N2" s="137"/>
      <c r="O2" s="137"/>
      <c r="P2" s="137"/>
      <c r="Q2" s="137"/>
      <c r="R2" s="137"/>
      <c r="S2" s="137"/>
      <c r="T2" s="137"/>
      <c r="U2" s="137"/>
      <c r="V2" s="137"/>
      <c r="W2" s="137"/>
      <c r="X2" s="137"/>
      <c r="Y2" s="137"/>
      <c r="Z2" s="137"/>
    </row>
    <row r="3" ht="26.25" customHeight="1">
      <c r="A3" s="138">
        <v>1.0</v>
      </c>
      <c r="B3" s="138" t="s">
        <v>349</v>
      </c>
      <c r="C3" s="138" t="str">
        <f>'Campaña 01'!C6</f>
        <v>En este traicionamos la confianza de Venides y no salvamos a Verina ni Edul, podemos intentar recuperar la confianza de Venides ayudandolo cuando nos lo encontremos en medio camino, CAMPAÑA Nº2.2</v>
      </c>
      <c r="D3" s="139"/>
      <c r="E3" s="139"/>
      <c r="F3" s="139"/>
      <c r="G3" s="139"/>
      <c r="H3" s="139"/>
      <c r="I3" s="139"/>
      <c r="J3" s="139"/>
      <c r="K3" s="139"/>
      <c r="L3" s="139"/>
      <c r="M3" s="139"/>
      <c r="N3" s="139"/>
      <c r="O3" s="139"/>
      <c r="P3" s="139"/>
      <c r="Q3" s="139"/>
      <c r="R3" s="139"/>
      <c r="S3" s="139"/>
      <c r="T3" s="139"/>
      <c r="U3" s="139"/>
      <c r="V3" s="139"/>
      <c r="W3" s="139"/>
      <c r="X3" s="139"/>
      <c r="Y3" s="139"/>
      <c r="Z3" s="139"/>
    </row>
    <row r="4" ht="26.25" customHeight="1">
      <c r="A4" s="140">
        <v>1.0</v>
      </c>
      <c r="B4" s="140" t="s">
        <v>350</v>
      </c>
      <c r="C4" s="140" t="str">
        <f>'Campaña 01'!C7</f>
        <v>En este traicionamos a Venides y matamos a Verina y Edul y nos aliamos con Sandes, CAMPAÑA Nº2.4</v>
      </c>
      <c r="D4" s="141"/>
      <c r="E4" s="141"/>
      <c r="F4" s="141"/>
      <c r="G4" s="141"/>
      <c r="H4" s="141"/>
      <c r="I4" s="141"/>
      <c r="J4" s="141"/>
      <c r="K4" s="141"/>
      <c r="L4" s="141"/>
      <c r="M4" s="141"/>
      <c r="N4" s="141"/>
      <c r="O4" s="141"/>
      <c r="P4" s="141"/>
      <c r="Q4" s="141"/>
      <c r="R4" s="141"/>
      <c r="S4" s="141"/>
      <c r="T4" s="141"/>
      <c r="U4" s="141"/>
      <c r="V4" s="141"/>
      <c r="W4" s="141"/>
      <c r="X4" s="141"/>
      <c r="Y4" s="141"/>
      <c r="Z4" s="141"/>
    </row>
    <row r="5" ht="26.25" customHeight="1">
      <c r="A5" s="136">
        <v>2.0</v>
      </c>
      <c r="B5" s="136" t="s">
        <v>348</v>
      </c>
      <c r="C5" s="136" t="str">
        <f>'Bonus 02'!D5</f>
        <v>Ganas la confianza de Venides y pasas a la CAMPAÑA Nº2.2, esta nos hablara de como Venides logra llegar de nuevo a Perishton y que se encuentra o descubre por el camino.</v>
      </c>
      <c r="D5" s="137"/>
      <c r="E5" s="137"/>
      <c r="F5" s="137"/>
      <c r="G5" s="137"/>
      <c r="H5" s="137"/>
      <c r="I5" s="137"/>
      <c r="J5" s="137"/>
      <c r="K5" s="137"/>
      <c r="L5" s="137"/>
      <c r="M5" s="137"/>
      <c r="N5" s="137"/>
      <c r="O5" s="137"/>
      <c r="P5" s="137"/>
      <c r="Q5" s="137"/>
      <c r="R5" s="137"/>
      <c r="S5" s="137"/>
      <c r="T5" s="137"/>
      <c r="U5" s="137"/>
      <c r="V5" s="137"/>
      <c r="W5" s="137"/>
      <c r="X5" s="137"/>
      <c r="Y5" s="137"/>
      <c r="Z5" s="137"/>
    </row>
    <row r="6" ht="26.25" customHeight="1">
      <c r="A6" s="138">
        <v>2.0</v>
      </c>
      <c r="B6" s="138" t="s">
        <v>349</v>
      </c>
      <c r="C6" s="138" t="str">
        <f>'Bonus 02'!D7</f>
        <v>En este traicionamos a Venides y matamos a Verina y Edul y nos aliamos con Sandes, CAMPAÑA Nº2.4</v>
      </c>
      <c r="D6" s="139"/>
      <c r="E6" s="139"/>
      <c r="F6" s="139"/>
      <c r="G6" s="139"/>
      <c r="H6" s="139"/>
      <c r="I6" s="139"/>
      <c r="J6" s="139"/>
      <c r="K6" s="139"/>
      <c r="L6" s="139"/>
      <c r="M6" s="139"/>
      <c r="N6" s="139"/>
      <c r="O6" s="139"/>
      <c r="P6" s="139"/>
      <c r="Q6" s="139"/>
      <c r="R6" s="139"/>
      <c r="S6" s="139"/>
      <c r="T6" s="139"/>
      <c r="U6" s="139"/>
      <c r="V6" s="139"/>
      <c r="W6" s="139"/>
      <c r="X6" s="139"/>
      <c r="Y6" s="139"/>
      <c r="Z6" s="139"/>
    </row>
    <row r="7" ht="26.25" customHeight="1">
      <c r="A7" s="140">
        <v>2.0</v>
      </c>
      <c r="B7" s="140" t="s">
        <v>350</v>
      </c>
      <c r="C7" s="140" t="str">
        <f>'Bonus 02'!D6</f>
        <v>En este traicionamos la confianza de Venides y/o no salvamos a Verina y/o Edul, podemos intentar recuperar la confianza de Venides ayudandolo cuando nos lo encontremos en medio camino, CAMPAÑA Nº2.2</v>
      </c>
      <c r="D7" s="141"/>
      <c r="E7" s="141"/>
      <c r="F7" s="141"/>
      <c r="G7" s="141"/>
      <c r="H7" s="141"/>
      <c r="I7" s="141"/>
      <c r="J7" s="141"/>
      <c r="K7" s="141"/>
      <c r="L7" s="141"/>
      <c r="M7" s="141"/>
      <c r="N7" s="141"/>
      <c r="O7" s="141"/>
      <c r="P7" s="141"/>
      <c r="Q7" s="141"/>
      <c r="R7" s="141"/>
      <c r="S7" s="141"/>
      <c r="T7" s="141"/>
      <c r="U7" s="141"/>
      <c r="V7" s="141"/>
      <c r="W7" s="141"/>
      <c r="X7" s="141"/>
      <c r="Y7" s="141"/>
      <c r="Z7" s="141"/>
    </row>
    <row r="8" ht="26.25" customHeight="1">
      <c r="A8" s="142">
        <v>45324.0</v>
      </c>
      <c r="B8" s="136" t="s">
        <v>348</v>
      </c>
      <c r="C8" s="136" t="str">
        <f>'Bonus 02.2'!C6</f>
        <v>Te infiltras en las montañas dentro del culto de los perdidos, Venides y Verina huyran de Perishton, te acompañara Edul a investigar dentro de la fortaleza disfrazado como perdido. -&gt; Campaña nº 2.4 Bueno</v>
      </c>
      <c r="D8" s="137"/>
      <c r="E8" s="137"/>
      <c r="F8" s="137"/>
      <c r="G8" s="137"/>
      <c r="H8" s="137"/>
      <c r="I8" s="137"/>
      <c r="J8" s="137"/>
      <c r="K8" s="137"/>
      <c r="L8" s="137"/>
      <c r="M8" s="137"/>
      <c r="N8" s="137"/>
      <c r="O8" s="137"/>
      <c r="P8" s="137"/>
      <c r="Q8" s="137"/>
      <c r="R8" s="137"/>
      <c r="S8" s="137"/>
      <c r="T8" s="137"/>
      <c r="U8" s="137"/>
      <c r="V8" s="137"/>
      <c r="W8" s="137"/>
      <c r="X8" s="137"/>
      <c r="Y8" s="137"/>
      <c r="Z8" s="137"/>
    </row>
    <row r="9" ht="26.25" customHeight="1">
      <c r="A9" s="143">
        <v>45324.0</v>
      </c>
      <c r="B9" s="138" t="s">
        <v>349</v>
      </c>
      <c r="C9" s="138" t="str">
        <f>#REF!</f>
        <v>#REF!</v>
      </c>
      <c r="D9" s="139"/>
      <c r="E9" s="139"/>
      <c r="F9" s="139"/>
      <c r="G9" s="139"/>
      <c r="H9" s="139"/>
      <c r="I9" s="139"/>
      <c r="J9" s="139"/>
      <c r="K9" s="139"/>
      <c r="L9" s="139"/>
      <c r="M9" s="139"/>
      <c r="N9" s="139"/>
      <c r="O9" s="139"/>
      <c r="P9" s="139"/>
      <c r="Q9" s="139"/>
      <c r="R9" s="139"/>
      <c r="S9" s="139"/>
      <c r="T9" s="139"/>
      <c r="U9" s="139"/>
      <c r="V9" s="139"/>
      <c r="W9" s="139"/>
      <c r="X9" s="139"/>
      <c r="Y9" s="139"/>
      <c r="Z9" s="139"/>
    </row>
    <row r="10" ht="26.25" customHeight="1">
      <c r="A10" s="144">
        <v>45324.0</v>
      </c>
      <c r="B10" s="140" t="s">
        <v>350</v>
      </c>
      <c r="C10" s="140" t="str">
        <f>'Bonus 02.2'!C7</f>
        <v>Te uniras al culto y seras coordialmente invitado a la secta, cuando entres dentro te daras cuenta que todo era una mentira de Sandes para matarte y satisfacer sus experimentos. -&gt; Campaña nº 2.4 Malo</v>
      </c>
      <c r="D10" s="141"/>
      <c r="E10" s="141"/>
      <c r="F10" s="141"/>
      <c r="G10" s="141"/>
      <c r="H10" s="141"/>
      <c r="I10" s="141"/>
      <c r="J10" s="141"/>
      <c r="K10" s="141"/>
      <c r="L10" s="141"/>
      <c r="M10" s="141"/>
      <c r="N10" s="141"/>
      <c r="O10" s="141"/>
      <c r="P10" s="141"/>
      <c r="Q10" s="141"/>
      <c r="R10" s="141"/>
      <c r="S10" s="141"/>
      <c r="T10" s="141"/>
      <c r="U10" s="141"/>
      <c r="V10" s="141"/>
      <c r="W10" s="141"/>
      <c r="X10" s="141"/>
      <c r="Y10" s="141"/>
      <c r="Z10" s="141"/>
    </row>
    <row r="11" ht="26.25" customHeight="1">
      <c r="A11" s="142">
        <v>45384.0</v>
      </c>
      <c r="B11" s="136" t="s">
        <v>348</v>
      </c>
      <c r="C11" s="136" t="str">
        <f>'Bonus 02.4'!C5</f>
        <v>Consigues boikotear los planes -&gt; Campaña nº3</v>
      </c>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ht="26.25" customHeight="1">
      <c r="A12" s="143">
        <v>45384.0</v>
      </c>
      <c r="B12" s="138" t="s">
        <v>349</v>
      </c>
      <c r="C12" s="138" t="str">
        <f>'Bonus 02.4'!C7</f>
        <v>Mueres como sacrificio y cierras la campaña de estos 4 aventureros, la campaña seguira pero con otros personajes, puedes seguir usando los mismos personajes, ya que no afecta en nada a la vida de los jugadores, ni su curso con Sho-noco. -&gt; Campaña nº3</v>
      </c>
      <c r="D12" s="139"/>
      <c r="E12" s="139"/>
      <c r="F12" s="139"/>
      <c r="G12" s="139"/>
      <c r="H12" s="139"/>
      <c r="I12" s="139"/>
      <c r="J12" s="139"/>
      <c r="K12" s="139"/>
      <c r="L12" s="139"/>
      <c r="M12" s="139"/>
      <c r="N12" s="139"/>
      <c r="O12" s="139"/>
      <c r="P12" s="139"/>
      <c r="Q12" s="139"/>
      <c r="R12" s="139"/>
      <c r="S12" s="139"/>
      <c r="T12" s="139"/>
      <c r="U12" s="139"/>
      <c r="V12" s="139"/>
      <c r="W12" s="139"/>
      <c r="X12" s="139"/>
      <c r="Y12" s="139"/>
      <c r="Z12" s="139"/>
    </row>
    <row r="13" ht="26.25" customHeight="1">
      <c r="A13" s="144">
        <v>45384.0</v>
      </c>
      <c r="B13" s="140" t="s">
        <v>350</v>
      </c>
      <c r="C13" s="140" t="str">
        <f>'Bonus 02.4'!C6</f>
        <v>Si muere Edul se considerara final medio, perdiendo confianza de Venira y Venides. -&gt; Campaña nº3</v>
      </c>
      <c r="D13" s="141"/>
      <c r="E13" s="141"/>
      <c r="F13" s="141"/>
      <c r="G13" s="141"/>
      <c r="H13" s="141"/>
      <c r="I13" s="141"/>
      <c r="J13" s="141"/>
      <c r="K13" s="141"/>
      <c r="L13" s="141"/>
      <c r="M13" s="141"/>
      <c r="N13" s="141"/>
      <c r="O13" s="141"/>
      <c r="P13" s="141"/>
      <c r="Q13" s="141"/>
      <c r="R13" s="141"/>
      <c r="S13" s="141"/>
      <c r="T13" s="141"/>
      <c r="U13" s="141"/>
      <c r="V13" s="141"/>
      <c r="W13" s="141"/>
      <c r="X13" s="141"/>
      <c r="Y13" s="141"/>
      <c r="Z13" s="141"/>
    </row>
    <row r="14" ht="26.25" customHeight="1">
      <c r="A14" s="145">
        <v>3.0</v>
      </c>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ht="26.25" customHeight="1">
      <c r="A15" s="145">
        <v>3.0</v>
      </c>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ht="26.25" customHeight="1">
      <c r="A16" s="145">
        <v>3.0</v>
      </c>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ht="26.25" customHeight="1">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ht="26.2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ht="26.25" customHeight="1">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ht="26.25" customHeight="1">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ht="26.25" customHeight="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ht="26.25" customHeight="1">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ht="26.2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ht="26.25" customHeight="1">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ht="26.25" customHeight="1">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ht="26.25" customHeight="1">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ht="26.2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ht="26.25" customHeight="1">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ht="26.25" customHeight="1">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ht="26.25" customHeight="1">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ht="26.25" customHeight="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ht="26.2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ht="26.2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min="4" max="4" width="17.88"/>
    <col customWidth="1" min="5" max="6" width="12.63"/>
  </cols>
  <sheetData>
    <row r="1" ht="15.75" customHeight="1">
      <c r="A1" s="146" t="s">
        <v>7</v>
      </c>
      <c r="B1" s="146" t="s">
        <v>337</v>
      </c>
      <c r="C1" s="146" t="s">
        <v>351</v>
      </c>
      <c r="D1" s="146" t="s">
        <v>352</v>
      </c>
      <c r="E1" s="146" t="s">
        <v>297</v>
      </c>
      <c r="F1" s="146" t="s">
        <v>336</v>
      </c>
      <c r="G1" s="146" t="s">
        <v>353</v>
      </c>
    </row>
    <row r="2" ht="15.75" customHeight="1">
      <c r="A2" s="100" t="s">
        <v>354</v>
      </c>
      <c r="B2" s="100">
        <v>29.0</v>
      </c>
      <c r="C2" s="100">
        <f>Loots!H2</f>
        <v>25</v>
      </c>
      <c r="D2" s="100" t="s">
        <v>355</v>
      </c>
      <c r="E2" s="100" t="str">
        <f>Loots!A2*B2&amp;" "&amp;Loots!B2</f>
        <v>319 Oro</v>
      </c>
      <c r="F2" s="100">
        <f>'Campañas'!A2</f>
        <v>1</v>
      </c>
      <c r="G2" s="147" t="s">
        <v>356</v>
      </c>
    </row>
    <row r="3" ht="15.75" customHeight="1">
      <c r="A3" s="148" t="s">
        <v>357</v>
      </c>
      <c r="B3" s="148">
        <v>20.0</v>
      </c>
      <c r="C3" s="148">
        <f>Loots!H4</f>
        <v>25</v>
      </c>
      <c r="D3" s="100" t="s">
        <v>355</v>
      </c>
      <c r="E3" s="100" t="str">
        <f>Loots!A4*B3&amp;" "&amp;Loots!B4</f>
        <v>6 Plata</v>
      </c>
      <c r="F3" s="100">
        <v>1.0</v>
      </c>
      <c r="G3" s="149" t="s">
        <v>358</v>
      </c>
    </row>
    <row r="4" ht="15.75" customHeight="1">
      <c r="A4" s="100" t="s">
        <v>359</v>
      </c>
      <c r="B4" s="100">
        <v>1.0</v>
      </c>
      <c r="C4" s="100">
        <f>Loots!H3</f>
        <v>100</v>
      </c>
      <c r="D4" s="100" t="s">
        <v>360</v>
      </c>
      <c r="E4" s="100" t="str">
        <f>Loots!A3*B4&amp;" "&amp;Loots!B3</f>
        <v>1.9 Oro</v>
      </c>
      <c r="F4" s="100">
        <v>1.0</v>
      </c>
      <c r="G4" s="150" t="s">
        <v>361</v>
      </c>
    </row>
    <row r="5" ht="15.75" customHeight="1">
      <c r="A5" s="148" t="s">
        <v>362</v>
      </c>
      <c r="B5" s="148">
        <v>1.0</v>
      </c>
      <c r="C5" s="148">
        <f>Loots!H5</f>
        <v>225</v>
      </c>
      <c r="D5" s="100" t="s">
        <v>360</v>
      </c>
      <c r="E5" s="100" t="str">
        <f>Loots!A5*B5&amp;" "&amp;Loots!B5</f>
        <v>0.6 Oro</v>
      </c>
      <c r="F5" s="100">
        <v>1.0</v>
      </c>
      <c r="G5" s="149" t="s">
        <v>363</v>
      </c>
    </row>
    <row r="6" ht="15.75" customHeight="1">
      <c r="A6" s="100" t="s">
        <v>364</v>
      </c>
      <c r="B6" s="100">
        <v>1.0</v>
      </c>
      <c r="C6" s="100">
        <f>Loots!H6</f>
        <v>225</v>
      </c>
      <c r="D6" s="100" t="s">
        <v>360</v>
      </c>
      <c r="E6" s="100" t="str">
        <f>Loots!A6*B6&amp;" "&amp;Loots!B6</f>
        <v>0.7 Oro</v>
      </c>
      <c r="F6" s="100">
        <v>1.0</v>
      </c>
      <c r="G6" s="150" t="s">
        <v>363</v>
      </c>
    </row>
    <row r="7" ht="15.75" customHeight="1">
      <c r="A7" s="148" t="s">
        <v>365</v>
      </c>
      <c r="B7" s="148">
        <v>1.0</v>
      </c>
      <c r="C7" s="148">
        <f>Loots!H7</f>
        <v>450</v>
      </c>
      <c r="D7" s="100" t="s">
        <v>366</v>
      </c>
      <c r="E7" s="100" t="str">
        <f>Loots!A7*B7&amp;" "&amp;Loots!B7</f>
        <v>50 Oro</v>
      </c>
      <c r="F7" s="100">
        <v>1.0</v>
      </c>
      <c r="G7" s="149" t="s">
        <v>363</v>
      </c>
    </row>
    <row r="8" ht="15.75" customHeight="1">
      <c r="A8" s="100" t="s">
        <v>359</v>
      </c>
      <c r="B8" s="100">
        <v>1.0</v>
      </c>
      <c r="C8" s="148" t="str">
        <f>Loots!H8</f>
        <v/>
      </c>
      <c r="D8" s="100" t="s">
        <v>360</v>
      </c>
      <c r="E8" s="100" t="str">
        <f>Loots!A8*B8&amp;" "&amp;Loots!B8</f>
        <v>0 </v>
      </c>
      <c r="F8" s="100">
        <v>2.0</v>
      </c>
      <c r="G8" s="150" t="s">
        <v>361</v>
      </c>
    </row>
    <row r="9" ht="15.75" customHeight="1">
      <c r="A9" s="148" t="s">
        <v>362</v>
      </c>
      <c r="B9" s="148">
        <v>1.0</v>
      </c>
      <c r="C9" s="148" t="str">
        <f>Loots!H9</f>
        <v/>
      </c>
      <c r="D9" s="100" t="s">
        <v>360</v>
      </c>
      <c r="E9" s="100" t="str">
        <f>Loots!A9*B9&amp;" "&amp;Loots!B9</f>
        <v>0 </v>
      </c>
      <c r="F9" s="100">
        <v>2.0</v>
      </c>
      <c r="G9" s="149" t="s">
        <v>363</v>
      </c>
    </row>
    <row r="10" ht="15.75" customHeight="1">
      <c r="A10" s="100" t="s">
        <v>364</v>
      </c>
      <c r="B10" s="100">
        <v>1.0</v>
      </c>
      <c r="C10" s="148" t="str">
        <f>Loots!H10</f>
        <v/>
      </c>
      <c r="D10" s="100" t="s">
        <v>360</v>
      </c>
      <c r="E10" s="100" t="str">
        <f>Loots!A10*B10&amp;" "&amp;Loots!B10</f>
        <v>0 </v>
      </c>
      <c r="F10" s="100">
        <v>2.0</v>
      </c>
      <c r="G10" s="150" t="s">
        <v>363</v>
      </c>
    </row>
    <row r="11" ht="15.75" customHeight="1">
      <c r="A11" s="148" t="s">
        <v>365</v>
      </c>
      <c r="B11" s="148">
        <v>1.0</v>
      </c>
      <c r="C11" s="148" t="str">
        <f>Loots!H11</f>
        <v/>
      </c>
      <c r="D11" s="100" t="s">
        <v>366</v>
      </c>
      <c r="E11" s="100" t="str">
        <f>Loots!A11*B11&amp;" "&amp;Loots!B11</f>
        <v>0 </v>
      </c>
      <c r="F11" s="100">
        <v>2.0</v>
      </c>
      <c r="G11" s="149" t="s">
        <v>363</v>
      </c>
    </row>
    <row r="12" ht="15.75" customHeight="1">
      <c r="A12" s="100"/>
      <c r="B12" s="100"/>
      <c r="C12" s="100"/>
      <c r="D12" s="100" t="s">
        <v>360</v>
      </c>
      <c r="E12" s="100"/>
      <c r="F12" s="100">
        <f>'Campañas'!A14</f>
        <v>9</v>
      </c>
      <c r="G12" s="100"/>
    </row>
    <row r="13" ht="15.75" customHeight="1">
      <c r="A13" s="148"/>
      <c r="B13" s="148"/>
      <c r="C13" s="148"/>
      <c r="D13" s="100" t="s">
        <v>360</v>
      </c>
      <c r="E13" s="148"/>
      <c r="F13" s="100">
        <f>'Campañas'!A15</f>
        <v>10</v>
      </c>
      <c r="G13" s="148"/>
    </row>
    <row r="14" ht="15.75" customHeight="1">
      <c r="A14" s="100"/>
      <c r="B14" s="100"/>
      <c r="C14" s="100"/>
      <c r="D14" s="100" t="s">
        <v>360</v>
      </c>
      <c r="E14" s="100"/>
      <c r="F14" s="100">
        <f>'Campañas'!A16</f>
        <v>11</v>
      </c>
      <c r="G14" s="100"/>
    </row>
    <row r="15" ht="15.75" customHeight="1">
      <c r="A15" s="148"/>
      <c r="B15" s="148"/>
      <c r="C15" s="148"/>
      <c r="D15" s="100" t="s">
        <v>360</v>
      </c>
      <c r="E15" s="148"/>
      <c r="F15" s="100" t="str">
        <f>'Campañas'!A17</f>
        <v/>
      </c>
      <c r="G15" s="148"/>
    </row>
    <row r="16" ht="15.75" customHeight="1">
      <c r="A16" s="100"/>
      <c r="B16" s="100"/>
      <c r="C16" s="100"/>
      <c r="D16" s="100" t="s">
        <v>360</v>
      </c>
      <c r="E16" s="100"/>
      <c r="F16" s="100" t="str">
        <f>'Campañas'!A18</f>
        <v/>
      </c>
      <c r="G16" s="100"/>
    </row>
    <row r="17" ht="15.75" customHeight="1">
      <c r="A17" s="148"/>
      <c r="B17" s="148"/>
      <c r="C17" s="148"/>
      <c r="D17" s="100" t="s">
        <v>360</v>
      </c>
      <c r="E17" s="148"/>
      <c r="F17" s="100" t="str">
        <f t="shared" ref="F17:F19" si="1">#REF!</f>
        <v>#REF!</v>
      </c>
      <c r="G17" s="148"/>
    </row>
    <row r="18" ht="15.75" customHeight="1">
      <c r="A18" s="100"/>
      <c r="B18" s="100"/>
      <c r="C18" s="100"/>
      <c r="D18" s="100" t="s">
        <v>360</v>
      </c>
      <c r="E18" s="100"/>
      <c r="F18" s="100" t="str">
        <f t="shared" si="1"/>
        <v>#REF!</v>
      </c>
      <c r="G18" s="100"/>
    </row>
    <row r="19" ht="15.75" customHeight="1">
      <c r="A19" s="148"/>
      <c r="B19" s="148"/>
      <c r="C19" s="148"/>
      <c r="D19" s="100" t="s">
        <v>360</v>
      </c>
      <c r="E19" s="148"/>
      <c r="F19" s="100" t="str">
        <f t="shared" si="1"/>
        <v>#REF!</v>
      </c>
      <c r="G19" s="148"/>
    </row>
    <row r="20" ht="15.75" customHeight="1">
      <c r="A20" s="100"/>
      <c r="B20" s="100"/>
      <c r="C20" s="100"/>
      <c r="D20" s="100" t="s">
        <v>360</v>
      </c>
      <c r="E20" s="100"/>
      <c r="F20" s="100" t="str">
        <f>'Campañas'!A22</f>
        <v/>
      </c>
      <c r="G20" s="100"/>
    </row>
    <row r="21" ht="15.75" customHeight="1">
      <c r="A21" s="148"/>
      <c r="B21" s="148"/>
      <c r="C21" s="148"/>
      <c r="D21" s="100" t="s">
        <v>360</v>
      </c>
      <c r="E21" s="148"/>
      <c r="F21" s="100" t="str">
        <f>'Campañas'!A23</f>
        <v/>
      </c>
      <c r="G21" s="148"/>
    </row>
    <row r="22" ht="15.75" customHeight="1">
      <c r="A22" s="100"/>
      <c r="B22" s="100"/>
      <c r="C22" s="100"/>
      <c r="D22" s="100" t="s">
        <v>360</v>
      </c>
      <c r="E22" s="100"/>
      <c r="F22" s="100" t="str">
        <f>'Campañas'!A24</f>
        <v/>
      </c>
      <c r="G22" s="100"/>
    </row>
    <row r="23" ht="15.75" customHeight="1">
      <c r="A23" s="148"/>
      <c r="B23" s="148"/>
      <c r="C23" s="148"/>
      <c r="D23" s="100" t="s">
        <v>360</v>
      </c>
      <c r="E23" s="148"/>
      <c r="F23" s="100" t="str">
        <f>'Campañas'!A25</f>
        <v/>
      </c>
      <c r="G23" s="148"/>
    </row>
    <row r="24" ht="15.75" customHeight="1">
      <c r="A24" s="100"/>
      <c r="B24" s="100"/>
      <c r="C24" s="100"/>
      <c r="D24" s="100" t="s">
        <v>360</v>
      </c>
      <c r="E24" s="100"/>
      <c r="F24" s="100" t="str">
        <f>'Campañas'!A26</f>
        <v/>
      </c>
      <c r="G24" s="100"/>
    </row>
    <row r="25" ht="15.75" customHeight="1">
      <c r="D25" s="14"/>
      <c r="F25" s="14"/>
    </row>
    <row r="26" ht="15.75" customHeight="1">
      <c r="D26" s="14"/>
      <c r="F26" s="14"/>
    </row>
    <row r="27" ht="15.75" customHeight="1">
      <c r="D27" s="14"/>
      <c r="F27" s="14"/>
    </row>
    <row r="28" ht="15.75" customHeight="1">
      <c r="D28" s="14"/>
      <c r="F28" s="14"/>
    </row>
    <row r="29" ht="15.75" customHeight="1">
      <c r="D29" s="14"/>
      <c r="F29" s="14"/>
    </row>
    <row r="30" ht="15.75" customHeight="1">
      <c r="D30" s="14"/>
      <c r="F30" s="14"/>
    </row>
    <row r="31" ht="15.75" customHeight="1">
      <c r="D31" s="14"/>
      <c r="F31" s="14"/>
    </row>
    <row r="32" ht="15.75" customHeight="1">
      <c r="D32" s="14"/>
      <c r="F32" s="14"/>
    </row>
    <row r="33" ht="15.75" customHeight="1">
      <c r="D33" s="14"/>
      <c r="F33" s="14"/>
    </row>
    <row r="34" ht="15.75" customHeight="1">
      <c r="D34" s="14"/>
      <c r="F34" s="14"/>
    </row>
    <row r="35" ht="15.75" customHeight="1">
      <c r="D35" s="14"/>
      <c r="F35" s="14"/>
    </row>
    <row r="36" ht="15.75" customHeight="1">
      <c r="D36" s="14"/>
      <c r="F36" s="14"/>
    </row>
    <row r="37" ht="15.75" customHeight="1">
      <c r="D37" s="14"/>
      <c r="F37" s="14"/>
    </row>
    <row r="38" ht="15.75" customHeight="1">
      <c r="D38" s="14"/>
      <c r="F38" s="14"/>
    </row>
    <row r="39" ht="15.75" customHeight="1">
      <c r="D39" s="14"/>
      <c r="F39" s="14"/>
    </row>
    <row r="40" ht="15.75" customHeight="1">
      <c r="D40" s="14"/>
      <c r="F40" s="14"/>
    </row>
    <row r="41" ht="15.75" customHeight="1">
      <c r="D41" s="14"/>
      <c r="F41" s="14"/>
    </row>
    <row r="42" ht="15.75" customHeight="1">
      <c r="D42" s="14"/>
      <c r="F42" s="14"/>
    </row>
    <row r="43" ht="15.75" customHeight="1">
      <c r="D43" s="14"/>
      <c r="F43" s="14"/>
    </row>
    <row r="44" ht="15.75" customHeight="1">
      <c r="D44" s="14"/>
      <c r="F44" s="14"/>
    </row>
    <row r="45" ht="15.75" customHeight="1">
      <c r="D45" s="14"/>
      <c r="F45" s="14"/>
    </row>
    <row r="46" ht="15.75" customHeight="1">
      <c r="D46" s="14"/>
      <c r="F46" s="14"/>
    </row>
    <row r="47" ht="15.75" customHeight="1">
      <c r="D47" s="14"/>
      <c r="F47" s="14"/>
    </row>
    <row r="48" ht="15.75" customHeight="1">
      <c r="D48" s="14"/>
      <c r="F48" s="14"/>
    </row>
    <row r="49" ht="15.75" customHeight="1">
      <c r="D49" s="14"/>
      <c r="F49" s="14"/>
    </row>
    <row r="50" ht="15.75" customHeight="1">
      <c r="D50" s="14"/>
      <c r="F50" s="14"/>
    </row>
    <row r="51" ht="15.75" customHeight="1">
      <c r="D51" s="14"/>
      <c r="F51" s="14"/>
    </row>
    <row r="52" ht="15.75" customHeight="1">
      <c r="D52" s="14"/>
      <c r="F52" s="14"/>
    </row>
    <row r="53" ht="15.75" customHeight="1">
      <c r="D53" s="14"/>
      <c r="F53" s="14"/>
    </row>
    <row r="54" ht="15.75" customHeight="1">
      <c r="D54" s="14"/>
      <c r="F54" s="14"/>
    </row>
    <row r="55" ht="15.75" customHeight="1">
      <c r="D55" s="14"/>
      <c r="F55" s="14"/>
    </row>
    <row r="56" ht="15.75" customHeight="1">
      <c r="D56" s="14"/>
      <c r="F56" s="14"/>
    </row>
    <row r="57" ht="15.75" customHeight="1">
      <c r="D57" s="14"/>
      <c r="F57" s="14"/>
    </row>
    <row r="58" ht="15.75" customHeight="1">
      <c r="D58" s="14"/>
      <c r="F58" s="14"/>
    </row>
    <row r="59" ht="15.75" customHeight="1">
      <c r="D59" s="14"/>
      <c r="F59" s="14"/>
    </row>
    <row r="60" ht="15.75" customHeight="1">
      <c r="D60" s="14"/>
      <c r="F60" s="14"/>
    </row>
    <row r="61" ht="15.75" customHeight="1">
      <c r="D61" s="14"/>
      <c r="F61" s="14"/>
    </row>
    <row r="62" ht="15.75" customHeight="1">
      <c r="D62" s="14"/>
      <c r="F62" s="14"/>
    </row>
    <row r="63" ht="15.75" customHeight="1">
      <c r="D63" s="14"/>
      <c r="F63" s="14"/>
    </row>
    <row r="64" ht="15.75" customHeight="1">
      <c r="D64" s="14"/>
      <c r="F64" s="14"/>
    </row>
    <row r="65" ht="15.75" customHeight="1">
      <c r="D65" s="14"/>
      <c r="F65" s="14"/>
    </row>
    <row r="66" ht="15.75" customHeight="1">
      <c r="D66" s="14"/>
      <c r="F66" s="14"/>
    </row>
    <row r="67" ht="15.75" customHeight="1">
      <c r="D67" s="14"/>
      <c r="F67" s="14"/>
    </row>
    <row r="68" ht="15.75" customHeight="1">
      <c r="D68" s="14"/>
      <c r="F68" s="14"/>
    </row>
    <row r="69" ht="15.75" customHeight="1">
      <c r="D69" s="14"/>
      <c r="F69" s="14"/>
    </row>
    <row r="70" ht="15.75" customHeight="1">
      <c r="D70" s="14"/>
      <c r="F70" s="14"/>
    </row>
    <row r="71" ht="15.75" customHeight="1">
      <c r="D71" s="14"/>
      <c r="F71" s="14"/>
    </row>
    <row r="72" ht="15.75" customHeight="1">
      <c r="D72" s="14"/>
      <c r="F72" s="14"/>
    </row>
    <row r="73" ht="15.75" customHeight="1">
      <c r="D73" s="14"/>
      <c r="F73" s="14"/>
    </row>
    <row r="74" ht="15.75" customHeight="1">
      <c r="D74" s="14"/>
      <c r="F74" s="14"/>
    </row>
    <row r="75" ht="15.75" customHeight="1">
      <c r="D75" s="14"/>
      <c r="F75" s="14"/>
    </row>
    <row r="76" ht="15.75" customHeight="1">
      <c r="D76" s="14"/>
      <c r="F76" s="14"/>
    </row>
    <row r="77" ht="15.75" customHeight="1">
      <c r="D77" s="14"/>
      <c r="F77" s="14"/>
    </row>
    <row r="78" ht="15.75" customHeight="1">
      <c r="D78" s="14"/>
      <c r="F78" s="14"/>
    </row>
    <row r="79" ht="15.75" customHeight="1">
      <c r="D79" s="14"/>
      <c r="F79" s="14"/>
    </row>
    <row r="80" ht="15.75" customHeight="1">
      <c r="D80" s="14"/>
      <c r="F80" s="14"/>
    </row>
    <row r="81" ht="15.75" customHeight="1">
      <c r="D81" s="14"/>
      <c r="F81" s="14"/>
    </row>
    <row r="82" ht="15.75" customHeight="1">
      <c r="D82" s="14"/>
      <c r="F82" s="14"/>
    </row>
    <row r="83" ht="15.75" customHeight="1">
      <c r="D83" s="14"/>
      <c r="F83" s="14"/>
    </row>
    <row r="84" ht="15.75" customHeight="1">
      <c r="D84" s="14"/>
      <c r="F84" s="14"/>
    </row>
    <row r="85" ht="15.75" customHeight="1">
      <c r="D85" s="14"/>
      <c r="F85" s="14"/>
    </row>
    <row r="86" ht="15.75" customHeight="1">
      <c r="D86" s="14"/>
      <c r="F86" s="14"/>
    </row>
    <row r="87" ht="15.75" customHeight="1">
      <c r="D87" s="14"/>
      <c r="F87" s="14"/>
    </row>
    <row r="88" ht="15.75" customHeight="1">
      <c r="D88" s="14"/>
      <c r="F88" s="14"/>
    </row>
    <row r="89" ht="15.75" customHeight="1">
      <c r="D89" s="14"/>
      <c r="F89" s="14"/>
    </row>
    <row r="90" ht="15.75" customHeight="1">
      <c r="D90" s="14"/>
      <c r="F90" s="14"/>
    </row>
    <row r="91" ht="15.75" customHeight="1">
      <c r="D91" s="14"/>
      <c r="F91" s="14"/>
    </row>
    <row r="92" ht="15.75" customHeight="1">
      <c r="D92" s="14"/>
      <c r="F92" s="14"/>
    </row>
    <row r="93" ht="15.75" customHeight="1">
      <c r="D93" s="14"/>
      <c r="F93" s="14"/>
    </row>
    <row r="94" ht="15.75" customHeight="1">
      <c r="D94" s="14"/>
      <c r="F94" s="14"/>
    </row>
    <row r="95" ht="15.75" customHeight="1">
      <c r="D95" s="14"/>
      <c r="F95" s="14"/>
    </row>
    <row r="96" ht="15.75" customHeight="1">
      <c r="D96" s="14"/>
      <c r="F96" s="14"/>
    </row>
    <row r="97" ht="15.75" customHeight="1">
      <c r="D97" s="14"/>
      <c r="F97" s="14"/>
    </row>
    <row r="98" ht="15.75" customHeight="1">
      <c r="D98" s="14"/>
      <c r="F98" s="14"/>
    </row>
    <row r="99" ht="15.75" customHeight="1">
      <c r="D99" s="14"/>
      <c r="F99" s="14"/>
    </row>
    <row r="100" ht="15.75" customHeight="1">
      <c r="D100" s="14"/>
      <c r="F100" s="14"/>
    </row>
    <row r="101" ht="15.75" customHeight="1">
      <c r="D101" s="14"/>
      <c r="F101" s="14"/>
    </row>
    <row r="102" ht="15.75" customHeight="1">
      <c r="D102" s="14"/>
      <c r="F102" s="14"/>
    </row>
    <row r="103" ht="15.75" customHeight="1">
      <c r="D103" s="14"/>
      <c r="F103" s="14"/>
    </row>
    <row r="104" ht="15.75" customHeight="1">
      <c r="D104" s="14"/>
      <c r="F104" s="14"/>
    </row>
    <row r="105" ht="15.75" customHeight="1">
      <c r="D105" s="14"/>
      <c r="F105" s="14"/>
    </row>
    <row r="106" ht="15.75" customHeight="1">
      <c r="D106" s="14"/>
      <c r="F106" s="14"/>
    </row>
    <row r="107" ht="15.75" customHeight="1">
      <c r="D107" s="14"/>
      <c r="F107" s="14"/>
    </row>
    <row r="108" ht="15.75" customHeight="1">
      <c r="D108" s="14"/>
      <c r="F108" s="14"/>
    </row>
    <row r="109" ht="15.75" customHeight="1">
      <c r="D109" s="14"/>
      <c r="F109" s="14"/>
    </row>
    <row r="110" ht="15.75" customHeight="1">
      <c r="D110" s="14"/>
      <c r="F110" s="14"/>
    </row>
    <row r="111" ht="15.75" customHeight="1">
      <c r="D111" s="14"/>
      <c r="F111" s="14"/>
    </row>
    <row r="112" ht="15.75" customHeight="1">
      <c r="D112" s="14"/>
      <c r="F112" s="14"/>
    </row>
    <row r="113" ht="15.75" customHeight="1">
      <c r="D113" s="14"/>
      <c r="F113" s="14"/>
    </row>
    <row r="114" ht="15.75" customHeight="1">
      <c r="D114" s="14"/>
      <c r="F114" s="14"/>
    </row>
    <row r="115" ht="15.75" customHeight="1">
      <c r="D115" s="14"/>
      <c r="F115" s="14"/>
    </row>
    <row r="116" ht="15.75" customHeight="1">
      <c r="D116" s="14"/>
      <c r="F116" s="14"/>
    </row>
    <row r="117" ht="15.75" customHeight="1">
      <c r="D117" s="14"/>
      <c r="F117" s="14"/>
    </row>
    <row r="118" ht="15.75" customHeight="1">
      <c r="D118" s="14"/>
      <c r="F118" s="14"/>
    </row>
    <row r="119" ht="15.75" customHeight="1">
      <c r="D119" s="14"/>
      <c r="F119" s="14"/>
    </row>
    <row r="120" ht="15.75" customHeight="1">
      <c r="D120" s="14"/>
      <c r="F120" s="14"/>
    </row>
    <row r="121" ht="15.75" customHeight="1">
      <c r="D121" s="14"/>
      <c r="F121" s="14"/>
    </row>
    <row r="122" ht="15.75" customHeight="1">
      <c r="D122" s="14"/>
      <c r="F122" s="14"/>
    </row>
    <row r="123" ht="15.75" customHeight="1">
      <c r="D123" s="14"/>
      <c r="F123" s="14"/>
    </row>
    <row r="124" ht="15.75" customHeight="1">
      <c r="D124" s="14"/>
      <c r="F124" s="14"/>
    </row>
    <row r="125" ht="15.75" customHeight="1">
      <c r="D125" s="14"/>
      <c r="F125" s="14"/>
    </row>
    <row r="126" ht="15.75" customHeight="1">
      <c r="D126" s="14"/>
      <c r="F126" s="14"/>
    </row>
    <row r="127" ht="15.75" customHeight="1">
      <c r="D127" s="14"/>
      <c r="F127" s="14"/>
    </row>
    <row r="128" ht="15.75" customHeight="1">
      <c r="D128" s="14"/>
      <c r="F128" s="14"/>
    </row>
    <row r="129" ht="15.75" customHeight="1">
      <c r="D129" s="14"/>
      <c r="F129" s="14"/>
    </row>
    <row r="130" ht="15.75" customHeight="1">
      <c r="D130" s="14"/>
      <c r="F130" s="14"/>
    </row>
    <row r="131" ht="15.75" customHeight="1">
      <c r="D131" s="14"/>
      <c r="F131" s="14"/>
    </row>
    <row r="132" ht="15.75" customHeight="1">
      <c r="D132" s="14"/>
      <c r="F132" s="14"/>
    </row>
    <row r="133" ht="15.75" customHeight="1">
      <c r="D133" s="14"/>
      <c r="F133" s="14"/>
    </row>
    <row r="134" ht="15.75" customHeight="1">
      <c r="D134" s="14"/>
      <c r="F134" s="14"/>
    </row>
    <row r="135" ht="15.75" customHeight="1">
      <c r="D135" s="14"/>
      <c r="F135" s="14"/>
    </row>
    <row r="136" ht="15.75" customHeight="1">
      <c r="D136" s="14"/>
      <c r="F136" s="14"/>
    </row>
    <row r="137" ht="15.75" customHeight="1">
      <c r="D137" s="14"/>
      <c r="F137" s="14"/>
    </row>
    <row r="138" ht="15.75" customHeight="1">
      <c r="D138" s="14"/>
      <c r="F138" s="14"/>
    </row>
    <row r="139" ht="15.75" customHeight="1">
      <c r="D139" s="14"/>
      <c r="F139" s="14"/>
    </row>
    <row r="140" ht="15.75" customHeight="1">
      <c r="D140" s="14"/>
      <c r="F140" s="14"/>
    </row>
    <row r="141" ht="15.75" customHeight="1">
      <c r="D141" s="14"/>
      <c r="F141" s="14"/>
    </row>
    <row r="142" ht="15.75" customHeight="1">
      <c r="D142" s="14"/>
      <c r="F142" s="14"/>
    </row>
    <row r="143" ht="15.75" customHeight="1">
      <c r="D143" s="14"/>
      <c r="F143" s="14"/>
    </row>
    <row r="144" ht="15.75" customHeight="1">
      <c r="D144" s="14"/>
      <c r="F144" s="14"/>
    </row>
    <row r="145" ht="15.75" customHeight="1">
      <c r="D145" s="14"/>
      <c r="F145" s="14"/>
    </row>
    <row r="146" ht="15.75" customHeight="1">
      <c r="D146" s="14"/>
      <c r="F146" s="14"/>
    </row>
    <row r="147" ht="15.75" customHeight="1">
      <c r="D147" s="14"/>
      <c r="F147" s="14"/>
    </row>
    <row r="148" ht="15.75" customHeight="1">
      <c r="D148" s="14"/>
      <c r="F148" s="14"/>
    </row>
    <row r="149" ht="15.75" customHeight="1">
      <c r="D149" s="14"/>
      <c r="F149" s="14"/>
    </row>
    <row r="150" ht="15.75" customHeight="1">
      <c r="D150" s="14"/>
      <c r="F150" s="14"/>
    </row>
    <row r="151" ht="15.75" customHeight="1">
      <c r="D151" s="14"/>
      <c r="F151" s="14"/>
    </row>
    <row r="152" ht="15.75" customHeight="1">
      <c r="D152" s="14"/>
      <c r="F152" s="14"/>
    </row>
    <row r="153" ht="15.75" customHeight="1">
      <c r="D153" s="14"/>
      <c r="F153" s="14"/>
    </row>
    <row r="154" ht="15.75" customHeight="1">
      <c r="D154" s="14"/>
      <c r="F154" s="14"/>
    </row>
    <row r="155" ht="15.75" customHeight="1">
      <c r="D155" s="14"/>
      <c r="F155" s="14"/>
    </row>
    <row r="156" ht="15.75" customHeight="1">
      <c r="D156" s="14"/>
      <c r="F156" s="14"/>
    </row>
    <row r="157" ht="15.75" customHeight="1">
      <c r="D157" s="14"/>
      <c r="F157" s="14"/>
    </row>
    <row r="158" ht="15.75" customHeight="1">
      <c r="D158" s="14"/>
      <c r="F158" s="14"/>
    </row>
    <row r="159" ht="15.75" customHeight="1">
      <c r="D159" s="14"/>
      <c r="F159" s="14"/>
    </row>
    <row r="160" ht="15.75" customHeight="1">
      <c r="D160" s="14"/>
      <c r="F160" s="14"/>
    </row>
    <row r="161" ht="15.75" customHeight="1">
      <c r="D161" s="14"/>
      <c r="F161" s="14"/>
    </row>
    <row r="162" ht="15.75" customHeight="1">
      <c r="D162" s="14"/>
      <c r="F162" s="14"/>
    </row>
    <row r="163" ht="15.75" customHeight="1">
      <c r="D163" s="14"/>
      <c r="F163" s="14"/>
    </row>
    <row r="164" ht="15.75" customHeight="1">
      <c r="D164" s="14"/>
      <c r="F164" s="14"/>
    </row>
    <row r="165" ht="15.75" customHeight="1">
      <c r="D165" s="14"/>
      <c r="F165" s="14"/>
    </row>
    <row r="166" ht="15.75" customHeight="1">
      <c r="D166" s="14"/>
      <c r="F166" s="14"/>
    </row>
    <row r="167" ht="15.75" customHeight="1">
      <c r="D167" s="14"/>
      <c r="F167" s="14"/>
    </row>
    <row r="168" ht="15.75" customHeight="1">
      <c r="D168" s="14"/>
      <c r="F168" s="14"/>
    </row>
    <row r="169" ht="15.75" customHeight="1">
      <c r="D169" s="14"/>
      <c r="F169" s="14"/>
    </row>
    <row r="170" ht="15.75" customHeight="1">
      <c r="D170" s="14"/>
      <c r="F170" s="14"/>
    </row>
    <row r="171" ht="15.75" customHeight="1">
      <c r="D171" s="14"/>
      <c r="F171" s="14"/>
    </row>
    <row r="172" ht="15.75" customHeight="1">
      <c r="D172" s="14"/>
      <c r="F172" s="14"/>
    </row>
    <row r="173" ht="15.75" customHeight="1">
      <c r="D173" s="14"/>
      <c r="F173" s="14"/>
    </row>
    <row r="174" ht="15.75" customHeight="1">
      <c r="D174" s="14"/>
      <c r="F174" s="14"/>
    </row>
    <row r="175" ht="15.75" customHeight="1">
      <c r="D175" s="14"/>
      <c r="F175" s="14"/>
    </row>
    <row r="176" ht="15.75" customHeight="1">
      <c r="D176" s="14"/>
      <c r="F176" s="14"/>
    </row>
    <row r="177" ht="15.75" customHeight="1">
      <c r="D177" s="14"/>
      <c r="F177" s="14"/>
    </row>
    <row r="178" ht="15.75" customHeight="1">
      <c r="D178" s="14"/>
      <c r="F178" s="14"/>
    </row>
    <row r="179" ht="15.75" customHeight="1">
      <c r="D179" s="14"/>
      <c r="F179" s="14"/>
    </row>
    <row r="180" ht="15.75" customHeight="1">
      <c r="D180" s="14"/>
      <c r="F180" s="14"/>
    </row>
    <row r="181" ht="15.75" customHeight="1">
      <c r="D181" s="14"/>
      <c r="F181" s="14"/>
    </row>
    <row r="182" ht="15.75" customHeight="1">
      <c r="D182" s="14"/>
      <c r="F182" s="14"/>
    </row>
    <row r="183" ht="15.75" customHeight="1">
      <c r="D183" s="14"/>
      <c r="F183" s="14"/>
    </row>
    <row r="184" ht="15.75" customHeight="1">
      <c r="D184" s="14"/>
      <c r="F184" s="14"/>
    </row>
    <row r="185" ht="15.75" customHeight="1">
      <c r="D185" s="14"/>
      <c r="F185" s="14"/>
    </row>
    <row r="186" ht="15.75" customHeight="1">
      <c r="D186" s="14"/>
      <c r="F186" s="14"/>
    </row>
    <row r="187" ht="15.75" customHeight="1">
      <c r="D187" s="14"/>
      <c r="F187" s="14"/>
    </row>
    <row r="188" ht="15.75" customHeight="1">
      <c r="D188" s="14"/>
      <c r="F188" s="14"/>
    </row>
    <row r="189" ht="15.75" customHeight="1">
      <c r="D189" s="14"/>
      <c r="F189" s="14"/>
    </row>
    <row r="190" ht="15.75" customHeight="1">
      <c r="D190" s="14"/>
      <c r="F190" s="14"/>
    </row>
    <row r="191" ht="15.75" customHeight="1">
      <c r="D191" s="14"/>
      <c r="F191" s="14"/>
    </row>
    <row r="192" ht="15.75" customHeight="1">
      <c r="D192" s="14"/>
      <c r="F192" s="14"/>
    </row>
    <row r="193" ht="15.75" customHeight="1">
      <c r="D193" s="14"/>
      <c r="F193" s="14"/>
    </row>
    <row r="194" ht="15.75" customHeight="1">
      <c r="D194" s="14"/>
      <c r="F194" s="14"/>
    </row>
    <row r="195" ht="15.75" customHeight="1">
      <c r="D195" s="14"/>
      <c r="F195" s="14"/>
    </row>
    <row r="196" ht="15.75" customHeight="1">
      <c r="D196" s="14"/>
      <c r="F196" s="14"/>
    </row>
    <row r="197" ht="15.75" customHeight="1">
      <c r="D197" s="14"/>
      <c r="F197" s="14"/>
    </row>
    <row r="198" ht="15.75" customHeight="1">
      <c r="D198" s="14"/>
      <c r="F198" s="14"/>
    </row>
    <row r="199" ht="15.75" customHeight="1">
      <c r="D199" s="14"/>
      <c r="F199" s="14"/>
    </row>
    <row r="200" ht="15.75" customHeight="1">
      <c r="D200" s="14"/>
      <c r="F200" s="14"/>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1"/>
  <dataValidations>
    <dataValidation type="list" allowBlank="1" showErrorMessage="1" sqref="F2:F200">
      <formula1>"1,2"</formula1>
    </dataValidation>
    <dataValidation type="list" allowBlank="1" showErrorMessage="1" sqref="D2:D200">
      <formula1>"x 1 | x 1.5 | x 2,x 1,x 1.5,x 2"</formula1>
    </dataValidation>
  </dataValidations>
  <hyperlinks>
    <hyperlink r:id="rId1" location="heading=h.kz35zn7w2aus" ref="G2"/>
    <hyperlink r:id="rId2" location="heading=h.upm2wip3u64n" ref="G3"/>
    <hyperlink r:id="rId3" location="heading=h.dzofc0ph94fl" ref="G4"/>
    <hyperlink r:id="rId4" location="heading=h.x6pzy8h32b73" ref="G5"/>
    <hyperlink r:id="rId5" location="heading=h.x6pzy8h32b73" ref="G6"/>
    <hyperlink r:id="rId6" location="heading=h.x6pzy8h32b73" ref="G7"/>
    <hyperlink r:id="rId7" location="heading=h.dzofc0ph94fl" ref="G8"/>
    <hyperlink r:id="rId8" location="heading=h.x6pzy8h32b73" ref="G9"/>
    <hyperlink r:id="rId9" location="heading=h.x6pzy8h32b73" ref="G10"/>
    <hyperlink r:id="rId10" location="heading=h.x6pzy8h32b73" ref="G11"/>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1.88"/>
    <col customWidth="1" min="7" max="7" width="16.25"/>
    <col customWidth="1" min="8" max="8" width="15.88"/>
    <col customWidth="1" min="9" max="38" width="11.88"/>
    <col customWidth="1" min="39" max="39" width="16.25"/>
    <col customWidth="1" min="40" max="42" width="12.63"/>
    <col customWidth="1" min="43" max="43" width="16.25"/>
    <col customWidth="1" min="45" max="45" width="16.25"/>
    <col customWidth="1" min="49" max="49" width="16.25"/>
    <col customWidth="1" min="50" max="50" width="14.25"/>
    <col customWidth="1" min="56" max="56" width="14.25"/>
    <col customWidth="1" min="61" max="61" width="14.25"/>
    <col customWidth="1" min="66" max="67" width="14.25"/>
  </cols>
  <sheetData>
    <row r="1" ht="15.75" customHeight="1">
      <c r="A1" s="151" t="s">
        <v>367</v>
      </c>
      <c r="B1" s="152"/>
      <c r="C1" s="153">
        <v>2838.0</v>
      </c>
      <c r="D1" s="153">
        <f>VLOOKUP(E1,B5:C1010,2,FALSE)</f>
        <v>603</v>
      </c>
      <c r="E1" s="154">
        <f>AD5</f>
        <v>2235</v>
      </c>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BQ1" s="156"/>
      <c r="BV1" s="156"/>
      <c r="CG1" s="157"/>
      <c r="CH1" s="157"/>
      <c r="CI1" s="157"/>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row>
    <row r="2" ht="15.75" customHeight="1">
      <c r="A2" s="158" t="s">
        <v>368</v>
      </c>
      <c r="B2" s="159"/>
      <c r="C2" s="160">
        <v>1735.0</v>
      </c>
      <c r="D2" s="158">
        <v>1003.0</v>
      </c>
      <c r="E2" s="135">
        <f>AE5</f>
        <v>603</v>
      </c>
      <c r="BQ2" s="156"/>
      <c r="BV2" s="156"/>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row>
    <row r="3" ht="15.75" customHeight="1">
      <c r="B3" s="159"/>
      <c r="C3" s="159"/>
      <c r="BQ3" s="156"/>
      <c r="BV3" s="156"/>
      <c r="CG3" s="157"/>
      <c r="CH3" s="157"/>
      <c r="CI3" s="157"/>
      <c r="CJ3" s="157"/>
      <c r="CK3" s="157"/>
      <c r="CL3" s="157"/>
      <c r="CM3" s="157"/>
      <c r="CN3" s="157"/>
      <c r="CO3" s="157"/>
      <c r="CP3" s="157"/>
      <c r="CQ3" s="157"/>
      <c r="CR3" s="157"/>
      <c r="CS3" s="157"/>
      <c r="CT3" s="157"/>
      <c r="CU3" s="157"/>
      <c r="CV3" s="157"/>
      <c r="CW3" s="157"/>
      <c r="CX3" s="157"/>
      <c r="CY3" s="157"/>
      <c r="CZ3" s="157"/>
      <c r="DA3" s="157"/>
      <c r="DB3" s="157"/>
      <c r="DC3" s="157"/>
      <c r="DD3" s="157"/>
      <c r="DE3" s="157"/>
      <c r="DF3" s="157"/>
      <c r="DG3" s="157"/>
      <c r="DH3" s="157"/>
      <c r="DI3" s="157"/>
      <c r="DJ3" s="157"/>
      <c r="DK3" s="157"/>
      <c r="DL3" s="157"/>
      <c r="DM3" s="157"/>
      <c r="DN3" s="157"/>
      <c r="DO3" s="157"/>
      <c r="DP3" s="157"/>
      <c r="DQ3" s="157"/>
      <c r="DR3" s="157"/>
      <c r="DS3" s="157"/>
      <c r="DT3" s="157"/>
      <c r="DU3" s="157"/>
      <c r="DV3" s="157"/>
      <c r="DW3" s="157"/>
      <c r="DX3" s="157"/>
      <c r="DY3" s="157"/>
      <c r="DZ3" s="157"/>
    </row>
    <row r="4" ht="15.75" customHeight="1">
      <c r="A4" s="161"/>
      <c r="B4" s="162" t="s">
        <v>369</v>
      </c>
      <c r="C4" s="162"/>
      <c r="D4" s="161"/>
      <c r="E4" s="161"/>
      <c r="F4" s="161" t="s">
        <v>369</v>
      </c>
      <c r="G4" s="161" t="s">
        <v>370</v>
      </c>
      <c r="H4" s="161"/>
      <c r="I4" s="161"/>
      <c r="J4" s="161" t="s">
        <v>369</v>
      </c>
      <c r="K4" s="161" t="s">
        <v>370</v>
      </c>
      <c r="L4" s="161"/>
      <c r="M4" s="161"/>
      <c r="N4" s="161" t="s">
        <v>369</v>
      </c>
      <c r="O4" s="161" t="s">
        <v>370</v>
      </c>
      <c r="P4" s="161"/>
      <c r="Q4" s="161"/>
      <c r="R4" s="161" t="s">
        <v>369</v>
      </c>
      <c r="S4" s="161" t="s">
        <v>370</v>
      </c>
      <c r="T4" s="161"/>
      <c r="U4" s="161"/>
      <c r="V4" s="161" t="s">
        <v>369</v>
      </c>
      <c r="W4" s="161" t="s">
        <v>370</v>
      </c>
      <c r="X4" s="161"/>
      <c r="Y4" s="161"/>
      <c r="Z4" s="161" t="s">
        <v>369</v>
      </c>
      <c r="AA4" s="161" t="s">
        <v>370</v>
      </c>
      <c r="AB4" s="161"/>
      <c r="AC4" s="14"/>
      <c r="AD4" s="161" t="s">
        <v>369</v>
      </c>
      <c r="AE4" s="161" t="s">
        <v>370</v>
      </c>
      <c r="AF4" s="161"/>
      <c r="AG4" s="14"/>
      <c r="AH4" s="161" t="s">
        <v>369</v>
      </c>
      <c r="AI4" s="161" t="s">
        <v>370</v>
      </c>
      <c r="AJ4" s="161"/>
      <c r="AK4" s="14"/>
      <c r="AL4" s="161" t="s">
        <v>369</v>
      </c>
      <c r="AM4" s="161" t="s">
        <v>370</v>
      </c>
      <c r="AN4" s="161" t="s">
        <v>371</v>
      </c>
      <c r="AO4" s="14"/>
      <c r="AP4" s="161" t="s">
        <v>369</v>
      </c>
      <c r="AQ4" s="161" t="s">
        <v>370</v>
      </c>
      <c r="AR4" s="161" t="s">
        <v>372</v>
      </c>
      <c r="AS4" s="161" t="s">
        <v>373</v>
      </c>
      <c r="AT4" s="161" t="s">
        <v>371</v>
      </c>
      <c r="AU4" s="156"/>
      <c r="AV4" s="161" t="s">
        <v>369</v>
      </c>
      <c r="AW4" s="161" t="s">
        <v>370</v>
      </c>
      <c r="AX4" s="161" t="s">
        <v>372</v>
      </c>
      <c r="AY4" s="161" t="s">
        <v>373</v>
      </c>
      <c r="AZ4" s="161" t="s">
        <v>371</v>
      </c>
      <c r="BB4" s="161" t="s">
        <v>369</v>
      </c>
      <c r="BC4" s="161" t="s">
        <v>372</v>
      </c>
      <c r="BD4" s="161" t="s">
        <v>374</v>
      </c>
      <c r="BE4" s="161" t="s">
        <v>371</v>
      </c>
      <c r="BG4" s="161" t="s">
        <v>369</v>
      </c>
      <c r="BH4" s="161" t="s">
        <v>372</v>
      </c>
      <c r="BI4" s="161" t="s">
        <v>374</v>
      </c>
      <c r="BJ4" s="161" t="s">
        <v>371</v>
      </c>
      <c r="BL4" s="161" t="s">
        <v>369</v>
      </c>
      <c r="BM4" s="161" t="s">
        <v>372</v>
      </c>
      <c r="BN4" s="161" t="s">
        <v>374</v>
      </c>
      <c r="BO4" s="161" t="s">
        <v>375</v>
      </c>
      <c r="BP4" s="161" t="s">
        <v>371</v>
      </c>
      <c r="BQ4" s="156"/>
      <c r="BR4" s="161" t="s">
        <v>369</v>
      </c>
      <c r="BS4" s="161" t="s">
        <v>372</v>
      </c>
      <c r="BT4" s="161" t="s">
        <v>375</v>
      </c>
      <c r="BU4" s="161" t="s">
        <v>371</v>
      </c>
      <c r="BV4" s="156"/>
      <c r="BW4" s="161" t="s">
        <v>369</v>
      </c>
      <c r="BX4" s="161" t="s">
        <v>372</v>
      </c>
      <c r="BY4" s="161" t="s">
        <v>376</v>
      </c>
      <c r="BZ4" s="161" t="s">
        <v>375</v>
      </c>
      <c r="CA4" s="161" t="s">
        <v>371</v>
      </c>
      <c r="CC4" s="161" t="s">
        <v>369</v>
      </c>
      <c r="CD4" s="161" t="s">
        <v>376</v>
      </c>
      <c r="CE4" s="161" t="s">
        <v>375</v>
      </c>
      <c r="CF4" s="161" t="s">
        <v>371</v>
      </c>
      <c r="CG4" s="157"/>
      <c r="CH4" s="161" t="s">
        <v>369</v>
      </c>
      <c r="CI4" s="161" t="s">
        <v>376</v>
      </c>
      <c r="CJ4" s="161" t="s">
        <v>375</v>
      </c>
      <c r="CK4" s="161" t="s">
        <v>371</v>
      </c>
      <c r="CL4" s="157"/>
      <c r="CM4" s="161" t="s">
        <v>369</v>
      </c>
      <c r="CN4" s="161" t="s">
        <v>376</v>
      </c>
      <c r="CO4" s="161" t="s">
        <v>375</v>
      </c>
      <c r="CP4" s="161" t="s">
        <v>371</v>
      </c>
      <c r="CQ4" s="157"/>
      <c r="CR4" s="161" t="s">
        <v>369</v>
      </c>
      <c r="CS4" s="161" t="s">
        <v>376</v>
      </c>
      <c r="CT4" s="161" t="s">
        <v>375</v>
      </c>
      <c r="CU4" s="161" t="s">
        <v>371</v>
      </c>
      <c r="CV4" s="157"/>
      <c r="CW4" s="161" t="s">
        <v>369</v>
      </c>
      <c r="CX4" s="161" t="s">
        <v>376</v>
      </c>
      <c r="CY4" s="161" t="s">
        <v>375</v>
      </c>
      <c r="CZ4" s="161" t="s">
        <v>371</v>
      </c>
      <c r="DA4" s="157"/>
      <c r="DB4" s="161" t="s">
        <v>369</v>
      </c>
      <c r="DC4" s="161" t="s">
        <v>376</v>
      </c>
      <c r="DD4" s="161" t="s">
        <v>375</v>
      </c>
      <c r="DE4" s="161" t="s">
        <v>371</v>
      </c>
      <c r="DF4" s="157"/>
      <c r="DG4" s="161" t="s">
        <v>369</v>
      </c>
      <c r="DH4" s="161" t="s">
        <v>376</v>
      </c>
      <c r="DI4" s="161" t="s">
        <v>375</v>
      </c>
      <c r="DJ4" s="161" t="s">
        <v>371</v>
      </c>
      <c r="DK4" s="157"/>
      <c r="DL4" s="161" t="s">
        <v>369</v>
      </c>
      <c r="DM4" s="161" t="s">
        <v>376</v>
      </c>
      <c r="DN4" s="161" t="s">
        <v>375</v>
      </c>
      <c r="DO4" s="161" t="s">
        <v>371</v>
      </c>
      <c r="DP4" s="157"/>
      <c r="DQ4" s="161" t="s">
        <v>369</v>
      </c>
      <c r="DR4" s="161" t="s">
        <v>376</v>
      </c>
      <c r="DS4" s="161" t="s">
        <v>375</v>
      </c>
      <c r="DT4" s="161" t="s">
        <v>371</v>
      </c>
      <c r="DU4" s="157"/>
      <c r="DV4" s="161" t="s">
        <v>369</v>
      </c>
      <c r="DW4" s="161" t="s">
        <v>377</v>
      </c>
      <c r="DX4" s="161" t="s">
        <v>376</v>
      </c>
      <c r="DY4" s="161" t="s">
        <v>375</v>
      </c>
      <c r="DZ4" s="161" t="s">
        <v>371</v>
      </c>
    </row>
    <row r="5" ht="15.75" customHeight="1">
      <c r="A5" s="154"/>
      <c r="B5" s="163">
        <v>2837.0</v>
      </c>
      <c r="C5" s="163">
        <v>1.0</v>
      </c>
      <c r="D5" s="164"/>
      <c r="E5" s="14"/>
      <c r="F5" s="154">
        <v>2580.0</v>
      </c>
      <c r="G5" s="154"/>
      <c r="H5" s="164"/>
      <c r="I5" s="14"/>
      <c r="J5" s="154">
        <v>2810.0</v>
      </c>
      <c r="K5" s="154">
        <v>28.0</v>
      </c>
      <c r="L5" s="164"/>
      <c r="M5" s="14"/>
      <c r="N5" s="154">
        <v>2695.0</v>
      </c>
      <c r="O5" s="154">
        <v>143.0</v>
      </c>
      <c r="P5" s="164"/>
      <c r="Q5" s="14"/>
      <c r="R5" s="154">
        <v>2580.0</v>
      </c>
      <c r="S5" s="154">
        <v>258.0</v>
      </c>
      <c r="T5" s="164"/>
      <c r="U5" s="14"/>
      <c r="V5" s="154">
        <v>2465.0</v>
      </c>
      <c r="W5" s="154">
        <v>373.0</v>
      </c>
      <c r="X5" s="164"/>
      <c r="Y5" s="14"/>
      <c r="Z5" s="154">
        <v>2350.0</v>
      </c>
      <c r="AA5" s="154">
        <v>488.0</v>
      </c>
      <c r="AB5" s="165"/>
      <c r="AC5" s="166"/>
      <c r="AD5" s="154">
        <v>2235.0</v>
      </c>
      <c r="AE5" s="154">
        <v>603.0</v>
      </c>
      <c r="AF5" s="165"/>
      <c r="AG5" s="166"/>
      <c r="AH5" s="154">
        <v>2120.0</v>
      </c>
      <c r="AI5" s="154">
        <v>718.0</v>
      </c>
      <c r="AJ5" s="165"/>
      <c r="AK5" s="166"/>
      <c r="AL5" s="165">
        <v>2005.0</v>
      </c>
      <c r="AM5" s="154">
        <v>833.0</v>
      </c>
      <c r="AN5" s="165"/>
      <c r="AO5" s="166"/>
      <c r="AP5" s="165">
        <v>1890.0</v>
      </c>
      <c r="AQ5" s="154">
        <v>948.0</v>
      </c>
      <c r="AR5" s="167" t="s">
        <v>266</v>
      </c>
      <c r="AS5" s="167" t="s">
        <v>266</v>
      </c>
      <c r="AT5" s="165"/>
      <c r="AU5" s="168"/>
      <c r="AV5" s="165">
        <v>1775.0</v>
      </c>
      <c r="AW5" s="154">
        <v>1063.0</v>
      </c>
      <c r="AX5" s="165">
        <v>40.0</v>
      </c>
      <c r="AY5" s="165">
        <v>30.0</v>
      </c>
      <c r="AZ5" s="165"/>
      <c r="BB5" s="165">
        <v>1665.0</v>
      </c>
      <c r="BC5" s="169">
        <v>150.0</v>
      </c>
      <c r="BD5" s="169">
        <v>1.0</v>
      </c>
      <c r="BE5" s="165"/>
      <c r="BG5" s="165">
        <v>1550.0</v>
      </c>
      <c r="BH5" s="169">
        <v>265.0</v>
      </c>
      <c r="BI5" s="169">
        <v>115.0</v>
      </c>
      <c r="BJ5" s="165"/>
      <c r="BL5" s="165">
        <v>1435.0</v>
      </c>
      <c r="BM5" s="169">
        <v>380.0</v>
      </c>
      <c r="BN5" s="169">
        <v>230.0</v>
      </c>
      <c r="BO5" s="169"/>
      <c r="BP5" s="165"/>
      <c r="BQ5" s="156"/>
      <c r="BR5" s="165">
        <v>1320.0</v>
      </c>
      <c r="BS5" s="169">
        <v>495.0</v>
      </c>
      <c r="BT5" s="169">
        <v>75.0</v>
      </c>
      <c r="BU5" s="165"/>
      <c r="BV5" s="156"/>
      <c r="BW5" s="165">
        <v>1205.0</v>
      </c>
      <c r="BX5" s="169">
        <v>610.0</v>
      </c>
      <c r="BY5" s="169" t="s">
        <v>266</v>
      </c>
      <c r="BZ5" s="169">
        <v>190.0</v>
      </c>
      <c r="CA5" s="165"/>
      <c r="CC5" s="165">
        <v>1090.0</v>
      </c>
      <c r="CD5" s="169">
        <v>69.0</v>
      </c>
      <c r="CE5" s="169">
        <v>305.0</v>
      </c>
      <c r="CF5" s="165"/>
      <c r="CG5" s="170"/>
      <c r="CH5" s="165">
        <v>975.0</v>
      </c>
      <c r="CI5" s="169">
        <v>184.0</v>
      </c>
      <c r="CJ5" s="169">
        <v>420.0</v>
      </c>
      <c r="CK5" s="165"/>
      <c r="CL5" s="170"/>
      <c r="CM5" s="165">
        <v>860.0</v>
      </c>
      <c r="CN5" s="169">
        <v>299.0</v>
      </c>
      <c r="CO5" s="169">
        <v>535.0</v>
      </c>
      <c r="CP5" s="165"/>
      <c r="CQ5" s="170"/>
      <c r="CR5" s="165">
        <v>745.0</v>
      </c>
      <c r="CS5" s="169">
        <v>414.0</v>
      </c>
      <c r="CT5" s="169">
        <v>650.0</v>
      </c>
      <c r="CU5" s="165"/>
      <c r="CV5" s="170"/>
      <c r="CW5" s="165">
        <v>630.0</v>
      </c>
      <c r="CX5" s="169">
        <v>529.0</v>
      </c>
      <c r="CY5" s="169">
        <v>760.0</v>
      </c>
      <c r="CZ5" s="165"/>
      <c r="DB5" s="165">
        <v>515.0</v>
      </c>
      <c r="DC5" s="169">
        <v>644.0</v>
      </c>
      <c r="DD5" s="169">
        <v>875.0</v>
      </c>
      <c r="DE5" s="165"/>
      <c r="DG5" s="165">
        <v>400.0</v>
      </c>
      <c r="DH5" s="169">
        <v>759.0</v>
      </c>
      <c r="DI5" s="169">
        <v>990.0</v>
      </c>
      <c r="DJ5" s="165"/>
      <c r="DL5" s="165">
        <v>285.0</v>
      </c>
      <c r="DM5" s="169">
        <v>874.0</v>
      </c>
      <c r="DN5" s="169">
        <v>1105.0</v>
      </c>
      <c r="DO5" s="165"/>
      <c r="DQ5" s="165">
        <v>170.0</v>
      </c>
      <c r="DR5" s="169">
        <v>989.0</v>
      </c>
      <c r="DS5" s="169">
        <v>1220.0</v>
      </c>
      <c r="DT5" s="165"/>
      <c r="DV5" s="165">
        <v>55.0</v>
      </c>
      <c r="DW5" s="167" t="s">
        <v>266</v>
      </c>
      <c r="DX5" s="169">
        <v>1104.0</v>
      </c>
      <c r="DY5" s="169">
        <v>1335.0</v>
      </c>
      <c r="DZ5" s="165"/>
    </row>
    <row r="6" ht="15.75" customHeight="1">
      <c r="A6" s="171"/>
      <c r="B6" s="163">
        <f t="shared" ref="B6:B1007" si="1">B5-1</f>
        <v>2836</v>
      </c>
      <c r="C6" s="163">
        <v>2.0</v>
      </c>
      <c r="D6" s="172"/>
      <c r="E6" s="166"/>
      <c r="F6" s="171">
        <v>2575.0</v>
      </c>
      <c r="G6" s="171"/>
      <c r="H6" s="172"/>
      <c r="I6" s="166"/>
      <c r="J6" s="171">
        <v>2805.0</v>
      </c>
      <c r="K6" s="171">
        <v>33.0</v>
      </c>
      <c r="L6" s="172"/>
      <c r="M6" s="166"/>
      <c r="N6" s="171">
        <v>2690.0</v>
      </c>
      <c r="O6" s="171">
        <v>148.0</v>
      </c>
      <c r="P6" s="172"/>
      <c r="Q6" s="166"/>
      <c r="R6" s="171">
        <v>2575.0</v>
      </c>
      <c r="S6" s="171">
        <v>263.0</v>
      </c>
      <c r="T6" s="172"/>
      <c r="U6" s="166"/>
      <c r="V6" s="171">
        <v>2460.0</v>
      </c>
      <c r="W6" s="171">
        <v>378.0</v>
      </c>
      <c r="X6" s="172"/>
      <c r="Y6" s="166"/>
      <c r="Z6" s="171">
        <v>2345.0</v>
      </c>
      <c r="AA6" s="171">
        <v>493.0</v>
      </c>
      <c r="AB6" s="173"/>
      <c r="AC6" s="166"/>
      <c r="AD6" s="171">
        <v>2230.0</v>
      </c>
      <c r="AE6" s="171">
        <v>608.0</v>
      </c>
      <c r="AF6" s="173"/>
      <c r="AG6" s="166"/>
      <c r="AH6" s="171">
        <v>2115.0</v>
      </c>
      <c r="AI6" s="171">
        <v>723.0</v>
      </c>
      <c r="AJ6" s="173"/>
      <c r="AK6" s="166"/>
      <c r="AL6" s="173">
        <v>2000.0</v>
      </c>
      <c r="AM6" s="171">
        <v>838.0</v>
      </c>
      <c r="AN6" s="173"/>
      <c r="AO6" s="166"/>
      <c r="AP6" s="173">
        <v>1885.0</v>
      </c>
      <c r="AQ6" s="171">
        <v>953.0</v>
      </c>
      <c r="AR6" s="174" t="s">
        <v>266</v>
      </c>
      <c r="AS6" s="174" t="s">
        <v>266</v>
      </c>
      <c r="AT6" s="173"/>
      <c r="AU6" s="168"/>
      <c r="AV6" s="173">
        <v>1770.0</v>
      </c>
      <c r="AW6" s="154">
        <v>1068.0</v>
      </c>
      <c r="AX6" s="173">
        <v>45.0</v>
      </c>
      <c r="AY6" s="173">
        <v>35.0</v>
      </c>
      <c r="AZ6" s="173"/>
      <c r="BB6" s="173">
        <v>1660.0</v>
      </c>
      <c r="BC6" s="175">
        <v>155.0</v>
      </c>
      <c r="BD6" s="175">
        <v>5.0</v>
      </c>
      <c r="BE6" s="173"/>
      <c r="BG6" s="173">
        <v>1545.0</v>
      </c>
      <c r="BH6" s="175">
        <v>270.0</v>
      </c>
      <c r="BI6" s="175">
        <v>120.0</v>
      </c>
      <c r="BJ6" s="173"/>
      <c r="BL6" s="173">
        <v>1430.0</v>
      </c>
      <c r="BM6" s="175">
        <v>385.0</v>
      </c>
      <c r="BN6" s="175">
        <v>235.0</v>
      </c>
      <c r="BO6" s="175"/>
      <c r="BP6" s="173"/>
      <c r="BQ6" s="176"/>
      <c r="BR6" s="173">
        <v>1315.0</v>
      </c>
      <c r="BS6" s="175">
        <v>500.0</v>
      </c>
      <c r="BT6" s="175">
        <v>80.0</v>
      </c>
      <c r="BU6" s="173"/>
      <c r="BV6" s="156"/>
      <c r="BW6" s="173">
        <v>1200.0</v>
      </c>
      <c r="BX6" s="175">
        <v>615.0</v>
      </c>
      <c r="BY6" s="175" t="s">
        <v>266</v>
      </c>
      <c r="BZ6" s="175">
        <v>195.0</v>
      </c>
      <c r="CA6" s="173"/>
      <c r="CC6" s="173">
        <v>1085.0</v>
      </c>
      <c r="CD6" s="175">
        <v>74.0</v>
      </c>
      <c r="CE6" s="175">
        <v>310.0</v>
      </c>
      <c r="CF6" s="173"/>
      <c r="CG6" s="170"/>
      <c r="CH6" s="173">
        <v>970.0</v>
      </c>
      <c r="CI6" s="175">
        <v>189.0</v>
      </c>
      <c r="CJ6" s="175">
        <v>425.0</v>
      </c>
      <c r="CK6" s="173"/>
      <c r="CL6" s="170"/>
      <c r="CM6" s="173">
        <v>855.0</v>
      </c>
      <c r="CN6" s="175">
        <v>304.0</v>
      </c>
      <c r="CO6" s="175">
        <v>540.0</v>
      </c>
      <c r="CP6" s="173"/>
      <c r="CQ6" s="170"/>
      <c r="CR6" s="173">
        <v>740.0</v>
      </c>
      <c r="CS6" s="175">
        <v>419.0</v>
      </c>
      <c r="CT6" s="175">
        <v>655.0</v>
      </c>
      <c r="CU6" s="173"/>
      <c r="CV6" s="170"/>
      <c r="CW6" s="173">
        <v>625.0</v>
      </c>
      <c r="CX6" s="175">
        <v>534.0</v>
      </c>
      <c r="CY6" s="175">
        <v>765.0</v>
      </c>
      <c r="CZ6" s="173"/>
      <c r="DB6" s="173">
        <v>510.0</v>
      </c>
      <c r="DC6" s="175">
        <v>649.0</v>
      </c>
      <c r="DD6" s="175">
        <v>880.0</v>
      </c>
      <c r="DE6" s="173"/>
      <c r="DG6" s="173">
        <v>395.0</v>
      </c>
      <c r="DH6" s="175">
        <v>764.0</v>
      </c>
      <c r="DI6" s="175">
        <v>995.0</v>
      </c>
      <c r="DJ6" s="173"/>
      <c r="DL6" s="173">
        <v>280.0</v>
      </c>
      <c r="DM6" s="175">
        <v>879.0</v>
      </c>
      <c r="DN6" s="175">
        <v>1110.0</v>
      </c>
      <c r="DO6" s="173"/>
      <c r="DQ6" s="173">
        <v>165.0</v>
      </c>
      <c r="DR6" s="175">
        <v>994.0</v>
      </c>
      <c r="DS6" s="175">
        <v>1225.0</v>
      </c>
      <c r="DT6" s="173"/>
      <c r="DV6" s="173">
        <v>50.0</v>
      </c>
      <c r="DW6" s="174" t="s">
        <v>266</v>
      </c>
      <c r="DX6" s="175">
        <v>1109.0</v>
      </c>
      <c r="DY6" s="175">
        <v>1340.0</v>
      </c>
      <c r="DZ6" s="173"/>
    </row>
    <row r="7" ht="15.75" customHeight="1">
      <c r="A7" s="154"/>
      <c r="B7" s="163">
        <f t="shared" si="1"/>
        <v>2835</v>
      </c>
      <c r="C7" s="163">
        <v>3.0</v>
      </c>
      <c r="D7" s="164"/>
      <c r="E7" s="166"/>
      <c r="F7" s="154">
        <v>2570.0</v>
      </c>
      <c r="G7" s="154"/>
      <c r="H7" s="164"/>
      <c r="I7" s="166"/>
      <c r="J7" s="154">
        <v>2800.0</v>
      </c>
      <c r="K7" s="154">
        <v>38.0</v>
      </c>
      <c r="L7" s="164"/>
      <c r="M7" s="166"/>
      <c r="N7" s="154">
        <v>2685.0</v>
      </c>
      <c r="O7" s="154">
        <v>153.0</v>
      </c>
      <c r="P7" s="164"/>
      <c r="Q7" s="166"/>
      <c r="R7" s="154">
        <v>2570.0</v>
      </c>
      <c r="S7" s="154">
        <v>268.0</v>
      </c>
      <c r="T7" s="164"/>
      <c r="U7" s="166"/>
      <c r="V7" s="154">
        <v>2455.0</v>
      </c>
      <c r="W7" s="154">
        <v>383.0</v>
      </c>
      <c r="X7" s="164"/>
      <c r="Y7" s="166"/>
      <c r="Z7" s="154">
        <v>2340.0</v>
      </c>
      <c r="AA7" s="154">
        <v>498.0</v>
      </c>
      <c r="AB7" s="165"/>
      <c r="AC7" s="166"/>
      <c r="AD7" s="154">
        <v>2225.0</v>
      </c>
      <c r="AE7" s="154">
        <v>613.0</v>
      </c>
      <c r="AF7" s="165"/>
      <c r="AG7" s="166"/>
      <c r="AH7" s="154">
        <v>2110.0</v>
      </c>
      <c r="AI7" s="154">
        <v>728.0</v>
      </c>
      <c r="AJ7" s="165"/>
      <c r="AK7" s="166"/>
      <c r="AL7" s="165">
        <v>1995.0</v>
      </c>
      <c r="AM7" s="154">
        <v>843.0</v>
      </c>
      <c r="AN7" s="165"/>
      <c r="AO7" s="166"/>
      <c r="AP7" s="165">
        <v>1880.0</v>
      </c>
      <c r="AQ7" s="154">
        <v>958.0</v>
      </c>
      <c r="AR7" s="167" t="s">
        <v>266</v>
      </c>
      <c r="AS7" s="167" t="s">
        <v>266</v>
      </c>
      <c r="AT7" s="165"/>
      <c r="AU7" s="166"/>
      <c r="AV7" s="165">
        <v>1765.0</v>
      </c>
      <c r="AW7" s="154">
        <v>1073.0</v>
      </c>
      <c r="AX7" s="165">
        <v>50.0</v>
      </c>
      <c r="AY7" s="165">
        <v>40.0</v>
      </c>
      <c r="AZ7" s="165"/>
      <c r="BB7" s="165">
        <v>1655.0</v>
      </c>
      <c r="BC7" s="169">
        <v>160.0</v>
      </c>
      <c r="BD7" s="169">
        <v>10.0</v>
      </c>
      <c r="BE7" s="165"/>
      <c r="BG7" s="165">
        <v>1540.0</v>
      </c>
      <c r="BH7" s="169">
        <v>275.0</v>
      </c>
      <c r="BI7" s="169">
        <v>125.0</v>
      </c>
      <c r="BJ7" s="165"/>
      <c r="BL7" s="165">
        <v>1425.0</v>
      </c>
      <c r="BM7" s="169">
        <v>390.0</v>
      </c>
      <c r="BN7" s="169">
        <v>240.0</v>
      </c>
      <c r="BO7" s="169"/>
      <c r="BP7" s="165"/>
      <c r="BQ7" s="176"/>
      <c r="BR7" s="165">
        <v>1310.0</v>
      </c>
      <c r="BS7" s="169">
        <v>505.0</v>
      </c>
      <c r="BT7" s="169">
        <v>85.0</v>
      </c>
      <c r="BU7" s="165"/>
      <c r="BV7" s="176"/>
      <c r="BW7" s="165">
        <v>1195.0</v>
      </c>
      <c r="BX7" s="169">
        <v>620.0</v>
      </c>
      <c r="BY7" s="169" t="s">
        <v>266</v>
      </c>
      <c r="BZ7" s="169">
        <v>200.0</v>
      </c>
      <c r="CA7" s="165"/>
      <c r="CC7" s="165">
        <v>1080.0</v>
      </c>
      <c r="CD7" s="169">
        <v>79.0</v>
      </c>
      <c r="CE7" s="169">
        <v>315.0</v>
      </c>
      <c r="CF7" s="165"/>
      <c r="CG7" s="170"/>
      <c r="CH7" s="165">
        <v>965.0</v>
      </c>
      <c r="CI7" s="169">
        <v>194.0</v>
      </c>
      <c r="CJ7" s="169">
        <v>430.0</v>
      </c>
      <c r="CK7" s="165"/>
      <c r="CL7" s="170"/>
      <c r="CM7" s="165">
        <v>850.0</v>
      </c>
      <c r="CN7" s="169">
        <v>309.0</v>
      </c>
      <c r="CO7" s="169">
        <v>545.0</v>
      </c>
      <c r="CP7" s="165"/>
      <c r="CQ7" s="170"/>
      <c r="CR7" s="165">
        <v>735.0</v>
      </c>
      <c r="CS7" s="169">
        <v>424.0</v>
      </c>
      <c r="CT7" s="169">
        <v>660.0</v>
      </c>
      <c r="CU7" s="165"/>
      <c r="CV7" s="170"/>
      <c r="CW7" s="165">
        <v>620.0</v>
      </c>
      <c r="CX7" s="169">
        <v>539.0</v>
      </c>
      <c r="CY7" s="169">
        <v>770.0</v>
      </c>
      <c r="CZ7" s="165"/>
      <c r="DB7" s="165">
        <v>505.0</v>
      </c>
      <c r="DC7" s="169">
        <v>654.0</v>
      </c>
      <c r="DD7" s="169">
        <v>885.0</v>
      </c>
      <c r="DE7" s="165"/>
      <c r="DG7" s="165">
        <v>390.0</v>
      </c>
      <c r="DH7" s="169">
        <v>769.0</v>
      </c>
      <c r="DI7" s="169">
        <v>1000.0</v>
      </c>
      <c r="DJ7" s="165"/>
      <c r="DL7" s="165">
        <v>275.0</v>
      </c>
      <c r="DM7" s="169">
        <v>884.0</v>
      </c>
      <c r="DN7" s="169">
        <v>1115.0</v>
      </c>
      <c r="DO7" s="165"/>
      <c r="DQ7" s="165">
        <v>160.0</v>
      </c>
      <c r="DR7" s="169">
        <v>999.0</v>
      </c>
      <c r="DS7" s="169">
        <v>1230.0</v>
      </c>
      <c r="DT7" s="165"/>
      <c r="DV7" s="165">
        <v>45.0</v>
      </c>
      <c r="DW7" s="167" t="s">
        <v>266</v>
      </c>
      <c r="DX7" s="169">
        <v>1114.0</v>
      </c>
      <c r="DY7" s="169">
        <v>1345.0</v>
      </c>
      <c r="DZ7" s="165"/>
    </row>
    <row r="8" ht="15.75" customHeight="1">
      <c r="A8" s="171"/>
      <c r="B8" s="163">
        <f t="shared" si="1"/>
        <v>2834</v>
      </c>
      <c r="C8" s="163">
        <v>4.0</v>
      </c>
      <c r="D8" s="172"/>
      <c r="E8" s="166"/>
      <c r="F8" s="171">
        <v>2565.0</v>
      </c>
      <c r="G8" s="171"/>
      <c r="H8" s="172"/>
      <c r="I8" s="166"/>
      <c r="J8" s="171">
        <v>2795.0</v>
      </c>
      <c r="K8" s="171">
        <v>43.0</v>
      </c>
      <c r="L8" s="172"/>
      <c r="M8" s="166"/>
      <c r="N8" s="171">
        <v>2680.0</v>
      </c>
      <c r="O8" s="171">
        <v>158.0</v>
      </c>
      <c r="P8" s="172"/>
      <c r="Q8" s="166"/>
      <c r="R8" s="171">
        <v>2565.0</v>
      </c>
      <c r="S8" s="171">
        <v>273.0</v>
      </c>
      <c r="T8" s="172"/>
      <c r="U8" s="166"/>
      <c r="V8" s="171">
        <v>2450.0</v>
      </c>
      <c r="W8" s="171">
        <v>388.0</v>
      </c>
      <c r="X8" s="172"/>
      <c r="Y8" s="166"/>
      <c r="Z8" s="171">
        <v>2335.0</v>
      </c>
      <c r="AA8" s="171">
        <v>503.0</v>
      </c>
      <c r="AB8" s="173"/>
      <c r="AC8" s="166"/>
      <c r="AD8" s="171">
        <v>2220.0</v>
      </c>
      <c r="AE8" s="171">
        <v>618.0</v>
      </c>
      <c r="AF8" s="173"/>
      <c r="AG8" s="166"/>
      <c r="AH8" s="171">
        <v>2105.0</v>
      </c>
      <c r="AI8" s="171">
        <v>733.0</v>
      </c>
      <c r="AJ8" s="173"/>
      <c r="AK8" s="166"/>
      <c r="AL8" s="173">
        <v>1990.0</v>
      </c>
      <c r="AM8" s="171">
        <v>848.0</v>
      </c>
      <c r="AN8" s="173"/>
      <c r="AO8" s="166"/>
      <c r="AP8" s="173">
        <v>1875.0</v>
      </c>
      <c r="AQ8" s="171">
        <v>963.0</v>
      </c>
      <c r="AR8" s="174" t="s">
        <v>266</v>
      </c>
      <c r="AS8" s="174" t="s">
        <v>266</v>
      </c>
      <c r="AT8" s="173"/>
      <c r="AU8" s="166"/>
      <c r="AV8" s="173">
        <v>1760.0</v>
      </c>
      <c r="AW8" s="154">
        <v>1078.0</v>
      </c>
      <c r="AX8" s="173">
        <v>55.0</v>
      </c>
      <c r="AY8" s="173">
        <v>45.0</v>
      </c>
      <c r="AZ8" s="173"/>
      <c r="BB8" s="173">
        <v>1650.0</v>
      </c>
      <c r="BC8" s="175">
        <v>165.0</v>
      </c>
      <c r="BD8" s="175">
        <v>15.0</v>
      </c>
      <c r="BE8" s="173"/>
      <c r="BG8" s="173">
        <v>1535.0</v>
      </c>
      <c r="BH8" s="175">
        <v>280.0</v>
      </c>
      <c r="BI8" s="175">
        <v>130.0</v>
      </c>
      <c r="BJ8" s="173"/>
      <c r="BL8" s="173">
        <v>1420.0</v>
      </c>
      <c r="BM8" s="175">
        <v>395.0</v>
      </c>
      <c r="BN8" s="175">
        <v>245.0</v>
      </c>
      <c r="BO8" s="175"/>
      <c r="BP8" s="173"/>
      <c r="BQ8" s="156"/>
      <c r="BR8" s="173">
        <v>1305.0</v>
      </c>
      <c r="BS8" s="175">
        <v>510.0</v>
      </c>
      <c r="BT8" s="169">
        <v>90.0</v>
      </c>
      <c r="BU8" s="173"/>
      <c r="BV8" s="176"/>
      <c r="BW8" s="173">
        <v>1190.0</v>
      </c>
      <c r="BX8" s="175">
        <v>625.0</v>
      </c>
      <c r="BY8" s="175" t="s">
        <v>266</v>
      </c>
      <c r="BZ8" s="169">
        <v>205.0</v>
      </c>
      <c r="CA8" s="173"/>
      <c r="CC8" s="173">
        <v>1075.0</v>
      </c>
      <c r="CD8" s="175">
        <v>84.0</v>
      </c>
      <c r="CE8" s="169">
        <v>320.0</v>
      </c>
      <c r="CF8" s="173"/>
      <c r="CG8" s="170"/>
      <c r="CH8" s="173">
        <v>960.0</v>
      </c>
      <c r="CI8" s="175">
        <v>199.0</v>
      </c>
      <c r="CJ8" s="169">
        <v>435.0</v>
      </c>
      <c r="CK8" s="173"/>
      <c r="CL8" s="170"/>
      <c r="CM8" s="173">
        <v>845.0</v>
      </c>
      <c r="CN8" s="175">
        <v>314.0</v>
      </c>
      <c r="CO8" s="169">
        <v>550.0</v>
      </c>
      <c r="CP8" s="173"/>
      <c r="CQ8" s="170"/>
      <c r="CR8" s="173">
        <v>730.0</v>
      </c>
      <c r="CS8" s="175">
        <v>429.0</v>
      </c>
      <c r="CT8" s="169">
        <v>665.0</v>
      </c>
      <c r="CU8" s="173"/>
      <c r="CV8" s="170"/>
      <c r="CW8" s="173">
        <v>615.0</v>
      </c>
      <c r="CX8" s="175">
        <v>544.0</v>
      </c>
      <c r="CY8" s="169">
        <v>775.0</v>
      </c>
      <c r="CZ8" s="173"/>
      <c r="DB8" s="173">
        <v>500.0</v>
      </c>
      <c r="DC8" s="175">
        <v>659.0</v>
      </c>
      <c r="DD8" s="169">
        <v>890.0</v>
      </c>
      <c r="DE8" s="173"/>
      <c r="DG8" s="173">
        <v>385.0</v>
      </c>
      <c r="DH8" s="175">
        <v>774.0</v>
      </c>
      <c r="DI8" s="169">
        <v>1005.0</v>
      </c>
      <c r="DJ8" s="173"/>
      <c r="DL8" s="173">
        <v>270.0</v>
      </c>
      <c r="DM8" s="175">
        <v>889.0</v>
      </c>
      <c r="DN8" s="169">
        <v>1120.0</v>
      </c>
      <c r="DO8" s="173"/>
      <c r="DQ8" s="173">
        <v>155.0</v>
      </c>
      <c r="DR8" s="175">
        <v>1004.0</v>
      </c>
      <c r="DS8" s="169">
        <v>1235.0</v>
      </c>
      <c r="DT8" s="173"/>
      <c r="DV8" s="173">
        <v>40.0</v>
      </c>
      <c r="DW8" s="174" t="s">
        <v>266</v>
      </c>
      <c r="DX8" s="175">
        <v>1119.0</v>
      </c>
      <c r="DY8" s="169">
        <v>1350.0</v>
      </c>
      <c r="DZ8" s="173"/>
    </row>
    <row r="9" ht="15.75" customHeight="1">
      <c r="A9" s="154"/>
      <c r="B9" s="163">
        <f t="shared" si="1"/>
        <v>2833</v>
      </c>
      <c r="C9" s="163">
        <v>5.0</v>
      </c>
      <c r="D9" s="164"/>
      <c r="E9" s="166"/>
      <c r="F9" s="154">
        <v>2560.0</v>
      </c>
      <c r="G9" s="154"/>
      <c r="H9" s="164"/>
      <c r="I9" s="166"/>
      <c r="J9" s="154">
        <v>2790.0</v>
      </c>
      <c r="K9" s="154">
        <v>48.0</v>
      </c>
      <c r="L9" s="164"/>
      <c r="M9" s="166"/>
      <c r="N9" s="154">
        <v>2675.0</v>
      </c>
      <c r="O9" s="154">
        <v>163.0</v>
      </c>
      <c r="P9" s="164"/>
      <c r="Q9" s="166"/>
      <c r="R9" s="154">
        <v>2560.0</v>
      </c>
      <c r="S9" s="154">
        <v>278.0</v>
      </c>
      <c r="T9" s="164"/>
      <c r="U9" s="166"/>
      <c r="V9" s="154">
        <v>2445.0</v>
      </c>
      <c r="W9" s="154">
        <v>393.0</v>
      </c>
      <c r="X9" s="164"/>
      <c r="Y9" s="166"/>
      <c r="Z9" s="154">
        <v>2330.0</v>
      </c>
      <c r="AA9" s="154">
        <v>508.0</v>
      </c>
      <c r="AB9" s="165"/>
      <c r="AC9" s="166"/>
      <c r="AD9" s="154">
        <v>2215.0</v>
      </c>
      <c r="AE9" s="154">
        <v>623.0</v>
      </c>
      <c r="AF9" s="165"/>
      <c r="AG9" s="166"/>
      <c r="AH9" s="154">
        <v>2100.0</v>
      </c>
      <c r="AI9" s="154">
        <v>738.0</v>
      </c>
      <c r="AJ9" s="165"/>
      <c r="AK9" s="166"/>
      <c r="AL9" s="165">
        <v>1985.0</v>
      </c>
      <c r="AM9" s="154">
        <v>853.0</v>
      </c>
      <c r="AN9" s="165"/>
      <c r="AO9" s="166"/>
      <c r="AP9" s="165">
        <v>1870.0</v>
      </c>
      <c r="AQ9" s="154">
        <v>968.0</v>
      </c>
      <c r="AR9" s="167" t="s">
        <v>266</v>
      </c>
      <c r="AS9" s="167" t="s">
        <v>266</v>
      </c>
      <c r="AT9" s="165"/>
      <c r="AU9" s="166"/>
      <c r="AV9" s="165">
        <v>1755.0</v>
      </c>
      <c r="AW9" s="154">
        <v>1083.0</v>
      </c>
      <c r="AX9" s="165">
        <v>60.0</v>
      </c>
      <c r="AY9" s="165">
        <v>50.0</v>
      </c>
      <c r="AZ9" s="165"/>
      <c r="BB9" s="165">
        <v>1645.0</v>
      </c>
      <c r="BC9" s="169">
        <v>170.0</v>
      </c>
      <c r="BD9" s="169">
        <v>20.0</v>
      </c>
      <c r="BE9" s="165"/>
      <c r="BG9" s="165">
        <v>1530.0</v>
      </c>
      <c r="BH9" s="169">
        <v>285.0</v>
      </c>
      <c r="BI9" s="169">
        <v>135.0</v>
      </c>
      <c r="BJ9" s="165"/>
      <c r="BL9" s="165">
        <v>1415.0</v>
      </c>
      <c r="BM9" s="169">
        <v>400.0</v>
      </c>
      <c r="BN9" s="169">
        <v>250.0</v>
      </c>
      <c r="BO9" s="169"/>
      <c r="BP9" s="165"/>
      <c r="BQ9" s="156"/>
      <c r="BR9" s="165">
        <v>1300.0</v>
      </c>
      <c r="BS9" s="169">
        <v>515.0</v>
      </c>
      <c r="BT9" s="175">
        <v>95.0</v>
      </c>
      <c r="BU9" s="165"/>
      <c r="BV9" s="156"/>
      <c r="BW9" s="165">
        <v>1185.0</v>
      </c>
      <c r="BX9" s="169">
        <v>630.0</v>
      </c>
      <c r="BY9" s="169" t="s">
        <v>266</v>
      </c>
      <c r="BZ9" s="175">
        <v>210.0</v>
      </c>
      <c r="CA9" s="165"/>
      <c r="CC9" s="165">
        <v>1070.0</v>
      </c>
      <c r="CD9" s="169">
        <v>89.0</v>
      </c>
      <c r="CE9" s="175">
        <v>325.0</v>
      </c>
      <c r="CF9" s="165"/>
      <c r="CG9" s="170"/>
      <c r="CH9" s="165">
        <v>955.0</v>
      </c>
      <c r="CI9" s="169">
        <v>204.0</v>
      </c>
      <c r="CJ9" s="175">
        <v>440.0</v>
      </c>
      <c r="CK9" s="165"/>
      <c r="CL9" s="170"/>
      <c r="CM9" s="165">
        <v>840.0</v>
      </c>
      <c r="CN9" s="169">
        <v>319.0</v>
      </c>
      <c r="CO9" s="175">
        <v>555.0</v>
      </c>
      <c r="CP9" s="165"/>
      <c r="CQ9" s="170"/>
      <c r="CR9" s="165">
        <v>725.0</v>
      </c>
      <c r="CS9" s="169">
        <v>434.0</v>
      </c>
      <c r="CT9" s="175">
        <v>670.0</v>
      </c>
      <c r="CU9" s="165"/>
      <c r="CV9" s="170"/>
      <c r="CW9" s="165">
        <v>610.0</v>
      </c>
      <c r="CX9" s="169">
        <v>549.0</v>
      </c>
      <c r="CY9" s="175">
        <v>780.0</v>
      </c>
      <c r="CZ9" s="165"/>
      <c r="DB9" s="165">
        <v>495.0</v>
      </c>
      <c r="DC9" s="169">
        <v>664.0</v>
      </c>
      <c r="DD9" s="175">
        <v>895.0</v>
      </c>
      <c r="DE9" s="165"/>
      <c r="DG9" s="165">
        <v>380.0</v>
      </c>
      <c r="DH9" s="169">
        <v>779.0</v>
      </c>
      <c r="DI9" s="175">
        <v>1010.0</v>
      </c>
      <c r="DJ9" s="165"/>
      <c r="DL9" s="165">
        <v>265.0</v>
      </c>
      <c r="DM9" s="169">
        <v>894.0</v>
      </c>
      <c r="DN9" s="175">
        <v>1125.0</v>
      </c>
      <c r="DO9" s="165"/>
      <c r="DQ9" s="165">
        <v>150.0</v>
      </c>
      <c r="DR9" s="169">
        <v>1009.0</v>
      </c>
      <c r="DS9" s="175">
        <v>1240.0</v>
      </c>
      <c r="DT9" s="165"/>
      <c r="DV9" s="165">
        <v>35.0</v>
      </c>
      <c r="DW9" s="167" t="s">
        <v>266</v>
      </c>
      <c r="DX9" s="169">
        <v>1124.0</v>
      </c>
      <c r="DY9" s="175">
        <v>1355.0</v>
      </c>
      <c r="DZ9" s="165"/>
    </row>
    <row r="10" ht="15.75" customHeight="1">
      <c r="A10" s="171"/>
      <c r="B10" s="163">
        <f t="shared" si="1"/>
        <v>2832</v>
      </c>
      <c r="C10" s="163">
        <v>6.0</v>
      </c>
      <c r="D10" s="172"/>
      <c r="E10" s="166"/>
      <c r="F10" s="171">
        <v>2555.0</v>
      </c>
      <c r="G10" s="171"/>
      <c r="H10" s="172"/>
      <c r="I10" s="166"/>
      <c r="J10" s="171">
        <v>2785.0</v>
      </c>
      <c r="K10" s="171">
        <v>53.0</v>
      </c>
      <c r="L10" s="172"/>
      <c r="M10" s="166"/>
      <c r="N10" s="171">
        <v>2670.0</v>
      </c>
      <c r="O10" s="171">
        <v>168.0</v>
      </c>
      <c r="P10" s="172"/>
      <c r="Q10" s="166"/>
      <c r="R10" s="171">
        <v>2555.0</v>
      </c>
      <c r="S10" s="171">
        <v>283.0</v>
      </c>
      <c r="T10" s="172"/>
      <c r="U10" s="166"/>
      <c r="V10" s="171">
        <v>2440.0</v>
      </c>
      <c r="W10" s="171">
        <v>398.0</v>
      </c>
      <c r="X10" s="172"/>
      <c r="Y10" s="166"/>
      <c r="Z10" s="171">
        <v>2325.0</v>
      </c>
      <c r="AA10" s="171">
        <v>513.0</v>
      </c>
      <c r="AB10" s="173"/>
      <c r="AC10" s="166"/>
      <c r="AD10" s="171">
        <v>2210.0</v>
      </c>
      <c r="AE10" s="171">
        <v>628.0</v>
      </c>
      <c r="AF10" s="173"/>
      <c r="AG10" s="166"/>
      <c r="AH10" s="171">
        <v>2095.0</v>
      </c>
      <c r="AI10" s="171">
        <v>743.0</v>
      </c>
      <c r="AJ10" s="173"/>
      <c r="AK10" s="166"/>
      <c r="AL10" s="173">
        <v>1980.0</v>
      </c>
      <c r="AM10" s="171">
        <v>858.0</v>
      </c>
      <c r="AN10" s="173"/>
      <c r="AO10" s="166"/>
      <c r="AP10" s="173">
        <v>1865.0</v>
      </c>
      <c r="AQ10" s="171">
        <v>973.0</v>
      </c>
      <c r="AR10" s="174" t="s">
        <v>266</v>
      </c>
      <c r="AS10" s="174" t="s">
        <v>266</v>
      </c>
      <c r="AT10" s="173"/>
      <c r="AU10" s="166"/>
      <c r="AV10" s="173">
        <v>1750.0</v>
      </c>
      <c r="AW10" s="154">
        <v>1088.0</v>
      </c>
      <c r="AX10" s="173">
        <v>65.0</v>
      </c>
      <c r="AY10" s="173">
        <v>55.0</v>
      </c>
      <c r="AZ10" s="173"/>
      <c r="BB10" s="173">
        <v>1640.0</v>
      </c>
      <c r="BC10" s="175">
        <v>175.0</v>
      </c>
      <c r="BD10" s="175">
        <v>25.0</v>
      </c>
      <c r="BE10" s="173"/>
      <c r="BG10" s="173">
        <v>1525.0</v>
      </c>
      <c r="BH10" s="175">
        <v>290.0</v>
      </c>
      <c r="BI10" s="175">
        <v>140.0</v>
      </c>
      <c r="BJ10" s="173"/>
      <c r="BL10" s="173">
        <v>1410.0</v>
      </c>
      <c r="BM10" s="175">
        <v>405.0</v>
      </c>
      <c r="BN10" s="175">
        <v>255.0</v>
      </c>
      <c r="BO10" s="175"/>
      <c r="BP10" s="173"/>
      <c r="BQ10" s="176"/>
      <c r="BR10" s="173">
        <v>1295.0</v>
      </c>
      <c r="BS10" s="175">
        <v>520.0</v>
      </c>
      <c r="BT10" s="169">
        <v>100.0</v>
      </c>
      <c r="BU10" s="173"/>
      <c r="BV10" s="156"/>
      <c r="BW10" s="173">
        <v>1180.0</v>
      </c>
      <c r="BX10" s="175">
        <v>635.0</v>
      </c>
      <c r="BY10" s="175" t="s">
        <v>266</v>
      </c>
      <c r="BZ10" s="169">
        <v>215.0</v>
      </c>
      <c r="CA10" s="173"/>
      <c r="CC10" s="173">
        <v>1065.0</v>
      </c>
      <c r="CD10" s="175">
        <v>94.0</v>
      </c>
      <c r="CE10" s="169">
        <v>330.0</v>
      </c>
      <c r="CF10" s="173"/>
      <c r="CG10" s="170"/>
      <c r="CH10" s="173">
        <v>950.0</v>
      </c>
      <c r="CI10" s="175">
        <v>209.0</v>
      </c>
      <c r="CJ10" s="169">
        <v>445.0</v>
      </c>
      <c r="CK10" s="173"/>
      <c r="CL10" s="170"/>
      <c r="CM10" s="173">
        <v>835.0</v>
      </c>
      <c r="CN10" s="175">
        <v>324.0</v>
      </c>
      <c r="CO10" s="169">
        <v>560.0</v>
      </c>
      <c r="CP10" s="173"/>
      <c r="CQ10" s="170"/>
      <c r="CR10" s="173">
        <v>720.0</v>
      </c>
      <c r="CS10" s="175">
        <v>439.0</v>
      </c>
      <c r="CT10" s="169">
        <v>675.0</v>
      </c>
      <c r="CU10" s="173"/>
      <c r="CV10" s="170"/>
      <c r="CW10" s="173">
        <v>605.0</v>
      </c>
      <c r="CX10" s="175">
        <v>554.0</v>
      </c>
      <c r="CY10" s="169">
        <v>785.0</v>
      </c>
      <c r="CZ10" s="173"/>
      <c r="DB10" s="173">
        <v>490.0</v>
      </c>
      <c r="DC10" s="175">
        <v>669.0</v>
      </c>
      <c r="DD10" s="169">
        <v>900.0</v>
      </c>
      <c r="DE10" s="173"/>
      <c r="DG10" s="173">
        <v>375.0</v>
      </c>
      <c r="DH10" s="175">
        <v>784.0</v>
      </c>
      <c r="DI10" s="169">
        <v>1015.0</v>
      </c>
      <c r="DJ10" s="173"/>
      <c r="DL10" s="173">
        <v>260.0</v>
      </c>
      <c r="DM10" s="175">
        <v>899.0</v>
      </c>
      <c r="DN10" s="169">
        <v>1130.0</v>
      </c>
      <c r="DO10" s="173"/>
      <c r="DQ10" s="173">
        <v>145.0</v>
      </c>
      <c r="DR10" s="175">
        <v>1014.0</v>
      </c>
      <c r="DS10" s="169">
        <v>1245.0</v>
      </c>
      <c r="DT10" s="173"/>
      <c r="DV10" s="173">
        <v>30.0</v>
      </c>
      <c r="DW10" s="174" t="s">
        <v>266</v>
      </c>
      <c r="DX10" s="175">
        <v>1129.0</v>
      </c>
      <c r="DY10" s="169">
        <v>1360.0</v>
      </c>
      <c r="DZ10" s="173"/>
    </row>
    <row r="11" ht="15.75" customHeight="1">
      <c r="A11" s="154"/>
      <c r="B11" s="163">
        <f t="shared" si="1"/>
        <v>2831</v>
      </c>
      <c r="C11" s="163">
        <v>7.0</v>
      </c>
      <c r="D11" s="164"/>
      <c r="E11" s="166"/>
      <c r="F11" s="154">
        <v>2550.0</v>
      </c>
      <c r="G11" s="154"/>
      <c r="H11" s="164"/>
      <c r="I11" s="166"/>
      <c r="J11" s="154">
        <v>2780.0</v>
      </c>
      <c r="K11" s="154">
        <v>58.0</v>
      </c>
      <c r="L11" s="164"/>
      <c r="M11" s="166"/>
      <c r="N11" s="154">
        <v>2665.0</v>
      </c>
      <c r="O11" s="154">
        <v>173.0</v>
      </c>
      <c r="P11" s="164"/>
      <c r="Q11" s="166"/>
      <c r="R11" s="154">
        <v>2550.0</v>
      </c>
      <c r="S11" s="154">
        <v>288.0</v>
      </c>
      <c r="T11" s="164"/>
      <c r="U11" s="166"/>
      <c r="V11" s="154">
        <v>2435.0</v>
      </c>
      <c r="W11" s="154">
        <v>403.0</v>
      </c>
      <c r="X11" s="164"/>
      <c r="Y11" s="166"/>
      <c r="Z11" s="154">
        <v>2320.0</v>
      </c>
      <c r="AA11" s="154">
        <v>518.0</v>
      </c>
      <c r="AB11" s="165"/>
      <c r="AC11" s="166"/>
      <c r="AD11" s="154">
        <v>2205.0</v>
      </c>
      <c r="AE11" s="154">
        <v>633.0</v>
      </c>
      <c r="AF11" s="165"/>
      <c r="AG11" s="166"/>
      <c r="AH11" s="154">
        <v>2090.0</v>
      </c>
      <c r="AI11" s="154">
        <v>748.0</v>
      </c>
      <c r="AJ11" s="165"/>
      <c r="AK11" s="166"/>
      <c r="AL11" s="165">
        <v>1975.0</v>
      </c>
      <c r="AM11" s="154">
        <v>863.0</v>
      </c>
      <c r="AN11" s="165"/>
      <c r="AO11" s="166"/>
      <c r="AP11" s="165">
        <v>1860.0</v>
      </c>
      <c r="AQ11" s="154">
        <v>978.0</v>
      </c>
      <c r="AR11" s="167" t="s">
        <v>266</v>
      </c>
      <c r="AS11" s="167" t="s">
        <v>266</v>
      </c>
      <c r="AT11" s="165"/>
      <c r="AU11" s="166"/>
      <c r="AV11" s="165">
        <v>1745.0</v>
      </c>
      <c r="AW11" s="154">
        <v>1093.0</v>
      </c>
      <c r="AX11" s="165">
        <v>70.0</v>
      </c>
      <c r="AY11" s="165">
        <v>60.0</v>
      </c>
      <c r="AZ11" s="165"/>
      <c r="BB11" s="165">
        <v>1635.0</v>
      </c>
      <c r="BC11" s="169">
        <v>180.0</v>
      </c>
      <c r="BD11" s="169">
        <v>30.0</v>
      </c>
      <c r="BE11" s="165"/>
      <c r="BG11" s="165">
        <v>1520.0</v>
      </c>
      <c r="BH11" s="169">
        <v>295.0</v>
      </c>
      <c r="BI11" s="169">
        <v>145.0</v>
      </c>
      <c r="BJ11" s="165"/>
      <c r="BL11" s="165">
        <v>1405.0</v>
      </c>
      <c r="BM11" s="169">
        <v>410.0</v>
      </c>
      <c r="BN11" s="169">
        <v>260.0</v>
      </c>
      <c r="BO11" s="169"/>
      <c r="BP11" s="165"/>
      <c r="BQ11" s="176"/>
      <c r="BR11" s="165">
        <v>1290.0</v>
      </c>
      <c r="BS11" s="169">
        <v>525.0</v>
      </c>
      <c r="BT11" s="169">
        <v>105.0</v>
      </c>
      <c r="BU11" s="165"/>
      <c r="BV11" s="176"/>
      <c r="BW11" s="165">
        <v>1175.0</v>
      </c>
      <c r="BX11" s="169">
        <v>640.0</v>
      </c>
      <c r="BY11" s="169" t="s">
        <v>266</v>
      </c>
      <c r="BZ11" s="169">
        <v>220.0</v>
      </c>
      <c r="CA11" s="165"/>
      <c r="CC11" s="165">
        <v>1060.0</v>
      </c>
      <c r="CD11" s="169">
        <v>99.0</v>
      </c>
      <c r="CE11" s="169">
        <v>335.0</v>
      </c>
      <c r="CF11" s="165"/>
      <c r="CG11" s="170"/>
      <c r="CH11" s="165">
        <v>945.0</v>
      </c>
      <c r="CI11" s="169">
        <v>214.0</v>
      </c>
      <c r="CJ11" s="169">
        <v>450.0</v>
      </c>
      <c r="CK11" s="165"/>
      <c r="CL11" s="170"/>
      <c r="CM11" s="165">
        <v>830.0</v>
      </c>
      <c r="CN11" s="169">
        <v>329.0</v>
      </c>
      <c r="CO11" s="169">
        <v>565.0</v>
      </c>
      <c r="CP11" s="165"/>
      <c r="CQ11" s="170"/>
      <c r="CR11" s="165">
        <v>715.0</v>
      </c>
      <c r="CS11" s="169">
        <v>444.0</v>
      </c>
      <c r="CT11" s="169">
        <v>680.0</v>
      </c>
      <c r="CU11" s="165"/>
      <c r="CV11" s="170"/>
      <c r="CW11" s="165">
        <v>600.0</v>
      </c>
      <c r="CX11" s="169">
        <v>559.0</v>
      </c>
      <c r="CY11" s="169">
        <v>790.0</v>
      </c>
      <c r="CZ11" s="165"/>
      <c r="DB11" s="165">
        <v>485.0</v>
      </c>
      <c r="DC11" s="169">
        <v>674.0</v>
      </c>
      <c r="DD11" s="169">
        <v>905.0</v>
      </c>
      <c r="DE11" s="165"/>
      <c r="DG11" s="165">
        <v>370.0</v>
      </c>
      <c r="DH11" s="169">
        <v>789.0</v>
      </c>
      <c r="DI11" s="169">
        <v>1020.0</v>
      </c>
      <c r="DJ11" s="165"/>
      <c r="DL11" s="165">
        <v>255.0</v>
      </c>
      <c r="DM11" s="169">
        <v>904.0</v>
      </c>
      <c r="DN11" s="169">
        <v>1135.0</v>
      </c>
      <c r="DO11" s="165"/>
      <c r="DQ11" s="165">
        <v>140.0</v>
      </c>
      <c r="DR11" s="169">
        <v>1019.0</v>
      </c>
      <c r="DS11" s="169">
        <v>1250.0</v>
      </c>
      <c r="DT11" s="165"/>
      <c r="DV11" s="165">
        <v>25.0</v>
      </c>
      <c r="DW11" s="167" t="s">
        <v>266</v>
      </c>
      <c r="DX11" s="169">
        <v>1134.0</v>
      </c>
      <c r="DY11" s="169">
        <v>1365.0</v>
      </c>
      <c r="DZ11" s="165"/>
    </row>
    <row r="12" ht="15.75" customHeight="1">
      <c r="A12" s="171"/>
      <c r="B12" s="163">
        <f t="shared" si="1"/>
        <v>2830</v>
      </c>
      <c r="C12" s="163">
        <v>8.0</v>
      </c>
      <c r="D12" s="172"/>
      <c r="E12" s="166"/>
      <c r="F12" s="171">
        <v>2545.0</v>
      </c>
      <c r="G12" s="171"/>
      <c r="H12" s="172"/>
      <c r="I12" s="166"/>
      <c r="J12" s="171">
        <v>2775.0</v>
      </c>
      <c r="K12" s="171">
        <v>63.0</v>
      </c>
      <c r="L12" s="172"/>
      <c r="M12" s="166"/>
      <c r="N12" s="171">
        <v>2660.0</v>
      </c>
      <c r="O12" s="171">
        <v>178.0</v>
      </c>
      <c r="P12" s="172"/>
      <c r="Q12" s="166"/>
      <c r="R12" s="171">
        <v>2545.0</v>
      </c>
      <c r="S12" s="171">
        <v>293.0</v>
      </c>
      <c r="T12" s="172"/>
      <c r="U12" s="166"/>
      <c r="V12" s="171">
        <v>2430.0</v>
      </c>
      <c r="W12" s="171">
        <v>408.0</v>
      </c>
      <c r="X12" s="172"/>
      <c r="Y12" s="166"/>
      <c r="Z12" s="171">
        <v>2315.0</v>
      </c>
      <c r="AA12" s="171">
        <v>523.0</v>
      </c>
      <c r="AB12" s="173"/>
      <c r="AC12" s="166"/>
      <c r="AD12" s="171">
        <v>2200.0</v>
      </c>
      <c r="AE12" s="171">
        <v>638.0</v>
      </c>
      <c r="AF12" s="173"/>
      <c r="AG12" s="166"/>
      <c r="AH12" s="171">
        <v>2085.0</v>
      </c>
      <c r="AI12" s="171">
        <v>753.0</v>
      </c>
      <c r="AJ12" s="173"/>
      <c r="AK12" s="166"/>
      <c r="AL12" s="173">
        <v>1970.0</v>
      </c>
      <c r="AM12" s="171">
        <v>868.0</v>
      </c>
      <c r="AN12" s="173"/>
      <c r="AO12" s="166"/>
      <c r="AP12" s="173">
        <v>1855.0</v>
      </c>
      <c r="AQ12" s="171">
        <v>983.0</v>
      </c>
      <c r="AR12" s="174" t="s">
        <v>266</v>
      </c>
      <c r="AS12" s="174" t="s">
        <v>266</v>
      </c>
      <c r="AT12" s="173"/>
      <c r="AU12" s="166"/>
      <c r="AV12" s="173">
        <v>1740.0</v>
      </c>
      <c r="AW12" s="154">
        <v>1098.0</v>
      </c>
      <c r="AX12" s="173">
        <v>75.0</v>
      </c>
      <c r="AY12" s="173">
        <v>65.0</v>
      </c>
      <c r="AZ12" s="173"/>
      <c r="BB12" s="173">
        <v>1630.0</v>
      </c>
      <c r="BC12" s="175">
        <v>185.0</v>
      </c>
      <c r="BD12" s="175">
        <v>35.0</v>
      </c>
      <c r="BE12" s="173"/>
      <c r="BG12" s="173">
        <v>1515.0</v>
      </c>
      <c r="BH12" s="175">
        <v>300.0</v>
      </c>
      <c r="BI12" s="175">
        <v>150.0</v>
      </c>
      <c r="BJ12" s="173"/>
      <c r="BL12" s="173">
        <v>1400.0</v>
      </c>
      <c r="BM12" s="175">
        <v>415.0</v>
      </c>
      <c r="BN12" s="175">
        <v>265.0</v>
      </c>
      <c r="BO12" s="175"/>
      <c r="BP12" s="173"/>
      <c r="BQ12" s="156"/>
      <c r="BR12" s="173">
        <v>1285.0</v>
      </c>
      <c r="BS12" s="175">
        <v>530.0</v>
      </c>
      <c r="BT12" s="175">
        <v>110.0</v>
      </c>
      <c r="BU12" s="173"/>
      <c r="BV12" s="176"/>
      <c r="BW12" s="173">
        <v>1170.0</v>
      </c>
      <c r="BX12" s="175">
        <v>645.0</v>
      </c>
      <c r="BY12" s="175" t="s">
        <v>266</v>
      </c>
      <c r="BZ12" s="175">
        <v>225.0</v>
      </c>
      <c r="CA12" s="173"/>
      <c r="CC12" s="173">
        <v>1055.0</v>
      </c>
      <c r="CD12" s="175">
        <v>104.0</v>
      </c>
      <c r="CE12" s="175">
        <v>340.0</v>
      </c>
      <c r="CF12" s="173"/>
      <c r="CG12" s="170"/>
      <c r="CH12" s="173">
        <v>940.0</v>
      </c>
      <c r="CI12" s="175">
        <v>219.0</v>
      </c>
      <c r="CJ12" s="175">
        <v>455.0</v>
      </c>
      <c r="CK12" s="173"/>
      <c r="CL12" s="170"/>
      <c r="CM12" s="173">
        <v>825.0</v>
      </c>
      <c r="CN12" s="175">
        <v>334.0</v>
      </c>
      <c r="CO12" s="175">
        <v>570.0</v>
      </c>
      <c r="CP12" s="173"/>
      <c r="CQ12" s="170"/>
      <c r="CR12" s="173">
        <v>710.0</v>
      </c>
      <c r="CS12" s="175">
        <v>449.0</v>
      </c>
      <c r="CT12" s="175">
        <v>685.0</v>
      </c>
      <c r="CU12" s="173"/>
      <c r="CV12" s="170"/>
      <c r="CW12" s="173">
        <v>595.0</v>
      </c>
      <c r="CX12" s="175">
        <v>564.0</v>
      </c>
      <c r="CY12" s="175">
        <v>795.0</v>
      </c>
      <c r="CZ12" s="173"/>
      <c r="DB12" s="173">
        <v>480.0</v>
      </c>
      <c r="DC12" s="175">
        <v>679.0</v>
      </c>
      <c r="DD12" s="175">
        <v>910.0</v>
      </c>
      <c r="DE12" s="173"/>
      <c r="DG12" s="173">
        <v>365.0</v>
      </c>
      <c r="DH12" s="175">
        <v>794.0</v>
      </c>
      <c r="DI12" s="175">
        <v>1025.0</v>
      </c>
      <c r="DJ12" s="173"/>
      <c r="DL12" s="173">
        <v>250.0</v>
      </c>
      <c r="DM12" s="175">
        <v>909.0</v>
      </c>
      <c r="DN12" s="175">
        <v>1140.0</v>
      </c>
      <c r="DO12" s="173"/>
      <c r="DQ12" s="173">
        <v>135.0</v>
      </c>
      <c r="DR12" s="175">
        <v>1024.0</v>
      </c>
      <c r="DS12" s="175">
        <v>1255.0</v>
      </c>
      <c r="DT12" s="173"/>
      <c r="DV12" s="173">
        <v>20.0</v>
      </c>
      <c r="DW12" s="174" t="s">
        <v>266</v>
      </c>
      <c r="DX12" s="175">
        <v>1139.0</v>
      </c>
      <c r="DY12" s="175">
        <v>1370.0</v>
      </c>
      <c r="DZ12" s="173"/>
    </row>
    <row r="13" ht="15.75" customHeight="1">
      <c r="A13" s="154"/>
      <c r="B13" s="163">
        <f t="shared" si="1"/>
        <v>2829</v>
      </c>
      <c r="C13" s="163">
        <v>9.0</v>
      </c>
      <c r="D13" s="164"/>
      <c r="E13" s="166"/>
      <c r="F13" s="154">
        <v>2540.0</v>
      </c>
      <c r="G13" s="154"/>
      <c r="H13" s="164"/>
      <c r="I13" s="166"/>
      <c r="J13" s="154">
        <v>2770.0</v>
      </c>
      <c r="K13" s="154">
        <v>68.0</v>
      </c>
      <c r="L13" s="164"/>
      <c r="M13" s="166"/>
      <c r="N13" s="154">
        <v>2655.0</v>
      </c>
      <c r="O13" s="154">
        <v>183.0</v>
      </c>
      <c r="P13" s="164"/>
      <c r="Q13" s="166"/>
      <c r="R13" s="154">
        <v>2540.0</v>
      </c>
      <c r="S13" s="154">
        <v>298.0</v>
      </c>
      <c r="T13" s="164"/>
      <c r="U13" s="166"/>
      <c r="V13" s="154">
        <v>2425.0</v>
      </c>
      <c r="W13" s="154">
        <v>413.0</v>
      </c>
      <c r="X13" s="164"/>
      <c r="Y13" s="166"/>
      <c r="Z13" s="154">
        <v>2310.0</v>
      </c>
      <c r="AA13" s="154">
        <v>528.0</v>
      </c>
      <c r="AB13" s="165"/>
      <c r="AC13" s="166"/>
      <c r="AD13" s="154">
        <v>2195.0</v>
      </c>
      <c r="AE13" s="154">
        <v>643.0</v>
      </c>
      <c r="AF13" s="165"/>
      <c r="AG13" s="166"/>
      <c r="AH13" s="154">
        <v>2080.0</v>
      </c>
      <c r="AI13" s="154">
        <v>758.0</v>
      </c>
      <c r="AJ13" s="165"/>
      <c r="AK13" s="166"/>
      <c r="AL13" s="165">
        <v>1965.0</v>
      </c>
      <c r="AM13" s="154">
        <v>873.0</v>
      </c>
      <c r="AN13" s="165"/>
      <c r="AO13" s="166"/>
      <c r="AP13" s="165">
        <v>1850.0</v>
      </c>
      <c r="AQ13" s="154">
        <v>988.0</v>
      </c>
      <c r="AR13" s="167" t="s">
        <v>266</v>
      </c>
      <c r="AS13" s="167" t="s">
        <v>266</v>
      </c>
      <c r="AT13" s="165"/>
      <c r="AU13" s="166"/>
      <c r="AV13" s="165">
        <v>1735.0</v>
      </c>
      <c r="AW13" s="154">
        <v>1103.0</v>
      </c>
      <c r="AX13" s="165">
        <v>80.0</v>
      </c>
      <c r="AY13" s="165">
        <v>70.0</v>
      </c>
      <c r="AZ13" s="165"/>
      <c r="BB13" s="165">
        <v>1625.0</v>
      </c>
      <c r="BC13" s="169">
        <v>190.0</v>
      </c>
      <c r="BD13" s="169">
        <v>40.0</v>
      </c>
      <c r="BE13" s="165"/>
      <c r="BG13" s="165">
        <v>1510.0</v>
      </c>
      <c r="BH13" s="169">
        <v>305.0</v>
      </c>
      <c r="BI13" s="169">
        <v>155.0</v>
      </c>
      <c r="BJ13" s="165"/>
      <c r="BL13" s="165">
        <v>1395.0</v>
      </c>
      <c r="BM13" s="169">
        <v>420.0</v>
      </c>
      <c r="BN13" s="169">
        <v>270.0</v>
      </c>
      <c r="BO13" s="169">
        <v>0.0</v>
      </c>
      <c r="BP13" s="165"/>
      <c r="BQ13" s="156"/>
      <c r="BR13" s="165">
        <v>1280.0</v>
      </c>
      <c r="BS13" s="169">
        <v>535.0</v>
      </c>
      <c r="BT13" s="169">
        <v>115.0</v>
      </c>
      <c r="BU13" s="165"/>
      <c r="BV13" s="156"/>
      <c r="BW13" s="165">
        <v>1165.0</v>
      </c>
      <c r="BX13" s="169">
        <v>650.0</v>
      </c>
      <c r="BY13" s="169" t="s">
        <v>266</v>
      </c>
      <c r="BZ13" s="169">
        <v>230.0</v>
      </c>
      <c r="CA13" s="165"/>
      <c r="CC13" s="165">
        <v>1050.0</v>
      </c>
      <c r="CD13" s="169">
        <v>109.0</v>
      </c>
      <c r="CE13" s="169">
        <v>345.0</v>
      </c>
      <c r="CF13" s="165"/>
      <c r="CG13" s="170"/>
      <c r="CH13" s="165">
        <v>935.0</v>
      </c>
      <c r="CI13" s="169">
        <v>224.0</v>
      </c>
      <c r="CJ13" s="169">
        <v>460.0</v>
      </c>
      <c r="CK13" s="165"/>
      <c r="CL13" s="170"/>
      <c r="CM13" s="165">
        <v>820.0</v>
      </c>
      <c r="CN13" s="169">
        <v>339.0</v>
      </c>
      <c r="CO13" s="169">
        <v>575.0</v>
      </c>
      <c r="CP13" s="165"/>
      <c r="CQ13" s="170"/>
      <c r="CR13" s="165">
        <v>705.0</v>
      </c>
      <c r="CS13" s="169">
        <v>454.0</v>
      </c>
      <c r="CT13" s="169">
        <v>690.0</v>
      </c>
      <c r="CU13" s="165"/>
      <c r="CV13" s="170"/>
      <c r="CW13" s="165">
        <v>590.0</v>
      </c>
      <c r="CX13" s="169">
        <v>569.0</v>
      </c>
      <c r="CY13" s="169">
        <v>800.0</v>
      </c>
      <c r="CZ13" s="165"/>
      <c r="DB13" s="165">
        <v>475.0</v>
      </c>
      <c r="DC13" s="169">
        <v>684.0</v>
      </c>
      <c r="DD13" s="169">
        <v>915.0</v>
      </c>
      <c r="DE13" s="165"/>
      <c r="DG13" s="165">
        <v>360.0</v>
      </c>
      <c r="DH13" s="169">
        <v>799.0</v>
      </c>
      <c r="DI13" s="169">
        <v>1030.0</v>
      </c>
      <c r="DJ13" s="165"/>
      <c r="DL13" s="165">
        <v>245.0</v>
      </c>
      <c r="DM13" s="169">
        <v>914.0</v>
      </c>
      <c r="DN13" s="169">
        <v>1145.0</v>
      </c>
      <c r="DO13" s="165"/>
      <c r="DQ13" s="165">
        <v>130.0</v>
      </c>
      <c r="DR13" s="169">
        <v>1029.0</v>
      </c>
      <c r="DS13" s="169">
        <v>1260.0</v>
      </c>
      <c r="DT13" s="165"/>
      <c r="DV13" s="165">
        <v>15.0</v>
      </c>
      <c r="DW13" s="167" t="s">
        <v>266</v>
      </c>
      <c r="DX13" s="169">
        <v>1144.0</v>
      </c>
      <c r="DY13" s="169">
        <v>1375.0</v>
      </c>
      <c r="DZ13" s="165"/>
    </row>
    <row r="14" ht="15.75" customHeight="1">
      <c r="A14" s="171"/>
      <c r="B14" s="163">
        <f t="shared" si="1"/>
        <v>2828</v>
      </c>
      <c r="C14" s="163">
        <v>10.0</v>
      </c>
      <c r="D14" s="172"/>
      <c r="E14" s="166"/>
      <c r="F14" s="171">
        <v>2535.0</v>
      </c>
      <c r="G14" s="171"/>
      <c r="H14" s="172"/>
      <c r="I14" s="166"/>
      <c r="J14" s="171">
        <v>2765.0</v>
      </c>
      <c r="K14" s="171">
        <v>73.0</v>
      </c>
      <c r="L14" s="172"/>
      <c r="M14" s="166"/>
      <c r="N14" s="171">
        <v>2650.0</v>
      </c>
      <c r="O14" s="171">
        <v>188.0</v>
      </c>
      <c r="P14" s="172"/>
      <c r="Q14" s="166"/>
      <c r="R14" s="171">
        <v>2535.0</v>
      </c>
      <c r="S14" s="171">
        <v>303.0</v>
      </c>
      <c r="T14" s="172"/>
      <c r="U14" s="166"/>
      <c r="V14" s="171">
        <v>2420.0</v>
      </c>
      <c r="W14" s="171">
        <v>418.0</v>
      </c>
      <c r="X14" s="172"/>
      <c r="Y14" s="166"/>
      <c r="Z14" s="171">
        <v>2305.0</v>
      </c>
      <c r="AA14" s="171">
        <v>533.0</v>
      </c>
      <c r="AB14" s="173"/>
      <c r="AC14" s="166"/>
      <c r="AD14" s="171">
        <v>2190.0</v>
      </c>
      <c r="AE14" s="171">
        <v>648.0</v>
      </c>
      <c r="AF14" s="173"/>
      <c r="AG14" s="166"/>
      <c r="AH14" s="171">
        <v>2075.0</v>
      </c>
      <c r="AI14" s="171">
        <v>763.0</v>
      </c>
      <c r="AJ14" s="173"/>
      <c r="AK14" s="166"/>
      <c r="AL14" s="173">
        <v>1960.0</v>
      </c>
      <c r="AM14" s="171">
        <v>878.0</v>
      </c>
      <c r="AN14" s="173"/>
      <c r="AO14" s="166"/>
      <c r="AP14" s="173">
        <v>1845.0</v>
      </c>
      <c r="AQ14" s="171">
        <v>993.0</v>
      </c>
      <c r="AR14" s="174" t="s">
        <v>266</v>
      </c>
      <c r="AS14" s="174" t="s">
        <v>266</v>
      </c>
      <c r="AT14" s="173"/>
      <c r="AU14" s="166"/>
      <c r="AV14" s="173">
        <v>1730.0</v>
      </c>
      <c r="AW14" s="174" t="s">
        <v>266</v>
      </c>
      <c r="AX14" s="173">
        <v>85.0</v>
      </c>
      <c r="AY14" s="173">
        <v>75.0</v>
      </c>
      <c r="AZ14" s="173"/>
      <c r="BB14" s="173">
        <v>1620.0</v>
      </c>
      <c r="BC14" s="175">
        <v>195.0</v>
      </c>
      <c r="BD14" s="175">
        <v>45.0</v>
      </c>
      <c r="BE14" s="173"/>
      <c r="BG14" s="173">
        <v>1505.0</v>
      </c>
      <c r="BH14" s="175">
        <v>310.0</v>
      </c>
      <c r="BI14" s="175">
        <v>160.0</v>
      </c>
      <c r="BJ14" s="173"/>
      <c r="BL14" s="173">
        <v>1390.0</v>
      </c>
      <c r="BM14" s="175">
        <v>425.0</v>
      </c>
      <c r="BN14" s="175">
        <v>275.0</v>
      </c>
      <c r="BO14" s="175">
        <v>5.0</v>
      </c>
      <c r="BP14" s="173"/>
      <c r="BQ14" s="176"/>
      <c r="BR14" s="173">
        <v>1275.0</v>
      </c>
      <c r="BS14" s="175">
        <v>540.0</v>
      </c>
      <c r="BT14" s="169">
        <v>120.0</v>
      </c>
      <c r="BU14" s="173"/>
      <c r="BV14" s="156"/>
      <c r="BW14" s="173">
        <v>1160.0</v>
      </c>
      <c r="BX14" s="175" t="s">
        <v>266</v>
      </c>
      <c r="BY14" s="175">
        <v>0.0</v>
      </c>
      <c r="BZ14" s="169">
        <v>235.0</v>
      </c>
      <c r="CA14" s="173"/>
      <c r="CC14" s="173">
        <v>1045.0</v>
      </c>
      <c r="CD14" s="175">
        <v>114.0</v>
      </c>
      <c r="CE14" s="169">
        <v>350.0</v>
      </c>
      <c r="CF14" s="173"/>
      <c r="CG14" s="170"/>
      <c r="CH14" s="173">
        <v>930.0</v>
      </c>
      <c r="CI14" s="175">
        <v>229.0</v>
      </c>
      <c r="CJ14" s="169">
        <v>465.0</v>
      </c>
      <c r="CK14" s="173"/>
      <c r="CL14" s="170"/>
      <c r="CM14" s="173">
        <v>815.0</v>
      </c>
      <c r="CN14" s="175">
        <v>344.0</v>
      </c>
      <c r="CO14" s="169">
        <v>580.0</v>
      </c>
      <c r="CP14" s="173"/>
      <c r="CQ14" s="170"/>
      <c r="CR14" s="173">
        <v>700.0</v>
      </c>
      <c r="CS14" s="175">
        <v>459.0</v>
      </c>
      <c r="CT14" s="169">
        <v>695.0</v>
      </c>
      <c r="CU14" s="173"/>
      <c r="CV14" s="170"/>
      <c r="CW14" s="173">
        <v>585.0</v>
      </c>
      <c r="CX14" s="175">
        <v>574.0</v>
      </c>
      <c r="CY14" s="169">
        <v>805.0</v>
      </c>
      <c r="CZ14" s="173"/>
      <c r="DB14" s="173">
        <v>470.0</v>
      </c>
      <c r="DC14" s="175">
        <v>689.0</v>
      </c>
      <c r="DD14" s="169">
        <v>920.0</v>
      </c>
      <c r="DE14" s="173"/>
      <c r="DG14" s="173">
        <v>355.0</v>
      </c>
      <c r="DH14" s="175">
        <v>804.0</v>
      </c>
      <c r="DI14" s="169">
        <v>1035.0</v>
      </c>
      <c r="DJ14" s="173"/>
      <c r="DL14" s="173">
        <v>240.0</v>
      </c>
      <c r="DM14" s="175">
        <v>919.0</v>
      </c>
      <c r="DN14" s="169">
        <v>1150.0</v>
      </c>
      <c r="DO14" s="173"/>
      <c r="DQ14" s="173">
        <v>125.0</v>
      </c>
      <c r="DR14" s="175">
        <v>1034.0</v>
      </c>
      <c r="DS14" s="169">
        <v>1265.0</v>
      </c>
      <c r="DT14" s="173"/>
      <c r="DV14" s="173">
        <v>10.0</v>
      </c>
      <c r="DW14" s="174" t="s">
        <v>266</v>
      </c>
      <c r="DX14" s="175">
        <v>1149.0</v>
      </c>
      <c r="DY14" s="169">
        <v>1380.0</v>
      </c>
      <c r="DZ14" s="173"/>
    </row>
    <row r="15" ht="15.75" customHeight="1">
      <c r="A15" s="154"/>
      <c r="B15" s="163">
        <f t="shared" si="1"/>
        <v>2827</v>
      </c>
      <c r="C15" s="163">
        <v>11.0</v>
      </c>
      <c r="D15" s="164"/>
      <c r="E15" s="166"/>
      <c r="F15" s="154">
        <v>2875.0</v>
      </c>
      <c r="G15" s="154"/>
      <c r="H15" s="164"/>
      <c r="I15" s="166"/>
      <c r="J15" s="154">
        <v>2760.0</v>
      </c>
      <c r="K15" s="154">
        <v>78.0</v>
      </c>
      <c r="L15" s="164"/>
      <c r="M15" s="166"/>
      <c r="N15" s="154">
        <v>2645.0</v>
      </c>
      <c r="O15" s="154">
        <v>193.0</v>
      </c>
      <c r="P15" s="164"/>
      <c r="Q15" s="166"/>
      <c r="R15" s="154">
        <v>2530.0</v>
      </c>
      <c r="S15" s="154">
        <v>308.0</v>
      </c>
      <c r="T15" s="164"/>
      <c r="U15" s="166"/>
      <c r="V15" s="154">
        <v>2415.0</v>
      </c>
      <c r="W15" s="154">
        <v>423.0</v>
      </c>
      <c r="X15" s="164"/>
      <c r="Y15" s="166"/>
      <c r="Z15" s="154">
        <v>2300.0</v>
      </c>
      <c r="AA15" s="154">
        <v>538.0</v>
      </c>
      <c r="AB15" s="165"/>
      <c r="AC15" s="166"/>
      <c r="AD15" s="154">
        <v>2185.0</v>
      </c>
      <c r="AE15" s="154">
        <v>653.0</v>
      </c>
      <c r="AF15" s="165"/>
      <c r="AG15" s="166"/>
      <c r="AH15" s="154">
        <v>2070.0</v>
      </c>
      <c r="AI15" s="154">
        <v>768.0</v>
      </c>
      <c r="AJ15" s="165"/>
      <c r="AK15" s="166"/>
      <c r="AL15" s="165">
        <v>1955.0</v>
      </c>
      <c r="AM15" s="154">
        <v>883.0</v>
      </c>
      <c r="AN15" s="165"/>
      <c r="AO15" s="166"/>
      <c r="AP15" s="165">
        <v>1840.0</v>
      </c>
      <c r="AQ15" s="154">
        <v>998.0</v>
      </c>
      <c r="AR15" s="167" t="s">
        <v>266</v>
      </c>
      <c r="AS15" s="167" t="s">
        <v>266</v>
      </c>
      <c r="AT15" s="165"/>
      <c r="AU15" s="166"/>
      <c r="AV15" s="165">
        <v>1725.0</v>
      </c>
      <c r="AW15" s="167" t="s">
        <v>266</v>
      </c>
      <c r="AX15" s="165">
        <v>90.0</v>
      </c>
      <c r="AY15" s="165">
        <v>80.0</v>
      </c>
      <c r="AZ15" s="165"/>
      <c r="BB15" s="165">
        <v>1615.0</v>
      </c>
      <c r="BC15" s="169">
        <v>200.0</v>
      </c>
      <c r="BD15" s="169">
        <v>50.0</v>
      </c>
      <c r="BE15" s="165"/>
      <c r="BG15" s="165">
        <v>1500.0</v>
      </c>
      <c r="BH15" s="169">
        <v>315.0</v>
      </c>
      <c r="BI15" s="169">
        <v>165.0</v>
      </c>
      <c r="BJ15" s="165"/>
      <c r="BL15" s="165">
        <v>1385.0</v>
      </c>
      <c r="BM15" s="169">
        <v>430.0</v>
      </c>
      <c r="BN15" s="169">
        <v>280.0</v>
      </c>
      <c r="BO15" s="169">
        <v>10.0</v>
      </c>
      <c r="BP15" s="165"/>
      <c r="BQ15" s="176"/>
      <c r="BR15" s="165">
        <v>1270.0</v>
      </c>
      <c r="BS15" s="169">
        <v>545.0</v>
      </c>
      <c r="BT15" s="175">
        <v>125.0</v>
      </c>
      <c r="BU15" s="165"/>
      <c r="BV15" s="156"/>
      <c r="BW15" s="165">
        <v>1155.0</v>
      </c>
      <c r="BX15" s="169" t="s">
        <v>266</v>
      </c>
      <c r="BY15" s="169">
        <v>4.0</v>
      </c>
      <c r="BZ15" s="175">
        <v>240.0</v>
      </c>
      <c r="CA15" s="165"/>
      <c r="CC15" s="165">
        <v>1040.0</v>
      </c>
      <c r="CD15" s="169">
        <v>119.0</v>
      </c>
      <c r="CE15" s="175">
        <v>355.0</v>
      </c>
      <c r="CF15" s="165"/>
      <c r="CG15" s="170"/>
      <c r="CH15" s="165">
        <v>925.0</v>
      </c>
      <c r="CI15" s="169">
        <v>234.0</v>
      </c>
      <c r="CJ15" s="175">
        <v>470.0</v>
      </c>
      <c r="CK15" s="165"/>
      <c r="CL15" s="170"/>
      <c r="CM15" s="165">
        <v>810.0</v>
      </c>
      <c r="CN15" s="169">
        <v>349.0</v>
      </c>
      <c r="CO15" s="175">
        <v>585.0</v>
      </c>
      <c r="CP15" s="165"/>
      <c r="CQ15" s="170"/>
      <c r="CR15" s="165">
        <v>695.0</v>
      </c>
      <c r="CS15" s="169">
        <v>464.0</v>
      </c>
      <c r="CT15" s="175">
        <v>700.0</v>
      </c>
      <c r="CU15" s="165"/>
      <c r="CV15" s="170"/>
      <c r="CW15" s="165">
        <v>580.0</v>
      </c>
      <c r="CX15" s="169">
        <v>579.0</v>
      </c>
      <c r="CY15" s="175">
        <v>810.0</v>
      </c>
      <c r="CZ15" s="165"/>
      <c r="DB15" s="165">
        <v>465.0</v>
      </c>
      <c r="DC15" s="169">
        <v>694.0</v>
      </c>
      <c r="DD15" s="175">
        <v>925.0</v>
      </c>
      <c r="DE15" s="165"/>
      <c r="DG15" s="165">
        <v>350.0</v>
      </c>
      <c r="DH15" s="169">
        <v>809.0</v>
      </c>
      <c r="DI15" s="175">
        <v>1040.0</v>
      </c>
      <c r="DJ15" s="165"/>
      <c r="DL15" s="165">
        <v>235.0</v>
      </c>
      <c r="DM15" s="169">
        <v>924.0</v>
      </c>
      <c r="DN15" s="175">
        <v>1155.0</v>
      </c>
      <c r="DO15" s="165"/>
      <c r="DQ15" s="165">
        <v>120.0</v>
      </c>
      <c r="DR15" s="169">
        <v>1039.0</v>
      </c>
      <c r="DS15" s="175">
        <v>1270.0</v>
      </c>
      <c r="DT15" s="165"/>
      <c r="DV15" s="165">
        <v>5.0</v>
      </c>
      <c r="DW15" s="167" t="s">
        <v>266</v>
      </c>
      <c r="DX15" s="169">
        <v>1154.0</v>
      </c>
      <c r="DY15" s="175">
        <v>1385.0</v>
      </c>
      <c r="DZ15" s="165"/>
    </row>
    <row r="16" ht="15.75" customHeight="1">
      <c r="A16" s="171"/>
      <c r="B16" s="163">
        <f t="shared" si="1"/>
        <v>2826</v>
      </c>
      <c r="C16" s="163">
        <v>12.0</v>
      </c>
      <c r="D16" s="172"/>
      <c r="E16" s="166"/>
      <c r="F16" s="154">
        <v>2870.0</v>
      </c>
      <c r="G16" s="154"/>
      <c r="H16" s="172"/>
      <c r="I16" s="166"/>
      <c r="J16" s="171">
        <v>2755.0</v>
      </c>
      <c r="K16" s="171">
        <v>83.0</v>
      </c>
      <c r="L16" s="172"/>
      <c r="M16" s="166"/>
      <c r="N16" s="171">
        <v>2640.0</v>
      </c>
      <c r="O16" s="171">
        <v>198.0</v>
      </c>
      <c r="P16" s="172"/>
      <c r="Q16" s="166"/>
      <c r="R16" s="171">
        <v>2525.0</v>
      </c>
      <c r="S16" s="171">
        <v>313.0</v>
      </c>
      <c r="T16" s="172"/>
      <c r="U16" s="166"/>
      <c r="V16" s="171">
        <v>2410.0</v>
      </c>
      <c r="W16" s="171">
        <v>428.0</v>
      </c>
      <c r="X16" s="172"/>
      <c r="Y16" s="166"/>
      <c r="Z16" s="171">
        <v>2295.0</v>
      </c>
      <c r="AA16" s="171">
        <v>543.0</v>
      </c>
      <c r="AB16" s="173"/>
      <c r="AC16" s="166"/>
      <c r="AD16" s="171">
        <v>2180.0</v>
      </c>
      <c r="AE16" s="171">
        <v>658.0</v>
      </c>
      <c r="AF16" s="173"/>
      <c r="AG16" s="166"/>
      <c r="AH16" s="171">
        <v>2065.0</v>
      </c>
      <c r="AI16" s="171">
        <v>773.0</v>
      </c>
      <c r="AJ16" s="173"/>
      <c r="AK16" s="166"/>
      <c r="AL16" s="173">
        <v>1950.0</v>
      </c>
      <c r="AM16" s="171">
        <v>888.0</v>
      </c>
      <c r="AN16" s="173"/>
      <c r="AO16" s="166"/>
      <c r="AP16" s="173">
        <v>1835.0</v>
      </c>
      <c r="AQ16" s="171">
        <v>1003.0</v>
      </c>
      <c r="AR16" s="174" t="s">
        <v>266</v>
      </c>
      <c r="AS16" s="174" t="s">
        <v>266</v>
      </c>
      <c r="AT16" s="173"/>
      <c r="AU16" s="166"/>
      <c r="AV16" s="173">
        <v>1720.0</v>
      </c>
      <c r="AW16" s="174" t="s">
        <v>266</v>
      </c>
      <c r="AX16" s="173">
        <v>95.0</v>
      </c>
      <c r="AY16" s="173">
        <v>85.0</v>
      </c>
      <c r="AZ16" s="173"/>
      <c r="BB16" s="173">
        <v>1610.0</v>
      </c>
      <c r="BC16" s="175">
        <v>205.0</v>
      </c>
      <c r="BD16" s="175">
        <v>55.0</v>
      </c>
      <c r="BE16" s="173"/>
      <c r="BG16" s="173">
        <v>1495.0</v>
      </c>
      <c r="BH16" s="175">
        <v>320.0</v>
      </c>
      <c r="BI16" s="175">
        <v>170.0</v>
      </c>
      <c r="BJ16" s="173"/>
      <c r="BL16" s="173">
        <v>1380.0</v>
      </c>
      <c r="BM16" s="175">
        <v>435.0</v>
      </c>
      <c r="BN16" s="175">
        <v>285.0</v>
      </c>
      <c r="BO16" s="169">
        <v>15.0</v>
      </c>
      <c r="BP16" s="173"/>
      <c r="BQ16" s="156"/>
      <c r="BR16" s="173">
        <v>1265.0</v>
      </c>
      <c r="BS16" s="175">
        <v>550.0</v>
      </c>
      <c r="BT16" s="169">
        <v>130.0</v>
      </c>
      <c r="BU16" s="173"/>
      <c r="BV16" s="156"/>
      <c r="BW16" s="173">
        <v>1150.0</v>
      </c>
      <c r="BX16" s="175" t="s">
        <v>266</v>
      </c>
      <c r="BY16" s="175">
        <v>9.0</v>
      </c>
      <c r="BZ16" s="169">
        <v>245.0</v>
      </c>
      <c r="CA16" s="173"/>
      <c r="CC16" s="173">
        <v>1035.0</v>
      </c>
      <c r="CD16" s="175">
        <v>124.0</v>
      </c>
      <c r="CE16" s="169">
        <v>360.0</v>
      </c>
      <c r="CF16" s="173"/>
      <c r="CG16" s="170"/>
      <c r="CH16" s="173">
        <v>920.0</v>
      </c>
      <c r="CI16" s="175">
        <v>239.0</v>
      </c>
      <c r="CJ16" s="169">
        <v>475.0</v>
      </c>
      <c r="CK16" s="173"/>
      <c r="CL16" s="170"/>
      <c r="CM16" s="173">
        <v>805.0</v>
      </c>
      <c r="CN16" s="175">
        <v>354.0</v>
      </c>
      <c r="CO16" s="169">
        <v>590.0</v>
      </c>
      <c r="CP16" s="173"/>
      <c r="CQ16" s="170"/>
      <c r="CR16" s="173">
        <v>690.0</v>
      </c>
      <c r="CS16" s="175">
        <v>469.0</v>
      </c>
      <c r="CT16" s="169">
        <v>705.0</v>
      </c>
      <c r="CU16" s="173"/>
      <c r="CV16" s="170"/>
      <c r="CW16" s="173">
        <v>575.0</v>
      </c>
      <c r="CX16" s="175">
        <v>584.0</v>
      </c>
      <c r="CY16" s="169">
        <v>815.0</v>
      </c>
      <c r="CZ16" s="173"/>
      <c r="DB16" s="173">
        <v>460.0</v>
      </c>
      <c r="DC16" s="175">
        <v>699.0</v>
      </c>
      <c r="DD16" s="169">
        <v>930.0</v>
      </c>
      <c r="DE16" s="173"/>
      <c r="DG16" s="173">
        <v>345.0</v>
      </c>
      <c r="DH16" s="175">
        <v>814.0</v>
      </c>
      <c r="DI16" s="169">
        <v>1045.0</v>
      </c>
      <c r="DJ16" s="173"/>
      <c r="DL16" s="173">
        <v>230.0</v>
      </c>
      <c r="DM16" s="175">
        <v>929.0</v>
      </c>
      <c r="DN16" s="169">
        <v>1160.0</v>
      </c>
      <c r="DO16" s="173"/>
      <c r="DQ16" s="173">
        <v>115.0</v>
      </c>
      <c r="DR16" s="175">
        <v>1044.0</v>
      </c>
      <c r="DS16" s="169">
        <v>1275.0</v>
      </c>
      <c r="DT16" s="173"/>
      <c r="DV16" s="173">
        <v>0.0</v>
      </c>
      <c r="DW16" s="175">
        <v>0.0</v>
      </c>
      <c r="DX16" s="175">
        <v>1159.0</v>
      </c>
      <c r="DY16" s="169">
        <v>1390.0</v>
      </c>
      <c r="DZ16" s="173"/>
    </row>
    <row r="17" ht="15.75" customHeight="1">
      <c r="A17" s="154"/>
      <c r="B17" s="163">
        <f t="shared" si="1"/>
        <v>2825</v>
      </c>
      <c r="C17" s="163">
        <v>13.0</v>
      </c>
      <c r="D17" s="164"/>
      <c r="E17" s="166"/>
      <c r="F17" s="154">
        <v>2865.0</v>
      </c>
      <c r="G17" s="154"/>
      <c r="H17" s="164"/>
      <c r="I17" s="166"/>
      <c r="J17" s="154">
        <v>2750.0</v>
      </c>
      <c r="K17" s="154">
        <v>88.0</v>
      </c>
      <c r="L17" s="164"/>
      <c r="M17" s="166"/>
      <c r="N17" s="154">
        <v>2635.0</v>
      </c>
      <c r="O17" s="154">
        <v>203.0</v>
      </c>
      <c r="P17" s="164"/>
      <c r="Q17" s="166"/>
      <c r="R17" s="154">
        <v>2520.0</v>
      </c>
      <c r="S17" s="154">
        <v>318.0</v>
      </c>
      <c r="T17" s="164"/>
      <c r="U17" s="166"/>
      <c r="V17" s="154">
        <v>2405.0</v>
      </c>
      <c r="W17" s="154">
        <v>433.0</v>
      </c>
      <c r="X17" s="164"/>
      <c r="Y17" s="166"/>
      <c r="Z17" s="154">
        <v>2290.0</v>
      </c>
      <c r="AA17" s="154">
        <v>548.0</v>
      </c>
      <c r="AB17" s="165"/>
      <c r="AC17" s="166"/>
      <c r="AD17" s="154">
        <v>2175.0</v>
      </c>
      <c r="AE17" s="154">
        <v>663.0</v>
      </c>
      <c r="AF17" s="165"/>
      <c r="AG17" s="166"/>
      <c r="AH17" s="154">
        <v>2060.0</v>
      </c>
      <c r="AI17" s="154">
        <v>778.0</v>
      </c>
      <c r="AJ17" s="165"/>
      <c r="AK17" s="166"/>
      <c r="AL17" s="165">
        <v>1945.0</v>
      </c>
      <c r="AM17" s="154">
        <v>893.0</v>
      </c>
      <c r="AN17" s="165"/>
      <c r="AO17" s="166"/>
      <c r="AP17" s="165">
        <v>1830.0</v>
      </c>
      <c r="AQ17" s="154">
        <v>1008.0</v>
      </c>
      <c r="AR17" s="167" t="s">
        <v>266</v>
      </c>
      <c r="AS17" s="167" t="s">
        <v>266</v>
      </c>
      <c r="AT17" s="165"/>
      <c r="AU17" s="155"/>
      <c r="AV17" s="165">
        <v>1715.0</v>
      </c>
      <c r="AW17" s="167" t="s">
        <v>266</v>
      </c>
      <c r="AX17" s="165">
        <v>100.0</v>
      </c>
      <c r="AY17" s="165">
        <v>90.0</v>
      </c>
      <c r="AZ17" s="165"/>
      <c r="BB17" s="165">
        <v>1605.0</v>
      </c>
      <c r="BC17" s="169">
        <v>210.0</v>
      </c>
      <c r="BD17" s="169">
        <v>60.0</v>
      </c>
      <c r="BE17" s="165"/>
      <c r="BG17" s="165">
        <v>1490.0</v>
      </c>
      <c r="BH17" s="169">
        <v>325.0</v>
      </c>
      <c r="BI17" s="169">
        <v>175.0</v>
      </c>
      <c r="BJ17" s="165"/>
      <c r="BL17" s="165">
        <v>1375.0</v>
      </c>
      <c r="BM17" s="169">
        <v>440.0</v>
      </c>
      <c r="BN17" s="169">
        <v>290.0</v>
      </c>
      <c r="BO17" s="175">
        <v>20.0</v>
      </c>
      <c r="BP17" s="165"/>
      <c r="BQ17" s="156"/>
      <c r="BR17" s="165">
        <v>1260.0</v>
      </c>
      <c r="BS17" s="169">
        <v>555.0</v>
      </c>
      <c r="BT17" s="169">
        <v>135.0</v>
      </c>
      <c r="BU17" s="165"/>
      <c r="BV17" s="156"/>
      <c r="BW17" s="165">
        <v>1145.0</v>
      </c>
      <c r="BX17" s="169" t="s">
        <v>266</v>
      </c>
      <c r="BY17" s="169">
        <v>14.0</v>
      </c>
      <c r="BZ17" s="169">
        <v>250.0</v>
      </c>
      <c r="CA17" s="165"/>
      <c r="CC17" s="165">
        <v>1030.0</v>
      </c>
      <c r="CD17" s="169">
        <v>129.0</v>
      </c>
      <c r="CE17" s="169">
        <v>365.0</v>
      </c>
      <c r="CF17" s="165"/>
      <c r="CG17" s="170"/>
      <c r="CH17" s="165">
        <v>915.0</v>
      </c>
      <c r="CI17" s="169">
        <v>244.0</v>
      </c>
      <c r="CJ17" s="169">
        <v>480.0</v>
      </c>
      <c r="CK17" s="165"/>
      <c r="CL17" s="170"/>
      <c r="CM17" s="165">
        <v>800.0</v>
      </c>
      <c r="CN17" s="169">
        <v>359.0</v>
      </c>
      <c r="CO17" s="169">
        <v>595.0</v>
      </c>
      <c r="CP17" s="165"/>
      <c r="CQ17" s="170"/>
      <c r="CR17" s="165">
        <v>685.0</v>
      </c>
      <c r="CS17" s="169">
        <v>474.0</v>
      </c>
      <c r="CT17" s="169">
        <v>710.0</v>
      </c>
      <c r="CU17" s="165"/>
      <c r="CV17" s="170"/>
      <c r="CW17" s="165">
        <v>570.0</v>
      </c>
      <c r="CX17" s="169">
        <v>589.0</v>
      </c>
      <c r="CY17" s="169">
        <v>820.0</v>
      </c>
      <c r="CZ17" s="165"/>
      <c r="DB17" s="165">
        <v>455.0</v>
      </c>
      <c r="DC17" s="169">
        <v>704.0</v>
      </c>
      <c r="DD17" s="169">
        <v>935.0</v>
      </c>
      <c r="DE17" s="165"/>
      <c r="DG17" s="165">
        <v>340.0</v>
      </c>
      <c r="DH17" s="169">
        <v>819.0</v>
      </c>
      <c r="DI17" s="169">
        <v>1050.0</v>
      </c>
      <c r="DJ17" s="165"/>
      <c r="DL17" s="165">
        <v>225.0</v>
      </c>
      <c r="DM17" s="169">
        <v>934.0</v>
      </c>
      <c r="DN17" s="169">
        <v>1165.0</v>
      </c>
      <c r="DO17" s="165"/>
      <c r="DQ17" s="165">
        <v>110.0</v>
      </c>
      <c r="DR17" s="169">
        <v>1049.0</v>
      </c>
      <c r="DS17" s="169">
        <v>1280.0</v>
      </c>
      <c r="DT17" s="165"/>
      <c r="DV17" s="167" t="s">
        <v>266</v>
      </c>
      <c r="DW17" s="169">
        <v>5.0</v>
      </c>
      <c r="DX17" s="169"/>
      <c r="DY17" s="169"/>
      <c r="DZ17" s="165"/>
    </row>
    <row r="18" ht="15.75" customHeight="1">
      <c r="A18" s="171"/>
      <c r="B18" s="163">
        <f t="shared" si="1"/>
        <v>2824</v>
      </c>
      <c r="C18" s="163">
        <v>14.0</v>
      </c>
      <c r="D18" s="172"/>
      <c r="E18" s="166"/>
      <c r="F18" s="154">
        <v>2860.0</v>
      </c>
      <c r="G18" s="154"/>
      <c r="H18" s="172"/>
      <c r="I18" s="166"/>
      <c r="J18" s="171">
        <v>2745.0</v>
      </c>
      <c r="K18" s="171">
        <v>93.0</v>
      </c>
      <c r="L18" s="172"/>
      <c r="M18" s="166"/>
      <c r="N18" s="171">
        <v>2630.0</v>
      </c>
      <c r="O18" s="171">
        <v>208.0</v>
      </c>
      <c r="P18" s="172"/>
      <c r="Q18" s="166"/>
      <c r="R18" s="171">
        <v>2515.0</v>
      </c>
      <c r="S18" s="171">
        <v>323.0</v>
      </c>
      <c r="T18" s="172"/>
      <c r="U18" s="166"/>
      <c r="V18" s="171">
        <v>2400.0</v>
      </c>
      <c r="W18" s="171">
        <v>438.0</v>
      </c>
      <c r="X18" s="172"/>
      <c r="Y18" s="166"/>
      <c r="Z18" s="171">
        <v>2285.0</v>
      </c>
      <c r="AA18" s="171">
        <v>553.0</v>
      </c>
      <c r="AB18" s="173"/>
      <c r="AC18" s="166"/>
      <c r="AD18" s="171">
        <v>2170.0</v>
      </c>
      <c r="AE18" s="171">
        <v>668.0</v>
      </c>
      <c r="AF18" s="173"/>
      <c r="AG18" s="166"/>
      <c r="AH18" s="171">
        <v>2055.0</v>
      </c>
      <c r="AI18" s="171">
        <v>783.0</v>
      </c>
      <c r="AJ18" s="173"/>
      <c r="AK18" s="166"/>
      <c r="AL18" s="173">
        <v>1940.0</v>
      </c>
      <c r="AM18" s="171">
        <v>898.0</v>
      </c>
      <c r="AN18" s="173"/>
      <c r="AO18" s="166"/>
      <c r="AP18" s="173">
        <v>1825.0</v>
      </c>
      <c r="AQ18" s="171">
        <v>1013.0</v>
      </c>
      <c r="AR18" s="174" t="s">
        <v>266</v>
      </c>
      <c r="AS18" s="174" t="s">
        <v>266</v>
      </c>
      <c r="AT18" s="173"/>
      <c r="AU18" s="155"/>
      <c r="AV18" s="173">
        <v>1710.0</v>
      </c>
      <c r="AW18" s="174" t="s">
        <v>266</v>
      </c>
      <c r="AX18" s="173">
        <v>105.0</v>
      </c>
      <c r="AY18" s="173">
        <v>95.0</v>
      </c>
      <c r="AZ18" s="173"/>
      <c r="BB18" s="173">
        <v>1600.0</v>
      </c>
      <c r="BC18" s="175">
        <v>215.0</v>
      </c>
      <c r="BD18" s="175">
        <v>65.0</v>
      </c>
      <c r="BE18" s="173"/>
      <c r="BG18" s="173">
        <v>1485.0</v>
      </c>
      <c r="BH18" s="175">
        <v>330.0</v>
      </c>
      <c r="BI18" s="175">
        <v>180.0</v>
      </c>
      <c r="BJ18" s="173"/>
      <c r="BL18" s="173">
        <v>1370.0</v>
      </c>
      <c r="BM18" s="175">
        <v>445.0</v>
      </c>
      <c r="BN18" s="175">
        <v>295.0</v>
      </c>
      <c r="BO18" s="169">
        <v>25.0</v>
      </c>
      <c r="BP18" s="173"/>
      <c r="BQ18" s="176"/>
      <c r="BR18" s="173">
        <v>1255.0</v>
      </c>
      <c r="BS18" s="175">
        <v>560.0</v>
      </c>
      <c r="BT18" s="175">
        <v>140.0</v>
      </c>
      <c r="BU18" s="173"/>
      <c r="BV18" s="156"/>
      <c r="BW18" s="173">
        <v>1140.0</v>
      </c>
      <c r="BX18" s="175" t="s">
        <v>266</v>
      </c>
      <c r="BY18" s="175">
        <v>19.0</v>
      </c>
      <c r="BZ18" s="175">
        <v>255.0</v>
      </c>
      <c r="CA18" s="173"/>
      <c r="CC18" s="173">
        <v>1025.0</v>
      </c>
      <c r="CD18" s="175">
        <v>134.0</v>
      </c>
      <c r="CE18" s="175">
        <v>370.0</v>
      </c>
      <c r="CF18" s="173"/>
      <c r="CG18" s="170"/>
      <c r="CH18" s="173">
        <v>910.0</v>
      </c>
      <c r="CI18" s="175">
        <v>249.0</v>
      </c>
      <c r="CJ18" s="175">
        <v>485.0</v>
      </c>
      <c r="CK18" s="173"/>
      <c r="CL18" s="170"/>
      <c r="CM18" s="173">
        <v>795.0</v>
      </c>
      <c r="CN18" s="175">
        <v>364.0</v>
      </c>
      <c r="CO18" s="175">
        <v>600.0</v>
      </c>
      <c r="CP18" s="173"/>
      <c r="CQ18" s="170"/>
      <c r="CR18" s="173">
        <v>680.0</v>
      </c>
      <c r="CS18" s="175">
        <v>479.0</v>
      </c>
      <c r="CT18" s="175">
        <v>715.0</v>
      </c>
      <c r="CU18" s="173"/>
      <c r="CV18" s="170"/>
      <c r="CW18" s="173">
        <v>565.0</v>
      </c>
      <c r="CX18" s="175">
        <v>594.0</v>
      </c>
      <c r="CY18" s="175">
        <v>825.0</v>
      </c>
      <c r="CZ18" s="173"/>
      <c r="DB18" s="173">
        <v>450.0</v>
      </c>
      <c r="DC18" s="175">
        <v>709.0</v>
      </c>
      <c r="DD18" s="175">
        <v>940.0</v>
      </c>
      <c r="DE18" s="173"/>
      <c r="DG18" s="173">
        <v>335.0</v>
      </c>
      <c r="DH18" s="175">
        <v>824.0</v>
      </c>
      <c r="DI18" s="175">
        <v>1055.0</v>
      </c>
      <c r="DJ18" s="173"/>
      <c r="DL18" s="173">
        <v>220.0</v>
      </c>
      <c r="DM18" s="175">
        <v>939.0</v>
      </c>
      <c r="DN18" s="175">
        <v>1170.0</v>
      </c>
      <c r="DO18" s="173"/>
      <c r="DQ18" s="173">
        <v>105.0</v>
      </c>
      <c r="DR18" s="175">
        <v>1054.0</v>
      </c>
      <c r="DS18" s="175">
        <v>1285.0</v>
      </c>
      <c r="DT18" s="173"/>
      <c r="DV18" s="174" t="s">
        <v>266</v>
      </c>
      <c r="DW18" s="175">
        <v>10.0</v>
      </c>
      <c r="DX18" s="175"/>
      <c r="DY18" s="175"/>
      <c r="DZ18" s="173"/>
    </row>
    <row r="19" ht="15.75" customHeight="1">
      <c r="A19" s="154"/>
      <c r="B19" s="163">
        <f t="shared" si="1"/>
        <v>2823</v>
      </c>
      <c r="C19" s="163">
        <v>15.0</v>
      </c>
      <c r="D19" s="164"/>
      <c r="E19" s="166"/>
      <c r="F19" s="154">
        <v>2855.0</v>
      </c>
      <c r="G19" s="154"/>
      <c r="H19" s="164"/>
      <c r="I19" s="166"/>
      <c r="J19" s="154">
        <v>2740.0</v>
      </c>
      <c r="K19" s="154">
        <v>98.0</v>
      </c>
      <c r="L19" s="164"/>
      <c r="M19" s="166"/>
      <c r="N19" s="154">
        <v>2625.0</v>
      </c>
      <c r="O19" s="154">
        <v>213.0</v>
      </c>
      <c r="P19" s="164"/>
      <c r="Q19" s="166"/>
      <c r="R19" s="154">
        <v>2510.0</v>
      </c>
      <c r="S19" s="154">
        <v>328.0</v>
      </c>
      <c r="T19" s="164"/>
      <c r="U19" s="166"/>
      <c r="V19" s="154">
        <v>2395.0</v>
      </c>
      <c r="W19" s="154">
        <v>443.0</v>
      </c>
      <c r="X19" s="164"/>
      <c r="Y19" s="166"/>
      <c r="Z19" s="154">
        <v>2280.0</v>
      </c>
      <c r="AA19" s="154">
        <v>558.0</v>
      </c>
      <c r="AB19" s="165"/>
      <c r="AC19" s="166"/>
      <c r="AD19" s="154">
        <v>2165.0</v>
      </c>
      <c r="AE19" s="154">
        <v>673.0</v>
      </c>
      <c r="AF19" s="165"/>
      <c r="AG19" s="166"/>
      <c r="AH19" s="154">
        <v>2050.0</v>
      </c>
      <c r="AI19" s="154">
        <v>788.0</v>
      </c>
      <c r="AJ19" s="165"/>
      <c r="AK19" s="166"/>
      <c r="AL19" s="165">
        <v>1935.0</v>
      </c>
      <c r="AM19" s="154">
        <v>903.0</v>
      </c>
      <c r="AN19" s="165"/>
      <c r="AO19" s="166"/>
      <c r="AP19" s="165">
        <v>1820.0</v>
      </c>
      <c r="AQ19" s="154">
        <v>1018.0</v>
      </c>
      <c r="AR19" s="167" t="s">
        <v>266</v>
      </c>
      <c r="AS19" s="167" t="s">
        <v>266</v>
      </c>
      <c r="AT19" s="165"/>
      <c r="AU19" s="14"/>
      <c r="AV19" s="165">
        <v>1705.0</v>
      </c>
      <c r="AW19" s="167" t="s">
        <v>266</v>
      </c>
      <c r="AX19" s="165">
        <v>110.0</v>
      </c>
      <c r="AY19" s="165">
        <v>100.0</v>
      </c>
      <c r="AZ19" s="165"/>
      <c r="BB19" s="165">
        <v>1595.0</v>
      </c>
      <c r="BC19" s="169">
        <v>220.0</v>
      </c>
      <c r="BD19" s="169">
        <v>70.0</v>
      </c>
      <c r="BE19" s="165"/>
      <c r="BG19" s="165">
        <v>1480.0</v>
      </c>
      <c r="BH19" s="169">
        <v>335.0</v>
      </c>
      <c r="BI19" s="169">
        <v>185.0</v>
      </c>
      <c r="BJ19" s="165"/>
      <c r="BL19" s="165">
        <v>1365.0</v>
      </c>
      <c r="BM19" s="169">
        <v>450.0</v>
      </c>
      <c r="BN19" s="169">
        <v>300.0</v>
      </c>
      <c r="BO19" s="169">
        <v>30.0</v>
      </c>
      <c r="BP19" s="165"/>
      <c r="BQ19" s="176"/>
      <c r="BR19" s="165">
        <v>1250.0</v>
      </c>
      <c r="BS19" s="169">
        <v>565.0</v>
      </c>
      <c r="BT19" s="169">
        <v>145.0</v>
      </c>
      <c r="BU19" s="165"/>
      <c r="BV19" s="156"/>
      <c r="BW19" s="165">
        <v>1135.0</v>
      </c>
      <c r="BX19" s="169" t="s">
        <v>266</v>
      </c>
      <c r="BY19" s="169">
        <v>24.0</v>
      </c>
      <c r="BZ19" s="169">
        <v>260.0</v>
      </c>
      <c r="CA19" s="165"/>
      <c r="CC19" s="165">
        <v>1020.0</v>
      </c>
      <c r="CD19" s="169">
        <v>139.0</v>
      </c>
      <c r="CE19" s="169">
        <v>375.0</v>
      </c>
      <c r="CF19" s="165"/>
      <c r="CG19" s="170"/>
      <c r="CH19" s="165">
        <v>905.0</v>
      </c>
      <c r="CI19" s="169">
        <v>254.0</v>
      </c>
      <c r="CJ19" s="169">
        <v>490.0</v>
      </c>
      <c r="CK19" s="165"/>
      <c r="CL19" s="170"/>
      <c r="CM19" s="165">
        <v>790.0</v>
      </c>
      <c r="CN19" s="169">
        <v>369.0</v>
      </c>
      <c r="CO19" s="169">
        <v>605.0</v>
      </c>
      <c r="CP19" s="165"/>
      <c r="CQ19" s="170"/>
      <c r="CR19" s="165">
        <v>675.0</v>
      </c>
      <c r="CS19" s="169">
        <v>484.0</v>
      </c>
      <c r="CT19" s="169">
        <v>720.0</v>
      </c>
      <c r="CU19" s="165"/>
      <c r="CV19" s="170"/>
      <c r="CW19" s="165">
        <v>560.0</v>
      </c>
      <c r="CX19" s="169">
        <v>599.0</v>
      </c>
      <c r="CY19" s="169">
        <v>830.0</v>
      </c>
      <c r="CZ19" s="165"/>
      <c r="DB19" s="165">
        <v>445.0</v>
      </c>
      <c r="DC19" s="169">
        <v>714.0</v>
      </c>
      <c r="DD19" s="169">
        <v>945.0</v>
      </c>
      <c r="DE19" s="165"/>
      <c r="DG19" s="165">
        <v>330.0</v>
      </c>
      <c r="DH19" s="169">
        <v>829.0</v>
      </c>
      <c r="DI19" s="169">
        <v>1060.0</v>
      </c>
      <c r="DJ19" s="165"/>
      <c r="DL19" s="165">
        <v>215.0</v>
      </c>
      <c r="DM19" s="169">
        <v>944.0</v>
      </c>
      <c r="DN19" s="169">
        <v>1175.0</v>
      </c>
      <c r="DO19" s="165"/>
      <c r="DQ19" s="165">
        <v>100.0</v>
      </c>
      <c r="DR19" s="169">
        <v>1059.0</v>
      </c>
      <c r="DS19" s="169">
        <v>1290.0</v>
      </c>
      <c r="DT19" s="165"/>
      <c r="DV19" s="167" t="s">
        <v>266</v>
      </c>
      <c r="DW19" s="169">
        <v>15.0</v>
      </c>
      <c r="DX19" s="169"/>
      <c r="DY19" s="169"/>
      <c r="DZ19" s="165"/>
    </row>
    <row r="20" ht="15.75" customHeight="1">
      <c r="A20" s="171"/>
      <c r="B20" s="163">
        <f t="shared" si="1"/>
        <v>2822</v>
      </c>
      <c r="C20" s="163">
        <v>16.0</v>
      </c>
      <c r="D20" s="172"/>
      <c r="E20" s="166"/>
      <c r="F20" s="154">
        <v>2850.0</v>
      </c>
      <c r="G20" s="154"/>
      <c r="H20" s="172"/>
      <c r="I20" s="166"/>
      <c r="J20" s="171">
        <v>2735.0</v>
      </c>
      <c r="K20" s="171">
        <v>103.0</v>
      </c>
      <c r="L20" s="172"/>
      <c r="M20" s="166"/>
      <c r="N20" s="171">
        <v>2620.0</v>
      </c>
      <c r="O20" s="171">
        <v>218.0</v>
      </c>
      <c r="P20" s="172"/>
      <c r="Q20" s="166"/>
      <c r="R20" s="171">
        <v>2505.0</v>
      </c>
      <c r="S20" s="171">
        <v>333.0</v>
      </c>
      <c r="T20" s="172"/>
      <c r="U20" s="166"/>
      <c r="V20" s="171">
        <v>2390.0</v>
      </c>
      <c r="W20" s="171">
        <v>448.0</v>
      </c>
      <c r="X20" s="172"/>
      <c r="Y20" s="166"/>
      <c r="Z20" s="171">
        <v>2275.0</v>
      </c>
      <c r="AA20" s="171">
        <v>563.0</v>
      </c>
      <c r="AB20" s="173"/>
      <c r="AC20" s="166"/>
      <c r="AD20" s="171">
        <v>2160.0</v>
      </c>
      <c r="AE20" s="171">
        <v>678.0</v>
      </c>
      <c r="AF20" s="173"/>
      <c r="AG20" s="166"/>
      <c r="AH20" s="171">
        <v>2045.0</v>
      </c>
      <c r="AI20" s="171">
        <v>793.0</v>
      </c>
      <c r="AJ20" s="173"/>
      <c r="AK20" s="166"/>
      <c r="AL20" s="173">
        <v>1930.0</v>
      </c>
      <c r="AM20" s="171">
        <v>908.0</v>
      </c>
      <c r="AN20" s="173"/>
      <c r="AO20" s="166"/>
      <c r="AP20" s="173">
        <v>1815.0</v>
      </c>
      <c r="AQ20" s="171">
        <v>1023.0</v>
      </c>
      <c r="AR20" s="173">
        <v>1.0</v>
      </c>
      <c r="AS20" s="174" t="s">
        <v>266</v>
      </c>
      <c r="AT20" s="173"/>
      <c r="AU20" s="14"/>
      <c r="AV20" s="173">
        <v>1700.0</v>
      </c>
      <c r="AW20" s="174" t="s">
        <v>266</v>
      </c>
      <c r="AX20" s="173">
        <v>115.0</v>
      </c>
      <c r="AY20" s="173">
        <v>105.0</v>
      </c>
      <c r="AZ20" s="173"/>
      <c r="BB20" s="173">
        <v>1590.0</v>
      </c>
      <c r="BC20" s="175">
        <v>225.0</v>
      </c>
      <c r="BD20" s="175">
        <v>75.0</v>
      </c>
      <c r="BE20" s="173"/>
      <c r="BG20" s="173">
        <v>1475.0</v>
      </c>
      <c r="BH20" s="175">
        <v>340.0</v>
      </c>
      <c r="BI20" s="175">
        <v>190.0</v>
      </c>
      <c r="BJ20" s="173"/>
      <c r="BL20" s="173">
        <v>1360.0</v>
      </c>
      <c r="BM20" s="175">
        <v>455.0</v>
      </c>
      <c r="BN20" s="175">
        <v>305.0</v>
      </c>
      <c r="BO20" s="175">
        <v>35.0</v>
      </c>
      <c r="BP20" s="173"/>
      <c r="BQ20" s="156"/>
      <c r="BR20" s="173">
        <v>1245.0</v>
      </c>
      <c r="BS20" s="175">
        <v>570.0</v>
      </c>
      <c r="BT20" s="169">
        <v>150.0</v>
      </c>
      <c r="BU20" s="173"/>
      <c r="BV20" s="156"/>
      <c r="BW20" s="173">
        <v>1130.0</v>
      </c>
      <c r="BX20" s="175" t="s">
        <v>266</v>
      </c>
      <c r="BY20" s="175">
        <v>29.0</v>
      </c>
      <c r="BZ20" s="169">
        <v>265.0</v>
      </c>
      <c r="CA20" s="173"/>
      <c r="CC20" s="173">
        <v>1015.0</v>
      </c>
      <c r="CD20" s="175">
        <v>144.0</v>
      </c>
      <c r="CE20" s="169">
        <v>380.0</v>
      </c>
      <c r="CF20" s="173"/>
      <c r="CG20" s="170"/>
      <c r="CH20" s="173">
        <v>900.0</v>
      </c>
      <c r="CI20" s="175">
        <v>259.0</v>
      </c>
      <c r="CJ20" s="169">
        <v>495.0</v>
      </c>
      <c r="CK20" s="173"/>
      <c r="CL20" s="170"/>
      <c r="CM20" s="173">
        <v>785.0</v>
      </c>
      <c r="CN20" s="175">
        <v>374.0</v>
      </c>
      <c r="CO20" s="169">
        <v>610.0</v>
      </c>
      <c r="CP20" s="173"/>
      <c r="CQ20" s="170"/>
      <c r="CR20" s="173">
        <v>670.0</v>
      </c>
      <c r="CS20" s="175">
        <v>489.0</v>
      </c>
      <c r="CT20" s="169">
        <v>725.0</v>
      </c>
      <c r="CU20" s="173"/>
      <c r="CV20" s="170"/>
      <c r="CW20" s="173">
        <v>555.0</v>
      </c>
      <c r="CX20" s="175">
        <v>604.0</v>
      </c>
      <c r="CY20" s="169">
        <v>835.0</v>
      </c>
      <c r="CZ20" s="173"/>
      <c r="DB20" s="173">
        <v>440.0</v>
      </c>
      <c r="DC20" s="175">
        <v>719.0</v>
      </c>
      <c r="DD20" s="169">
        <v>950.0</v>
      </c>
      <c r="DE20" s="173"/>
      <c r="DG20" s="173">
        <v>325.0</v>
      </c>
      <c r="DH20" s="175">
        <v>834.0</v>
      </c>
      <c r="DI20" s="169">
        <v>1065.0</v>
      </c>
      <c r="DJ20" s="173"/>
      <c r="DL20" s="173">
        <v>210.0</v>
      </c>
      <c r="DM20" s="175">
        <v>949.0</v>
      </c>
      <c r="DN20" s="169">
        <v>1180.0</v>
      </c>
      <c r="DO20" s="173"/>
      <c r="DQ20" s="173">
        <v>95.0</v>
      </c>
      <c r="DR20" s="175">
        <v>1064.0</v>
      </c>
      <c r="DS20" s="169">
        <v>1295.0</v>
      </c>
      <c r="DT20" s="173"/>
      <c r="DV20" s="174" t="s">
        <v>266</v>
      </c>
      <c r="DW20" s="175">
        <v>20.0</v>
      </c>
      <c r="DX20" s="175"/>
      <c r="DY20" s="175"/>
      <c r="DZ20" s="173"/>
    </row>
    <row r="21" ht="15.75" customHeight="1">
      <c r="A21" s="154"/>
      <c r="B21" s="163">
        <f t="shared" si="1"/>
        <v>2821</v>
      </c>
      <c r="C21" s="163">
        <v>17.0</v>
      </c>
      <c r="D21" s="164"/>
      <c r="E21" s="166"/>
      <c r="F21" s="154">
        <v>2845.0</v>
      </c>
      <c r="G21" s="154"/>
      <c r="H21" s="164"/>
      <c r="I21" s="166"/>
      <c r="J21" s="154">
        <v>2730.0</v>
      </c>
      <c r="K21" s="154">
        <v>108.0</v>
      </c>
      <c r="L21" s="164"/>
      <c r="M21" s="166"/>
      <c r="N21" s="154">
        <v>2615.0</v>
      </c>
      <c r="O21" s="154">
        <v>223.0</v>
      </c>
      <c r="P21" s="164"/>
      <c r="Q21" s="166"/>
      <c r="R21" s="154">
        <v>2500.0</v>
      </c>
      <c r="S21" s="154">
        <v>338.0</v>
      </c>
      <c r="T21" s="164"/>
      <c r="U21" s="166"/>
      <c r="V21" s="154">
        <v>2385.0</v>
      </c>
      <c r="W21" s="154">
        <v>453.0</v>
      </c>
      <c r="X21" s="164"/>
      <c r="Y21" s="166"/>
      <c r="Z21" s="154">
        <v>2270.0</v>
      </c>
      <c r="AA21" s="154">
        <v>568.0</v>
      </c>
      <c r="AB21" s="165"/>
      <c r="AC21" s="166"/>
      <c r="AD21" s="154">
        <v>2155.0</v>
      </c>
      <c r="AE21" s="154">
        <v>683.0</v>
      </c>
      <c r="AF21" s="165"/>
      <c r="AG21" s="166"/>
      <c r="AH21" s="154">
        <v>2040.0</v>
      </c>
      <c r="AI21" s="154">
        <v>798.0</v>
      </c>
      <c r="AJ21" s="165"/>
      <c r="AK21" s="166"/>
      <c r="AL21" s="165">
        <v>1925.0</v>
      </c>
      <c r="AM21" s="154">
        <v>913.0</v>
      </c>
      <c r="AN21" s="165"/>
      <c r="AO21" s="166"/>
      <c r="AP21" s="165">
        <v>1810.0</v>
      </c>
      <c r="AQ21" s="154">
        <v>1028.0</v>
      </c>
      <c r="AR21" s="165">
        <v>5.0</v>
      </c>
      <c r="AS21" s="167" t="s">
        <v>266</v>
      </c>
      <c r="AT21" s="165"/>
      <c r="AU21" s="155"/>
      <c r="AV21" s="165">
        <v>1695.0</v>
      </c>
      <c r="AW21" s="167" t="s">
        <v>266</v>
      </c>
      <c r="AX21" s="165">
        <v>120.0</v>
      </c>
      <c r="AY21" s="165">
        <v>110.0</v>
      </c>
      <c r="AZ21" s="165"/>
      <c r="BB21" s="165">
        <v>1585.0</v>
      </c>
      <c r="BC21" s="169">
        <v>230.0</v>
      </c>
      <c r="BD21" s="169">
        <v>80.0</v>
      </c>
      <c r="BE21" s="165"/>
      <c r="BG21" s="165">
        <v>1470.0</v>
      </c>
      <c r="BH21" s="169">
        <v>345.0</v>
      </c>
      <c r="BI21" s="169">
        <v>195.0</v>
      </c>
      <c r="BJ21" s="165"/>
      <c r="BL21" s="165">
        <v>1355.0</v>
      </c>
      <c r="BM21" s="169">
        <v>460.0</v>
      </c>
      <c r="BN21" s="169">
        <v>310.0</v>
      </c>
      <c r="BO21" s="169">
        <v>40.0</v>
      </c>
      <c r="BP21" s="165"/>
      <c r="BQ21" s="156"/>
      <c r="BR21" s="165">
        <v>1240.0</v>
      </c>
      <c r="BS21" s="169">
        <v>575.0</v>
      </c>
      <c r="BT21" s="175">
        <v>155.0</v>
      </c>
      <c r="BU21" s="165"/>
      <c r="BV21" s="156"/>
      <c r="BW21" s="165">
        <v>1125.0</v>
      </c>
      <c r="BX21" s="169" t="s">
        <v>266</v>
      </c>
      <c r="BY21" s="169">
        <v>34.0</v>
      </c>
      <c r="BZ21" s="175">
        <v>270.0</v>
      </c>
      <c r="CA21" s="165"/>
      <c r="CC21" s="165">
        <v>1010.0</v>
      </c>
      <c r="CD21" s="169">
        <v>149.0</v>
      </c>
      <c r="CE21" s="175">
        <v>385.0</v>
      </c>
      <c r="CF21" s="165"/>
      <c r="CG21" s="170"/>
      <c r="CH21" s="165">
        <v>895.0</v>
      </c>
      <c r="CI21" s="169">
        <v>264.0</v>
      </c>
      <c r="CJ21" s="175">
        <v>500.0</v>
      </c>
      <c r="CK21" s="165"/>
      <c r="CL21" s="170"/>
      <c r="CM21" s="165">
        <v>780.0</v>
      </c>
      <c r="CN21" s="169">
        <v>379.0</v>
      </c>
      <c r="CO21" s="175">
        <v>615.0</v>
      </c>
      <c r="CP21" s="165"/>
      <c r="CQ21" s="170"/>
      <c r="CR21" s="165">
        <v>665.0</v>
      </c>
      <c r="CS21" s="169">
        <v>494.0</v>
      </c>
      <c r="CT21" s="175">
        <v>730.0</v>
      </c>
      <c r="CU21" s="165"/>
      <c r="CV21" s="170"/>
      <c r="CW21" s="165">
        <v>550.0</v>
      </c>
      <c r="CX21" s="169">
        <v>609.0</v>
      </c>
      <c r="CY21" s="175">
        <v>840.0</v>
      </c>
      <c r="CZ21" s="165"/>
      <c r="DB21" s="165">
        <v>435.0</v>
      </c>
      <c r="DC21" s="169">
        <v>724.0</v>
      </c>
      <c r="DD21" s="175">
        <v>955.0</v>
      </c>
      <c r="DE21" s="165"/>
      <c r="DG21" s="165">
        <v>320.0</v>
      </c>
      <c r="DH21" s="169">
        <v>839.0</v>
      </c>
      <c r="DI21" s="175">
        <v>1070.0</v>
      </c>
      <c r="DJ21" s="165"/>
      <c r="DL21" s="165">
        <v>205.0</v>
      </c>
      <c r="DM21" s="169">
        <v>954.0</v>
      </c>
      <c r="DN21" s="175">
        <v>1185.0</v>
      </c>
      <c r="DO21" s="165"/>
      <c r="DQ21" s="165">
        <v>90.0</v>
      </c>
      <c r="DR21" s="169">
        <v>1069.0</v>
      </c>
      <c r="DS21" s="175">
        <v>1300.0</v>
      </c>
      <c r="DT21" s="165"/>
      <c r="DV21" s="167" t="s">
        <v>266</v>
      </c>
      <c r="DW21" s="169">
        <v>25.0</v>
      </c>
      <c r="DX21" s="169"/>
      <c r="DY21" s="169"/>
      <c r="DZ21" s="165"/>
    </row>
    <row r="22" ht="15.75" customHeight="1">
      <c r="A22" s="171"/>
      <c r="B22" s="163">
        <f t="shared" si="1"/>
        <v>2820</v>
      </c>
      <c r="C22" s="163">
        <v>18.0</v>
      </c>
      <c r="D22" s="172"/>
      <c r="E22" s="166"/>
      <c r="F22" s="154">
        <v>2837.0</v>
      </c>
      <c r="G22" s="154">
        <v>1.0</v>
      </c>
      <c r="H22" s="177" t="s">
        <v>378</v>
      </c>
      <c r="I22" s="166"/>
      <c r="J22" s="171">
        <v>2725.0</v>
      </c>
      <c r="K22" s="171">
        <v>113.0</v>
      </c>
      <c r="L22" s="172"/>
      <c r="M22" s="166"/>
      <c r="N22" s="171">
        <v>2610.0</v>
      </c>
      <c r="O22" s="171">
        <v>228.0</v>
      </c>
      <c r="P22" s="172"/>
      <c r="Q22" s="166"/>
      <c r="R22" s="171">
        <v>2495.0</v>
      </c>
      <c r="S22" s="171">
        <v>343.0</v>
      </c>
      <c r="T22" s="172"/>
      <c r="U22" s="166"/>
      <c r="V22" s="171">
        <v>2380.0</v>
      </c>
      <c r="W22" s="171">
        <v>458.0</v>
      </c>
      <c r="X22" s="172"/>
      <c r="Y22" s="166"/>
      <c r="Z22" s="171">
        <v>2265.0</v>
      </c>
      <c r="AA22" s="171">
        <v>573.0</v>
      </c>
      <c r="AB22" s="173"/>
      <c r="AC22" s="166"/>
      <c r="AD22" s="171">
        <v>2150.0</v>
      </c>
      <c r="AE22" s="171">
        <v>688.0</v>
      </c>
      <c r="AF22" s="173"/>
      <c r="AG22" s="166"/>
      <c r="AH22" s="171">
        <v>2035.0</v>
      </c>
      <c r="AI22" s="171">
        <v>803.0</v>
      </c>
      <c r="AJ22" s="173"/>
      <c r="AK22" s="166"/>
      <c r="AL22" s="173">
        <v>1920.0</v>
      </c>
      <c r="AM22" s="171">
        <v>918.0</v>
      </c>
      <c r="AN22" s="173"/>
      <c r="AO22" s="166"/>
      <c r="AP22" s="173">
        <v>1805.0</v>
      </c>
      <c r="AQ22" s="171">
        <v>1033.0</v>
      </c>
      <c r="AR22" s="173">
        <v>10.0</v>
      </c>
      <c r="AS22" s="173">
        <v>0.0</v>
      </c>
      <c r="AT22" s="173"/>
      <c r="AU22" s="155"/>
      <c r="AV22" s="173">
        <v>1690.0</v>
      </c>
      <c r="AW22" s="174" t="s">
        <v>266</v>
      </c>
      <c r="AX22" s="173">
        <v>125.0</v>
      </c>
      <c r="AY22" s="173">
        <v>115.0</v>
      </c>
      <c r="AZ22" s="173"/>
      <c r="BB22" s="173">
        <v>1580.0</v>
      </c>
      <c r="BC22" s="175">
        <v>235.0</v>
      </c>
      <c r="BD22" s="175">
        <v>85.0</v>
      </c>
      <c r="BE22" s="173"/>
      <c r="BG22" s="173">
        <v>1465.0</v>
      </c>
      <c r="BH22" s="175">
        <v>350.0</v>
      </c>
      <c r="BI22" s="175">
        <v>200.0</v>
      </c>
      <c r="BJ22" s="173"/>
      <c r="BL22" s="173">
        <v>1350.0</v>
      </c>
      <c r="BM22" s="175">
        <v>465.0</v>
      </c>
      <c r="BN22" s="175">
        <v>315.0</v>
      </c>
      <c r="BO22" s="169">
        <v>45.0</v>
      </c>
      <c r="BP22" s="173"/>
      <c r="BQ22" s="176"/>
      <c r="BR22" s="173">
        <v>1235.0</v>
      </c>
      <c r="BS22" s="175">
        <v>580.0</v>
      </c>
      <c r="BT22" s="169">
        <v>160.0</v>
      </c>
      <c r="BU22" s="173"/>
      <c r="BV22" s="156"/>
      <c r="BW22" s="173">
        <v>1120.0</v>
      </c>
      <c r="BX22" s="175" t="s">
        <v>266</v>
      </c>
      <c r="BY22" s="175">
        <v>39.0</v>
      </c>
      <c r="BZ22" s="169">
        <v>275.0</v>
      </c>
      <c r="CA22" s="173"/>
      <c r="CC22" s="173">
        <v>1005.0</v>
      </c>
      <c r="CD22" s="175">
        <v>154.0</v>
      </c>
      <c r="CE22" s="169">
        <v>390.0</v>
      </c>
      <c r="CF22" s="173"/>
      <c r="CG22" s="170"/>
      <c r="CH22" s="173">
        <v>890.0</v>
      </c>
      <c r="CI22" s="175">
        <v>269.0</v>
      </c>
      <c r="CJ22" s="169">
        <v>505.0</v>
      </c>
      <c r="CK22" s="173"/>
      <c r="CL22" s="170"/>
      <c r="CM22" s="173">
        <v>775.0</v>
      </c>
      <c r="CN22" s="175">
        <v>384.0</v>
      </c>
      <c r="CO22" s="169">
        <v>620.0</v>
      </c>
      <c r="CP22" s="173"/>
      <c r="CQ22" s="170"/>
      <c r="CR22" s="173">
        <v>660.0</v>
      </c>
      <c r="CS22" s="175">
        <v>499.0</v>
      </c>
      <c r="CT22" s="169">
        <v>735.0</v>
      </c>
      <c r="CU22" s="173"/>
      <c r="CV22" s="170"/>
      <c r="CW22" s="173">
        <v>545.0</v>
      </c>
      <c r="CX22" s="175">
        <v>614.0</v>
      </c>
      <c r="CY22" s="169">
        <v>845.0</v>
      </c>
      <c r="CZ22" s="173"/>
      <c r="DB22" s="173">
        <v>430.0</v>
      </c>
      <c r="DC22" s="175">
        <v>729.0</v>
      </c>
      <c r="DD22" s="169">
        <v>960.0</v>
      </c>
      <c r="DE22" s="173"/>
      <c r="DG22" s="173">
        <v>315.0</v>
      </c>
      <c r="DH22" s="175">
        <v>844.0</v>
      </c>
      <c r="DI22" s="169">
        <v>1075.0</v>
      </c>
      <c r="DJ22" s="173"/>
      <c r="DL22" s="173">
        <v>200.0</v>
      </c>
      <c r="DM22" s="175">
        <v>959.0</v>
      </c>
      <c r="DN22" s="169">
        <v>1190.0</v>
      </c>
      <c r="DO22" s="173"/>
      <c r="DQ22" s="173">
        <v>85.0</v>
      </c>
      <c r="DR22" s="175">
        <v>1074.0</v>
      </c>
      <c r="DS22" s="169">
        <v>1305.0</v>
      </c>
      <c r="DT22" s="173"/>
      <c r="DV22" s="174" t="s">
        <v>266</v>
      </c>
      <c r="DW22" s="175">
        <v>30.0</v>
      </c>
      <c r="DX22" s="175"/>
      <c r="DY22" s="175"/>
      <c r="DZ22" s="173"/>
    </row>
    <row r="23" ht="15.75" customHeight="1">
      <c r="A23" s="154"/>
      <c r="B23" s="163">
        <f t="shared" si="1"/>
        <v>2819</v>
      </c>
      <c r="C23" s="163">
        <v>19.0</v>
      </c>
      <c r="D23" s="164"/>
      <c r="E23" s="166"/>
      <c r="F23" s="154">
        <v>2835.0</v>
      </c>
      <c r="G23" s="154">
        <v>3.0</v>
      </c>
      <c r="H23" s="164"/>
      <c r="I23" s="166"/>
      <c r="J23" s="154">
        <v>2720.0</v>
      </c>
      <c r="K23" s="154">
        <v>118.0</v>
      </c>
      <c r="L23" s="164"/>
      <c r="M23" s="166"/>
      <c r="N23" s="154">
        <v>2605.0</v>
      </c>
      <c r="O23" s="154">
        <v>233.0</v>
      </c>
      <c r="P23" s="164"/>
      <c r="Q23" s="166"/>
      <c r="R23" s="154">
        <v>2490.0</v>
      </c>
      <c r="S23" s="154">
        <v>348.0</v>
      </c>
      <c r="T23" s="164"/>
      <c r="U23" s="166"/>
      <c r="V23" s="154">
        <v>2375.0</v>
      </c>
      <c r="W23" s="154">
        <v>463.0</v>
      </c>
      <c r="X23" s="164"/>
      <c r="Y23" s="166"/>
      <c r="Z23" s="154">
        <v>2260.0</v>
      </c>
      <c r="AA23" s="154">
        <v>578.0</v>
      </c>
      <c r="AB23" s="165"/>
      <c r="AC23" s="166"/>
      <c r="AD23" s="154">
        <v>2145.0</v>
      </c>
      <c r="AE23" s="154">
        <v>693.0</v>
      </c>
      <c r="AF23" s="165"/>
      <c r="AG23" s="166"/>
      <c r="AH23" s="154">
        <v>2030.0</v>
      </c>
      <c r="AI23" s="154">
        <v>808.0</v>
      </c>
      <c r="AJ23" s="165"/>
      <c r="AK23" s="166"/>
      <c r="AL23" s="165">
        <v>1915.0</v>
      </c>
      <c r="AM23" s="154">
        <v>923.0</v>
      </c>
      <c r="AN23" s="165"/>
      <c r="AO23" s="166"/>
      <c r="AP23" s="165">
        <v>1800.0</v>
      </c>
      <c r="AQ23" s="154">
        <v>1038.0</v>
      </c>
      <c r="AR23" s="165">
        <v>15.0</v>
      </c>
      <c r="AS23" s="165">
        <v>5.0</v>
      </c>
      <c r="AT23" s="165"/>
      <c r="AU23" s="14"/>
      <c r="AV23" s="165">
        <v>1685.0</v>
      </c>
      <c r="AW23" s="167" t="s">
        <v>266</v>
      </c>
      <c r="AX23" s="165">
        <v>130.0</v>
      </c>
      <c r="AY23" s="165">
        <v>120.0</v>
      </c>
      <c r="AZ23" s="165"/>
      <c r="BB23" s="165">
        <v>1575.0</v>
      </c>
      <c r="BC23" s="169">
        <v>240.0</v>
      </c>
      <c r="BD23" s="169">
        <v>90.0</v>
      </c>
      <c r="BE23" s="165"/>
      <c r="BG23" s="165">
        <v>1460.0</v>
      </c>
      <c r="BH23" s="169">
        <v>355.0</v>
      </c>
      <c r="BI23" s="169">
        <v>205.0</v>
      </c>
      <c r="BJ23" s="165"/>
      <c r="BL23" s="165">
        <v>1345.0</v>
      </c>
      <c r="BM23" s="169">
        <v>470.0</v>
      </c>
      <c r="BN23" s="169">
        <v>320.0</v>
      </c>
      <c r="BO23" s="175">
        <v>50.0</v>
      </c>
      <c r="BP23" s="165"/>
      <c r="BQ23" s="176"/>
      <c r="BR23" s="165">
        <v>1230.0</v>
      </c>
      <c r="BS23" s="169">
        <v>585.0</v>
      </c>
      <c r="BT23" s="169">
        <v>165.0</v>
      </c>
      <c r="BU23" s="165"/>
      <c r="BV23" s="156"/>
      <c r="BW23" s="165">
        <v>1115.0</v>
      </c>
      <c r="BX23" s="169" t="s">
        <v>266</v>
      </c>
      <c r="BY23" s="169">
        <v>44.0</v>
      </c>
      <c r="BZ23" s="169">
        <v>280.0</v>
      </c>
      <c r="CA23" s="165"/>
      <c r="CC23" s="165">
        <v>1000.0</v>
      </c>
      <c r="CD23" s="169">
        <v>159.0</v>
      </c>
      <c r="CE23" s="169">
        <v>395.0</v>
      </c>
      <c r="CF23" s="165"/>
      <c r="CG23" s="170"/>
      <c r="CH23" s="165">
        <v>885.0</v>
      </c>
      <c r="CI23" s="169">
        <v>274.0</v>
      </c>
      <c r="CJ23" s="169">
        <v>510.0</v>
      </c>
      <c r="CK23" s="165"/>
      <c r="CL23" s="170"/>
      <c r="CM23" s="165">
        <v>770.0</v>
      </c>
      <c r="CN23" s="169">
        <v>389.0</v>
      </c>
      <c r="CO23" s="169">
        <v>625.0</v>
      </c>
      <c r="CP23" s="165"/>
      <c r="CQ23" s="170"/>
      <c r="CR23" s="165">
        <v>655.0</v>
      </c>
      <c r="CS23" s="169">
        <v>504.0</v>
      </c>
      <c r="CT23" s="169">
        <v>740.0</v>
      </c>
      <c r="CU23" s="165"/>
      <c r="CV23" s="170"/>
      <c r="CW23" s="165">
        <v>540.0</v>
      </c>
      <c r="CX23" s="169">
        <v>619.0</v>
      </c>
      <c r="CY23" s="169">
        <v>850.0</v>
      </c>
      <c r="CZ23" s="165"/>
      <c r="DB23" s="165">
        <v>425.0</v>
      </c>
      <c r="DC23" s="169">
        <v>734.0</v>
      </c>
      <c r="DD23" s="169">
        <v>965.0</v>
      </c>
      <c r="DE23" s="165"/>
      <c r="DG23" s="165">
        <v>310.0</v>
      </c>
      <c r="DH23" s="169">
        <v>849.0</v>
      </c>
      <c r="DI23" s="169">
        <v>1080.0</v>
      </c>
      <c r="DJ23" s="165"/>
      <c r="DL23" s="165">
        <v>195.0</v>
      </c>
      <c r="DM23" s="169">
        <v>964.0</v>
      </c>
      <c r="DN23" s="169">
        <v>1195.0</v>
      </c>
      <c r="DO23" s="165"/>
      <c r="DQ23" s="165">
        <v>80.0</v>
      </c>
      <c r="DR23" s="169">
        <v>1079.0</v>
      </c>
      <c r="DS23" s="169">
        <v>1310.0</v>
      </c>
      <c r="DT23" s="165"/>
      <c r="DV23" s="167" t="s">
        <v>266</v>
      </c>
      <c r="DW23" s="169">
        <v>35.0</v>
      </c>
      <c r="DX23" s="169"/>
      <c r="DY23" s="169"/>
      <c r="DZ23" s="165"/>
    </row>
    <row r="24" ht="15.75" customHeight="1">
      <c r="A24" s="171"/>
      <c r="B24" s="163">
        <f t="shared" si="1"/>
        <v>2818</v>
      </c>
      <c r="C24" s="163">
        <v>20.0</v>
      </c>
      <c r="D24" s="172"/>
      <c r="E24" s="166"/>
      <c r="F24" s="154">
        <v>2830.0</v>
      </c>
      <c r="G24" s="154">
        <v>8.0</v>
      </c>
      <c r="H24" s="172"/>
      <c r="I24" s="166"/>
      <c r="J24" s="171">
        <v>2715.0</v>
      </c>
      <c r="K24" s="171">
        <v>123.0</v>
      </c>
      <c r="L24" s="172"/>
      <c r="M24" s="166"/>
      <c r="N24" s="171">
        <v>2600.0</v>
      </c>
      <c r="O24" s="171">
        <v>238.0</v>
      </c>
      <c r="P24" s="172"/>
      <c r="Q24" s="166"/>
      <c r="R24" s="171">
        <v>2485.0</v>
      </c>
      <c r="S24" s="171">
        <v>353.0</v>
      </c>
      <c r="T24" s="172"/>
      <c r="U24" s="166"/>
      <c r="V24" s="171">
        <v>2370.0</v>
      </c>
      <c r="W24" s="171">
        <v>468.0</v>
      </c>
      <c r="X24" s="172"/>
      <c r="Y24" s="166"/>
      <c r="Z24" s="171">
        <v>2255.0</v>
      </c>
      <c r="AA24" s="171">
        <v>583.0</v>
      </c>
      <c r="AB24" s="173"/>
      <c r="AC24" s="166"/>
      <c r="AD24" s="171">
        <v>2140.0</v>
      </c>
      <c r="AE24" s="171">
        <v>698.0</v>
      </c>
      <c r="AF24" s="173"/>
      <c r="AG24" s="166"/>
      <c r="AH24" s="171">
        <v>2025.0</v>
      </c>
      <c r="AI24" s="171">
        <v>813.0</v>
      </c>
      <c r="AJ24" s="173"/>
      <c r="AK24" s="166"/>
      <c r="AL24" s="173">
        <v>1910.0</v>
      </c>
      <c r="AM24" s="171">
        <v>928.0</v>
      </c>
      <c r="AN24" s="173"/>
      <c r="AO24" s="166"/>
      <c r="AP24" s="173">
        <v>1795.0</v>
      </c>
      <c r="AQ24" s="171">
        <v>1043.0</v>
      </c>
      <c r="AR24" s="173">
        <v>20.0</v>
      </c>
      <c r="AS24" s="173">
        <v>10.0</v>
      </c>
      <c r="AT24" s="173"/>
      <c r="AU24" s="14"/>
      <c r="AV24" s="173">
        <v>1680.0</v>
      </c>
      <c r="AW24" s="174" t="s">
        <v>266</v>
      </c>
      <c r="AX24" s="173">
        <v>135.0</v>
      </c>
      <c r="AY24" s="173">
        <v>125.0</v>
      </c>
      <c r="AZ24" s="173"/>
      <c r="BB24" s="173">
        <v>1570.0</v>
      </c>
      <c r="BC24" s="175">
        <v>245.0</v>
      </c>
      <c r="BD24" s="175">
        <v>95.0</v>
      </c>
      <c r="BE24" s="173"/>
      <c r="BG24" s="173">
        <v>1455.0</v>
      </c>
      <c r="BH24" s="175">
        <v>360.0</v>
      </c>
      <c r="BI24" s="175">
        <v>210.0</v>
      </c>
      <c r="BJ24" s="173"/>
      <c r="BL24" s="173">
        <v>1340.0</v>
      </c>
      <c r="BM24" s="175">
        <v>475.0</v>
      </c>
      <c r="BN24" s="175">
        <v>325.0</v>
      </c>
      <c r="BO24" s="169">
        <v>55.0</v>
      </c>
      <c r="BP24" s="173"/>
      <c r="BQ24" s="156"/>
      <c r="BR24" s="173">
        <v>1225.0</v>
      </c>
      <c r="BS24" s="175">
        <v>590.0</v>
      </c>
      <c r="BT24" s="175">
        <v>170.0</v>
      </c>
      <c r="BU24" s="173"/>
      <c r="BV24" s="156"/>
      <c r="BW24" s="173">
        <v>1110.0</v>
      </c>
      <c r="BX24" s="175" t="s">
        <v>266</v>
      </c>
      <c r="BY24" s="175">
        <v>49.0</v>
      </c>
      <c r="BZ24" s="175">
        <v>285.0</v>
      </c>
      <c r="CA24" s="173"/>
      <c r="CC24" s="173">
        <v>995.0</v>
      </c>
      <c r="CD24" s="175">
        <v>164.0</v>
      </c>
      <c r="CE24" s="175">
        <v>400.0</v>
      </c>
      <c r="CF24" s="173"/>
      <c r="CG24" s="170"/>
      <c r="CH24" s="173">
        <v>880.0</v>
      </c>
      <c r="CI24" s="175">
        <v>279.0</v>
      </c>
      <c r="CJ24" s="175">
        <v>515.0</v>
      </c>
      <c r="CK24" s="173"/>
      <c r="CL24" s="170"/>
      <c r="CM24" s="173">
        <v>765.0</v>
      </c>
      <c r="CN24" s="175">
        <v>394.0</v>
      </c>
      <c r="CO24" s="175">
        <v>630.0</v>
      </c>
      <c r="CP24" s="173"/>
      <c r="CQ24" s="170"/>
      <c r="CR24" s="173">
        <v>650.0</v>
      </c>
      <c r="CS24" s="175">
        <v>509.0</v>
      </c>
      <c r="CT24" s="175">
        <v>745.0</v>
      </c>
      <c r="CU24" s="173"/>
      <c r="CV24" s="170"/>
      <c r="CW24" s="173">
        <v>535.0</v>
      </c>
      <c r="CX24" s="175">
        <v>624.0</v>
      </c>
      <c r="CY24" s="175">
        <v>855.0</v>
      </c>
      <c r="CZ24" s="173"/>
      <c r="DB24" s="173">
        <v>420.0</v>
      </c>
      <c r="DC24" s="175">
        <v>739.0</v>
      </c>
      <c r="DD24" s="175">
        <v>970.0</v>
      </c>
      <c r="DE24" s="173"/>
      <c r="DG24" s="173">
        <v>305.0</v>
      </c>
      <c r="DH24" s="175">
        <v>854.0</v>
      </c>
      <c r="DI24" s="175">
        <v>1085.0</v>
      </c>
      <c r="DJ24" s="173"/>
      <c r="DL24" s="173">
        <v>190.0</v>
      </c>
      <c r="DM24" s="175">
        <v>969.0</v>
      </c>
      <c r="DN24" s="175">
        <v>1200.0</v>
      </c>
      <c r="DO24" s="173"/>
      <c r="DQ24" s="173">
        <v>75.0</v>
      </c>
      <c r="DR24" s="175">
        <v>1084.0</v>
      </c>
      <c r="DS24" s="175">
        <v>1315.0</v>
      </c>
      <c r="DT24" s="173"/>
      <c r="DV24" s="174" t="s">
        <v>266</v>
      </c>
      <c r="DW24" s="175">
        <v>40.0</v>
      </c>
      <c r="DX24" s="175"/>
      <c r="DY24" s="175"/>
      <c r="DZ24" s="173"/>
    </row>
    <row r="25" ht="15.75" customHeight="1">
      <c r="A25" s="154"/>
      <c r="B25" s="163">
        <f t="shared" si="1"/>
        <v>2817</v>
      </c>
      <c r="C25" s="163">
        <v>21.0</v>
      </c>
      <c r="D25" s="164"/>
      <c r="E25" s="166"/>
      <c r="F25" s="154">
        <v>2825.0</v>
      </c>
      <c r="G25" s="154">
        <v>13.0</v>
      </c>
      <c r="H25" s="164"/>
      <c r="I25" s="166"/>
      <c r="J25" s="154">
        <v>2710.0</v>
      </c>
      <c r="K25" s="154">
        <v>128.0</v>
      </c>
      <c r="L25" s="164"/>
      <c r="M25" s="166"/>
      <c r="N25" s="154">
        <v>2595.0</v>
      </c>
      <c r="O25" s="154">
        <v>243.0</v>
      </c>
      <c r="P25" s="164"/>
      <c r="Q25" s="166"/>
      <c r="R25" s="154">
        <v>2480.0</v>
      </c>
      <c r="S25" s="154">
        <v>358.0</v>
      </c>
      <c r="T25" s="164"/>
      <c r="U25" s="166"/>
      <c r="V25" s="154">
        <v>2365.0</v>
      </c>
      <c r="W25" s="154">
        <v>473.0</v>
      </c>
      <c r="X25" s="164"/>
      <c r="Y25" s="166"/>
      <c r="Z25" s="154">
        <v>2250.0</v>
      </c>
      <c r="AA25" s="154">
        <v>588.0</v>
      </c>
      <c r="AB25" s="165"/>
      <c r="AC25" s="166"/>
      <c r="AD25" s="154">
        <v>2135.0</v>
      </c>
      <c r="AE25" s="154">
        <v>703.0</v>
      </c>
      <c r="AF25" s="165"/>
      <c r="AG25" s="166"/>
      <c r="AH25" s="154">
        <v>2020.0</v>
      </c>
      <c r="AI25" s="154">
        <v>818.0</v>
      </c>
      <c r="AJ25" s="165"/>
      <c r="AK25" s="166"/>
      <c r="AL25" s="165">
        <v>1905.0</v>
      </c>
      <c r="AM25" s="154">
        <v>933.0</v>
      </c>
      <c r="AN25" s="165"/>
      <c r="AO25" s="166"/>
      <c r="AP25" s="165">
        <v>1790.0</v>
      </c>
      <c r="AQ25" s="154">
        <v>1048.0</v>
      </c>
      <c r="AR25" s="165">
        <v>25.0</v>
      </c>
      <c r="AS25" s="165">
        <v>15.0</v>
      </c>
      <c r="AT25" s="165"/>
      <c r="AU25" s="155"/>
      <c r="AV25" s="165">
        <v>1675.0</v>
      </c>
      <c r="AW25" s="167" t="s">
        <v>266</v>
      </c>
      <c r="AX25" s="165">
        <v>140.0</v>
      </c>
      <c r="AY25" s="165">
        <v>130.0</v>
      </c>
      <c r="AZ25" s="165"/>
      <c r="BB25" s="165">
        <v>1565.0</v>
      </c>
      <c r="BC25" s="169">
        <v>250.0</v>
      </c>
      <c r="BD25" s="169">
        <v>100.0</v>
      </c>
      <c r="BE25" s="165"/>
      <c r="BG25" s="165">
        <v>1450.0</v>
      </c>
      <c r="BH25" s="169">
        <v>365.0</v>
      </c>
      <c r="BI25" s="169">
        <v>215.0</v>
      </c>
      <c r="BJ25" s="165"/>
      <c r="BL25" s="165">
        <v>1335.0</v>
      </c>
      <c r="BM25" s="169">
        <v>480.0</v>
      </c>
      <c r="BN25" s="169">
        <v>330.0</v>
      </c>
      <c r="BO25" s="169">
        <v>60.0</v>
      </c>
      <c r="BP25" s="165"/>
      <c r="BQ25" s="156"/>
      <c r="BR25" s="165">
        <v>1220.0</v>
      </c>
      <c r="BS25" s="169">
        <v>595.0</v>
      </c>
      <c r="BT25" s="169">
        <v>175.0</v>
      </c>
      <c r="BU25" s="165"/>
      <c r="BV25" s="156"/>
      <c r="BW25" s="165">
        <v>1105.0</v>
      </c>
      <c r="BX25" s="169" t="s">
        <v>266</v>
      </c>
      <c r="BY25" s="169">
        <v>54.0</v>
      </c>
      <c r="BZ25" s="169">
        <v>290.0</v>
      </c>
      <c r="CA25" s="165"/>
      <c r="CC25" s="165">
        <v>990.0</v>
      </c>
      <c r="CD25" s="169">
        <v>169.0</v>
      </c>
      <c r="CE25" s="169">
        <v>405.0</v>
      </c>
      <c r="CF25" s="165"/>
      <c r="CG25" s="170"/>
      <c r="CH25" s="165">
        <v>875.0</v>
      </c>
      <c r="CI25" s="169">
        <v>284.0</v>
      </c>
      <c r="CJ25" s="169">
        <v>520.0</v>
      </c>
      <c r="CK25" s="165"/>
      <c r="CL25" s="170"/>
      <c r="CM25" s="165">
        <v>760.0</v>
      </c>
      <c r="CN25" s="169">
        <v>399.0</v>
      </c>
      <c r="CO25" s="169">
        <v>635.0</v>
      </c>
      <c r="CP25" s="165"/>
      <c r="CQ25" s="170"/>
      <c r="CR25" s="165">
        <v>645.0</v>
      </c>
      <c r="CS25" s="169">
        <v>514.0</v>
      </c>
      <c r="CT25" s="169">
        <v>750.0</v>
      </c>
      <c r="CU25" s="165"/>
      <c r="CV25" s="170"/>
      <c r="CW25" s="165">
        <v>530.0</v>
      </c>
      <c r="CX25" s="169">
        <v>629.0</v>
      </c>
      <c r="CY25" s="169">
        <v>860.0</v>
      </c>
      <c r="CZ25" s="165"/>
      <c r="DB25" s="165">
        <v>415.0</v>
      </c>
      <c r="DC25" s="169">
        <v>744.0</v>
      </c>
      <c r="DD25" s="169">
        <v>975.0</v>
      </c>
      <c r="DE25" s="165"/>
      <c r="DG25" s="165">
        <v>300.0</v>
      </c>
      <c r="DH25" s="169">
        <v>859.0</v>
      </c>
      <c r="DI25" s="169">
        <v>1090.0</v>
      </c>
      <c r="DJ25" s="165"/>
      <c r="DL25" s="165">
        <v>185.0</v>
      </c>
      <c r="DM25" s="169">
        <v>974.0</v>
      </c>
      <c r="DN25" s="169">
        <v>1205.0</v>
      </c>
      <c r="DO25" s="165"/>
      <c r="DQ25" s="165">
        <v>70.0</v>
      </c>
      <c r="DR25" s="169">
        <v>1089.0</v>
      </c>
      <c r="DS25" s="169">
        <v>1320.0</v>
      </c>
      <c r="DT25" s="165"/>
      <c r="DV25" s="167" t="s">
        <v>266</v>
      </c>
      <c r="DW25" s="169">
        <v>45.0</v>
      </c>
      <c r="DX25" s="169"/>
      <c r="DY25" s="169"/>
      <c r="DZ25" s="165"/>
    </row>
    <row r="26" ht="15.75" customHeight="1">
      <c r="A26" s="171"/>
      <c r="B26" s="163">
        <f t="shared" si="1"/>
        <v>2816</v>
      </c>
      <c r="C26" s="163">
        <v>22.0</v>
      </c>
      <c r="D26" s="172"/>
      <c r="E26" s="166"/>
      <c r="F26" s="154">
        <v>2820.0</v>
      </c>
      <c r="G26" s="154">
        <v>18.0</v>
      </c>
      <c r="H26" s="172"/>
      <c r="I26" s="166"/>
      <c r="J26" s="171">
        <v>2705.0</v>
      </c>
      <c r="K26" s="171">
        <v>133.0</v>
      </c>
      <c r="L26" s="172"/>
      <c r="M26" s="166"/>
      <c r="N26" s="171">
        <v>2590.0</v>
      </c>
      <c r="O26" s="171">
        <v>248.0</v>
      </c>
      <c r="P26" s="172"/>
      <c r="Q26" s="166"/>
      <c r="R26" s="171">
        <v>2475.0</v>
      </c>
      <c r="S26" s="171">
        <v>363.0</v>
      </c>
      <c r="T26" s="172"/>
      <c r="U26" s="166"/>
      <c r="V26" s="171">
        <v>2360.0</v>
      </c>
      <c r="W26" s="171">
        <v>478.0</v>
      </c>
      <c r="X26" s="172"/>
      <c r="Y26" s="166"/>
      <c r="Z26" s="171">
        <v>2245.0</v>
      </c>
      <c r="AA26" s="171">
        <v>593.0</v>
      </c>
      <c r="AB26" s="173"/>
      <c r="AC26" s="166"/>
      <c r="AD26" s="171">
        <v>2130.0</v>
      </c>
      <c r="AE26" s="171">
        <v>708.0</v>
      </c>
      <c r="AF26" s="173"/>
      <c r="AG26" s="166"/>
      <c r="AH26" s="171">
        <v>2015.0</v>
      </c>
      <c r="AI26" s="171">
        <v>823.0</v>
      </c>
      <c r="AJ26" s="173"/>
      <c r="AK26" s="166"/>
      <c r="AL26" s="173">
        <v>1900.0</v>
      </c>
      <c r="AM26" s="171">
        <v>938.0</v>
      </c>
      <c r="AN26" s="173"/>
      <c r="AO26" s="166"/>
      <c r="AP26" s="173">
        <v>1785.0</v>
      </c>
      <c r="AQ26" s="171">
        <v>1053.0</v>
      </c>
      <c r="AR26" s="173">
        <v>30.0</v>
      </c>
      <c r="AS26" s="173">
        <v>20.0</v>
      </c>
      <c r="AT26" s="173"/>
      <c r="AU26" s="155"/>
      <c r="AV26" s="173">
        <v>1670.0</v>
      </c>
      <c r="AW26" s="174" t="s">
        <v>266</v>
      </c>
      <c r="AX26" s="173">
        <v>145.0</v>
      </c>
      <c r="AY26" s="173">
        <v>135.0</v>
      </c>
      <c r="AZ26" s="173"/>
      <c r="BB26" s="173">
        <v>1560.0</v>
      </c>
      <c r="BC26" s="175">
        <v>255.0</v>
      </c>
      <c r="BD26" s="175">
        <v>105.0</v>
      </c>
      <c r="BE26" s="173"/>
      <c r="BG26" s="173">
        <v>1445.0</v>
      </c>
      <c r="BH26" s="175">
        <v>370.0</v>
      </c>
      <c r="BI26" s="175">
        <v>220.0</v>
      </c>
      <c r="BJ26" s="173"/>
      <c r="BL26" s="173">
        <v>1330.0</v>
      </c>
      <c r="BM26" s="175">
        <v>485.0</v>
      </c>
      <c r="BN26" s="175">
        <v>335.0</v>
      </c>
      <c r="BO26" s="175">
        <v>65.0</v>
      </c>
      <c r="BP26" s="173"/>
      <c r="BQ26" s="176"/>
      <c r="BR26" s="173">
        <v>1215.0</v>
      </c>
      <c r="BS26" s="175">
        <v>600.0</v>
      </c>
      <c r="BT26" s="169">
        <v>180.0</v>
      </c>
      <c r="BU26" s="173"/>
      <c r="BV26" s="156"/>
      <c r="BW26" s="173">
        <v>1100.0</v>
      </c>
      <c r="BX26" s="175" t="s">
        <v>266</v>
      </c>
      <c r="BY26" s="175">
        <v>59.0</v>
      </c>
      <c r="BZ26" s="169">
        <v>295.0</v>
      </c>
      <c r="CA26" s="173"/>
      <c r="CC26" s="173">
        <v>985.0</v>
      </c>
      <c r="CD26" s="175">
        <v>174.0</v>
      </c>
      <c r="CE26" s="169">
        <v>410.0</v>
      </c>
      <c r="CF26" s="173"/>
      <c r="CG26" s="170"/>
      <c r="CH26" s="173">
        <v>870.0</v>
      </c>
      <c r="CI26" s="175">
        <v>289.0</v>
      </c>
      <c r="CJ26" s="169">
        <v>525.0</v>
      </c>
      <c r="CK26" s="173"/>
      <c r="CL26" s="170"/>
      <c r="CM26" s="173">
        <v>755.0</v>
      </c>
      <c r="CN26" s="175">
        <v>404.0</v>
      </c>
      <c r="CO26" s="169">
        <v>640.0</v>
      </c>
      <c r="CP26" s="173"/>
      <c r="CQ26" s="170"/>
      <c r="CR26" s="173">
        <v>640.0</v>
      </c>
      <c r="CS26" s="175">
        <v>519.0</v>
      </c>
      <c r="CT26" s="169">
        <v>755.0</v>
      </c>
      <c r="CU26" s="173"/>
      <c r="CV26" s="170"/>
      <c r="CW26" s="173">
        <v>525.0</v>
      </c>
      <c r="CX26" s="175">
        <v>634.0</v>
      </c>
      <c r="CY26" s="169">
        <v>865.0</v>
      </c>
      <c r="CZ26" s="173"/>
      <c r="DB26" s="173">
        <v>410.0</v>
      </c>
      <c r="DC26" s="175">
        <v>749.0</v>
      </c>
      <c r="DD26" s="169">
        <v>980.0</v>
      </c>
      <c r="DE26" s="173"/>
      <c r="DG26" s="173">
        <v>295.0</v>
      </c>
      <c r="DH26" s="175">
        <v>864.0</v>
      </c>
      <c r="DI26" s="169">
        <v>1095.0</v>
      </c>
      <c r="DJ26" s="173"/>
      <c r="DL26" s="173">
        <v>180.0</v>
      </c>
      <c r="DM26" s="175">
        <v>979.0</v>
      </c>
      <c r="DN26" s="169">
        <v>1210.0</v>
      </c>
      <c r="DO26" s="173"/>
      <c r="DQ26" s="173">
        <v>65.0</v>
      </c>
      <c r="DR26" s="175">
        <v>1094.0</v>
      </c>
      <c r="DS26" s="169">
        <v>1325.0</v>
      </c>
      <c r="DT26" s="173"/>
      <c r="DV26" s="174" t="s">
        <v>266</v>
      </c>
      <c r="DW26" s="175">
        <v>50.0</v>
      </c>
      <c r="DX26" s="175"/>
      <c r="DY26" s="175"/>
      <c r="DZ26" s="173"/>
    </row>
    <row r="27" ht="15.75" customHeight="1">
      <c r="A27" s="154"/>
      <c r="B27" s="163">
        <f t="shared" si="1"/>
        <v>2815</v>
      </c>
      <c r="C27" s="163">
        <v>23.0</v>
      </c>
      <c r="D27" s="164"/>
      <c r="E27" s="166"/>
      <c r="F27" s="154">
        <v>2815.0</v>
      </c>
      <c r="G27" s="154">
        <v>23.0</v>
      </c>
      <c r="H27" s="164"/>
      <c r="I27" s="166"/>
      <c r="J27" s="154">
        <v>2700.0</v>
      </c>
      <c r="K27" s="154">
        <v>138.0</v>
      </c>
      <c r="L27" s="164"/>
      <c r="M27" s="166"/>
      <c r="N27" s="154">
        <v>2585.0</v>
      </c>
      <c r="O27" s="154">
        <v>253.0</v>
      </c>
      <c r="P27" s="164"/>
      <c r="Q27" s="166"/>
      <c r="R27" s="154">
        <v>2470.0</v>
      </c>
      <c r="S27" s="154">
        <v>368.0</v>
      </c>
      <c r="T27" s="164"/>
      <c r="U27" s="166"/>
      <c r="V27" s="154">
        <v>2355.0</v>
      </c>
      <c r="W27" s="154">
        <v>483.0</v>
      </c>
      <c r="X27" s="164"/>
      <c r="Y27" s="166"/>
      <c r="Z27" s="154">
        <v>2240.0</v>
      </c>
      <c r="AA27" s="154">
        <v>598.0</v>
      </c>
      <c r="AB27" s="165"/>
      <c r="AC27" s="166"/>
      <c r="AD27" s="154">
        <v>2125.0</v>
      </c>
      <c r="AE27" s="154">
        <v>713.0</v>
      </c>
      <c r="AF27" s="165"/>
      <c r="AG27" s="166"/>
      <c r="AH27" s="154">
        <v>2010.0</v>
      </c>
      <c r="AI27" s="154">
        <v>828.0</v>
      </c>
      <c r="AJ27" s="165"/>
      <c r="AK27" s="166"/>
      <c r="AL27" s="165">
        <v>1895.0</v>
      </c>
      <c r="AM27" s="154">
        <v>943.0</v>
      </c>
      <c r="AN27" s="165"/>
      <c r="AO27" s="166"/>
      <c r="AP27" s="165">
        <v>1780.0</v>
      </c>
      <c r="AQ27" s="154">
        <v>1058.0</v>
      </c>
      <c r="AR27" s="165">
        <v>35.0</v>
      </c>
      <c r="AS27" s="165">
        <v>25.0</v>
      </c>
      <c r="AT27" s="165"/>
      <c r="AV27" s="165">
        <v>1665.0</v>
      </c>
      <c r="AW27" s="167" t="s">
        <v>266</v>
      </c>
      <c r="AX27" s="165">
        <v>150.0</v>
      </c>
      <c r="AY27" s="167" t="s">
        <v>266</v>
      </c>
      <c r="AZ27" s="165"/>
      <c r="BB27" s="165">
        <v>1555.0</v>
      </c>
      <c r="BC27" s="169">
        <v>260.0</v>
      </c>
      <c r="BD27" s="169">
        <v>110.0</v>
      </c>
      <c r="BE27" s="167"/>
      <c r="BG27" s="165">
        <v>1440.0</v>
      </c>
      <c r="BH27" s="169">
        <v>375.0</v>
      </c>
      <c r="BI27" s="169">
        <v>225.0</v>
      </c>
      <c r="BJ27" s="167"/>
      <c r="BL27" s="165">
        <v>1325.0</v>
      </c>
      <c r="BM27" s="169">
        <v>490.0</v>
      </c>
      <c r="BN27" s="169">
        <v>340.0</v>
      </c>
      <c r="BO27" s="169">
        <v>70.0</v>
      </c>
      <c r="BP27" s="167"/>
      <c r="BQ27" s="176"/>
      <c r="BR27" s="165">
        <v>1210.0</v>
      </c>
      <c r="BS27" s="169">
        <v>605.0</v>
      </c>
      <c r="BT27" s="175">
        <v>185.0</v>
      </c>
      <c r="BU27" s="167"/>
      <c r="BV27" s="156"/>
      <c r="BW27" s="165">
        <v>1095.0</v>
      </c>
      <c r="BX27" s="169" t="s">
        <v>266</v>
      </c>
      <c r="BY27" s="169">
        <v>64.0</v>
      </c>
      <c r="BZ27" s="175">
        <v>300.0</v>
      </c>
      <c r="CA27" s="167"/>
      <c r="CC27" s="165">
        <v>980.0</v>
      </c>
      <c r="CD27" s="169">
        <v>179.0</v>
      </c>
      <c r="CE27" s="175">
        <v>415.0</v>
      </c>
      <c r="CF27" s="167"/>
      <c r="CG27" s="178"/>
      <c r="CH27" s="165">
        <v>865.0</v>
      </c>
      <c r="CI27" s="169">
        <v>294.0</v>
      </c>
      <c r="CJ27" s="175">
        <v>530.0</v>
      </c>
      <c r="CK27" s="167"/>
      <c r="CL27" s="178"/>
      <c r="CM27" s="165">
        <v>750.0</v>
      </c>
      <c r="CN27" s="169">
        <v>409.0</v>
      </c>
      <c r="CO27" s="175">
        <v>645.0</v>
      </c>
      <c r="CP27" s="167"/>
      <c r="CQ27" s="178"/>
      <c r="CR27" s="165">
        <v>635.0</v>
      </c>
      <c r="CS27" s="169">
        <v>524.0</v>
      </c>
      <c r="CT27" s="175">
        <v>760.0</v>
      </c>
      <c r="CU27" s="167"/>
      <c r="CV27" s="178"/>
      <c r="CW27" s="165">
        <v>520.0</v>
      </c>
      <c r="CX27" s="169">
        <v>639.0</v>
      </c>
      <c r="CY27" s="175">
        <v>870.0</v>
      </c>
      <c r="CZ27" s="167"/>
      <c r="DB27" s="165">
        <v>405.0</v>
      </c>
      <c r="DC27" s="169">
        <v>754.0</v>
      </c>
      <c r="DD27" s="175">
        <v>985.0</v>
      </c>
      <c r="DE27" s="167"/>
      <c r="DG27" s="165">
        <v>290.0</v>
      </c>
      <c r="DH27" s="169">
        <v>869.0</v>
      </c>
      <c r="DI27" s="175">
        <v>1100.0</v>
      </c>
      <c r="DJ27" s="167"/>
      <c r="DL27" s="165">
        <v>175.0</v>
      </c>
      <c r="DM27" s="169">
        <v>984.0</v>
      </c>
      <c r="DN27" s="175">
        <v>1215.0</v>
      </c>
      <c r="DO27" s="167"/>
      <c r="DQ27" s="165">
        <v>60.0</v>
      </c>
      <c r="DR27" s="169">
        <v>1099.0</v>
      </c>
      <c r="DS27" s="175">
        <v>1330.0</v>
      </c>
      <c r="DT27" s="167"/>
      <c r="DV27" s="167" t="s">
        <v>266</v>
      </c>
      <c r="DW27" s="169">
        <v>55.0</v>
      </c>
      <c r="DX27" s="169"/>
      <c r="DY27" s="169"/>
      <c r="DZ27" s="167"/>
    </row>
    <row r="28" ht="15.75" customHeight="1">
      <c r="B28" s="163">
        <f t="shared" si="1"/>
        <v>2814</v>
      </c>
      <c r="C28" s="163">
        <v>24.0</v>
      </c>
      <c r="R28" s="154"/>
      <c r="S28" s="154"/>
      <c r="T28" s="165"/>
      <c r="U28" s="166"/>
      <c r="V28" s="154"/>
      <c r="W28" s="154"/>
      <c r="X28" s="165"/>
      <c r="Y28" s="166"/>
      <c r="BQ28" s="156"/>
      <c r="BV28" s="156"/>
      <c r="BW28" s="155"/>
      <c r="CG28" s="157"/>
      <c r="CL28" s="157"/>
      <c r="CQ28" s="157"/>
      <c r="CV28" s="157"/>
    </row>
    <row r="29" ht="15.75" customHeight="1">
      <c r="B29" s="163">
        <f t="shared" si="1"/>
        <v>2813</v>
      </c>
      <c r="C29" s="163">
        <v>25.0</v>
      </c>
      <c r="BQ29" s="156"/>
      <c r="BV29" s="156"/>
      <c r="CG29" s="157"/>
      <c r="CL29" s="157"/>
      <c r="CQ29" s="157"/>
      <c r="CV29" s="157"/>
    </row>
    <row r="30" ht="15.75" customHeight="1">
      <c r="B30" s="163">
        <f t="shared" si="1"/>
        <v>2812</v>
      </c>
      <c r="C30" s="163">
        <v>26.0</v>
      </c>
      <c r="BQ30" s="156"/>
      <c r="BV30" s="156"/>
      <c r="CG30" s="157"/>
      <c r="CL30" s="157"/>
      <c r="CQ30" s="157"/>
      <c r="CV30" s="157"/>
    </row>
    <row r="31" ht="15.75" customHeight="1">
      <c r="B31" s="163">
        <f t="shared" si="1"/>
        <v>2811</v>
      </c>
      <c r="C31" s="163">
        <v>27.0</v>
      </c>
      <c r="BQ31" s="156"/>
      <c r="BV31" s="156"/>
      <c r="CG31" s="157"/>
      <c r="CL31" s="157"/>
      <c r="CQ31" s="157"/>
      <c r="CV31" s="157"/>
    </row>
    <row r="32" ht="15.75" customHeight="1">
      <c r="B32" s="163">
        <f t="shared" si="1"/>
        <v>2810</v>
      </c>
      <c r="C32" s="163">
        <v>28.0</v>
      </c>
      <c r="BQ32" s="156"/>
      <c r="BV32" s="156"/>
      <c r="CG32" s="157"/>
      <c r="CL32" s="157"/>
      <c r="CQ32" s="157"/>
      <c r="CV32" s="157"/>
    </row>
    <row r="33" ht="15.75" customHeight="1">
      <c r="B33" s="163">
        <f t="shared" si="1"/>
        <v>2809</v>
      </c>
      <c r="C33" s="163">
        <v>29.0</v>
      </c>
      <c r="BQ33" s="156"/>
      <c r="BV33" s="156"/>
      <c r="CG33" s="157"/>
      <c r="CL33" s="157"/>
      <c r="CQ33" s="157"/>
      <c r="CV33" s="157"/>
    </row>
    <row r="34" ht="15.75" customHeight="1">
      <c r="B34" s="163">
        <f t="shared" si="1"/>
        <v>2808</v>
      </c>
      <c r="C34" s="163">
        <v>30.0</v>
      </c>
      <c r="BQ34" s="156"/>
      <c r="BV34" s="156"/>
      <c r="CG34" s="157"/>
      <c r="CL34" s="157"/>
      <c r="CQ34" s="157"/>
      <c r="CV34" s="157"/>
    </row>
    <row r="35" ht="15.75" customHeight="1">
      <c r="B35" s="163">
        <f t="shared" si="1"/>
        <v>2807</v>
      </c>
      <c r="C35" s="163">
        <v>31.0</v>
      </c>
      <c r="BQ35" s="156"/>
      <c r="BV35" s="156"/>
      <c r="CG35" s="157"/>
      <c r="CL35" s="157"/>
      <c r="CQ35" s="157"/>
      <c r="CV35" s="157"/>
    </row>
    <row r="36" ht="15.75" customHeight="1">
      <c r="B36" s="163">
        <f t="shared" si="1"/>
        <v>2806</v>
      </c>
      <c r="C36" s="163">
        <v>32.0</v>
      </c>
      <c r="BQ36" s="156"/>
      <c r="BV36" s="156"/>
      <c r="CG36" s="157"/>
      <c r="CL36" s="157"/>
      <c r="CQ36" s="157"/>
      <c r="CV36" s="157"/>
    </row>
    <row r="37" ht="15.75" customHeight="1">
      <c r="B37" s="163">
        <f t="shared" si="1"/>
        <v>2805</v>
      </c>
      <c r="C37" s="163">
        <v>33.0</v>
      </c>
      <c r="BQ37" s="156"/>
      <c r="BV37" s="156"/>
      <c r="CG37" s="157"/>
      <c r="CL37" s="157"/>
      <c r="CQ37" s="157"/>
      <c r="CV37" s="157"/>
    </row>
    <row r="38" ht="15.75" customHeight="1">
      <c r="B38" s="163">
        <f t="shared" si="1"/>
        <v>2804</v>
      </c>
      <c r="C38" s="163">
        <v>34.0</v>
      </c>
      <c r="BQ38" s="156"/>
      <c r="BV38" s="156"/>
      <c r="CG38" s="157"/>
      <c r="CL38" s="157"/>
      <c r="CQ38" s="157"/>
      <c r="CV38" s="157"/>
    </row>
    <row r="39" ht="15.75" customHeight="1">
      <c r="B39" s="163">
        <f t="shared" si="1"/>
        <v>2803</v>
      </c>
      <c r="C39" s="163">
        <v>35.0</v>
      </c>
      <c r="BQ39" s="156"/>
      <c r="BV39" s="156"/>
      <c r="CG39" s="157"/>
      <c r="CL39" s="157"/>
      <c r="CQ39" s="157"/>
      <c r="CV39" s="157"/>
    </row>
    <row r="40" ht="15.75" customHeight="1">
      <c r="B40" s="163">
        <f t="shared" si="1"/>
        <v>2802</v>
      </c>
      <c r="C40" s="163">
        <v>36.0</v>
      </c>
      <c r="BQ40" s="156"/>
      <c r="BV40" s="156"/>
      <c r="CG40" s="157"/>
      <c r="CL40" s="157"/>
      <c r="CQ40" s="157"/>
      <c r="CV40" s="157"/>
    </row>
    <row r="41" ht="15.75" customHeight="1">
      <c r="B41" s="163">
        <f t="shared" si="1"/>
        <v>2801</v>
      </c>
      <c r="C41" s="163">
        <v>37.0</v>
      </c>
      <c r="BQ41" s="156"/>
      <c r="BV41" s="156"/>
      <c r="CG41" s="157"/>
      <c r="CL41" s="157"/>
      <c r="CQ41" s="157"/>
      <c r="CV41" s="157"/>
    </row>
    <row r="42" ht="15.75" customHeight="1">
      <c r="B42" s="163">
        <f t="shared" si="1"/>
        <v>2800</v>
      </c>
      <c r="C42" s="163">
        <v>38.0</v>
      </c>
      <c r="BQ42" s="156"/>
      <c r="BV42" s="156"/>
      <c r="CG42" s="157"/>
      <c r="CL42" s="157"/>
      <c r="CQ42" s="157"/>
      <c r="CV42" s="157"/>
    </row>
    <row r="43" ht="15.75" customHeight="1">
      <c r="B43" s="163">
        <f t="shared" si="1"/>
        <v>2799</v>
      </c>
      <c r="C43" s="163">
        <v>39.0</v>
      </c>
      <c r="BQ43" s="156"/>
      <c r="BV43" s="156"/>
      <c r="CG43" s="157"/>
      <c r="CL43" s="157"/>
      <c r="CQ43" s="157"/>
      <c r="CV43" s="157"/>
    </row>
    <row r="44" ht="15.75" customHeight="1">
      <c r="B44" s="163">
        <f t="shared" si="1"/>
        <v>2798</v>
      </c>
      <c r="C44" s="163">
        <v>40.0</v>
      </c>
      <c r="BQ44" s="156"/>
      <c r="BV44" s="156"/>
      <c r="CG44" s="157"/>
      <c r="CL44" s="157"/>
      <c r="CQ44" s="157"/>
      <c r="CV44" s="157"/>
    </row>
    <row r="45" ht="15.75" customHeight="1">
      <c r="B45" s="163">
        <f t="shared" si="1"/>
        <v>2797</v>
      </c>
      <c r="C45" s="163">
        <v>41.0</v>
      </c>
      <c r="BQ45" s="156"/>
      <c r="BV45" s="156"/>
      <c r="CG45" s="157"/>
      <c r="CL45" s="157"/>
      <c r="CQ45" s="157"/>
      <c r="CV45" s="157"/>
    </row>
    <row r="46" ht="15.75" customHeight="1">
      <c r="B46" s="163">
        <f t="shared" si="1"/>
        <v>2796</v>
      </c>
      <c r="C46" s="163">
        <v>42.0</v>
      </c>
      <c r="BQ46" s="156"/>
      <c r="BV46" s="156"/>
      <c r="CG46" s="157"/>
      <c r="CL46" s="157"/>
      <c r="CQ46" s="157"/>
      <c r="CV46" s="157"/>
    </row>
    <row r="47" ht="15.75" customHeight="1">
      <c r="B47" s="163">
        <f t="shared" si="1"/>
        <v>2795</v>
      </c>
      <c r="C47" s="163">
        <v>43.0</v>
      </c>
      <c r="BQ47" s="156"/>
      <c r="BV47" s="156"/>
      <c r="CG47" s="157"/>
      <c r="CL47" s="157"/>
      <c r="CQ47" s="157"/>
      <c r="CV47" s="157"/>
    </row>
    <row r="48" ht="15.75" customHeight="1">
      <c r="B48" s="163">
        <f t="shared" si="1"/>
        <v>2794</v>
      </c>
      <c r="C48" s="163">
        <v>44.0</v>
      </c>
      <c r="BQ48" s="156"/>
      <c r="BV48" s="156"/>
      <c r="CG48" s="157"/>
      <c r="CL48" s="157"/>
      <c r="CQ48" s="157"/>
      <c r="CV48" s="157"/>
    </row>
    <row r="49" ht="15.75" customHeight="1">
      <c r="B49" s="163">
        <f t="shared" si="1"/>
        <v>2793</v>
      </c>
      <c r="C49" s="163">
        <v>45.0</v>
      </c>
      <c r="BQ49" s="156"/>
      <c r="BV49" s="156"/>
      <c r="CG49" s="157"/>
      <c r="CL49" s="157"/>
      <c r="CQ49" s="157"/>
      <c r="CV49" s="157"/>
    </row>
    <row r="50" ht="15.75" customHeight="1">
      <c r="B50" s="163">
        <f t="shared" si="1"/>
        <v>2792</v>
      </c>
      <c r="C50" s="163">
        <v>46.0</v>
      </c>
      <c r="BQ50" s="156"/>
      <c r="BV50" s="156"/>
      <c r="CG50" s="157"/>
      <c r="CL50" s="157"/>
      <c r="CQ50" s="157"/>
      <c r="CV50" s="157"/>
    </row>
    <row r="51" ht="15.75" customHeight="1">
      <c r="B51" s="163">
        <f t="shared" si="1"/>
        <v>2791</v>
      </c>
      <c r="C51" s="163">
        <v>47.0</v>
      </c>
      <c r="BQ51" s="156"/>
      <c r="BV51" s="156"/>
      <c r="CG51" s="157"/>
      <c r="CL51" s="157"/>
      <c r="CQ51" s="157"/>
      <c r="CV51" s="157"/>
    </row>
    <row r="52" ht="15.75" customHeight="1">
      <c r="B52" s="163">
        <f t="shared" si="1"/>
        <v>2790</v>
      </c>
      <c r="C52" s="163">
        <v>48.0</v>
      </c>
      <c r="BQ52" s="156"/>
      <c r="BV52" s="156"/>
      <c r="CG52" s="157"/>
      <c r="CL52" s="157"/>
      <c r="CQ52" s="157"/>
      <c r="CV52" s="157"/>
    </row>
    <row r="53" ht="15.75" customHeight="1">
      <c r="B53" s="163">
        <f t="shared" si="1"/>
        <v>2789</v>
      </c>
      <c r="C53" s="163">
        <v>49.0</v>
      </c>
      <c r="BQ53" s="156"/>
      <c r="BV53" s="156"/>
      <c r="CG53" s="157"/>
      <c r="CL53" s="157"/>
      <c r="CQ53" s="157"/>
      <c r="CV53" s="157"/>
    </row>
    <row r="54" ht="15.75" customHeight="1">
      <c r="B54" s="163">
        <f t="shared" si="1"/>
        <v>2788</v>
      </c>
      <c r="C54" s="163">
        <v>50.0</v>
      </c>
      <c r="BQ54" s="156"/>
      <c r="BV54" s="156"/>
      <c r="CG54" s="157"/>
      <c r="CL54" s="157"/>
      <c r="CQ54" s="157"/>
      <c r="CV54" s="157"/>
    </row>
    <row r="55" ht="15.75" customHeight="1">
      <c r="B55" s="163">
        <f t="shared" si="1"/>
        <v>2787</v>
      </c>
      <c r="C55" s="163">
        <v>51.0</v>
      </c>
      <c r="BQ55" s="156"/>
      <c r="BV55" s="156"/>
      <c r="CG55" s="157"/>
      <c r="CL55" s="157"/>
      <c r="CQ55" s="157"/>
      <c r="CV55" s="157"/>
    </row>
    <row r="56" ht="15.75" customHeight="1">
      <c r="B56" s="163">
        <f t="shared" si="1"/>
        <v>2786</v>
      </c>
      <c r="C56" s="163">
        <v>52.0</v>
      </c>
      <c r="BQ56" s="156"/>
      <c r="BV56" s="156"/>
      <c r="CG56" s="157"/>
      <c r="CL56" s="157"/>
      <c r="CQ56" s="157"/>
      <c r="CV56" s="157"/>
    </row>
    <row r="57" ht="15.75" customHeight="1">
      <c r="B57" s="163">
        <f t="shared" si="1"/>
        <v>2785</v>
      </c>
      <c r="C57" s="163">
        <v>53.0</v>
      </c>
      <c r="BQ57" s="156"/>
      <c r="BV57" s="156"/>
      <c r="CG57" s="157"/>
      <c r="CL57" s="157"/>
      <c r="CQ57" s="157"/>
      <c r="CV57" s="157"/>
    </row>
    <row r="58" ht="15.75" customHeight="1">
      <c r="B58" s="163">
        <f t="shared" si="1"/>
        <v>2784</v>
      </c>
      <c r="C58" s="163">
        <v>54.0</v>
      </c>
      <c r="BQ58" s="156"/>
      <c r="BV58" s="156"/>
      <c r="CG58" s="157"/>
      <c r="CL58" s="157"/>
      <c r="CQ58" s="157"/>
      <c r="CV58" s="157"/>
    </row>
    <row r="59" ht="15.75" customHeight="1">
      <c r="B59" s="163">
        <f t="shared" si="1"/>
        <v>2783</v>
      </c>
      <c r="C59" s="163">
        <v>55.0</v>
      </c>
      <c r="BQ59" s="156"/>
      <c r="BV59" s="156"/>
      <c r="CG59" s="157"/>
      <c r="CL59" s="157"/>
      <c r="CQ59" s="157"/>
      <c r="CV59" s="157"/>
    </row>
    <row r="60" ht="15.75" customHeight="1">
      <c r="B60" s="163">
        <f t="shared" si="1"/>
        <v>2782</v>
      </c>
      <c r="C60" s="163">
        <v>56.0</v>
      </c>
      <c r="BQ60" s="156"/>
      <c r="BV60" s="156"/>
      <c r="CG60" s="157"/>
      <c r="CL60" s="157"/>
      <c r="CQ60" s="157"/>
      <c r="CV60" s="157"/>
    </row>
    <row r="61" ht="15.75" customHeight="1">
      <c r="B61" s="163">
        <f t="shared" si="1"/>
        <v>2781</v>
      </c>
      <c r="C61" s="163">
        <v>57.0</v>
      </c>
      <c r="BQ61" s="156"/>
      <c r="BV61" s="156"/>
      <c r="CG61" s="157"/>
      <c r="CL61" s="157"/>
      <c r="CQ61" s="157"/>
      <c r="CV61" s="157"/>
    </row>
    <row r="62" ht="15.75" customHeight="1">
      <c r="B62" s="163">
        <f t="shared" si="1"/>
        <v>2780</v>
      </c>
      <c r="C62" s="163">
        <v>58.0</v>
      </c>
      <c r="BQ62" s="156"/>
      <c r="BV62" s="156"/>
      <c r="CG62" s="157"/>
      <c r="CL62" s="157"/>
      <c r="CQ62" s="157"/>
      <c r="CV62" s="157"/>
    </row>
    <row r="63" ht="15.75" customHeight="1">
      <c r="B63" s="163">
        <f t="shared" si="1"/>
        <v>2779</v>
      </c>
      <c r="C63" s="163">
        <v>59.0</v>
      </c>
      <c r="BQ63" s="156"/>
      <c r="BV63" s="156"/>
      <c r="CG63" s="157"/>
      <c r="CL63" s="157"/>
      <c r="CQ63" s="157"/>
      <c r="CV63" s="157"/>
    </row>
    <row r="64" ht="15.75" customHeight="1">
      <c r="B64" s="163">
        <f t="shared" si="1"/>
        <v>2778</v>
      </c>
      <c r="C64" s="163">
        <v>60.0</v>
      </c>
      <c r="BQ64" s="156"/>
      <c r="BV64" s="156"/>
      <c r="CG64" s="157"/>
      <c r="CL64" s="157"/>
      <c r="CQ64" s="157"/>
      <c r="CV64" s="157"/>
    </row>
    <row r="65" ht="15.75" customHeight="1">
      <c r="B65" s="163">
        <f t="shared" si="1"/>
        <v>2777</v>
      </c>
      <c r="C65" s="163">
        <v>61.0</v>
      </c>
      <c r="BQ65" s="156"/>
      <c r="BV65" s="156"/>
      <c r="CG65" s="157"/>
      <c r="CL65" s="157"/>
      <c r="CQ65" s="157"/>
      <c r="CV65" s="157"/>
    </row>
    <row r="66" ht="15.75" customHeight="1">
      <c r="B66" s="163">
        <f t="shared" si="1"/>
        <v>2776</v>
      </c>
      <c r="C66" s="163">
        <v>62.0</v>
      </c>
      <c r="BQ66" s="156"/>
      <c r="BV66" s="156"/>
      <c r="CG66" s="157"/>
      <c r="CL66" s="157"/>
      <c r="CQ66" s="157"/>
      <c r="CV66" s="157"/>
    </row>
    <row r="67" ht="15.75" customHeight="1">
      <c r="B67" s="163">
        <f t="shared" si="1"/>
        <v>2775</v>
      </c>
      <c r="C67" s="163">
        <v>63.0</v>
      </c>
      <c r="BQ67" s="156"/>
      <c r="BV67" s="156"/>
      <c r="CG67" s="157"/>
      <c r="CL67" s="157"/>
      <c r="CQ67" s="157"/>
      <c r="CV67" s="157"/>
    </row>
    <row r="68" ht="15.75" customHeight="1">
      <c r="B68" s="163">
        <f t="shared" si="1"/>
        <v>2774</v>
      </c>
      <c r="C68" s="163">
        <v>64.0</v>
      </c>
      <c r="BQ68" s="156"/>
      <c r="BV68" s="156"/>
      <c r="CG68" s="157"/>
      <c r="CL68" s="157"/>
      <c r="CQ68" s="157"/>
      <c r="CV68" s="157"/>
    </row>
    <row r="69" ht="15.75" customHeight="1">
      <c r="B69" s="163">
        <f t="shared" si="1"/>
        <v>2773</v>
      </c>
      <c r="C69" s="163">
        <v>65.0</v>
      </c>
      <c r="BQ69" s="156"/>
      <c r="BV69" s="156"/>
      <c r="CG69" s="157"/>
      <c r="CL69" s="157"/>
      <c r="CQ69" s="157"/>
      <c r="CV69" s="157"/>
    </row>
    <row r="70" ht="15.75" customHeight="1">
      <c r="B70" s="163">
        <f t="shared" si="1"/>
        <v>2772</v>
      </c>
      <c r="C70" s="163">
        <v>66.0</v>
      </c>
      <c r="BQ70" s="156"/>
      <c r="BV70" s="156"/>
      <c r="CG70" s="157"/>
      <c r="CL70" s="157"/>
      <c r="CQ70" s="157"/>
      <c r="CV70" s="157"/>
    </row>
    <row r="71" ht="15.75" customHeight="1">
      <c r="B71" s="163">
        <f t="shared" si="1"/>
        <v>2771</v>
      </c>
      <c r="C71" s="163">
        <v>67.0</v>
      </c>
      <c r="BQ71" s="156"/>
      <c r="BV71" s="156"/>
      <c r="CG71" s="157"/>
      <c r="CL71" s="157"/>
      <c r="CQ71" s="157"/>
      <c r="CV71" s="157"/>
    </row>
    <row r="72" ht="15.75" customHeight="1">
      <c r="B72" s="163">
        <f t="shared" si="1"/>
        <v>2770</v>
      </c>
      <c r="C72" s="163">
        <v>68.0</v>
      </c>
      <c r="BQ72" s="156"/>
      <c r="BV72" s="156"/>
      <c r="CG72" s="157"/>
      <c r="CL72" s="157"/>
      <c r="CQ72" s="157"/>
      <c r="CV72" s="157"/>
    </row>
    <row r="73" ht="15.75" customHeight="1">
      <c r="B73" s="163">
        <f t="shared" si="1"/>
        <v>2769</v>
      </c>
      <c r="C73" s="163">
        <v>69.0</v>
      </c>
      <c r="BQ73" s="156"/>
      <c r="BV73" s="156"/>
      <c r="CG73" s="157"/>
      <c r="CL73" s="157"/>
      <c r="CQ73" s="157"/>
      <c r="CV73" s="157"/>
    </row>
    <row r="74" ht="15.75" customHeight="1">
      <c r="B74" s="163">
        <f t="shared" si="1"/>
        <v>2768</v>
      </c>
      <c r="C74" s="163">
        <v>70.0</v>
      </c>
      <c r="BQ74" s="156"/>
      <c r="BV74" s="156"/>
      <c r="CG74" s="157"/>
      <c r="CL74" s="157"/>
      <c r="CQ74" s="157"/>
      <c r="CV74" s="157"/>
    </row>
    <row r="75" ht="15.75" customHeight="1">
      <c r="B75" s="163">
        <f t="shared" si="1"/>
        <v>2767</v>
      </c>
      <c r="C75" s="163">
        <v>71.0</v>
      </c>
      <c r="BQ75" s="156"/>
      <c r="BV75" s="156"/>
      <c r="CG75" s="157"/>
      <c r="CL75" s="157"/>
      <c r="CQ75" s="157"/>
      <c r="CV75" s="157"/>
    </row>
    <row r="76" ht="15.75" customHeight="1">
      <c r="B76" s="163">
        <f t="shared" si="1"/>
        <v>2766</v>
      </c>
      <c r="C76" s="163">
        <v>72.0</v>
      </c>
      <c r="BQ76" s="156"/>
      <c r="BV76" s="156"/>
      <c r="CG76" s="157"/>
      <c r="CL76" s="157"/>
      <c r="CQ76" s="157"/>
      <c r="CV76" s="157"/>
    </row>
    <row r="77" ht="15.75" customHeight="1">
      <c r="B77" s="163">
        <f t="shared" si="1"/>
        <v>2765</v>
      </c>
      <c r="C77" s="163">
        <v>73.0</v>
      </c>
      <c r="BQ77" s="156"/>
      <c r="BV77" s="156"/>
      <c r="CG77" s="157"/>
      <c r="CL77" s="157"/>
      <c r="CQ77" s="157"/>
      <c r="CV77" s="157"/>
    </row>
    <row r="78" ht="15.75" customHeight="1">
      <c r="B78" s="163">
        <f t="shared" si="1"/>
        <v>2764</v>
      </c>
      <c r="C78" s="163">
        <v>74.0</v>
      </c>
      <c r="BQ78" s="156"/>
      <c r="BV78" s="156"/>
      <c r="CG78" s="157"/>
      <c r="CL78" s="157"/>
      <c r="CQ78" s="157"/>
      <c r="CV78" s="157"/>
    </row>
    <row r="79" ht="15.75" customHeight="1">
      <c r="B79" s="163">
        <f t="shared" si="1"/>
        <v>2763</v>
      </c>
      <c r="C79" s="163">
        <v>75.0</v>
      </c>
      <c r="BQ79" s="156"/>
      <c r="BV79" s="156"/>
      <c r="CG79" s="157"/>
      <c r="CL79" s="157"/>
      <c r="CQ79" s="157"/>
      <c r="CV79" s="157"/>
    </row>
    <row r="80" ht="15.75" customHeight="1">
      <c r="B80" s="163">
        <f t="shared" si="1"/>
        <v>2762</v>
      </c>
      <c r="C80" s="163">
        <v>76.0</v>
      </c>
      <c r="BQ80" s="156"/>
      <c r="BV80" s="156"/>
      <c r="CG80" s="157"/>
      <c r="CL80" s="157"/>
      <c r="CQ80" s="157"/>
      <c r="CV80" s="157"/>
    </row>
    <row r="81" ht="15.75" customHeight="1">
      <c r="B81" s="163">
        <f t="shared" si="1"/>
        <v>2761</v>
      </c>
      <c r="C81" s="163">
        <v>77.0</v>
      </c>
      <c r="BQ81" s="156"/>
      <c r="BV81" s="156"/>
      <c r="CG81" s="157"/>
      <c r="CL81" s="157"/>
      <c r="CQ81" s="157"/>
      <c r="CV81" s="157"/>
    </row>
    <row r="82" ht="15.75" customHeight="1">
      <c r="B82" s="163">
        <f t="shared" si="1"/>
        <v>2760</v>
      </c>
      <c r="C82" s="163">
        <v>78.0</v>
      </c>
      <c r="BQ82" s="156"/>
      <c r="BV82" s="156"/>
      <c r="CG82" s="157"/>
      <c r="CL82" s="157"/>
      <c r="CQ82" s="157"/>
      <c r="CV82" s="157"/>
    </row>
    <row r="83" ht="15.75" customHeight="1">
      <c r="B83" s="163">
        <f t="shared" si="1"/>
        <v>2759</v>
      </c>
      <c r="C83" s="163">
        <v>79.0</v>
      </c>
      <c r="BQ83" s="156"/>
      <c r="BV83" s="156"/>
      <c r="CG83" s="157"/>
      <c r="CL83" s="157"/>
      <c r="CQ83" s="157"/>
      <c r="CV83" s="157"/>
    </row>
    <row r="84" ht="15.75" customHeight="1">
      <c r="B84" s="163">
        <f t="shared" si="1"/>
        <v>2758</v>
      </c>
      <c r="C84" s="163">
        <v>80.0</v>
      </c>
      <c r="BQ84" s="156"/>
      <c r="BV84" s="156"/>
      <c r="CG84" s="157"/>
      <c r="CL84" s="157"/>
      <c r="CQ84" s="157"/>
      <c r="CV84" s="157"/>
    </row>
    <row r="85" ht="15.75" customHeight="1">
      <c r="B85" s="163">
        <f t="shared" si="1"/>
        <v>2757</v>
      </c>
      <c r="C85" s="163">
        <v>81.0</v>
      </c>
      <c r="BQ85" s="156"/>
      <c r="BV85" s="156"/>
      <c r="CG85" s="157"/>
      <c r="CL85" s="157"/>
      <c r="CQ85" s="157"/>
      <c r="CV85" s="157"/>
    </row>
    <row r="86" ht="15.75" customHeight="1">
      <c r="B86" s="163">
        <f t="shared" si="1"/>
        <v>2756</v>
      </c>
      <c r="C86" s="163">
        <v>82.0</v>
      </c>
      <c r="BQ86" s="156"/>
      <c r="BV86" s="156"/>
      <c r="CG86" s="157"/>
      <c r="CL86" s="157"/>
      <c r="CQ86" s="157"/>
      <c r="CV86" s="157"/>
    </row>
    <row r="87" ht="15.75" customHeight="1">
      <c r="B87" s="163">
        <f t="shared" si="1"/>
        <v>2755</v>
      </c>
      <c r="C87" s="163">
        <v>83.0</v>
      </c>
      <c r="BQ87" s="156"/>
      <c r="BV87" s="156"/>
      <c r="CG87" s="157"/>
      <c r="CL87" s="157"/>
      <c r="CQ87" s="157"/>
      <c r="CV87" s="157"/>
    </row>
    <row r="88" ht="15.75" customHeight="1">
      <c r="B88" s="163">
        <f t="shared" si="1"/>
        <v>2754</v>
      </c>
      <c r="C88" s="163">
        <v>84.0</v>
      </c>
      <c r="BQ88" s="156"/>
      <c r="BV88" s="156"/>
      <c r="CG88" s="157"/>
      <c r="CL88" s="157"/>
      <c r="CQ88" s="157"/>
      <c r="CV88" s="157"/>
    </row>
    <row r="89" ht="15.75" customHeight="1">
      <c r="B89" s="163">
        <f t="shared" si="1"/>
        <v>2753</v>
      </c>
      <c r="C89" s="163">
        <v>85.0</v>
      </c>
      <c r="BQ89" s="156"/>
      <c r="BV89" s="156"/>
      <c r="CG89" s="157"/>
      <c r="CL89" s="157"/>
      <c r="CQ89" s="157"/>
      <c r="CV89" s="157"/>
    </row>
    <row r="90" ht="15.75" customHeight="1">
      <c r="B90" s="163">
        <f t="shared" si="1"/>
        <v>2752</v>
      </c>
      <c r="C90" s="163">
        <v>86.0</v>
      </c>
      <c r="BQ90" s="156"/>
      <c r="BV90" s="156"/>
      <c r="CG90" s="157"/>
      <c r="CL90" s="157"/>
      <c r="CQ90" s="157"/>
      <c r="CV90" s="157"/>
    </row>
    <row r="91" ht="15.75" customHeight="1">
      <c r="B91" s="163">
        <f t="shared" si="1"/>
        <v>2751</v>
      </c>
      <c r="C91" s="163">
        <v>87.0</v>
      </c>
      <c r="BQ91" s="156"/>
      <c r="BV91" s="156"/>
      <c r="CG91" s="157"/>
      <c r="CL91" s="157"/>
      <c r="CQ91" s="157"/>
      <c r="CV91" s="157"/>
    </row>
    <row r="92" ht="15.75" customHeight="1">
      <c r="B92" s="163">
        <f t="shared" si="1"/>
        <v>2750</v>
      </c>
      <c r="C92" s="163">
        <v>88.0</v>
      </c>
      <c r="BQ92" s="156"/>
      <c r="BV92" s="156"/>
      <c r="CG92" s="157"/>
      <c r="CL92" s="157"/>
      <c r="CQ92" s="157"/>
      <c r="CV92" s="157"/>
    </row>
    <row r="93" ht="15.75" customHeight="1">
      <c r="B93" s="163">
        <f t="shared" si="1"/>
        <v>2749</v>
      </c>
      <c r="C93" s="163">
        <v>89.0</v>
      </c>
      <c r="BQ93" s="156"/>
      <c r="BV93" s="156"/>
      <c r="CG93" s="157"/>
      <c r="CL93" s="157"/>
      <c r="CQ93" s="157"/>
      <c r="CV93" s="157"/>
    </row>
    <row r="94" ht="15.75" customHeight="1">
      <c r="B94" s="163">
        <f t="shared" si="1"/>
        <v>2748</v>
      </c>
      <c r="C94" s="163">
        <v>90.0</v>
      </c>
      <c r="BQ94" s="156"/>
      <c r="BV94" s="156"/>
      <c r="CG94" s="157"/>
      <c r="CL94" s="157"/>
      <c r="CQ94" s="157"/>
      <c r="CV94" s="157"/>
    </row>
    <row r="95" ht="15.75" customHeight="1">
      <c r="B95" s="163">
        <f t="shared" si="1"/>
        <v>2747</v>
      </c>
      <c r="C95" s="163">
        <v>91.0</v>
      </c>
      <c r="BQ95" s="156"/>
      <c r="BV95" s="156"/>
      <c r="CG95" s="157"/>
      <c r="CL95" s="157"/>
      <c r="CQ95" s="157"/>
      <c r="CV95" s="157"/>
    </row>
    <row r="96" ht="15.75" customHeight="1">
      <c r="B96" s="163">
        <f t="shared" si="1"/>
        <v>2746</v>
      </c>
      <c r="C96" s="163">
        <v>92.0</v>
      </c>
      <c r="BQ96" s="156"/>
      <c r="BV96" s="156"/>
      <c r="CG96" s="157"/>
      <c r="CL96" s="157"/>
      <c r="CQ96" s="157"/>
      <c r="CV96" s="157"/>
    </row>
    <row r="97" ht="15.75" customHeight="1">
      <c r="B97" s="163">
        <f t="shared" si="1"/>
        <v>2745</v>
      </c>
      <c r="C97" s="163">
        <v>93.0</v>
      </c>
      <c r="BQ97" s="156"/>
      <c r="BV97" s="156"/>
      <c r="CG97" s="157"/>
      <c r="CL97" s="157"/>
      <c r="CQ97" s="157"/>
      <c r="CV97" s="157"/>
    </row>
    <row r="98" ht="15.75" customHeight="1">
      <c r="B98" s="163">
        <f t="shared" si="1"/>
        <v>2744</v>
      </c>
      <c r="C98" s="163">
        <v>94.0</v>
      </c>
      <c r="BQ98" s="156"/>
      <c r="BV98" s="156"/>
      <c r="CG98" s="157"/>
      <c r="CL98" s="157"/>
      <c r="CQ98" s="157"/>
      <c r="CV98" s="157"/>
    </row>
    <row r="99" ht="15.75" customHeight="1">
      <c r="B99" s="163">
        <f t="shared" si="1"/>
        <v>2743</v>
      </c>
      <c r="C99" s="163">
        <v>95.0</v>
      </c>
      <c r="BQ99" s="156"/>
      <c r="BV99" s="156"/>
      <c r="CG99" s="157"/>
      <c r="CL99" s="157"/>
      <c r="CQ99" s="157"/>
      <c r="CV99" s="157"/>
    </row>
    <row r="100" ht="15.75" customHeight="1">
      <c r="B100" s="163">
        <f t="shared" si="1"/>
        <v>2742</v>
      </c>
      <c r="C100" s="163">
        <v>96.0</v>
      </c>
      <c r="BQ100" s="156"/>
      <c r="BV100" s="156"/>
      <c r="CG100" s="157"/>
      <c r="CL100" s="157"/>
      <c r="CQ100" s="157"/>
      <c r="CV100" s="157"/>
    </row>
    <row r="101" ht="15.75" customHeight="1">
      <c r="B101" s="163">
        <f t="shared" si="1"/>
        <v>2741</v>
      </c>
      <c r="C101" s="163">
        <v>97.0</v>
      </c>
      <c r="BQ101" s="156"/>
      <c r="BV101" s="156"/>
      <c r="CG101" s="157"/>
      <c r="CL101" s="157"/>
      <c r="CQ101" s="157"/>
      <c r="CV101" s="157"/>
    </row>
    <row r="102" ht="15.75" customHeight="1">
      <c r="B102" s="163">
        <f t="shared" si="1"/>
        <v>2740</v>
      </c>
      <c r="C102" s="163">
        <v>98.0</v>
      </c>
      <c r="BQ102" s="156"/>
      <c r="BV102" s="156"/>
      <c r="CG102" s="157"/>
      <c r="CL102" s="157"/>
      <c r="CQ102" s="157"/>
      <c r="CV102" s="157"/>
    </row>
    <row r="103" ht="15.75" customHeight="1">
      <c r="B103" s="163">
        <f t="shared" si="1"/>
        <v>2739</v>
      </c>
      <c r="C103" s="163">
        <v>99.0</v>
      </c>
      <c r="BQ103" s="156"/>
      <c r="BV103" s="156"/>
      <c r="CG103" s="157"/>
      <c r="CL103" s="157"/>
      <c r="CQ103" s="157"/>
      <c r="CV103" s="157"/>
    </row>
    <row r="104" ht="15.75" customHeight="1">
      <c r="B104" s="163">
        <f t="shared" si="1"/>
        <v>2738</v>
      </c>
      <c r="C104" s="163">
        <v>100.0</v>
      </c>
      <c r="BQ104" s="156"/>
      <c r="BV104" s="156"/>
      <c r="CG104" s="157"/>
      <c r="CL104" s="157"/>
      <c r="CQ104" s="157"/>
      <c r="CV104" s="157"/>
    </row>
    <row r="105" ht="15.75" customHeight="1">
      <c r="B105" s="163">
        <f t="shared" si="1"/>
        <v>2737</v>
      </c>
      <c r="C105" s="163">
        <v>101.0</v>
      </c>
      <c r="BQ105" s="156"/>
      <c r="BV105" s="156"/>
      <c r="CG105" s="157"/>
      <c r="CL105" s="157"/>
      <c r="CQ105" s="157"/>
      <c r="CV105" s="157"/>
    </row>
    <row r="106" ht="15.75" customHeight="1">
      <c r="B106" s="163">
        <f t="shared" si="1"/>
        <v>2736</v>
      </c>
      <c r="C106" s="163">
        <v>102.0</v>
      </c>
      <c r="BQ106" s="156"/>
      <c r="BV106" s="156"/>
      <c r="CG106" s="157"/>
      <c r="CL106" s="157"/>
      <c r="CQ106" s="157"/>
      <c r="CV106" s="157"/>
    </row>
    <row r="107" ht="15.75" customHeight="1">
      <c r="B107" s="163">
        <f t="shared" si="1"/>
        <v>2735</v>
      </c>
      <c r="C107" s="163">
        <v>103.0</v>
      </c>
      <c r="BQ107" s="156"/>
      <c r="BV107" s="156"/>
      <c r="CG107" s="157"/>
      <c r="CL107" s="157"/>
      <c r="CQ107" s="157"/>
      <c r="CV107" s="157"/>
    </row>
    <row r="108" ht="15.75" customHeight="1">
      <c r="B108" s="163">
        <f t="shared" si="1"/>
        <v>2734</v>
      </c>
      <c r="C108" s="163">
        <v>104.0</v>
      </c>
      <c r="BQ108" s="156"/>
      <c r="BV108" s="156"/>
      <c r="CG108" s="157"/>
      <c r="CL108" s="157"/>
      <c r="CQ108" s="157"/>
      <c r="CV108" s="157"/>
    </row>
    <row r="109" ht="15.75" customHeight="1">
      <c r="B109" s="163">
        <f t="shared" si="1"/>
        <v>2733</v>
      </c>
      <c r="C109" s="163">
        <v>105.0</v>
      </c>
      <c r="BQ109" s="156"/>
      <c r="BV109" s="156"/>
      <c r="CG109" s="157"/>
      <c r="CL109" s="157"/>
      <c r="CQ109" s="157"/>
      <c r="CV109" s="157"/>
      <c r="DB109" s="157"/>
      <c r="DC109" s="157"/>
      <c r="DD109" s="157"/>
      <c r="DE109" s="157"/>
    </row>
    <row r="110" ht="15.75" customHeight="1">
      <c r="B110" s="163">
        <f t="shared" si="1"/>
        <v>2732</v>
      </c>
      <c r="C110" s="163">
        <v>106.0</v>
      </c>
      <c r="BQ110" s="156"/>
      <c r="BV110" s="156"/>
      <c r="CG110" s="157"/>
      <c r="CL110" s="157"/>
      <c r="CQ110" s="157"/>
      <c r="CV110" s="157"/>
    </row>
    <row r="111" ht="15.75" customHeight="1">
      <c r="B111" s="163">
        <f t="shared" si="1"/>
        <v>2731</v>
      </c>
      <c r="C111" s="163">
        <v>107.0</v>
      </c>
      <c r="BQ111" s="156"/>
      <c r="BV111" s="156"/>
      <c r="CG111" s="157"/>
      <c r="CL111" s="157"/>
      <c r="CQ111" s="157"/>
      <c r="CV111" s="157"/>
    </row>
    <row r="112" ht="15.75" customHeight="1">
      <c r="B112" s="163">
        <f t="shared" si="1"/>
        <v>2730</v>
      </c>
      <c r="C112" s="163">
        <v>108.0</v>
      </c>
      <c r="BQ112" s="156"/>
      <c r="BV112" s="156"/>
      <c r="CG112" s="157"/>
      <c r="CL112" s="157"/>
      <c r="CQ112" s="157"/>
      <c r="CV112" s="157"/>
    </row>
    <row r="113" ht="15.75" customHeight="1">
      <c r="B113" s="163">
        <f t="shared" si="1"/>
        <v>2729</v>
      </c>
      <c r="C113" s="163">
        <v>109.0</v>
      </c>
      <c r="BQ113" s="156"/>
      <c r="BV113" s="156"/>
      <c r="CG113" s="157"/>
      <c r="CL113" s="157"/>
      <c r="CQ113" s="157"/>
      <c r="CV113" s="157"/>
    </row>
    <row r="114" ht="15.75" customHeight="1">
      <c r="B114" s="163">
        <f t="shared" si="1"/>
        <v>2728</v>
      </c>
      <c r="C114" s="163">
        <v>110.0</v>
      </c>
      <c r="BQ114" s="156"/>
      <c r="BV114" s="156"/>
      <c r="CG114" s="157"/>
      <c r="CL114" s="157"/>
      <c r="CQ114" s="157"/>
      <c r="CV114" s="157"/>
    </row>
    <row r="115" ht="15.75" customHeight="1">
      <c r="B115" s="163">
        <f t="shared" si="1"/>
        <v>2727</v>
      </c>
      <c r="C115" s="163">
        <v>111.0</v>
      </c>
      <c r="BQ115" s="156"/>
      <c r="BV115" s="156"/>
      <c r="CG115" s="157"/>
      <c r="CL115" s="157"/>
      <c r="CQ115" s="157"/>
      <c r="CV115" s="157"/>
    </row>
    <row r="116" ht="15.75" customHeight="1">
      <c r="B116" s="163">
        <f t="shared" si="1"/>
        <v>2726</v>
      </c>
      <c r="C116" s="163">
        <v>112.0</v>
      </c>
      <c r="BQ116" s="156"/>
      <c r="BV116" s="156"/>
      <c r="CG116" s="157"/>
      <c r="CL116" s="157"/>
      <c r="CQ116" s="157"/>
      <c r="CV116" s="157"/>
    </row>
    <row r="117" ht="15.75" customHeight="1">
      <c r="B117" s="163">
        <f t="shared" si="1"/>
        <v>2725</v>
      </c>
      <c r="C117" s="163">
        <v>113.0</v>
      </c>
      <c r="BQ117" s="156"/>
      <c r="BV117" s="156"/>
      <c r="CG117" s="157"/>
      <c r="CL117" s="157"/>
      <c r="CQ117" s="157"/>
      <c r="CV117" s="157"/>
    </row>
    <row r="118" ht="15.75" customHeight="1">
      <c r="B118" s="163">
        <f t="shared" si="1"/>
        <v>2724</v>
      </c>
      <c r="C118" s="163">
        <v>114.0</v>
      </c>
      <c r="BQ118" s="156"/>
      <c r="BV118" s="156"/>
      <c r="CG118" s="157"/>
      <c r="CL118" s="157"/>
      <c r="CQ118" s="157"/>
      <c r="CV118" s="157"/>
    </row>
    <row r="119" ht="15.75" customHeight="1">
      <c r="B119" s="163">
        <f t="shared" si="1"/>
        <v>2723</v>
      </c>
      <c r="C119" s="163">
        <v>115.0</v>
      </c>
      <c r="BQ119" s="156"/>
      <c r="BV119" s="156"/>
      <c r="CG119" s="157"/>
      <c r="CL119" s="157"/>
      <c r="CQ119" s="157"/>
      <c r="CV119" s="157"/>
    </row>
    <row r="120" ht="15.75" customHeight="1">
      <c r="B120" s="163">
        <f t="shared" si="1"/>
        <v>2722</v>
      </c>
      <c r="C120" s="163">
        <v>116.0</v>
      </c>
      <c r="BQ120" s="156"/>
      <c r="BV120" s="156"/>
      <c r="CG120" s="157"/>
      <c r="CL120" s="157"/>
      <c r="CQ120" s="157"/>
      <c r="CV120" s="157"/>
    </row>
    <row r="121" ht="15.75" customHeight="1">
      <c r="B121" s="163">
        <f t="shared" si="1"/>
        <v>2721</v>
      </c>
      <c r="C121" s="163">
        <v>117.0</v>
      </c>
      <c r="BQ121" s="156"/>
      <c r="BV121" s="156"/>
      <c r="CG121" s="157"/>
      <c r="CL121" s="157"/>
      <c r="CQ121" s="157"/>
      <c r="CV121" s="157"/>
    </row>
    <row r="122" ht="15.75" customHeight="1">
      <c r="B122" s="163">
        <f t="shared" si="1"/>
        <v>2720</v>
      </c>
      <c r="C122" s="163">
        <v>118.0</v>
      </c>
      <c r="BQ122" s="156"/>
      <c r="BV122" s="156"/>
      <c r="CG122" s="157"/>
      <c r="CL122" s="157"/>
      <c r="CQ122" s="157"/>
      <c r="CV122" s="157"/>
    </row>
    <row r="123" ht="15.75" customHeight="1">
      <c r="B123" s="163">
        <f t="shared" si="1"/>
        <v>2719</v>
      </c>
      <c r="C123" s="163">
        <v>119.0</v>
      </c>
      <c r="BQ123" s="156"/>
      <c r="BV123" s="156"/>
      <c r="CG123" s="157"/>
      <c r="CL123" s="157"/>
      <c r="CQ123" s="157"/>
      <c r="CV123" s="157"/>
    </row>
    <row r="124" ht="15.75" customHeight="1">
      <c r="B124" s="163">
        <f t="shared" si="1"/>
        <v>2718</v>
      </c>
      <c r="C124" s="163">
        <v>120.0</v>
      </c>
      <c r="BQ124" s="156"/>
      <c r="BV124" s="156"/>
      <c r="CG124" s="157"/>
      <c r="CL124" s="157"/>
      <c r="CQ124" s="157"/>
      <c r="CV124" s="157"/>
    </row>
    <row r="125" ht="15.75" customHeight="1">
      <c r="B125" s="163">
        <f t="shared" si="1"/>
        <v>2717</v>
      </c>
      <c r="C125" s="163">
        <v>121.0</v>
      </c>
      <c r="BQ125" s="156"/>
      <c r="BV125" s="156"/>
      <c r="CG125" s="157"/>
      <c r="CL125" s="157"/>
      <c r="CQ125" s="157"/>
      <c r="CV125" s="157"/>
    </row>
    <row r="126" ht="15.75" customHeight="1">
      <c r="B126" s="163">
        <f t="shared" si="1"/>
        <v>2716</v>
      </c>
      <c r="C126" s="163">
        <v>122.0</v>
      </c>
      <c r="BQ126" s="156"/>
      <c r="BV126" s="156"/>
      <c r="CG126" s="157"/>
      <c r="CL126" s="157"/>
      <c r="CQ126" s="157"/>
      <c r="CV126" s="157"/>
    </row>
    <row r="127" ht="15.75" customHeight="1">
      <c r="B127" s="163">
        <f t="shared" si="1"/>
        <v>2715</v>
      </c>
      <c r="C127" s="163">
        <v>123.0</v>
      </c>
      <c r="BQ127" s="156"/>
      <c r="BV127" s="156"/>
      <c r="CG127" s="157"/>
      <c r="CL127" s="157"/>
      <c r="CQ127" s="157"/>
      <c r="CV127" s="157"/>
    </row>
    <row r="128" ht="15.75" customHeight="1">
      <c r="B128" s="163">
        <f t="shared" si="1"/>
        <v>2714</v>
      </c>
      <c r="C128" s="163">
        <v>124.0</v>
      </c>
      <c r="BQ128" s="156"/>
      <c r="BV128" s="156"/>
      <c r="CG128" s="157"/>
      <c r="CL128" s="157"/>
      <c r="CQ128" s="157"/>
      <c r="CV128" s="157"/>
    </row>
    <row r="129" ht="15.75" customHeight="1">
      <c r="B129" s="163">
        <f t="shared" si="1"/>
        <v>2713</v>
      </c>
      <c r="C129" s="163">
        <v>125.0</v>
      </c>
      <c r="BQ129" s="156"/>
      <c r="BV129" s="156"/>
      <c r="CG129" s="157"/>
      <c r="CL129" s="157"/>
      <c r="CQ129" s="157"/>
      <c r="CV129" s="157"/>
    </row>
    <row r="130" ht="15.75" customHeight="1">
      <c r="B130" s="163">
        <f t="shared" si="1"/>
        <v>2712</v>
      </c>
      <c r="C130" s="163">
        <v>126.0</v>
      </c>
      <c r="BQ130" s="156"/>
      <c r="BV130" s="156"/>
      <c r="CG130" s="157"/>
      <c r="CL130" s="157"/>
      <c r="CQ130" s="157"/>
      <c r="CV130" s="157"/>
    </row>
    <row r="131" ht="15.75" customHeight="1">
      <c r="B131" s="163">
        <f t="shared" si="1"/>
        <v>2711</v>
      </c>
      <c r="C131" s="163">
        <v>127.0</v>
      </c>
      <c r="BQ131" s="156"/>
      <c r="BV131" s="156"/>
      <c r="CG131" s="157"/>
      <c r="CL131" s="157"/>
      <c r="CQ131" s="157"/>
      <c r="CV131" s="157"/>
    </row>
    <row r="132" ht="15.75" customHeight="1">
      <c r="B132" s="163">
        <f t="shared" si="1"/>
        <v>2710</v>
      </c>
      <c r="C132" s="163">
        <v>128.0</v>
      </c>
      <c r="BQ132" s="156"/>
      <c r="BV132" s="156"/>
      <c r="CG132" s="157"/>
      <c r="CL132" s="157"/>
      <c r="CQ132" s="157"/>
      <c r="CV132" s="157"/>
      <c r="DA132" s="157"/>
      <c r="DB132" s="157"/>
      <c r="DC132" s="157"/>
      <c r="DD132" s="157"/>
      <c r="DE132" s="157"/>
      <c r="DF132" s="157"/>
      <c r="DG132" s="157"/>
      <c r="DH132" s="157"/>
      <c r="DI132" s="157"/>
      <c r="DJ132" s="157"/>
      <c r="DK132" s="157"/>
      <c r="DL132" s="157"/>
      <c r="DM132" s="157"/>
      <c r="DN132" s="157"/>
      <c r="DO132" s="157"/>
      <c r="DP132" s="157"/>
      <c r="DQ132" s="157"/>
      <c r="DR132" s="157"/>
      <c r="DS132" s="157"/>
      <c r="DT132" s="157"/>
      <c r="DU132" s="157"/>
      <c r="DV132" s="157"/>
      <c r="DW132" s="157"/>
      <c r="DX132" s="157"/>
      <c r="DY132" s="157"/>
      <c r="DZ132" s="157"/>
    </row>
    <row r="133" ht="15.75" customHeight="1">
      <c r="B133" s="163">
        <f t="shared" si="1"/>
        <v>2709</v>
      </c>
      <c r="C133" s="163">
        <v>129.0</v>
      </c>
      <c r="BQ133" s="156"/>
      <c r="BV133" s="156"/>
      <c r="CG133" s="157"/>
      <c r="CL133" s="157"/>
      <c r="CQ133" s="157"/>
      <c r="CV133" s="157"/>
      <c r="CW133" s="157"/>
      <c r="CX133" s="157"/>
      <c r="CY133" s="157"/>
      <c r="CZ133" s="157"/>
      <c r="DA133" s="157"/>
      <c r="DB133" s="157"/>
      <c r="DC133" s="157"/>
      <c r="DD133" s="157"/>
      <c r="DE133" s="157"/>
      <c r="DF133" s="157"/>
      <c r="DG133" s="157"/>
      <c r="DH133" s="157"/>
      <c r="DI133" s="157"/>
      <c r="DJ133" s="157"/>
      <c r="DK133" s="157"/>
      <c r="DL133" s="157"/>
      <c r="DM133" s="157"/>
      <c r="DN133" s="157"/>
      <c r="DO133" s="157"/>
      <c r="DP133" s="157"/>
      <c r="DQ133" s="157"/>
      <c r="DR133" s="157"/>
      <c r="DS133" s="157"/>
      <c r="DT133" s="157"/>
      <c r="DU133" s="157"/>
      <c r="DV133" s="157"/>
      <c r="DW133" s="157"/>
      <c r="DX133" s="157"/>
      <c r="DY133" s="157"/>
      <c r="DZ133" s="157"/>
    </row>
    <row r="134" ht="15.75" customHeight="1">
      <c r="B134" s="163">
        <f t="shared" si="1"/>
        <v>2708</v>
      </c>
      <c r="C134" s="163">
        <v>130.0</v>
      </c>
      <c r="BQ134" s="156"/>
      <c r="BV134" s="156"/>
      <c r="CG134" s="157"/>
      <c r="CL134" s="157"/>
      <c r="CQ134" s="157"/>
      <c r="CV134" s="157"/>
      <c r="CW134" s="157"/>
      <c r="CX134" s="157"/>
      <c r="CY134" s="157"/>
      <c r="CZ134" s="157"/>
      <c r="DA134" s="157"/>
      <c r="DB134" s="157"/>
      <c r="DC134" s="157"/>
      <c r="DD134" s="157"/>
      <c r="DE134" s="157"/>
      <c r="DF134" s="157"/>
      <c r="DG134" s="157"/>
      <c r="DH134" s="157"/>
      <c r="DI134" s="157"/>
      <c r="DJ134" s="157"/>
      <c r="DK134" s="157"/>
      <c r="DL134" s="157"/>
      <c r="DM134" s="157"/>
      <c r="DN134" s="157"/>
      <c r="DO134" s="157"/>
      <c r="DP134" s="157"/>
      <c r="DQ134" s="157"/>
      <c r="DR134" s="157"/>
      <c r="DS134" s="157"/>
      <c r="DT134" s="157"/>
      <c r="DU134" s="157"/>
      <c r="DV134" s="157"/>
      <c r="DW134" s="157"/>
      <c r="DX134" s="157"/>
      <c r="DY134" s="157"/>
      <c r="DZ134" s="157"/>
    </row>
    <row r="135" ht="15.75" customHeight="1">
      <c r="B135" s="163">
        <f t="shared" si="1"/>
        <v>2707</v>
      </c>
      <c r="C135" s="163">
        <v>131.0</v>
      </c>
      <c r="BQ135" s="156"/>
      <c r="BV135" s="156"/>
      <c r="CG135" s="157"/>
      <c r="CL135" s="157"/>
      <c r="CQ135" s="157"/>
      <c r="CV135" s="157"/>
      <c r="CW135" s="157"/>
      <c r="CX135" s="157"/>
      <c r="CY135" s="157"/>
      <c r="CZ135" s="157"/>
      <c r="DA135" s="157"/>
      <c r="DB135" s="157"/>
      <c r="DC135" s="157"/>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row>
    <row r="136" ht="15.75" customHeight="1">
      <c r="B136" s="163">
        <f t="shared" si="1"/>
        <v>2706</v>
      </c>
      <c r="C136" s="163">
        <v>132.0</v>
      </c>
      <c r="BQ136" s="156"/>
      <c r="BV136" s="156"/>
      <c r="CG136" s="157"/>
      <c r="CL136" s="157"/>
      <c r="CQ136" s="157"/>
      <c r="CV136" s="157"/>
      <c r="CW136" s="157"/>
      <c r="CX136" s="157"/>
      <c r="CY136" s="157"/>
      <c r="CZ136" s="157"/>
      <c r="DA136" s="157"/>
      <c r="DB136" s="157"/>
      <c r="DC136" s="157"/>
      <c r="DD136" s="157"/>
      <c r="DE136" s="157"/>
      <c r="DF136" s="157"/>
      <c r="DG136" s="157"/>
      <c r="DH136" s="157"/>
      <c r="DI136" s="157"/>
      <c r="DJ136" s="157"/>
      <c r="DK136" s="157"/>
      <c r="DL136" s="157"/>
      <c r="DM136" s="157"/>
      <c r="DN136" s="157"/>
      <c r="DO136" s="157"/>
      <c r="DP136" s="157"/>
      <c r="DQ136" s="157"/>
      <c r="DR136" s="157"/>
      <c r="DS136" s="157"/>
      <c r="DT136" s="157"/>
      <c r="DU136" s="157"/>
      <c r="DV136" s="157"/>
      <c r="DW136" s="157"/>
      <c r="DX136" s="157"/>
      <c r="DY136" s="157"/>
      <c r="DZ136" s="157"/>
    </row>
    <row r="137" ht="15.75" customHeight="1">
      <c r="B137" s="163">
        <f t="shared" si="1"/>
        <v>2705</v>
      </c>
      <c r="C137" s="163">
        <v>133.0</v>
      </c>
      <c r="BQ137" s="156"/>
      <c r="BV137" s="156"/>
      <c r="CG137" s="157"/>
      <c r="CL137" s="157"/>
      <c r="CQ137" s="157"/>
      <c r="CV137" s="157"/>
      <c r="CW137" s="157"/>
      <c r="CX137" s="157"/>
      <c r="CY137" s="157"/>
      <c r="CZ137" s="157"/>
      <c r="DA137" s="157"/>
      <c r="DB137" s="157"/>
      <c r="DC137" s="157"/>
      <c r="DD137" s="157"/>
      <c r="DE137" s="157"/>
      <c r="DF137" s="157"/>
      <c r="DG137" s="157"/>
      <c r="DH137" s="157"/>
      <c r="DI137" s="157"/>
      <c r="DJ137" s="157"/>
      <c r="DK137" s="157"/>
      <c r="DL137" s="157"/>
      <c r="DM137" s="157"/>
      <c r="DN137" s="157"/>
      <c r="DO137" s="157"/>
      <c r="DP137" s="157"/>
      <c r="DQ137" s="157"/>
      <c r="DR137" s="157"/>
      <c r="DS137" s="157"/>
      <c r="DT137" s="157"/>
      <c r="DU137" s="157"/>
      <c r="DV137" s="157"/>
      <c r="DW137" s="157"/>
      <c r="DX137" s="157"/>
      <c r="DY137" s="157"/>
      <c r="DZ137" s="157"/>
    </row>
    <row r="138" ht="15.75" customHeight="1">
      <c r="B138" s="163">
        <f t="shared" si="1"/>
        <v>2704</v>
      </c>
      <c r="C138" s="163">
        <v>134.0</v>
      </c>
      <c r="BQ138" s="156"/>
      <c r="BV138" s="156"/>
      <c r="CG138" s="157"/>
      <c r="CL138" s="157"/>
      <c r="CQ138" s="157"/>
      <c r="CV138" s="157"/>
      <c r="CW138" s="157"/>
      <c r="CX138" s="157"/>
      <c r="CY138" s="157"/>
      <c r="CZ138" s="157"/>
      <c r="DA138" s="157"/>
      <c r="DB138" s="157"/>
      <c r="DC138" s="157"/>
      <c r="DD138" s="157"/>
      <c r="DE138" s="157"/>
      <c r="DF138" s="157"/>
      <c r="DG138" s="157"/>
      <c r="DH138" s="157"/>
      <c r="DI138" s="157"/>
      <c r="DJ138" s="157"/>
      <c r="DK138" s="157"/>
      <c r="DL138" s="157"/>
      <c r="DM138" s="157"/>
      <c r="DN138" s="157"/>
      <c r="DO138" s="157"/>
      <c r="DP138" s="157"/>
      <c r="DQ138" s="157"/>
      <c r="DR138" s="157"/>
      <c r="DS138" s="157"/>
      <c r="DT138" s="157"/>
      <c r="DU138" s="157"/>
      <c r="DV138" s="157"/>
      <c r="DW138" s="157"/>
      <c r="DX138" s="157"/>
      <c r="DY138" s="157"/>
      <c r="DZ138" s="157"/>
    </row>
    <row r="139" ht="15.75" customHeight="1">
      <c r="B139" s="163">
        <f t="shared" si="1"/>
        <v>2703</v>
      </c>
      <c r="C139" s="163">
        <v>135.0</v>
      </c>
      <c r="BQ139" s="156"/>
      <c r="BV139" s="156"/>
      <c r="CG139" s="157"/>
      <c r="CL139" s="157"/>
      <c r="CQ139" s="157"/>
      <c r="CV139" s="157"/>
      <c r="CW139" s="157"/>
      <c r="CX139" s="157"/>
      <c r="CY139" s="157"/>
      <c r="CZ139" s="157"/>
      <c r="DA139" s="157"/>
      <c r="DB139" s="157"/>
      <c r="DC139" s="157"/>
      <c r="DD139" s="157"/>
      <c r="DE139" s="157"/>
      <c r="DF139" s="157"/>
      <c r="DG139" s="157"/>
      <c r="DH139" s="157"/>
      <c r="DI139" s="157"/>
      <c r="DJ139" s="157"/>
      <c r="DK139" s="157"/>
      <c r="DL139" s="157"/>
      <c r="DM139" s="157"/>
      <c r="DN139" s="157"/>
      <c r="DO139" s="157"/>
      <c r="DP139" s="157"/>
      <c r="DQ139" s="157"/>
      <c r="DR139" s="157"/>
      <c r="DS139" s="157"/>
      <c r="DT139" s="157"/>
      <c r="DU139" s="157"/>
      <c r="DV139" s="157"/>
      <c r="DW139" s="157"/>
      <c r="DX139" s="157"/>
      <c r="DY139" s="157"/>
      <c r="DZ139" s="157"/>
    </row>
    <row r="140" ht="15.75" customHeight="1">
      <c r="B140" s="163">
        <f t="shared" si="1"/>
        <v>2702</v>
      </c>
      <c r="C140" s="163">
        <v>136.0</v>
      </c>
      <c r="BQ140" s="156"/>
      <c r="BV140" s="156"/>
      <c r="CG140" s="157"/>
      <c r="CL140" s="157"/>
      <c r="CQ140" s="157"/>
      <c r="CV140" s="157"/>
      <c r="CW140" s="157"/>
      <c r="CX140" s="157"/>
      <c r="CY140" s="157"/>
      <c r="CZ140" s="157"/>
      <c r="DA140" s="157"/>
      <c r="DB140" s="157"/>
      <c r="DC140" s="157"/>
      <c r="DD140" s="157"/>
      <c r="DE140" s="157"/>
      <c r="DF140" s="157"/>
      <c r="DG140" s="157"/>
      <c r="DH140" s="157"/>
      <c r="DI140" s="157"/>
      <c r="DJ140" s="157"/>
      <c r="DK140" s="157"/>
      <c r="DL140" s="157"/>
      <c r="DM140" s="157"/>
      <c r="DN140" s="157"/>
      <c r="DO140" s="157"/>
      <c r="DP140" s="157"/>
      <c r="DQ140" s="157"/>
      <c r="DR140" s="157"/>
      <c r="DS140" s="157"/>
      <c r="DT140" s="157"/>
      <c r="DU140" s="157"/>
      <c r="DV140" s="157"/>
      <c r="DW140" s="157"/>
      <c r="DX140" s="157"/>
      <c r="DY140" s="157"/>
      <c r="DZ140" s="157"/>
    </row>
    <row r="141" ht="15.75" customHeight="1">
      <c r="B141" s="163">
        <f t="shared" si="1"/>
        <v>2701</v>
      </c>
      <c r="C141" s="163">
        <v>137.0</v>
      </c>
      <c r="BQ141" s="156"/>
      <c r="BV141" s="156"/>
      <c r="CG141" s="157"/>
      <c r="CL141" s="157"/>
      <c r="CQ141" s="157"/>
      <c r="CV141" s="157"/>
      <c r="CW141" s="157"/>
      <c r="CX141" s="157"/>
      <c r="CY141" s="157"/>
      <c r="CZ141" s="157"/>
      <c r="DA141" s="157"/>
      <c r="DB141" s="157"/>
      <c r="DC141" s="157"/>
      <c r="DD141" s="157"/>
      <c r="DE141" s="157"/>
      <c r="DF141" s="157"/>
      <c r="DG141" s="157"/>
      <c r="DH141" s="157"/>
      <c r="DI141" s="157"/>
      <c r="DJ141" s="157"/>
      <c r="DK141" s="157"/>
      <c r="DL141" s="157"/>
      <c r="DM141" s="157"/>
      <c r="DN141" s="157"/>
      <c r="DO141" s="157"/>
      <c r="DP141" s="157"/>
      <c r="DQ141" s="157"/>
      <c r="DR141" s="157"/>
      <c r="DS141" s="157"/>
      <c r="DT141" s="157"/>
      <c r="DU141" s="157"/>
      <c r="DV141" s="157"/>
      <c r="DW141" s="157"/>
      <c r="DX141" s="157"/>
      <c r="DY141" s="157"/>
      <c r="DZ141" s="157"/>
    </row>
    <row r="142" ht="15.75" customHeight="1">
      <c r="B142" s="163">
        <f t="shared" si="1"/>
        <v>2700</v>
      </c>
      <c r="C142" s="163">
        <v>138.0</v>
      </c>
      <c r="BQ142" s="156"/>
      <c r="BV142" s="156"/>
      <c r="CG142" s="157"/>
      <c r="CL142" s="157"/>
      <c r="CQ142" s="157"/>
      <c r="CV142" s="157"/>
      <c r="CW142" s="157"/>
      <c r="CX142" s="157"/>
      <c r="CY142" s="157"/>
      <c r="CZ142" s="157"/>
      <c r="DA142" s="157"/>
      <c r="DB142" s="157"/>
      <c r="DC142" s="157"/>
      <c r="DD142" s="157"/>
      <c r="DE142" s="157"/>
      <c r="DF142" s="157"/>
      <c r="DG142" s="157"/>
      <c r="DH142" s="157"/>
      <c r="DI142" s="157"/>
      <c r="DJ142" s="157"/>
      <c r="DK142" s="157"/>
      <c r="DL142" s="157"/>
      <c r="DM142" s="157"/>
      <c r="DN142" s="157"/>
      <c r="DO142" s="157"/>
      <c r="DP142" s="157"/>
      <c r="DQ142" s="157"/>
      <c r="DR142" s="157"/>
      <c r="DS142" s="157"/>
      <c r="DT142" s="157"/>
      <c r="DU142" s="157"/>
      <c r="DV142" s="157"/>
      <c r="DW142" s="157"/>
      <c r="DX142" s="157"/>
      <c r="DY142" s="157"/>
      <c r="DZ142" s="157"/>
    </row>
    <row r="143" ht="15.75" customHeight="1">
      <c r="B143" s="163">
        <f t="shared" si="1"/>
        <v>2699</v>
      </c>
      <c r="C143" s="163">
        <v>139.0</v>
      </c>
      <c r="BQ143" s="156"/>
      <c r="BV143" s="156"/>
      <c r="CG143" s="157"/>
      <c r="CL143" s="157"/>
      <c r="CQ143" s="157"/>
      <c r="CV143" s="157"/>
      <c r="CW143" s="157"/>
      <c r="CX143" s="157"/>
      <c r="CY143" s="157"/>
      <c r="CZ143" s="157"/>
      <c r="DA143" s="157"/>
      <c r="DB143" s="157"/>
      <c r="DC143" s="157"/>
      <c r="DD143" s="157"/>
      <c r="DE143" s="157"/>
      <c r="DF143" s="157"/>
      <c r="DG143" s="157"/>
      <c r="DH143" s="157"/>
      <c r="DI143" s="157"/>
      <c r="DJ143" s="157"/>
      <c r="DK143" s="157"/>
      <c r="DL143" s="157"/>
      <c r="DM143" s="157"/>
      <c r="DN143" s="157"/>
      <c r="DO143" s="157"/>
      <c r="DP143" s="157"/>
      <c r="DQ143" s="157"/>
      <c r="DR143" s="157"/>
      <c r="DS143" s="157"/>
      <c r="DT143" s="157"/>
      <c r="DU143" s="157"/>
      <c r="DV143" s="157"/>
      <c r="DW143" s="157"/>
      <c r="DX143" s="157"/>
      <c r="DY143" s="157"/>
      <c r="DZ143" s="157"/>
    </row>
    <row r="144" ht="15.75" customHeight="1">
      <c r="B144" s="163">
        <f t="shared" si="1"/>
        <v>2698</v>
      </c>
      <c r="C144" s="163">
        <v>140.0</v>
      </c>
      <c r="BQ144" s="156"/>
      <c r="BV144" s="156"/>
      <c r="CG144" s="157"/>
      <c r="CL144" s="157"/>
      <c r="CQ144" s="157"/>
      <c r="CV144" s="157"/>
      <c r="CW144" s="157"/>
      <c r="CX144" s="157"/>
      <c r="CY144" s="157"/>
      <c r="CZ144" s="157"/>
      <c r="DA144" s="157"/>
      <c r="DB144" s="157"/>
      <c r="DC144" s="157"/>
      <c r="DD144" s="157"/>
      <c r="DE144" s="157"/>
      <c r="DF144" s="157"/>
      <c r="DG144" s="157"/>
      <c r="DH144" s="157"/>
      <c r="DI144" s="157"/>
      <c r="DJ144" s="157"/>
      <c r="DK144" s="157"/>
      <c r="DL144" s="157"/>
      <c r="DM144" s="157"/>
      <c r="DN144" s="157"/>
      <c r="DO144" s="157"/>
      <c r="DP144" s="157"/>
      <c r="DQ144" s="157"/>
      <c r="DR144" s="157"/>
      <c r="DS144" s="157"/>
      <c r="DT144" s="157"/>
      <c r="DU144" s="157"/>
      <c r="DV144" s="157"/>
      <c r="DW144" s="157"/>
      <c r="DX144" s="157"/>
      <c r="DY144" s="157"/>
      <c r="DZ144" s="157"/>
    </row>
    <row r="145" ht="15.75" customHeight="1">
      <c r="B145" s="163">
        <f t="shared" si="1"/>
        <v>2697</v>
      </c>
      <c r="C145" s="163">
        <v>141.0</v>
      </c>
      <c r="BQ145" s="156"/>
      <c r="BV145" s="156"/>
      <c r="CG145" s="157"/>
      <c r="CL145" s="157"/>
      <c r="CQ145" s="157"/>
      <c r="CV145" s="157"/>
      <c r="CW145" s="157"/>
      <c r="CX145" s="157"/>
      <c r="CY145" s="157"/>
      <c r="CZ145" s="157"/>
      <c r="DA145" s="157"/>
      <c r="DB145" s="157"/>
      <c r="DC145" s="157"/>
      <c r="DD145" s="157"/>
      <c r="DE145" s="157"/>
      <c r="DF145" s="157"/>
      <c r="DG145" s="157"/>
      <c r="DH145" s="157"/>
      <c r="DI145" s="157"/>
      <c r="DJ145" s="157"/>
      <c r="DK145" s="157"/>
      <c r="DL145" s="157"/>
      <c r="DM145" s="157"/>
      <c r="DN145" s="157"/>
      <c r="DO145" s="157"/>
      <c r="DP145" s="157"/>
      <c r="DQ145" s="157"/>
      <c r="DR145" s="157"/>
      <c r="DS145" s="157"/>
      <c r="DT145" s="157"/>
      <c r="DU145" s="157"/>
      <c r="DV145" s="157"/>
      <c r="DW145" s="157"/>
      <c r="DX145" s="157"/>
      <c r="DY145" s="157"/>
      <c r="DZ145" s="157"/>
    </row>
    <row r="146" ht="15.75" customHeight="1">
      <c r="B146" s="163">
        <f t="shared" si="1"/>
        <v>2696</v>
      </c>
      <c r="C146" s="163">
        <v>142.0</v>
      </c>
      <c r="BQ146" s="156"/>
      <c r="BV146" s="156"/>
      <c r="CG146" s="157"/>
      <c r="CL146" s="157"/>
      <c r="CQ146" s="157"/>
      <c r="CV146" s="157"/>
      <c r="CW146" s="157"/>
      <c r="CX146" s="157"/>
      <c r="CY146" s="157"/>
      <c r="CZ146" s="157"/>
      <c r="DA146" s="157"/>
      <c r="DB146" s="157"/>
      <c r="DC146" s="157"/>
      <c r="DD146" s="157"/>
      <c r="DE146" s="157"/>
      <c r="DF146" s="157"/>
      <c r="DG146" s="157"/>
      <c r="DH146" s="157"/>
      <c r="DI146" s="157"/>
      <c r="DJ146" s="157"/>
      <c r="DK146" s="157"/>
      <c r="DL146" s="157"/>
      <c r="DM146" s="157"/>
      <c r="DN146" s="157"/>
      <c r="DO146" s="157"/>
      <c r="DP146" s="157"/>
      <c r="DQ146" s="157"/>
      <c r="DR146" s="157"/>
      <c r="DS146" s="157"/>
      <c r="DT146" s="157"/>
      <c r="DU146" s="157"/>
      <c r="DV146" s="157"/>
      <c r="DW146" s="157"/>
      <c r="DX146" s="157"/>
      <c r="DY146" s="157"/>
      <c r="DZ146" s="157"/>
    </row>
    <row r="147" ht="15.75" customHeight="1">
      <c r="B147" s="163">
        <f t="shared" si="1"/>
        <v>2695</v>
      </c>
      <c r="C147" s="163">
        <v>143.0</v>
      </c>
      <c r="BQ147" s="156"/>
      <c r="BV147" s="156"/>
      <c r="CG147" s="157"/>
      <c r="CL147" s="157"/>
      <c r="CQ147" s="157"/>
      <c r="CV147" s="157"/>
      <c r="CW147" s="157"/>
      <c r="CX147" s="157"/>
      <c r="CY147" s="157"/>
      <c r="CZ147" s="157"/>
      <c r="DA147" s="157"/>
      <c r="DB147" s="157"/>
      <c r="DC147" s="157"/>
      <c r="DD147" s="157"/>
      <c r="DE147" s="157"/>
      <c r="DF147" s="157"/>
      <c r="DG147" s="157"/>
      <c r="DH147" s="157"/>
      <c r="DI147" s="157"/>
      <c r="DJ147" s="157"/>
      <c r="DK147" s="157"/>
      <c r="DL147" s="157"/>
      <c r="DM147" s="157"/>
      <c r="DN147" s="157"/>
      <c r="DO147" s="157"/>
      <c r="DP147" s="157"/>
      <c r="DQ147" s="157"/>
      <c r="DR147" s="157"/>
      <c r="DS147" s="157"/>
      <c r="DT147" s="157"/>
      <c r="DU147" s="157"/>
      <c r="DV147" s="157"/>
      <c r="DW147" s="157"/>
      <c r="DX147" s="157"/>
      <c r="DY147" s="157"/>
      <c r="DZ147" s="157"/>
    </row>
    <row r="148" ht="15.75" customHeight="1">
      <c r="B148" s="163">
        <f t="shared" si="1"/>
        <v>2694</v>
      </c>
      <c r="C148" s="163">
        <v>144.0</v>
      </c>
      <c r="BQ148" s="156"/>
      <c r="BV148" s="156"/>
      <c r="CG148" s="157"/>
      <c r="CL148" s="157"/>
      <c r="CQ148" s="157"/>
      <c r="CV148" s="157"/>
      <c r="CW148" s="157"/>
      <c r="CX148" s="157"/>
      <c r="CY148" s="157"/>
      <c r="CZ148" s="157"/>
      <c r="DA148" s="157"/>
      <c r="DB148" s="157"/>
      <c r="DC148" s="157"/>
      <c r="DD148" s="157"/>
      <c r="DE148" s="157"/>
      <c r="DF148" s="157"/>
      <c r="DG148" s="157"/>
      <c r="DH148" s="157"/>
      <c r="DI148" s="157"/>
      <c r="DJ148" s="157"/>
      <c r="DK148" s="157"/>
      <c r="DL148" s="157"/>
      <c r="DM148" s="157"/>
      <c r="DN148" s="157"/>
      <c r="DO148" s="157"/>
      <c r="DP148" s="157"/>
      <c r="DQ148" s="157"/>
      <c r="DR148" s="157"/>
      <c r="DS148" s="157"/>
      <c r="DT148" s="157"/>
      <c r="DU148" s="157"/>
      <c r="DV148" s="157"/>
      <c r="DW148" s="157"/>
      <c r="DX148" s="157"/>
      <c r="DY148" s="157"/>
      <c r="DZ148" s="157"/>
    </row>
    <row r="149" ht="15.75" customHeight="1">
      <c r="B149" s="163">
        <f t="shared" si="1"/>
        <v>2693</v>
      </c>
      <c r="C149" s="163">
        <v>145.0</v>
      </c>
      <c r="BQ149" s="156"/>
      <c r="BV149" s="156"/>
      <c r="CG149" s="157"/>
      <c r="CL149" s="157"/>
      <c r="CQ149" s="157"/>
      <c r="CV149" s="157"/>
      <c r="CW149" s="157"/>
      <c r="CX149" s="157"/>
      <c r="CY149" s="157"/>
      <c r="CZ149" s="157"/>
      <c r="DA149" s="157"/>
      <c r="DB149" s="157"/>
      <c r="DC149" s="157"/>
      <c r="DD149" s="157"/>
      <c r="DE149" s="157"/>
      <c r="DF149" s="157"/>
      <c r="DG149" s="157"/>
      <c r="DH149" s="157"/>
      <c r="DI149" s="157"/>
      <c r="DJ149" s="157"/>
      <c r="DK149" s="157"/>
      <c r="DL149" s="157"/>
      <c r="DM149" s="157"/>
      <c r="DN149" s="157"/>
      <c r="DO149" s="157"/>
      <c r="DP149" s="157"/>
      <c r="DQ149" s="157"/>
      <c r="DR149" s="157"/>
      <c r="DS149" s="157"/>
      <c r="DT149" s="157"/>
      <c r="DU149" s="157"/>
      <c r="DV149" s="157"/>
      <c r="DW149" s="157"/>
      <c r="DX149" s="157"/>
      <c r="DY149" s="157"/>
      <c r="DZ149" s="157"/>
    </row>
    <row r="150" ht="15.75" customHeight="1">
      <c r="B150" s="163">
        <f t="shared" si="1"/>
        <v>2692</v>
      </c>
      <c r="C150" s="163">
        <v>146.0</v>
      </c>
      <c r="BQ150" s="156"/>
      <c r="BV150" s="156"/>
      <c r="CG150" s="157"/>
      <c r="CL150" s="157"/>
      <c r="CQ150" s="157"/>
      <c r="CV150" s="157"/>
      <c r="CW150" s="157"/>
      <c r="CX150" s="157"/>
      <c r="CY150" s="157"/>
      <c r="CZ150" s="157"/>
      <c r="DA150" s="157"/>
      <c r="DB150" s="157"/>
      <c r="DC150" s="157"/>
      <c r="DD150" s="157"/>
      <c r="DE150" s="157"/>
      <c r="DF150" s="157"/>
      <c r="DG150" s="157"/>
      <c r="DH150" s="157"/>
      <c r="DI150" s="157"/>
      <c r="DJ150" s="157"/>
      <c r="DK150" s="157"/>
      <c r="DL150" s="157"/>
      <c r="DM150" s="157"/>
      <c r="DN150" s="157"/>
      <c r="DO150" s="157"/>
      <c r="DP150" s="157"/>
      <c r="DQ150" s="157"/>
      <c r="DR150" s="157"/>
      <c r="DS150" s="157"/>
      <c r="DT150" s="157"/>
      <c r="DU150" s="157"/>
      <c r="DV150" s="157"/>
      <c r="DW150" s="157"/>
      <c r="DX150" s="157"/>
      <c r="DY150" s="157"/>
      <c r="DZ150" s="157"/>
    </row>
    <row r="151" ht="15.75" customHeight="1">
      <c r="B151" s="163">
        <f t="shared" si="1"/>
        <v>2691</v>
      </c>
      <c r="C151" s="163">
        <v>147.0</v>
      </c>
      <c r="BQ151" s="156"/>
      <c r="BV151" s="156"/>
      <c r="CG151" s="157"/>
      <c r="CL151" s="157"/>
      <c r="CQ151" s="157"/>
      <c r="CV151" s="157"/>
      <c r="CW151" s="157"/>
      <c r="CX151" s="157"/>
      <c r="CY151" s="157"/>
      <c r="CZ151" s="157"/>
      <c r="DA151" s="157"/>
      <c r="DB151" s="157"/>
      <c r="DC151" s="157"/>
      <c r="DD151" s="157"/>
      <c r="DE151" s="157"/>
      <c r="DF151" s="157"/>
      <c r="DG151" s="157"/>
      <c r="DH151" s="157"/>
      <c r="DI151" s="157"/>
      <c r="DJ151" s="157"/>
      <c r="DK151" s="157"/>
      <c r="DL151" s="157"/>
      <c r="DM151" s="157"/>
      <c r="DN151" s="157"/>
      <c r="DO151" s="157"/>
      <c r="DP151" s="157"/>
      <c r="DQ151" s="157"/>
      <c r="DR151" s="157"/>
      <c r="DS151" s="157"/>
      <c r="DT151" s="157"/>
      <c r="DU151" s="157"/>
      <c r="DV151" s="157"/>
      <c r="DW151" s="157"/>
      <c r="DX151" s="157"/>
      <c r="DY151" s="157"/>
      <c r="DZ151" s="157"/>
    </row>
    <row r="152" ht="15.75" customHeight="1">
      <c r="B152" s="163">
        <f t="shared" si="1"/>
        <v>2690</v>
      </c>
      <c r="C152" s="163">
        <v>148.0</v>
      </c>
      <c r="BQ152" s="156"/>
      <c r="BV152" s="156"/>
      <c r="CG152" s="157"/>
      <c r="CL152" s="157"/>
      <c r="CQ152" s="157"/>
      <c r="CV152" s="157"/>
      <c r="CW152" s="157"/>
      <c r="CX152" s="157"/>
      <c r="CY152" s="157"/>
      <c r="CZ152" s="157"/>
      <c r="DA152" s="157"/>
      <c r="DB152" s="157"/>
      <c r="DC152" s="157"/>
      <c r="DD152" s="157"/>
      <c r="DE152" s="157"/>
      <c r="DF152" s="157"/>
      <c r="DG152" s="157"/>
      <c r="DH152" s="157"/>
      <c r="DI152" s="157"/>
      <c r="DJ152" s="157"/>
      <c r="DK152" s="157"/>
      <c r="DL152" s="157"/>
      <c r="DM152" s="157"/>
      <c r="DN152" s="157"/>
      <c r="DO152" s="157"/>
      <c r="DP152" s="157"/>
      <c r="DQ152" s="157"/>
      <c r="DR152" s="157"/>
      <c r="DS152" s="157"/>
      <c r="DT152" s="157"/>
      <c r="DU152" s="157"/>
      <c r="DV152" s="157"/>
      <c r="DW152" s="157"/>
      <c r="DX152" s="157"/>
      <c r="DY152" s="157"/>
      <c r="DZ152" s="157"/>
    </row>
    <row r="153" ht="15.75" customHeight="1">
      <c r="B153" s="163">
        <f t="shared" si="1"/>
        <v>2689</v>
      </c>
      <c r="C153" s="163">
        <v>149.0</v>
      </c>
      <c r="BQ153" s="156"/>
      <c r="BV153" s="156"/>
      <c r="CG153" s="157"/>
      <c r="CL153" s="157"/>
      <c r="CQ153" s="157"/>
      <c r="CV153" s="157"/>
      <c r="CW153" s="157"/>
      <c r="CX153" s="157"/>
      <c r="CY153" s="157"/>
      <c r="CZ153" s="157"/>
      <c r="DA153" s="157"/>
      <c r="DB153" s="157"/>
      <c r="DC153" s="157"/>
      <c r="DD153" s="157"/>
      <c r="DE153" s="157"/>
      <c r="DF153" s="157"/>
      <c r="DG153" s="157"/>
      <c r="DH153" s="157"/>
      <c r="DI153" s="157"/>
      <c r="DJ153" s="157"/>
      <c r="DK153" s="157"/>
      <c r="DL153" s="157"/>
      <c r="DM153" s="157"/>
      <c r="DN153" s="157"/>
      <c r="DO153" s="157"/>
      <c r="DP153" s="157"/>
      <c r="DQ153" s="157"/>
      <c r="DR153" s="157"/>
      <c r="DS153" s="157"/>
      <c r="DT153" s="157"/>
      <c r="DU153" s="157"/>
      <c r="DV153" s="157"/>
      <c r="DW153" s="157"/>
      <c r="DX153" s="157"/>
      <c r="DY153" s="157"/>
      <c r="DZ153" s="157"/>
    </row>
    <row r="154" ht="15.75" customHeight="1">
      <c r="B154" s="163">
        <f t="shared" si="1"/>
        <v>2688</v>
      </c>
      <c r="C154" s="163">
        <v>150.0</v>
      </c>
      <c r="BQ154" s="156"/>
      <c r="BV154" s="156"/>
      <c r="CG154" s="157"/>
      <c r="CL154" s="157"/>
      <c r="CQ154" s="157"/>
      <c r="CV154" s="157"/>
      <c r="CW154" s="157"/>
      <c r="CX154" s="157"/>
      <c r="CY154" s="157"/>
      <c r="CZ154" s="157"/>
      <c r="DA154" s="157"/>
      <c r="DB154" s="157"/>
      <c r="DC154" s="157"/>
      <c r="DD154" s="157"/>
      <c r="DE154" s="157"/>
      <c r="DF154" s="157"/>
      <c r="DG154" s="157"/>
      <c r="DH154" s="157"/>
      <c r="DI154" s="157"/>
      <c r="DJ154" s="157"/>
      <c r="DK154" s="157"/>
      <c r="DL154" s="157"/>
      <c r="DM154" s="157"/>
      <c r="DN154" s="157"/>
      <c r="DO154" s="157"/>
      <c r="DP154" s="157"/>
      <c r="DQ154" s="157"/>
      <c r="DR154" s="157"/>
      <c r="DS154" s="157"/>
      <c r="DT154" s="157"/>
      <c r="DU154" s="157"/>
      <c r="DV154" s="157"/>
      <c r="DW154" s="157"/>
      <c r="DX154" s="157"/>
      <c r="DY154" s="157"/>
      <c r="DZ154" s="157"/>
    </row>
    <row r="155" ht="15.75" customHeight="1">
      <c r="B155" s="163">
        <f t="shared" si="1"/>
        <v>2687</v>
      </c>
      <c r="C155" s="163">
        <v>151.0</v>
      </c>
      <c r="BQ155" s="156"/>
      <c r="BV155" s="156"/>
      <c r="CG155" s="157"/>
      <c r="CL155" s="157"/>
      <c r="CQ155" s="157"/>
      <c r="CR155" s="157"/>
      <c r="CS155" s="157"/>
      <c r="CT155" s="157"/>
      <c r="CU155" s="157"/>
      <c r="CV155" s="157"/>
      <c r="CW155" s="157"/>
      <c r="CX155" s="157"/>
      <c r="CY155" s="157"/>
      <c r="CZ155" s="157"/>
      <c r="DA155" s="157"/>
      <c r="DB155" s="157"/>
      <c r="DC155" s="157"/>
      <c r="DD155" s="157"/>
      <c r="DE155" s="157"/>
      <c r="DF155" s="157"/>
      <c r="DG155" s="157"/>
      <c r="DH155" s="157"/>
      <c r="DI155" s="157"/>
      <c r="DJ155" s="157"/>
      <c r="DK155" s="157"/>
      <c r="DL155" s="157"/>
      <c r="DM155" s="157"/>
      <c r="DN155" s="157"/>
      <c r="DO155" s="157"/>
      <c r="DP155" s="157"/>
      <c r="DQ155" s="157"/>
      <c r="DR155" s="157"/>
      <c r="DS155" s="157"/>
      <c r="DT155" s="157"/>
      <c r="DU155" s="157"/>
      <c r="DV155" s="157"/>
      <c r="DW155" s="157"/>
      <c r="DX155" s="157"/>
      <c r="DY155" s="157"/>
      <c r="DZ155" s="157"/>
    </row>
    <row r="156" ht="15.75" customHeight="1">
      <c r="B156" s="163">
        <f t="shared" si="1"/>
        <v>2686</v>
      </c>
      <c r="C156" s="163">
        <v>152.0</v>
      </c>
      <c r="BQ156" s="156"/>
      <c r="BV156" s="156"/>
      <c r="CG156" s="157"/>
      <c r="CL156" s="157"/>
      <c r="CQ156" s="157"/>
      <c r="CR156" s="157"/>
      <c r="CS156" s="157"/>
      <c r="CT156" s="157"/>
      <c r="CU156" s="157"/>
      <c r="CV156" s="157"/>
      <c r="CW156" s="157"/>
      <c r="CX156" s="157"/>
      <c r="CY156" s="157"/>
      <c r="CZ156" s="157"/>
      <c r="DA156" s="157"/>
      <c r="DB156" s="157"/>
      <c r="DC156" s="157"/>
      <c r="DD156" s="157"/>
      <c r="DE156" s="157"/>
      <c r="DF156" s="157"/>
      <c r="DG156" s="157"/>
      <c r="DH156" s="157"/>
      <c r="DI156" s="157"/>
      <c r="DJ156" s="157"/>
      <c r="DK156" s="157"/>
      <c r="DL156" s="157"/>
      <c r="DM156" s="157"/>
      <c r="DN156" s="157"/>
      <c r="DO156" s="157"/>
      <c r="DP156" s="157"/>
      <c r="DQ156" s="157"/>
      <c r="DR156" s="157"/>
      <c r="DS156" s="157"/>
      <c r="DT156" s="157"/>
      <c r="DU156" s="157"/>
      <c r="DV156" s="157"/>
      <c r="DW156" s="157"/>
      <c r="DX156" s="157"/>
      <c r="DY156" s="157"/>
      <c r="DZ156" s="157"/>
    </row>
    <row r="157" ht="15.75" customHeight="1">
      <c r="B157" s="163">
        <f t="shared" si="1"/>
        <v>2685</v>
      </c>
      <c r="C157" s="163">
        <v>153.0</v>
      </c>
      <c r="BQ157" s="156"/>
      <c r="BV157" s="156"/>
      <c r="CG157" s="157"/>
      <c r="CL157" s="157"/>
      <c r="CQ157" s="157"/>
      <c r="CR157" s="157"/>
      <c r="CS157" s="157"/>
      <c r="CT157" s="157"/>
      <c r="CU157" s="157"/>
      <c r="CV157" s="157"/>
      <c r="CW157" s="157"/>
      <c r="CX157" s="157"/>
      <c r="CY157" s="157"/>
      <c r="CZ157" s="157"/>
      <c r="DA157" s="157"/>
      <c r="DB157" s="157"/>
      <c r="DC157" s="157"/>
      <c r="DD157" s="157"/>
      <c r="DE157" s="157"/>
      <c r="DF157" s="157"/>
      <c r="DG157" s="157"/>
      <c r="DH157" s="157"/>
      <c r="DI157" s="157"/>
      <c r="DJ157" s="157"/>
      <c r="DK157" s="157"/>
      <c r="DL157" s="157"/>
      <c r="DM157" s="157"/>
      <c r="DN157" s="157"/>
      <c r="DO157" s="157"/>
      <c r="DP157" s="157"/>
      <c r="DQ157" s="157"/>
      <c r="DR157" s="157"/>
      <c r="DS157" s="157"/>
      <c r="DT157" s="157"/>
      <c r="DU157" s="157"/>
      <c r="DV157" s="157"/>
      <c r="DW157" s="157"/>
      <c r="DX157" s="157"/>
      <c r="DY157" s="157"/>
      <c r="DZ157" s="157"/>
    </row>
    <row r="158" ht="15.75" customHeight="1">
      <c r="B158" s="163">
        <f t="shared" si="1"/>
        <v>2684</v>
      </c>
      <c r="C158" s="163">
        <v>154.0</v>
      </c>
      <c r="BQ158" s="156"/>
      <c r="BV158" s="156"/>
      <c r="CG158" s="157"/>
      <c r="CL158" s="157"/>
      <c r="CQ158" s="157"/>
      <c r="CR158" s="157"/>
      <c r="CS158" s="157"/>
      <c r="CT158" s="157"/>
      <c r="CU158" s="157"/>
      <c r="CV158" s="157"/>
      <c r="CW158" s="157"/>
      <c r="CX158" s="157"/>
      <c r="CY158" s="157"/>
      <c r="CZ158" s="157"/>
      <c r="DA158" s="157"/>
      <c r="DB158" s="157"/>
      <c r="DC158" s="157"/>
      <c r="DD158" s="157"/>
      <c r="DE158" s="157"/>
      <c r="DF158" s="157"/>
      <c r="DG158" s="157"/>
      <c r="DH158" s="157"/>
      <c r="DI158" s="157"/>
      <c r="DJ158" s="157"/>
      <c r="DK158" s="157"/>
      <c r="DL158" s="157"/>
      <c r="DM158" s="157"/>
      <c r="DN158" s="157"/>
      <c r="DO158" s="157"/>
      <c r="DP158" s="157"/>
      <c r="DQ158" s="157"/>
      <c r="DR158" s="157"/>
      <c r="DS158" s="157"/>
      <c r="DT158" s="157"/>
      <c r="DU158" s="157"/>
      <c r="DV158" s="157"/>
      <c r="DW158" s="157"/>
      <c r="DX158" s="157"/>
      <c r="DY158" s="157"/>
      <c r="DZ158" s="157"/>
    </row>
    <row r="159" ht="15.75" customHeight="1">
      <c r="B159" s="163">
        <f t="shared" si="1"/>
        <v>2683</v>
      </c>
      <c r="C159" s="163">
        <v>155.0</v>
      </c>
      <c r="BQ159" s="156"/>
      <c r="BV159" s="156"/>
      <c r="CG159" s="157"/>
      <c r="CL159" s="157"/>
      <c r="CQ159" s="157"/>
      <c r="CR159" s="157"/>
      <c r="CS159" s="157"/>
      <c r="CT159" s="157"/>
      <c r="CU159" s="157"/>
      <c r="CV159" s="157"/>
      <c r="CW159" s="157"/>
      <c r="CX159" s="157"/>
      <c r="CY159" s="157"/>
      <c r="CZ159" s="157"/>
      <c r="DA159" s="157"/>
      <c r="DB159" s="157"/>
      <c r="DC159" s="157"/>
      <c r="DD159" s="157"/>
      <c r="DE159" s="157"/>
      <c r="DF159" s="157"/>
      <c r="DG159" s="157"/>
      <c r="DH159" s="157"/>
      <c r="DI159" s="157"/>
      <c r="DJ159" s="157"/>
      <c r="DK159" s="157"/>
      <c r="DL159" s="157"/>
      <c r="DM159" s="157"/>
      <c r="DN159" s="157"/>
      <c r="DO159" s="157"/>
      <c r="DP159" s="157"/>
      <c r="DQ159" s="157"/>
      <c r="DR159" s="157"/>
      <c r="DS159" s="157"/>
      <c r="DT159" s="157"/>
      <c r="DU159" s="157"/>
      <c r="DV159" s="157"/>
      <c r="DW159" s="157"/>
      <c r="DX159" s="157"/>
      <c r="DY159" s="157"/>
      <c r="DZ159" s="157"/>
    </row>
    <row r="160" ht="15.75" customHeight="1">
      <c r="B160" s="163">
        <f t="shared" si="1"/>
        <v>2682</v>
      </c>
      <c r="C160" s="163">
        <v>156.0</v>
      </c>
      <c r="BQ160" s="156"/>
      <c r="BV160" s="156"/>
      <c r="CG160" s="157"/>
      <c r="CL160" s="157"/>
      <c r="CQ160" s="157"/>
      <c r="CR160" s="157"/>
      <c r="CS160" s="157"/>
      <c r="CT160" s="157"/>
      <c r="CU160" s="157"/>
      <c r="CV160" s="157"/>
      <c r="CW160" s="157"/>
      <c r="CX160" s="157"/>
      <c r="CY160" s="157"/>
      <c r="CZ160" s="157"/>
      <c r="DA160" s="157"/>
      <c r="DB160" s="157"/>
      <c r="DC160" s="157"/>
      <c r="DD160" s="157"/>
      <c r="DE160" s="157"/>
      <c r="DF160" s="157"/>
      <c r="DG160" s="157"/>
      <c r="DH160" s="157"/>
      <c r="DI160" s="157"/>
      <c r="DJ160" s="157"/>
      <c r="DK160" s="157"/>
      <c r="DL160" s="157"/>
      <c r="DM160" s="157"/>
      <c r="DN160" s="157"/>
      <c r="DO160" s="157"/>
      <c r="DP160" s="157"/>
      <c r="DQ160" s="157"/>
      <c r="DR160" s="157"/>
      <c r="DS160" s="157"/>
      <c r="DT160" s="157"/>
      <c r="DU160" s="157"/>
      <c r="DV160" s="157"/>
      <c r="DW160" s="157"/>
      <c r="DX160" s="157"/>
      <c r="DY160" s="157"/>
      <c r="DZ160" s="157"/>
    </row>
    <row r="161" ht="15.75" customHeight="1">
      <c r="B161" s="163">
        <f t="shared" si="1"/>
        <v>2681</v>
      </c>
      <c r="C161" s="163">
        <v>157.0</v>
      </c>
      <c r="BQ161" s="156"/>
      <c r="BV161" s="156"/>
      <c r="CG161" s="157"/>
      <c r="CL161" s="157"/>
      <c r="CQ161" s="157"/>
      <c r="CR161" s="157"/>
      <c r="CS161" s="157"/>
      <c r="CT161" s="157"/>
      <c r="CU161" s="157"/>
      <c r="CV161" s="157"/>
      <c r="CW161" s="157"/>
      <c r="CX161" s="157"/>
      <c r="CY161" s="157"/>
      <c r="CZ161" s="157"/>
      <c r="DA161" s="157"/>
      <c r="DB161" s="157"/>
      <c r="DC161" s="157"/>
      <c r="DD161" s="157"/>
      <c r="DE161" s="157"/>
      <c r="DF161" s="157"/>
      <c r="DG161" s="157"/>
      <c r="DH161" s="157"/>
      <c r="DI161" s="157"/>
      <c r="DJ161" s="157"/>
      <c r="DK161" s="157"/>
      <c r="DL161" s="157"/>
      <c r="DM161" s="157"/>
      <c r="DN161" s="157"/>
      <c r="DO161" s="157"/>
      <c r="DP161" s="157"/>
      <c r="DQ161" s="157"/>
      <c r="DR161" s="157"/>
      <c r="DS161" s="157"/>
      <c r="DT161" s="157"/>
      <c r="DU161" s="157"/>
      <c r="DV161" s="157"/>
      <c r="DW161" s="157"/>
      <c r="DX161" s="157"/>
      <c r="DY161" s="157"/>
      <c r="DZ161" s="157"/>
    </row>
    <row r="162" ht="15.75" customHeight="1">
      <c r="B162" s="163">
        <f t="shared" si="1"/>
        <v>2680</v>
      </c>
      <c r="C162" s="163">
        <v>158.0</v>
      </c>
      <c r="BQ162" s="156"/>
      <c r="BV162" s="156"/>
      <c r="CG162" s="157"/>
      <c r="CL162" s="157"/>
      <c r="CQ162" s="157"/>
      <c r="CR162" s="157"/>
      <c r="CS162" s="157"/>
      <c r="CT162" s="157"/>
      <c r="CU162" s="157"/>
      <c r="CV162" s="157"/>
      <c r="CW162" s="157"/>
      <c r="CX162" s="157"/>
      <c r="CY162" s="157"/>
      <c r="CZ162" s="157"/>
      <c r="DA162" s="157"/>
      <c r="DB162" s="157"/>
      <c r="DC162" s="157"/>
      <c r="DD162" s="157"/>
      <c r="DE162" s="157"/>
      <c r="DF162" s="157"/>
      <c r="DG162" s="157"/>
      <c r="DH162" s="157"/>
      <c r="DI162" s="157"/>
      <c r="DJ162" s="157"/>
      <c r="DK162" s="157"/>
      <c r="DL162" s="157"/>
      <c r="DM162" s="157"/>
      <c r="DN162" s="157"/>
      <c r="DO162" s="157"/>
      <c r="DP162" s="157"/>
      <c r="DQ162" s="157"/>
      <c r="DR162" s="157"/>
      <c r="DS162" s="157"/>
      <c r="DT162" s="157"/>
      <c r="DU162" s="157"/>
      <c r="DV162" s="157"/>
      <c r="DW162" s="157"/>
      <c r="DX162" s="157"/>
      <c r="DY162" s="157"/>
      <c r="DZ162" s="157"/>
    </row>
    <row r="163" ht="15.75" customHeight="1">
      <c r="B163" s="163">
        <f t="shared" si="1"/>
        <v>2679</v>
      </c>
      <c r="C163" s="163">
        <v>159.0</v>
      </c>
      <c r="BQ163" s="156"/>
      <c r="BV163" s="156"/>
      <c r="CG163" s="157"/>
      <c r="CL163" s="157"/>
      <c r="CQ163" s="157"/>
      <c r="CR163" s="157"/>
      <c r="CS163" s="157"/>
      <c r="CT163" s="157"/>
      <c r="CU163" s="157"/>
      <c r="CV163" s="157"/>
      <c r="CW163" s="157"/>
      <c r="CX163" s="157"/>
      <c r="CY163" s="157"/>
      <c r="CZ163" s="157"/>
      <c r="DA163" s="157"/>
      <c r="DB163" s="157"/>
      <c r="DC163" s="157"/>
      <c r="DD163" s="157"/>
      <c r="DE163" s="157"/>
      <c r="DF163" s="157"/>
      <c r="DG163" s="157"/>
      <c r="DH163" s="157"/>
      <c r="DI163" s="157"/>
      <c r="DJ163" s="157"/>
      <c r="DK163" s="157"/>
      <c r="DL163" s="157"/>
      <c r="DM163" s="157"/>
      <c r="DN163" s="157"/>
      <c r="DO163" s="157"/>
      <c r="DP163" s="157"/>
      <c r="DQ163" s="157"/>
      <c r="DR163" s="157"/>
      <c r="DS163" s="157"/>
      <c r="DT163" s="157"/>
      <c r="DU163" s="157"/>
      <c r="DV163" s="157"/>
      <c r="DW163" s="157"/>
      <c r="DX163" s="157"/>
      <c r="DY163" s="157"/>
      <c r="DZ163" s="157"/>
    </row>
    <row r="164" ht="15.75" customHeight="1">
      <c r="B164" s="163">
        <f t="shared" si="1"/>
        <v>2678</v>
      </c>
      <c r="C164" s="163">
        <v>160.0</v>
      </c>
      <c r="BQ164" s="156"/>
      <c r="BV164" s="156"/>
      <c r="CG164" s="157"/>
      <c r="CL164" s="157"/>
      <c r="CQ164" s="157"/>
      <c r="CR164" s="157"/>
      <c r="CS164" s="157"/>
      <c r="CT164" s="157"/>
      <c r="CU164" s="157"/>
      <c r="CV164" s="157"/>
      <c r="CW164" s="157"/>
      <c r="CX164" s="157"/>
      <c r="CY164" s="157"/>
      <c r="CZ164" s="157"/>
      <c r="DA164" s="157"/>
      <c r="DB164" s="157"/>
      <c r="DC164" s="157"/>
      <c r="DD164" s="157"/>
      <c r="DE164" s="157"/>
      <c r="DF164" s="157"/>
      <c r="DG164" s="157"/>
      <c r="DH164" s="157"/>
      <c r="DI164" s="157"/>
      <c r="DJ164" s="157"/>
      <c r="DK164" s="157"/>
      <c r="DL164" s="157"/>
      <c r="DM164" s="157"/>
      <c r="DN164" s="157"/>
      <c r="DO164" s="157"/>
      <c r="DP164" s="157"/>
      <c r="DQ164" s="157"/>
      <c r="DR164" s="157"/>
      <c r="DS164" s="157"/>
      <c r="DT164" s="157"/>
      <c r="DU164" s="157"/>
      <c r="DV164" s="157"/>
      <c r="DW164" s="157"/>
      <c r="DX164" s="157"/>
      <c r="DY164" s="157"/>
      <c r="DZ164" s="157"/>
    </row>
    <row r="165" ht="15.75" customHeight="1">
      <c r="B165" s="163">
        <f t="shared" si="1"/>
        <v>2677</v>
      </c>
      <c r="C165" s="163">
        <v>161.0</v>
      </c>
      <c r="BQ165" s="156"/>
      <c r="BV165" s="156"/>
      <c r="CG165" s="157"/>
      <c r="CL165" s="157"/>
      <c r="CQ165" s="157"/>
      <c r="CR165" s="157"/>
      <c r="CS165" s="157"/>
      <c r="CT165" s="157"/>
      <c r="CU165" s="157"/>
      <c r="CV165" s="157"/>
      <c r="CW165" s="157"/>
      <c r="CX165" s="157"/>
      <c r="CY165" s="157"/>
      <c r="CZ165" s="157"/>
      <c r="DA165" s="157"/>
      <c r="DB165" s="157"/>
      <c r="DC165" s="157"/>
      <c r="DD165" s="157"/>
      <c r="DE165" s="157"/>
      <c r="DF165" s="157"/>
      <c r="DG165" s="157"/>
      <c r="DH165" s="157"/>
      <c r="DI165" s="157"/>
      <c r="DJ165" s="157"/>
      <c r="DK165" s="157"/>
      <c r="DL165" s="157"/>
      <c r="DM165" s="157"/>
      <c r="DN165" s="157"/>
      <c r="DO165" s="157"/>
      <c r="DP165" s="157"/>
      <c r="DQ165" s="157"/>
      <c r="DR165" s="157"/>
      <c r="DS165" s="157"/>
      <c r="DT165" s="157"/>
      <c r="DU165" s="157"/>
      <c r="DV165" s="157"/>
      <c r="DW165" s="157"/>
      <c r="DX165" s="157"/>
      <c r="DY165" s="157"/>
      <c r="DZ165" s="157"/>
    </row>
    <row r="166" ht="15.75" customHeight="1">
      <c r="B166" s="163">
        <f t="shared" si="1"/>
        <v>2676</v>
      </c>
      <c r="C166" s="163">
        <v>162.0</v>
      </c>
      <c r="BQ166" s="156"/>
      <c r="BV166" s="156"/>
      <c r="CG166" s="157"/>
      <c r="CL166" s="157"/>
      <c r="CQ166" s="157"/>
      <c r="CR166" s="157"/>
      <c r="CS166" s="157"/>
      <c r="CT166" s="157"/>
      <c r="CU166" s="157"/>
      <c r="CV166" s="157"/>
      <c r="CW166" s="157"/>
      <c r="CX166" s="157"/>
      <c r="CY166" s="157"/>
      <c r="CZ166" s="157"/>
      <c r="DA166" s="157"/>
      <c r="DB166" s="157"/>
      <c r="DC166" s="157"/>
      <c r="DD166" s="157"/>
      <c r="DE166" s="157"/>
      <c r="DF166" s="157"/>
      <c r="DG166" s="157"/>
      <c r="DH166" s="157"/>
      <c r="DI166" s="157"/>
      <c r="DJ166" s="157"/>
      <c r="DK166" s="157"/>
      <c r="DL166" s="157"/>
      <c r="DM166" s="157"/>
      <c r="DN166" s="157"/>
      <c r="DO166" s="157"/>
      <c r="DP166" s="157"/>
      <c r="DQ166" s="157"/>
      <c r="DR166" s="157"/>
      <c r="DS166" s="157"/>
      <c r="DT166" s="157"/>
      <c r="DU166" s="157"/>
      <c r="DV166" s="157"/>
      <c r="DW166" s="157"/>
      <c r="DX166" s="157"/>
      <c r="DY166" s="157"/>
      <c r="DZ166" s="157"/>
    </row>
    <row r="167" ht="15.75" customHeight="1">
      <c r="B167" s="163">
        <f t="shared" si="1"/>
        <v>2675</v>
      </c>
      <c r="C167" s="163">
        <v>163.0</v>
      </c>
      <c r="BQ167" s="156"/>
      <c r="BV167" s="156"/>
      <c r="CG167" s="157"/>
      <c r="CL167" s="157"/>
      <c r="CQ167" s="157"/>
      <c r="CR167" s="157"/>
      <c r="CS167" s="157"/>
      <c r="CT167" s="157"/>
      <c r="CU167" s="157"/>
      <c r="CV167" s="157"/>
      <c r="CW167" s="157"/>
      <c r="CX167" s="157"/>
      <c r="CY167" s="157"/>
      <c r="CZ167" s="157"/>
      <c r="DA167" s="157"/>
      <c r="DB167" s="157"/>
      <c r="DC167" s="157"/>
      <c r="DD167" s="157"/>
      <c r="DE167" s="157"/>
      <c r="DF167" s="157"/>
      <c r="DG167" s="157"/>
      <c r="DH167" s="157"/>
      <c r="DI167" s="157"/>
      <c r="DJ167" s="157"/>
      <c r="DK167" s="157"/>
      <c r="DL167" s="157"/>
      <c r="DM167" s="157"/>
      <c r="DN167" s="157"/>
      <c r="DO167" s="157"/>
      <c r="DP167" s="157"/>
      <c r="DQ167" s="157"/>
      <c r="DR167" s="157"/>
      <c r="DS167" s="157"/>
      <c r="DT167" s="157"/>
      <c r="DU167" s="157"/>
      <c r="DV167" s="157"/>
      <c r="DW167" s="157"/>
      <c r="DX167" s="157"/>
      <c r="DY167" s="157"/>
      <c r="DZ167" s="157"/>
    </row>
    <row r="168" ht="15.75" customHeight="1">
      <c r="B168" s="163">
        <f t="shared" si="1"/>
        <v>2674</v>
      </c>
      <c r="C168" s="163">
        <v>164.0</v>
      </c>
      <c r="BQ168" s="156"/>
      <c r="BV168" s="156"/>
      <c r="CG168" s="157"/>
      <c r="CL168" s="157"/>
      <c r="CQ168" s="157"/>
      <c r="CR168" s="157"/>
      <c r="CS168" s="157"/>
      <c r="CT168" s="157"/>
      <c r="CU168" s="157"/>
      <c r="CV168" s="157"/>
      <c r="CW168" s="157"/>
      <c r="CX168" s="157"/>
      <c r="CY168" s="157"/>
      <c r="CZ168" s="157"/>
      <c r="DA168" s="157"/>
      <c r="DB168" s="157"/>
      <c r="DC168" s="157"/>
      <c r="DD168" s="157"/>
      <c r="DE168" s="157"/>
      <c r="DF168" s="157"/>
      <c r="DG168" s="157"/>
      <c r="DH168" s="157"/>
      <c r="DI168" s="157"/>
      <c r="DJ168" s="157"/>
      <c r="DK168" s="157"/>
      <c r="DL168" s="157"/>
      <c r="DM168" s="157"/>
      <c r="DN168" s="157"/>
      <c r="DO168" s="157"/>
      <c r="DP168" s="157"/>
      <c r="DQ168" s="157"/>
      <c r="DR168" s="157"/>
      <c r="DS168" s="157"/>
      <c r="DT168" s="157"/>
      <c r="DU168" s="157"/>
      <c r="DV168" s="157"/>
      <c r="DW168" s="157"/>
      <c r="DX168" s="157"/>
      <c r="DY168" s="157"/>
      <c r="DZ168" s="157"/>
    </row>
    <row r="169" ht="15.75" customHeight="1">
      <c r="B169" s="163">
        <f t="shared" si="1"/>
        <v>2673</v>
      </c>
      <c r="C169" s="163">
        <v>165.0</v>
      </c>
      <c r="BQ169" s="156"/>
      <c r="BV169" s="156"/>
      <c r="CG169" s="157"/>
      <c r="CL169" s="157"/>
      <c r="CQ169" s="157"/>
      <c r="CR169" s="157"/>
      <c r="CS169" s="157"/>
      <c r="CT169" s="157"/>
      <c r="CU169" s="157"/>
      <c r="CV169" s="157"/>
      <c r="CW169" s="157"/>
      <c r="CX169" s="157"/>
      <c r="CY169" s="157"/>
      <c r="CZ169" s="157"/>
      <c r="DA169" s="157"/>
      <c r="DB169" s="157"/>
      <c r="DC169" s="157"/>
      <c r="DD169" s="157"/>
      <c r="DE169" s="157"/>
      <c r="DF169" s="157"/>
      <c r="DG169" s="157"/>
      <c r="DH169" s="157"/>
      <c r="DI169" s="157"/>
      <c r="DJ169" s="157"/>
      <c r="DK169" s="157"/>
      <c r="DL169" s="157"/>
      <c r="DM169" s="157"/>
      <c r="DN169" s="157"/>
      <c r="DO169" s="157"/>
      <c r="DP169" s="157"/>
      <c r="DQ169" s="157"/>
      <c r="DR169" s="157"/>
      <c r="DS169" s="157"/>
      <c r="DT169" s="157"/>
      <c r="DU169" s="157"/>
      <c r="DV169" s="157"/>
      <c r="DW169" s="157"/>
      <c r="DX169" s="157"/>
      <c r="DY169" s="157"/>
      <c r="DZ169" s="157"/>
    </row>
    <row r="170" ht="15.75" customHeight="1">
      <c r="B170" s="163">
        <f t="shared" si="1"/>
        <v>2672</v>
      </c>
      <c r="C170" s="163">
        <v>166.0</v>
      </c>
      <c r="BQ170" s="156"/>
      <c r="BV170" s="156"/>
      <c r="CG170" s="157"/>
      <c r="CL170" s="157"/>
      <c r="CQ170" s="157"/>
      <c r="CR170" s="157"/>
      <c r="CS170" s="157"/>
      <c r="CT170" s="157"/>
      <c r="CU170" s="157"/>
      <c r="CV170" s="157"/>
      <c r="CW170" s="157"/>
      <c r="CX170" s="157"/>
      <c r="CY170" s="157"/>
      <c r="CZ170" s="157"/>
      <c r="DA170" s="157"/>
      <c r="DB170" s="157"/>
      <c r="DC170" s="157"/>
      <c r="DD170" s="157"/>
      <c r="DE170" s="157"/>
      <c r="DF170" s="157"/>
      <c r="DG170" s="157"/>
      <c r="DH170" s="157"/>
      <c r="DI170" s="157"/>
      <c r="DJ170" s="157"/>
      <c r="DK170" s="157"/>
      <c r="DL170" s="157"/>
      <c r="DM170" s="157"/>
      <c r="DN170" s="157"/>
      <c r="DO170" s="157"/>
      <c r="DP170" s="157"/>
      <c r="DQ170" s="157"/>
      <c r="DR170" s="157"/>
      <c r="DS170" s="157"/>
      <c r="DT170" s="157"/>
      <c r="DU170" s="157"/>
      <c r="DV170" s="157"/>
      <c r="DW170" s="157"/>
      <c r="DX170" s="157"/>
      <c r="DY170" s="157"/>
      <c r="DZ170" s="157"/>
    </row>
    <row r="171" ht="15.75" customHeight="1">
      <c r="B171" s="163">
        <f t="shared" si="1"/>
        <v>2671</v>
      </c>
      <c r="C171" s="163">
        <v>167.0</v>
      </c>
      <c r="BQ171" s="156"/>
      <c r="BV171" s="156"/>
      <c r="CG171" s="157"/>
      <c r="CL171" s="157"/>
      <c r="CQ171" s="157"/>
      <c r="CR171" s="157"/>
      <c r="CS171" s="157"/>
      <c r="CT171" s="157"/>
      <c r="CU171" s="157"/>
      <c r="CV171" s="157"/>
      <c r="CW171" s="157"/>
      <c r="CX171" s="157"/>
      <c r="CY171" s="157"/>
      <c r="CZ171" s="157"/>
      <c r="DA171" s="157"/>
      <c r="DB171" s="157"/>
      <c r="DC171" s="157"/>
      <c r="DD171" s="157"/>
      <c r="DE171" s="157"/>
      <c r="DF171" s="157"/>
      <c r="DG171" s="157"/>
      <c r="DH171" s="157"/>
      <c r="DI171" s="157"/>
      <c r="DJ171" s="157"/>
      <c r="DK171" s="157"/>
      <c r="DL171" s="157"/>
      <c r="DM171" s="157"/>
      <c r="DN171" s="157"/>
      <c r="DO171" s="157"/>
      <c r="DP171" s="157"/>
      <c r="DQ171" s="157"/>
      <c r="DR171" s="157"/>
      <c r="DS171" s="157"/>
      <c r="DT171" s="157"/>
      <c r="DU171" s="157"/>
      <c r="DV171" s="157"/>
      <c r="DW171" s="157"/>
      <c r="DX171" s="157"/>
      <c r="DY171" s="157"/>
      <c r="DZ171" s="157"/>
    </row>
    <row r="172" ht="15.75" customHeight="1">
      <c r="B172" s="163">
        <f t="shared" si="1"/>
        <v>2670</v>
      </c>
      <c r="C172" s="163">
        <v>168.0</v>
      </c>
      <c r="BQ172" s="156"/>
      <c r="BV172" s="156"/>
      <c r="CG172" s="157"/>
      <c r="CL172" s="157"/>
      <c r="CQ172" s="157"/>
      <c r="CR172" s="157"/>
      <c r="CS172" s="157"/>
      <c r="CT172" s="157"/>
      <c r="CU172" s="157"/>
      <c r="CV172" s="157"/>
      <c r="CW172" s="157"/>
      <c r="CX172" s="157"/>
      <c r="CY172" s="157"/>
      <c r="CZ172" s="157"/>
      <c r="DA172" s="157"/>
      <c r="DB172" s="157"/>
      <c r="DC172" s="157"/>
      <c r="DD172" s="157"/>
      <c r="DE172" s="157"/>
      <c r="DF172" s="157"/>
      <c r="DG172" s="157"/>
      <c r="DH172" s="157"/>
      <c r="DI172" s="157"/>
      <c r="DJ172" s="157"/>
      <c r="DK172" s="157"/>
      <c r="DL172" s="157"/>
      <c r="DM172" s="157"/>
      <c r="DN172" s="157"/>
      <c r="DO172" s="157"/>
      <c r="DP172" s="157"/>
      <c r="DQ172" s="157"/>
      <c r="DR172" s="157"/>
      <c r="DS172" s="157"/>
      <c r="DT172" s="157"/>
      <c r="DU172" s="157"/>
      <c r="DV172" s="157"/>
      <c r="DW172" s="157"/>
      <c r="DX172" s="157"/>
      <c r="DY172" s="157"/>
      <c r="DZ172" s="157"/>
    </row>
    <row r="173" ht="15.75" customHeight="1">
      <c r="B173" s="163">
        <f t="shared" si="1"/>
        <v>2669</v>
      </c>
      <c r="C173" s="163">
        <v>169.0</v>
      </c>
      <c r="BQ173" s="156"/>
      <c r="BV173" s="156"/>
      <c r="CG173" s="157"/>
      <c r="CL173" s="157"/>
      <c r="CQ173" s="157"/>
      <c r="CR173" s="157"/>
      <c r="CS173" s="157"/>
      <c r="CT173" s="157"/>
      <c r="CU173" s="157"/>
      <c r="CV173" s="157"/>
      <c r="CW173" s="157"/>
      <c r="CX173" s="157"/>
      <c r="CY173" s="157"/>
      <c r="CZ173" s="157"/>
      <c r="DA173" s="157"/>
      <c r="DB173" s="157"/>
      <c r="DC173" s="157"/>
      <c r="DD173" s="157"/>
      <c r="DE173" s="157"/>
      <c r="DF173" s="157"/>
      <c r="DG173" s="157"/>
      <c r="DH173" s="157"/>
      <c r="DI173" s="157"/>
      <c r="DJ173" s="157"/>
      <c r="DK173" s="157"/>
      <c r="DL173" s="157"/>
      <c r="DM173" s="157"/>
      <c r="DN173" s="157"/>
      <c r="DO173" s="157"/>
      <c r="DP173" s="157"/>
      <c r="DQ173" s="157"/>
      <c r="DR173" s="157"/>
      <c r="DS173" s="157"/>
      <c r="DT173" s="157"/>
      <c r="DU173" s="157"/>
      <c r="DV173" s="157"/>
      <c r="DW173" s="157"/>
      <c r="DX173" s="157"/>
      <c r="DY173" s="157"/>
      <c r="DZ173" s="157"/>
    </row>
    <row r="174" ht="15.75" customHeight="1">
      <c r="B174" s="163">
        <f t="shared" si="1"/>
        <v>2668</v>
      </c>
      <c r="C174" s="163">
        <v>170.0</v>
      </c>
      <c r="BQ174" s="156"/>
      <c r="BV174" s="156"/>
      <c r="CG174" s="157"/>
      <c r="CL174" s="157"/>
      <c r="CQ174" s="157"/>
      <c r="CR174" s="157"/>
      <c r="CS174" s="157"/>
      <c r="CT174" s="157"/>
      <c r="CU174" s="157"/>
      <c r="CV174" s="157"/>
      <c r="CW174" s="157"/>
      <c r="CX174" s="157"/>
      <c r="CY174" s="157"/>
      <c r="CZ174" s="157"/>
      <c r="DA174" s="157"/>
      <c r="DB174" s="157"/>
      <c r="DC174" s="157"/>
      <c r="DD174" s="157"/>
      <c r="DE174" s="157"/>
      <c r="DF174" s="157"/>
      <c r="DG174" s="157"/>
      <c r="DH174" s="157"/>
      <c r="DI174" s="157"/>
      <c r="DJ174" s="157"/>
      <c r="DK174" s="157"/>
      <c r="DL174" s="157"/>
      <c r="DM174" s="157"/>
      <c r="DN174" s="157"/>
      <c r="DO174" s="157"/>
      <c r="DP174" s="157"/>
      <c r="DQ174" s="157"/>
      <c r="DR174" s="157"/>
      <c r="DS174" s="157"/>
      <c r="DT174" s="157"/>
      <c r="DU174" s="157"/>
      <c r="DV174" s="157"/>
      <c r="DW174" s="157"/>
      <c r="DX174" s="157"/>
      <c r="DY174" s="157"/>
      <c r="DZ174" s="157"/>
    </row>
    <row r="175" ht="15.75" customHeight="1">
      <c r="B175" s="163">
        <f t="shared" si="1"/>
        <v>2667</v>
      </c>
      <c r="C175" s="163">
        <v>171.0</v>
      </c>
      <c r="BQ175" s="156"/>
      <c r="BV175" s="156"/>
      <c r="CG175" s="157"/>
      <c r="CL175" s="157"/>
      <c r="CQ175" s="157"/>
      <c r="CR175" s="157"/>
      <c r="CS175" s="157"/>
      <c r="CT175" s="157"/>
      <c r="CU175" s="157"/>
      <c r="CV175" s="157"/>
      <c r="CW175" s="157"/>
      <c r="CX175" s="157"/>
      <c r="CY175" s="157"/>
      <c r="CZ175" s="157"/>
      <c r="DA175" s="157"/>
      <c r="DB175" s="157"/>
      <c r="DC175" s="157"/>
      <c r="DD175" s="157"/>
      <c r="DE175" s="157"/>
      <c r="DF175" s="157"/>
      <c r="DG175" s="157"/>
      <c r="DH175" s="157"/>
      <c r="DI175" s="157"/>
      <c r="DJ175" s="157"/>
      <c r="DK175" s="157"/>
      <c r="DL175" s="157"/>
      <c r="DM175" s="157"/>
      <c r="DN175" s="157"/>
      <c r="DO175" s="157"/>
      <c r="DP175" s="157"/>
      <c r="DQ175" s="157"/>
      <c r="DR175" s="157"/>
      <c r="DS175" s="157"/>
      <c r="DT175" s="157"/>
      <c r="DU175" s="157"/>
      <c r="DV175" s="157"/>
      <c r="DW175" s="157"/>
      <c r="DX175" s="157"/>
      <c r="DY175" s="157"/>
      <c r="DZ175" s="157"/>
    </row>
    <row r="176" ht="15.75" customHeight="1">
      <c r="B176" s="163">
        <f t="shared" si="1"/>
        <v>2666</v>
      </c>
      <c r="C176" s="163">
        <v>172.0</v>
      </c>
      <c r="BQ176" s="156"/>
      <c r="BV176" s="156"/>
      <c r="CG176" s="157"/>
      <c r="CL176" s="157"/>
      <c r="CQ176" s="157"/>
      <c r="CR176" s="157"/>
      <c r="CS176" s="157"/>
      <c r="CT176" s="157"/>
      <c r="CU176" s="157"/>
      <c r="CV176" s="157"/>
      <c r="CW176" s="157"/>
      <c r="CX176" s="157"/>
      <c r="CY176" s="157"/>
      <c r="CZ176" s="157"/>
      <c r="DA176" s="157"/>
      <c r="DB176" s="157"/>
      <c r="DC176" s="157"/>
      <c r="DD176" s="157"/>
      <c r="DE176" s="157"/>
      <c r="DF176" s="157"/>
      <c r="DG176" s="157"/>
      <c r="DH176" s="157"/>
      <c r="DI176" s="157"/>
      <c r="DJ176" s="157"/>
      <c r="DK176" s="157"/>
      <c r="DL176" s="157"/>
      <c r="DM176" s="157"/>
      <c r="DN176" s="157"/>
      <c r="DO176" s="157"/>
      <c r="DP176" s="157"/>
      <c r="DQ176" s="157"/>
      <c r="DR176" s="157"/>
      <c r="DS176" s="157"/>
      <c r="DT176" s="157"/>
      <c r="DU176" s="157"/>
      <c r="DV176" s="157"/>
      <c r="DW176" s="157"/>
      <c r="DX176" s="157"/>
      <c r="DY176" s="157"/>
      <c r="DZ176" s="157"/>
    </row>
    <row r="177" ht="15.75" customHeight="1">
      <c r="B177" s="163">
        <f t="shared" si="1"/>
        <v>2665</v>
      </c>
      <c r="C177" s="163">
        <v>173.0</v>
      </c>
      <c r="BQ177" s="156"/>
      <c r="BV177" s="156"/>
      <c r="CG177" s="157"/>
      <c r="CL177" s="157"/>
      <c r="CQ177" s="157"/>
      <c r="CR177" s="157"/>
      <c r="CS177" s="157"/>
      <c r="CT177" s="157"/>
      <c r="CU177" s="157"/>
      <c r="CV177" s="157"/>
      <c r="CW177" s="157"/>
      <c r="CX177" s="157"/>
      <c r="CY177" s="157"/>
      <c r="CZ177" s="157"/>
      <c r="DA177" s="157"/>
      <c r="DB177" s="157"/>
      <c r="DC177" s="157"/>
      <c r="DD177" s="157"/>
      <c r="DE177" s="157"/>
      <c r="DF177" s="157"/>
      <c r="DG177" s="157"/>
      <c r="DH177" s="157"/>
      <c r="DI177" s="157"/>
      <c r="DJ177" s="157"/>
      <c r="DK177" s="157"/>
      <c r="DL177" s="157"/>
      <c r="DM177" s="157"/>
      <c r="DN177" s="157"/>
      <c r="DO177" s="157"/>
      <c r="DP177" s="157"/>
      <c r="DQ177" s="157"/>
      <c r="DR177" s="157"/>
      <c r="DS177" s="157"/>
      <c r="DT177" s="157"/>
      <c r="DU177" s="157"/>
      <c r="DV177" s="157"/>
      <c r="DW177" s="157"/>
      <c r="DX177" s="157"/>
      <c r="DY177" s="157"/>
      <c r="DZ177" s="157"/>
    </row>
    <row r="178" ht="15.75" customHeight="1">
      <c r="B178" s="163">
        <f t="shared" si="1"/>
        <v>2664</v>
      </c>
      <c r="C178" s="163">
        <v>174.0</v>
      </c>
      <c r="BQ178" s="156"/>
      <c r="BV178" s="156"/>
      <c r="CG178" s="157"/>
      <c r="CL178" s="157"/>
      <c r="CQ178" s="157"/>
      <c r="CR178" s="157"/>
      <c r="CS178" s="157"/>
      <c r="CT178" s="157"/>
      <c r="CU178" s="157"/>
      <c r="CV178" s="157"/>
      <c r="CW178" s="157"/>
      <c r="CX178" s="157"/>
      <c r="CY178" s="157"/>
      <c r="CZ178" s="157"/>
      <c r="DA178" s="157"/>
      <c r="DB178" s="157"/>
      <c r="DC178" s="157"/>
      <c r="DD178" s="157"/>
      <c r="DE178" s="157"/>
      <c r="DF178" s="157"/>
      <c r="DG178" s="157"/>
      <c r="DH178" s="157"/>
      <c r="DI178" s="157"/>
      <c r="DJ178" s="157"/>
      <c r="DK178" s="157"/>
      <c r="DL178" s="157"/>
      <c r="DM178" s="157"/>
      <c r="DN178" s="157"/>
      <c r="DO178" s="157"/>
      <c r="DP178" s="157"/>
      <c r="DQ178" s="157"/>
      <c r="DR178" s="157"/>
      <c r="DS178" s="157"/>
      <c r="DT178" s="157"/>
      <c r="DU178" s="157"/>
      <c r="DV178" s="157"/>
      <c r="DW178" s="157"/>
      <c r="DX178" s="157"/>
      <c r="DY178" s="157"/>
      <c r="DZ178" s="157"/>
    </row>
    <row r="179" ht="15.75" customHeight="1">
      <c r="B179" s="163">
        <f t="shared" si="1"/>
        <v>2663</v>
      </c>
      <c r="C179" s="163">
        <v>175.0</v>
      </c>
      <c r="BQ179" s="156"/>
      <c r="BV179" s="156"/>
      <c r="CG179" s="157"/>
      <c r="CL179" s="157"/>
      <c r="CM179" s="157"/>
      <c r="CN179" s="157"/>
      <c r="CO179" s="157"/>
      <c r="CP179" s="157"/>
      <c r="CQ179" s="157"/>
      <c r="CR179" s="157"/>
      <c r="CS179" s="157"/>
      <c r="CT179" s="157"/>
      <c r="CU179" s="157"/>
      <c r="CV179" s="157"/>
      <c r="CW179" s="157"/>
      <c r="CX179" s="157"/>
      <c r="CY179" s="157"/>
      <c r="CZ179" s="157"/>
      <c r="DA179" s="157"/>
      <c r="DB179" s="157"/>
      <c r="DC179" s="157"/>
      <c r="DD179" s="157"/>
      <c r="DE179" s="157"/>
      <c r="DF179" s="157"/>
      <c r="DG179" s="157"/>
      <c r="DH179" s="157"/>
      <c r="DI179" s="157"/>
      <c r="DJ179" s="157"/>
      <c r="DK179" s="157"/>
      <c r="DL179" s="157"/>
      <c r="DM179" s="157"/>
      <c r="DN179" s="157"/>
      <c r="DO179" s="157"/>
      <c r="DP179" s="157"/>
      <c r="DQ179" s="157"/>
      <c r="DR179" s="157"/>
      <c r="DS179" s="157"/>
      <c r="DT179" s="157"/>
      <c r="DU179" s="157"/>
      <c r="DV179" s="157"/>
      <c r="DW179" s="157"/>
      <c r="DX179" s="157"/>
      <c r="DY179" s="157"/>
      <c r="DZ179" s="157"/>
    </row>
    <row r="180" ht="15.75" customHeight="1">
      <c r="B180" s="163">
        <f t="shared" si="1"/>
        <v>2662</v>
      </c>
      <c r="C180" s="163">
        <v>176.0</v>
      </c>
      <c r="BQ180" s="156"/>
      <c r="BV180" s="156"/>
      <c r="CG180" s="157"/>
      <c r="CL180" s="157"/>
      <c r="CM180" s="157"/>
      <c r="CN180" s="157"/>
      <c r="CO180" s="157"/>
      <c r="CP180" s="157"/>
      <c r="CQ180" s="157"/>
      <c r="CR180" s="157"/>
      <c r="CS180" s="157"/>
      <c r="CT180" s="157"/>
      <c r="CU180" s="157"/>
      <c r="CV180" s="157"/>
      <c r="CW180" s="157"/>
      <c r="CX180" s="157"/>
      <c r="CY180" s="157"/>
      <c r="CZ180" s="157"/>
      <c r="DA180" s="157"/>
      <c r="DB180" s="157"/>
      <c r="DC180" s="157"/>
      <c r="DD180" s="157"/>
      <c r="DE180" s="157"/>
      <c r="DF180" s="157"/>
      <c r="DG180" s="157"/>
      <c r="DH180" s="157"/>
      <c r="DI180" s="157"/>
      <c r="DJ180" s="157"/>
      <c r="DK180" s="157"/>
      <c r="DL180" s="157"/>
      <c r="DM180" s="157"/>
      <c r="DN180" s="157"/>
      <c r="DO180" s="157"/>
      <c r="DP180" s="157"/>
      <c r="DQ180" s="157"/>
      <c r="DR180" s="157"/>
      <c r="DS180" s="157"/>
      <c r="DT180" s="157"/>
      <c r="DU180" s="157"/>
      <c r="DV180" s="157"/>
      <c r="DW180" s="157"/>
      <c r="DX180" s="157"/>
      <c r="DY180" s="157"/>
      <c r="DZ180" s="157"/>
    </row>
    <row r="181" ht="15.75" customHeight="1">
      <c r="B181" s="163">
        <f t="shared" si="1"/>
        <v>2661</v>
      </c>
      <c r="C181" s="163">
        <v>177.0</v>
      </c>
      <c r="BQ181" s="156"/>
      <c r="BV181" s="156"/>
      <c r="CG181" s="157"/>
      <c r="CL181" s="157"/>
      <c r="CM181" s="157"/>
      <c r="CN181" s="157"/>
      <c r="CO181" s="157"/>
      <c r="CP181" s="157"/>
      <c r="CQ181" s="157"/>
      <c r="CR181" s="157"/>
      <c r="CS181" s="157"/>
      <c r="CT181" s="157"/>
      <c r="CU181" s="157"/>
      <c r="CV181" s="157"/>
      <c r="CW181" s="157"/>
      <c r="CX181" s="157"/>
      <c r="CY181" s="157"/>
      <c r="CZ181" s="157"/>
      <c r="DA181" s="157"/>
      <c r="DB181" s="157"/>
      <c r="DC181" s="157"/>
      <c r="DD181" s="157"/>
      <c r="DE181" s="157"/>
      <c r="DF181" s="157"/>
      <c r="DG181" s="157"/>
      <c r="DH181" s="157"/>
      <c r="DI181" s="157"/>
      <c r="DJ181" s="157"/>
      <c r="DK181" s="157"/>
      <c r="DL181" s="157"/>
      <c r="DM181" s="157"/>
      <c r="DN181" s="157"/>
      <c r="DO181" s="157"/>
      <c r="DP181" s="157"/>
      <c r="DQ181" s="157"/>
      <c r="DR181" s="157"/>
      <c r="DS181" s="157"/>
      <c r="DT181" s="157"/>
      <c r="DU181" s="157"/>
      <c r="DV181" s="157"/>
      <c r="DW181" s="157"/>
      <c r="DX181" s="157"/>
      <c r="DY181" s="157"/>
      <c r="DZ181" s="157"/>
    </row>
    <row r="182" ht="15.75" customHeight="1">
      <c r="B182" s="163">
        <f t="shared" si="1"/>
        <v>2660</v>
      </c>
      <c r="C182" s="163">
        <v>178.0</v>
      </c>
      <c r="BQ182" s="156"/>
      <c r="BV182" s="156"/>
      <c r="CG182" s="157"/>
      <c r="CL182" s="157"/>
      <c r="CM182" s="157"/>
      <c r="CN182" s="157"/>
      <c r="CO182" s="157"/>
      <c r="CP182" s="157"/>
      <c r="CQ182" s="157"/>
      <c r="CR182" s="157"/>
      <c r="CS182" s="157"/>
      <c r="CT182" s="157"/>
      <c r="CU182" s="157"/>
      <c r="CV182" s="157"/>
      <c r="CW182" s="157"/>
      <c r="CX182" s="157"/>
      <c r="CY182" s="157"/>
      <c r="CZ182" s="157"/>
      <c r="DA182" s="157"/>
      <c r="DB182" s="157"/>
      <c r="DC182" s="157"/>
      <c r="DD182" s="157"/>
      <c r="DE182" s="157"/>
      <c r="DF182" s="157"/>
      <c r="DG182" s="157"/>
      <c r="DH182" s="157"/>
      <c r="DI182" s="157"/>
      <c r="DJ182" s="157"/>
      <c r="DK182" s="157"/>
      <c r="DL182" s="157"/>
      <c r="DM182" s="157"/>
      <c r="DN182" s="157"/>
      <c r="DO182" s="157"/>
      <c r="DP182" s="157"/>
      <c r="DQ182" s="157"/>
      <c r="DR182" s="157"/>
      <c r="DS182" s="157"/>
      <c r="DT182" s="157"/>
      <c r="DU182" s="157"/>
      <c r="DV182" s="157"/>
      <c r="DW182" s="157"/>
      <c r="DX182" s="157"/>
      <c r="DY182" s="157"/>
      <c r="DZ182" s="157"/>
    </row>
    <row r="183" ht="15.75" customHeight="1">
      <c r="B183" s="163">
        <f t="shared" si="1"/>
        <v>2659</v>
      </c>
      <c r="C183" s="163">
        <v>179.0</v>
      </c>
      <c r="BQ183" s="156"/>
      <c r="BV183" s="156"/>
      <c r="CG183" s="157"/>
      <c r="CL183" s="157"/>
      <c r="CM183" s="157"/>
      <c r="CN183" s="157"/>
      <c r="CO183" s="157"/>
      <c r="CP183" s="157"/>
      <c r="CQ183" s="157"/>
      <c r="CR183" s="157"/>
      <c r="CS183" s="157"/>
      <c r="CT183" s="157"/>
      <c r="CU183" s="157"/>
      <c r="CV183" s="157"/>
      <c r="CW183" s="157"/>
      <c r="CX183" s="157"/>
      <c r="CY183" s="157"/>
      <c r="CZ183" s="157"/>
      <c r="DA183" s="157"/>
      <c r="DB183" s="157"/>
      <c r="DC183" s="157"/>
      <c r="DD183" s="157"/>
      <c r="DE183" s="157"/>
      <c r="DF183" s="157"/>
      <c r="DG183" s="157"/>
      <c r="DH183" s="157"/>
      <c r="DI183" s="157"/>
      <c r="DJ183" s="157"/>
      <c r="DK183" s="157"/>
      <c r="DL183" s="157"/>
      <c r="DM183" s="157"/>
      <c r="DN183" s="157"/>
      <c r="DO183" s="157"/>
      <c r="DP183" s="157"/>
      <c r="DQ183" s="157"/>
      <c r="DR183" s="157"/>
      <c r="DS183" s="157"/>
      <c r="DT183" s="157"/>
      <c r="DU183" s="157"/>
      <c r="DV183" s="157"/>
      <c r="DW183" s="157"/>
      <c r="DX183" s="157"/>
      <c r="DY183" s="157"/>
      <c r="DZ183" s="157"/>
    </row>
    <row r="184" ht="15.75" customHeight="1">
      <c r="B184" s="163">
        <f t="shared" si="1"/>
        <v>2658</v>
      </c>
      <c r="C184" s="163">
        <v>180.0</v>
      </c>
      <c r="BQ184" s="156"/>
      <c r="BV184" s="156"/>
      <c r="CG184" s="157"/>
      <c r="CL184" s="157"/>
      <c r="CM184" s="157"/>
      <c r="CN184" s="157"/>
      <c r="CO184" s="157"/>
      <c r="CP184" s="157"/>
      <c r="CQ184" s="157"/>
      <c r="CR184" s="157"/>
      <c r="CS184" s="157"/>
      <c r="CT184" s="157"/>
      <c r="CU184" s="157"/>
      <c r="CV184" s="157"/>
      <c r="CW184" s="157"/>
      <c r="CX184" s="157"/>
      <c r="CY184" s="157"/>
      <c r="CZ184" s="157"/>
      <c r="DA184" s="157"/>
      <c r="DB184" s="157"/>
      <c r="DC184" s="157"/>
      <c r="DD184" s="157"/>
      <c r="DE184" s="157"/>
      <c r="DF184" s="157"/>
      <c r="DG184" s="157"/>
      <c r="DH184" s="157"/>
      <c r="DI184" s="157"/>
      <c r="DJ184" s="157"/>
      <c r="DK184" s="157"/>
      <c r="DL184" s="157"/>
      <c r="DM184" s="157"/>
      <c r="DN184" s="157"/>
      <c r="DO184" s="157"/>
      <c r="DP184" s="157"/>
      <c r="DQ184" s="157"/>
      <c r="DR184" s="157"/>
      <c r="DS184" s="157"/>
      <c r="DT184" s="157"/>
      <c r="DU184" s="157"/>
      <c r="DV184" s="157"/>
      <c r="DW184" s="157"/>
      <c r="DX184" s="157"/>
      <c r="DY184" s="157"/>
      <c r="DZ184" s="157"/>
    </row>
    <row r="185" ht="15.75" customHeight="1">
      <c r="B185" s="163">
        <f t="shared" si="1"/>
        <v>2657</v>
      </c>
      <c r="C185" s="163">
        <v>181.0</v>
      </c>
      <c r="BQ185" s="156"/>
      <c r="BV185" s="156"/>
      <c r="CG185" s="157"/>
      <c r="CL185" s="157"/>
      <c r="CM185" s="157"/>
      <c r="CN185" s="157"/>
      <c r="CO185" s="157"/>
      <c r="CP185" s="157"/>
      <c r="CQ185" s="157"/>
      <c r="CR185" s="157"/>
      <c r="CS185" s="157"/>
      <c r="CT185" s="157"/>
      <c r="CU185" s="157"/>
      <c r="CV185" s="157"/>
      <c r="CW185" s="157"/>
      <c r="CX185" s="157"/>
      <c r="CY185" s="157"/>
      <c r="CZ185" s="157"/>
      <c r="DA185" s="157"/>
      <c r="DB185" s="157"/>
      <c r="DC185" s="157"/>
      <c r="DD185" s="157"/>
      <c r="DE185" s="157"/>
      <c r="DF185" s="157"/>
      <c r="DG185" s="157"/>
      <c r="DH185" s="157"/>
      <c r="DI185" s="157"/>
      <c r="DJ185" s="157"/>
      <c r="DK185" s="157"/>
      <c r="DL185" s="157"/>
      <c r="DM185" s="157"/>
      <c r="DN185" s="157"/>
      <c r="DO185" s="157"/>
      <c r="DP185" s="157"/>
      <c r="DQ185" s="157"/>
      <c r="DR185" s="157"/>
      <c r="DS185" s="157"/>
      <c r="DT185" s="157"/>
      <c r="DU185" s="157"/>
      <c r="DV185" s="157"/>
      <c r="DW185" s="157"/>
      <c r="DX185" s="157"/>
      <c r="DY185" s="157"/>
      <c r="DZ185" s="157"/>
    </row>
    <row r="186" ht="15.75" customHeight="1">
      <c r="B186" s="163">
        <f t="shared" si="1"/>
        <v>2656</v>
      </c>
      <c r="C186" s="163">
        <v>182.0</v>
      </c>
      <c r="BQ186" s="156"/>
      <c r="BV186" s="156"/>
      <c r="CG186" s="157"/>
      <c r="CL186" s="157"/>
      <c r="CM186" s="157"/>
      <c r="CN186" s="157"/>
      <c r="CO186" s="157"/>
      <c r="CP186" s="157"/>
      <c r="CQ186" s="157"/>
      <c r="CR186" s="157"/>
      <c r="CS186" s="157"/>
      <c r="CT186" s="157"/>
      <c r="CU186" s="157"/>
      <c r="CV186" s="157"/>
      <c r="CW186" s="157"/>
      <c r="CX186" s="157"/>
      <c r="CY186" s="157"/>
      <c r="CZ186" s="157"/>
      <c r="DA186" s="157"/>
      <c r="DB186" s="157"/>
      <c r="DC186" s="157"/>
      <c r="DD186" s="157"/>
      <c r="DE186" s="157"/>
      <c r="DF186" s="157"/>
      <c r="DG186" s="157"/>
      <c r="DH186" s="157"/>
      <c r="DI186" s="157"/>
      <c r="DJ186" s="157"/>
      <c r="DK186" s="157"/>
      <c r="DL186" s="157"/>
      <c r="DM186" s="157"/>
      <c r="DN186" s="157"/>
      <c r="DO186" s="157"/>
      <c r="DP186" s="157"/>
      <c r="DQ186" s="157"/>
      <c r="DR186" s="157"/>
      <c r="DS186" s="157"/>
      <c r="DT186" s="157"/>
      <c r="DU186" s="157"/>
      <c r="DV186" s="157"/>
      <c r="DW186" s="157"/>
      <c r="DX186" s="157"/>
      <c r="DY186" s="157"/>
      <c r="DZ186" s="157"/>
    </row>
    <row r="187" ht="15.75" customHeight="1">
      <c r="B187" s="163">
        <f t="shared" si="1"/>
        <v>2655</v>
      </c>
      <c r="C187" s="163">
        <v>183.0</v>
      </c>
      <c r="BQ187" s="156"/>
      <c r="BV187" s="156"/>
      <c r="CG187" s="157"/>
      <c r="CL187" s="157"/>
      <c r="CM187" s="157"/>
      <c r="CN187" s="157"/>
      <c r="CO187" s="157"/>
      <c r="CP187" s="157"/>
      <c r="CQ187" s="157"/>
      <c r="CR187" s="157"/>
      <c r="CS187" s="157"/>
      <c r="CT187" s="157"/>
      <c r="CU187" s="157"/>
      <c r="CV187" s="157"/>
      <c r="CW187" s="157"/>
      <c r="CX187" s="157"/>
      <c r="CY187" s="157"/>
      <c r="CZ187" s="157"/>
      <c r="DA187" s="157"/>
      <c r="DB187" s="157"/>
      <c r="DC187" s="157"/>
      <c r="DD187" s="157"/>
      <c r="DE187" s="157"/>
      <c r="DF187" s="157"/>
      <c r="DG187" s="157"/>
      <c r="DH187" s="157"/>
      <c r="DI187" s="157"/>
      <c r="DJ187" s="157"/>
      <c r="DK187" s="157"/>
      <c r="DL187" s="157"/>
      <c r="DM187" s="157"/>
      <c r="DN187" s="157"/>
      <c r="DO187" s="157"/>
      <c r="DP187" s="157"/>
      <c r="DQ187" s="157"/>
      <c r="DR187" s="157"/>
      <c r="DS187" s="157"/>
      <c r="DT187" s="157"/>
      <c r="DU187" s="157"/>
      <c r="DV187" s="157"/>
      <c r="DW187" s="157"/>
      <c r="DX187" s="157"/>
      <c r="DY187" s="157"/>
      <c r="DZ187" s="157"/>
    </row>
    <row r="188" ht="15.75" customHeight="1">
      <c r="B188" s="163">
        <f t="shared" si="1"/>
        <v>2654</v>
      </c>
      <c r="C188" s="163">
        <v>184.0</v>
      </c>
      <c r="BQ188" s="156"/>
      <c r="BV188" s="156"/>
      <c r="CG188" s="157"/>
      <c r="CL188" s="157"/>
      <c r="CM188" s="157"/>
      <c r="CN188" s="157"/>
      <c r="CO188" s="157"/>
      <c r="CP188" s="157"/>
      <c r="CQ188" s="157"/>
      <c r="CR188" s="157"/>
      <c r="CS188" s="157"/>
      <c r="CT188" s="157"/>
      <c r="CU188" s="157"/>
      <c r="CV188" s="157"/>
      <c r="CW188" s="157"/>
      <c r="CX188" s="157"/>
      <c r="CY188" s="157"/>
      <c r="CZ188" s="157"/>
      <c r="DA188" s="157"/>
      <c r="DB188" s="157"/>
      <c r="DC188" s="157"/>
      <c r="DD188" s="157"/>
      <c r="DE188" s="157"/>
      <c r="DF188" s="157"/>
      <c r="DG188" s="157"/>
      <c r="DH188" s="157"/>
      <c r="DI188" s="157"/>
      <c r="DJ188" s="157"/>
      <c r="DK188" s="157"/>
      <c r="DL188" s="157"/>
      <c r="DM188" s="157"/>
      <c r="DN188" s="157"/>
      <c r="DO188" s="157"/>
      <c r="DP188" s="157"/>
      <c r="DQ188" s="157"/>
      <c r="DR188" s="157"/>
      <c r="DS188" s="157"/>
      <c r="DT188" s="157"/>
      <c r="DU188" s="157"/>
      <c r="DV188" s="157"/>
      <c r="DW188" s="157"/>
      <c r="DX188" s="157"/>
      <c r="DY188" s="157"/>
      <c r="DZ188" s="157"/>
    </row>
    <row r="189" ht="15.75" customHeight="1">
      <c r="B189" s="163">
        <f t="shared" si="1"/>
        <v>2653</v>
      </c>
      <c r="C189" s="163">
        <v>185.0</v>
      </c>
      <c r="BQ189" s="156"/>
      <c r="BV189" s="156"/>
      <c r="CG189" s="157"/>
      <c r="CL189" s="157"/>
      <c r="CM189" s="157"/>
      <c r="CN189" s="157"/>
      <c r="CO189" s="157"/>
      <c r="CP189" s="157"/>
      <c r="CQ189" s="157"/>
      <c r="CR189" s="157"/>
      <c r="CS189" s="157"/>
      <c r="CT189" s="157"/>
      <c r="CU189" s="157"/>
      <c r="CV189" s="157"/>
      <c r="CW189" s="157"/>
      <c r="CX189" s="157"/>
      <c r="CY189" s="157"/>
      <c r="CZ189" s="157"/>
      <c r="DA189" s="157"/>
      <c r="DB189" s="157"/>
      <c r="DC189" s="157"/>
      <c r="DD189" s="157"/>
      <c r="DE189" s="157"/>
      <c r="DF189" s="157"/>
      <c r="DG189" s="157"/>
      <c r="DH189" s="157"/>
      <c r="DI189" s="157"/>
      <c r="DJ189" s="157"/>
      <c r="DK189" s="157"/>
      <c r="DL189" s="157"/>
      <c r="DM189" s="157"/>
      <c r="DN189" s="157"/>
      <c r="DO189" s="157"/>
      <c r="DP189" s="157"/>
      <c r="DQ189" s="157"/>
      <c r="DR189" s="157"/>
      <c r="DS189" s="157"/>
      <c r="DT189" s="157"/>
      <c r="DU189" s="157"/>
      <c r="DV189" s="157"/>
      <c r="DW189" s="157"/>
      <c r="DX189" s="157"/>
      <c r="DY189" s="157"/>
      <c r="DZ189" s="157"/>
    </row>
    <row r="190" ht="15.75" customHeight="1">
      <c r="B190" s="163">
        <f t="shared" si="1"/>
        <v>2652</v>
      </c>
      <c r="C190" s="163">
        <v>186.0</v>
      </c>
      <c r="BQ190" s="156"/>
      <c r="BV190" s="156"/>
      <c r="CG190" s="157"/>
      <c r="CL190" s="157"/>
      <c r="CM190" s="157"/>
      <c r="CN190" s="157"/>
      <c r="CO190" s="157"/>
      <c r="CP190" s="157"/>
      <c r="CQ190" s="157"/>
      <c r="CR190" s="157"/>
      <c r="CS190" s="157"/>
      <c r="CT190" s="157"/>
      <c r="CU190" s="157"/>
      <c r="CV190" s="157"/>
      <c r="CW190" s="157"/>
      <c r="CX190" s="157"/>
      <c r="CY190" s="157"/>
      <c r="CZ190" s="157"/>
      <c r="DA190" s="157"/>
      <c r="DB190" s="157"/>
      <c r="DC190" s="157"/>
      <c r="DD190" s="157"/>
      <c r="DE190" s="157"/>
      <c r="DF190" s="157"/>
      <c r="DG190" s="157"/>
      <c r="DH190" s="157"/>
      <c r="DI190" s="157"/>
      <c r="DJ190" s="157"/>
      <c r="DK190" s="157"/>
      <c r="DL190" s="157"/>
      <c r="DM190" s="157"/>
      <c r="DN190" s="157"/>
      <c r="DO190" s="157"/>
      <c r="DP190" s="157"/>
      <c r="DQ190" s="157"/>
      <c r="DR190" s="157"/>
      <c r="DS190" s="157"/>
      <c r="DT190" s="157"/>
      <c r="DU190" s="157"/>
      <c r="DV190" s="157"/>
      <c r="DW190" s="157"/>
      <c r="DX190" s="157"/>
      <c r="DY190" s="157"/>
      <c r="DZ190" s="157"/>
    </row>
    <row r="191" ht="15.75" customHeight="1">
      <c r="B191" s="163">
        <f t="shared" si="1"/>
        <v>2651</v>
      </c>
      <c r="C191" s="163">
        <v>187.0</v>
      </c>
      <c r="BQ191" s="156"/>
      <c r="BV191" s="156"/>
      <c r="CG191" s="157"/>
      <c r="CL191" s="157"/>
      <c r="CM191" s="157"/>
      <c r="CN191" s="157"/>
      <c r="CO191" s="157"/>
      <c r="CP191" s="157"/>
      <c r="CQ191" s="157"/>
      <c r="CR191" s="157"/>
      <c r="CS191" s="157"/>
      <c r="CT191" s="157"/>
      <c r="CU191" s="157"/>
      <c r="CV191" s="157"/>
      <c r="CW191" s="157"/>
      <c r="CX191" s="157"/>
      <c r="CY191" s="157"/>
      <c r="CZ191" s="157"/>
      <c r="DA191" s="157"/>
      <c r="DB191" s="157"/>
      <c r="DC191" s="157"/>
      <c r="DD191" s="157"/>
      <c r="DE191" s="157"/>
      <c r="DF191" s="157"/>
      <c r="DG191" s="157"/>
      <c r="DH191" s="157"/>
      <c r="DI191" s="157"/>
      <c r="DJ191" s="157"/>
      <c r="DK191" s="157"/>
      <c r="DL191" s="157"/>
      <c r="DM191" s="157"/>
      <c r="DN191" s="157"/>
      <c r="DO191" s="157"/>
      <c r="DP191" s="157"/>
      <c r="DQ191" s="157"/>
      <c r="DR191" s="157"/>
      <c r="DS191" s="157"/>
      <c r="DT191" s="157"/>
      <c r="DU191" s="157"/>
      <c r="DV191" s="157"/>
      <c r="DW191" s="157"/>
      <c r="DX191" s="157"/>
      <c r="DY191" s="157"/>
      <c r="DZ191" s="157"/>
    </row>
    <row r="192" ht="15.75" customHeight="1">
      <c r="B192" s="163">
        <f t="shared" si="1"/>
        <v>2650</v>
      </c>
      <c r="C192" s="163">
        <v>188.0</v>
      </c>
      <c r="BQ192" s="156"/>
      <c r="BV192" s="156"/>
      <c r="CG192" s="157"/>
      <c r="CL192" s="157"/>
      <c r="CM192" s="157"/>
      <c r="CN192" s="157"/>
      <c r="CO192" s="157"/>
      <c r="CP192" s="157"/>
      <c r="CQ192" s="157"/>
      <c r="CR192" s="157"/>
      <c r="CS192" s="157"/>
      <c r="CT192" s="157"/>
      <c r="CU192" s="157"/>
      <c r="CV192" s="157"/>
      <c r="CW192" s="157"/>
      <c r="CX192" s="157"/>
      <c r="CY192" s="157"/>
      <c r="CZ192" s="157"/>
      <c r="DA192" s="157"/>
      <c r="DB192" s="157"/>
      <c r="DC192" s="157"/>
      <c r="DD192" s="157"/>
      <c r="DE192" s="157"/>
      <c r="DF192" s="157"/>
      <c r="DG192" s="157"/>
      <c r="DH192" s="157"/>
      <c r="DI192" s="157"/>
      <c r="DJ192" s="157"/>
      <c r="DK192" s="157"/>
      <c r="DL192" s="157"/>
      <c r="DM192" s="157"/>
      <c r="DN192" s="157"/>
      <c r="DO192" s="157"/>
      <c r="DP192" s="157"/>
      <c r="DQ192" s="157"/>
      <c r="DR192" s="157"/>
      <c r="DS192" s="157"/>
      <c r="DT192" s="157"/>
      <c r="DU192" s="157"/>
      <c r="DV192" s="157"/>
      <c r="DW192" s="157"/>
      <c r="DX192" s="157"/>
      <c r="DY192" s="157"/>
      <c r="DZ192" s="157"/>
    </row>
    <row r="193" ht="15.75" customHeight="1">
      <c r="B193" s="163">
        <f t="shared" si="1"/>
        <v>2649</v>
      </c>
      <c r="C193" s="163">
        <v>189.0</v>
      </c>
      <c r="BQ193" s="156"/>
      <c r="BV193" s="156"/>
      <c r="CG193" s="157"/>
      <c r="CL193" s="157"/>
      <c r="CM193" s="157"/>
      <c r="CN193" s="157"/>
      <c r="CO193" s="157"/>
      <c r="CP193" s="157"/>
      <c r="CQ193" s="157"/>
      <c r="CR193" s="157"/>
      <c r="CS193" s="157"/>
      <c r="CT193" s="157"/>
      <c r="CU193" s="157"/>
      <c r="CV193" s="157"/>
      <c r="CW193" s="157"/>
      <c r="CX193" s="157"/>
      <c r="CY193" s="157"/>
      <c r="CZ193" s="157"/>
      <c r="DA193" s="157"/>
      <c r="DB193" s="157"/>
      <c r="DC193" s="157"/>
      <c r="DD193" s="157"/>
      <c r="DE193" s="157"/>
      <c r="DF193" s="157"/>
      <c r="DG193" s="157"/>
      <c r="DH193" s="157"/>
      <c r="DI193" s="157"/>
      <c r="DJ193" s="157"/>
      <c r="DK193" s="157"/>
      <c r="DL193" s="157"/>
      <c r="DM193" s="157"/>
      <c r="DN193" s="157"/>
      <c r="DO193" s="157"/>
      <c r="DP193" s="157"/>
      <c r="DQ193" s="157"/>
      <c r="DR193" s="157"/>
      <c r="DS193" s="157"/>
      <c r="DT193" s="157"/>
      <c r="DU193" s="157"/>
      <c r="DV193" s="157"/>
      <c r="DW193" s="157"/>
      <c r="DX193" s="157"/>
      <c r="DY193" s="157"/>
      <c r="DZ193" s="157"/>
    </row>
    <row r="194" ht="15.75" customHeight="1">
      <c r="B194" s="163">
        <f t="shared" si="1"/>
        <v>2648</v>
      </c>
      <c r="C194" s="163">
        <v>190.0</v>
      </c>
      <c r="BQ194" s="156"/>
      <c r="BV194" s="156"/>
      <c r="CG194" s="157"/>
      <c r="CL194" s="157"/>
      <c r="CM194" s="157"/>
      <c r="CN194" s="157"/>
      <c r="CO194" s="157"/>
      <c r="CP194" s="157"/>
      <c r="CQ194" s="157"/>
      <c r="CR194" s="157"/>
      <c r="CS194" s="157"/>
      <c r="CT194" s="157"/>
      <c r="CU194" s="157"/>
      <c r="CV194" s="157"/>
      <c r="CW194" s="157"/>
      <c r="CX194" s="157"/>
      <c r="CY194" s="157"/>
      <c r="CZ194" s="157"/>
      <c r="DA194" s="157"/>
      <c r="DB194" s="157"/>
      <c r="DC194" s="157"/>
      <c r="DD194" s="157"/>
      <c r="DE194" s="157"/>
      <c r="DF194" s="157"/>
      <c r="DG194" s="157"/>
      <c r="DH194" s="157"/>
      <c r="DI194" s="157"/>
      <c r="DJ194" s="157"/>
      <c r="DK194" s="157"/>
      <c r="DL194" s="157"/>
      <c r="DM194" s="157"/>
      <c r="DN194" s="157"/>
      <c r="DO194" s="157"/>
      <c r="DP194" s="157"/>
      <c r="DQ194" s="157"/>
      <c r="DR194" s="157"/>
      <c r="DS194" s="157"/>
      <c r="DT194" s="157"/>
      <c r="DU194" s="157"/>
      <c r="DV194" s="157"/>
      <c r="DW194" s="157"/>
      <c r="DX194" s="157"/>
      <c r="DY194" s="157"/>
      <c r="DZ194" s="157"/>
    </row>
    <row r="195" ht="15.75" customHeight="1">
      <c r="B195" s="163">
        <f t="shared" si="1"/>
        <v>2647</v>
      </c>
      <c r="C195" s="163">
        <v>191.0</v>
      </c>
      <c r="BQ195" s="156"/>
      <c r="BV195" s="156"/>
      <c r="CG195" s="157"/>
      <c r="CL195" s="157"/>
      <c r="CM195" s="157"/>
      <c r="CN195" s="157"/>
      <c r="CO195" s="157"/>
      <c r="CP195" s="157"/>
      <c r="CQ195" s="157"/>
      <c r="CR195" s="157"/>
      <c r="CS195" s="157"/>
      <c r="CT195" s="157"/>
      <c r="CU195" s="157"/>
      <c r="CV195" s="157"/>
      <c r="CW195" s="157"/>
      <c r="CX195" s="157"/>
      <c r="CY195" s="157"/>
      <c r="CZ195" s="157"/>
      <c r="DA195" s="157"/>
      <c r="DB195" s="157"/>
      <c r="DC195" s="157"/>
      <c r="DD195" s="157"/>
      <c r="DE195" s="157"/>
      <c r="DF195" s="157"/>
      <c r="DG195" s="157"/>
      <c r="DH195" s="157"/>
      <c r="DI195" s="157"/>
      <c r="DJ195" s="157"/>
      <c r="DK195" s="157"/>
      <c r="DL195" s="157"/>
      <c r="DM195" s="157"/>
      <c r="DN195" s="157"/>
      <c r="DO195" s="157"/>
      <c r="DP195" s="157"/>
      <c r="DQ195" s="157"/>
      <c r="DR195" s="157"/>
      <c r="DS195" s="157"/>
      <c r="DT195" s="157"/>
      <c r="DU195" s="157"/>
      <c r="DV195" s="157"/>
      <c r="DW195" s="157"/>
      <c r="DX195" s="157"/>
      <c r="DY195" s="157"/>
      <c r="DZ195" s="157"/>
    </row>
    <row r="196" ht="15.75" customHeight="1">
      <c r="B196" s="163">
        <f t="shared" si="1"/>
        <v>2646</v>
      </c>
      <c r="C196" s="163">
        <v>192.0</v>
      </c>
      <c r="BQ196" s="156"/>
      <c r="BV196" s="156"/>
      <c r="CG196" s="157"/>
      <c r="CL196" s="157"/>
      <c r="CM196" s="157"/>
      <c r="CN196" s="157"/>
      <c r="CO196" s="157"/>
      <c r="CP196" s="157"/>
      <c r="CQ196" s="157"/>
      <c r="CR196" s="157"/>
      <c r="CS196" s="157"/>
      <c r="CT196" s="157"/>
      <c r="CU196" s="157"/>
      <c r="CV196" s="157"/>
      <c r="CW196" s="157"/>
      <c r="CX196" s="157"/>
      <c r="CY196" s="157"/>
      <c r="CZ196" s="157"/>
      <c r="DA196" s="157"/>
      <c r="DB196" s="157"/>
      <c r="DC196" s="157"/>
      <c r="DD196" s="157"/>
      <c r="DE196" s="157"/>
      <c r="DF196" s="157"/>
      <c r="DG196" s="157"/>
      <c r="DH196" s="157"/>
      <c r="DI196" s="157"/>
      <c r="DJ196" s="157"/>
      <c r="DK196" s="157"/>
      <c r="DL196" s="157"/>
      <c r="DM196" s="157"/>
      <c r="DN196" s="157"/>
      <c r="DO196" s="157"/>
      <c r="DP196" s="157"/>
      <c r="DQ196" s="157"/>
      <c r="DR196" s="157"/>
      <c r="DS196" s="157"/>
      <c r="DT196" s="157"/>
      <c r="DU196" s="157"/>
      <c r="DV196" s="157"/>
      <c r="DW196" s="157"/>
      <c r="DX196" s="157"/>
      <c r="DY196" s="157"/>
      <c r="DZ196" s="157"/>
    </row>
    <row r="197" ht="15.75" customHeight="1">
      <c r="B197" s="163">
        <f t="shared" si="1"/>
        <v>2645</v>
      </c>
      <c r="C197" s="163">
        <v>193.0</v>
      </c>
      <c r="BQ197" s="156"/>
      <c r="BV197" s="156"/>
      <c r="CG197" s="157"/>
      <c r="CL197" s="157"/>
      <c r="CM197" s="157"/>
      <c r="CN197" s="157"/>
      <c r="CO197" s="157"/>
      <c r="CP197" s="157"/>
      <c r="CQ197" s="157"/>
      <c r="CR197" s="157"/>
      <c r="CS197" s="157"/>
      <c r="CT197" s="157"/>
      <c r="CU197" s="157"/>
      <c r="CV197" s="157"/>
      <c r="CW197" s="157"/>
      <c r="CX197" s="157"/>
      <c r="CY197" s="157"/>
      <c r="CZ197" s="157"/>
      <c r="DA197" s="157"/>
      <c r="DB197" s="157"/>
      <c r="DC197" s="157"/>
      <c r="DD197" s="157"/>
      <c r="DE197" s="157"/>
      <c r="DF197" s="157"/>
      <c r="DG197" s="157"/>
      <c r="DH197" s="157"/>
      <c r="DI197" s="157"/>
      <c r="DJ197" s="157"/>
      <c r="DK197" s="157"/>
      <c r="DL197" s="157"/>
      <c r="DM197" s="157"/>
      <c r="DN197" s="157"/>
      <c r="DO197" s="157"/>
      <c r="DP197" s="157"/>
      <c r="DQ197" s="157"/>
      <c r="DR197" s="157"/>
      <c r="DS197" s="157"/>
      <c r="DT197" s="157"/>
      <c r="DU197" s="157"/>
      <c r="DV197" s="157"/>
      <c r="DW197" s="157"/>
      <c r="DX197" s="157"/>
      <c r="DY197" s="157"/>
      <c r="DZ197" s="157"/>
    </row>
    <row r="198" ht="15.75" customHeight="1">
      <c r="B198" s="163">
        <f t="shared" si="1"/>
        <v>2644</v>
      </c>
      <c r="C198" s="163">
        <v>194.0</v>
      </c>
      <c r="BQ198" s="156"/>
      <c r="BV198" s="156"/>
      <c r="CG198" s="157"/>
      <c r="CL198" s="157"/>
      <c r="CM198" s="157"/>
      <c r="CN198" s="157"/>
      <c r="CO198" s="157"/>
      <c r="CP198" s="157"/>
      <c r="CQ198" s="157"/>
      <c r="CR198" s="157"/>
      <c r="CS198" s="157"/>
      <c r="CT198" s="157"/>
      <c r="CU198" s="157"/>
      <c r="CV198" s="157"/>
      <c r="CW198" s="157"/>
      <c r="CX198" s="157"/>
      <c r="CY198" s="157"/>
      <c r="CZ198" s="157"/>
      <c r="DA198" s="157"/>
      <c r="DB198" s="157"/>
      <c r="DC198" s="157"/>
      <c r="DD198" s="157"/>
      <c r="DE198" s="157"/>
      <c r="DF198" s="157"/>
      <c r="DG198" s="157"/>
      <c r="DH198" s="157"/>
      <c r="DI198" s="157"/>
      <c r="DJ198" s="157"/>
      <c r="DK198" s="157"/>
      <c r="DL198" s="157"/>
      <c r="DM198" s="157"/>
      <c r="DN198" s="157"/>
      <c r="DO198" s="157"/>
      <c r="DP198" s="157"/>
      <c r="DQ198" s="157"/>
      <c r="DR198" s="157"/>
      <c r="DS198" s="157"/>
      <c r="DT198" s="157"/>
      <c r="DU198" s="157"/>
      <c r="DV198" s="157"/>
      <c r="DW198" s="157"/>
      <c r="DX198" s="157"/>
      <c r="DY198" s="157"/>
      <c r="DZ198" s="157"/>
    </row>
    <row r="199" ht="15.75" customHeight="1">
      <c r="B199" s="163">
        <f t="shared" si="1"/>
        <v>2643</v>
      </c>
      <c r="C199" s="163">
        <v>195.0</v>
      </c>
      <c r="BQ199" s="156"/>
      <c r="BV199" s="156"/>
      <c r="CG199" s="157"/>
      <c r="CL199" s="157"/>
      <c r="CM199" s="157"/>
      <c r="CN199" s="157"/>
      <c r="CO199" s="157"/>
      <c r="CP199" s="157"/>
      <c r="CQ199" s="157"/>
      <c r="CR199" s="157"/>
      <c r="CS199" s="157"/>
      <c r="CT199" s="157"/>
      <c r="CU199" s="157"/>
      <c r="CV199" s="157"/>
      <c r="CW199" s="157"/>
      <c r="CX199" s="157"/>
      <c r="CY199" s="157"/>
      <c r="CZ199" s="157"/>
      <c r="DA199" s="157"/>
      <c r="DB199" s="157"/>
      <c r="DC199" s="157"/>
      <c r="DD199" s="157"/>
      <c r="DE199" s="157"/>
      <c r="DF199" s="157"/>
      <c r="DG199" s="157"/>
      <c r="DH199" s="157"/>
      <c r="DI199" s="157"/>
      <c r="DJ199" s="157"/>
      <c r="DK199" s="157"/>
      <c r="DL199" s="157"/>
      <c r="DM199" s="157"/>
      <c r="DN199" s="157"/>
      <c r="DO199" s="157"/>
      <c r="DP199" s="157"/>
      <c r="DQ199" s="157"/>
      <c r="DR199" s="157"/>
      <c r="DS199" s="157"/>
      <c r="DT199" s="157"/>
      <c r="DU199" s="157"/>
      <c r="DV199" s="157"/>
      <c r="DW199" s="157"/>
      <c r="DX199" s="157"/>
      <c r="DY199" s="157"/>
      <c r="DZ199" s="157"/>
    </row>
    <row r="200" ht="15.75" customHeight="1">
      <c r="B200" s="163">
        <f t="shared" si="1"/>
        <v>2642</v>
      </c>
      <c r="C200" s="163">
        <v>196.0</v>
      </c>
      <c r="BQ200" s="156"/>
      <c r="BV200" s="156"/>
      <c r="CG200" s="157"/>
      <c r="CL200" s="157"/>
      <c r="CM200" s="157"/>
      <c r="CN200" s="157"/>
      <c r="CO200" s="157"/>
      <c r="CP200" s="157"/>
      <c r="CQ200" s="157"/>
      <c r="CR200" s="157"/>
      <c r="CS200" s="157"/>
      <c r="CT200" s="157"/>
      <c r="CU200" s="157"/>
      <c r="CV200" s="157"/>
      <c r="CW200" s="157"/>
      <c r="CX200" s="157"/>
      <c r="CY200" s="157"/>
      <c r="CZ200" s="157"/>
      <c r="DA200" s="157"/>
      <c r="DB200" s="157"/>
      <c r="DC200" s="157"/>
      <c r="DD200" s="157"/>
      <c r="DE200" s="157"/>
      <c r="DF200" s="157"/>
      <c r="DG200" s="157"/>
      <c r="DH200" s="157"/>
      <c r="DI200" s="157"/>
      <c r="DJ200" s="157"/>
      <c r="DK200" s="157"/>
      <c r="DL200" s="157"/>
      <c r="DM200" s="157"/>
      <c r="DN200" s="157"/>
      <c r="DO200" s="157"/>
      <c r="DP200" s="157"/>
      <c r="DQ200" s="157"/>
      <c r="DR200" s="157"/>
      <c r="DS200" s="157"/>
      <c r="DT200" s="157"/>
      <c r="DU200" s="157"/>
      <c r="DV200" s="157"/>
      <c r="DW200" s="157"/>
      <c r="DX200" s="157"/>
      <c r="DY200" s="157"/>
      <c r="DZ200" s="157"/>
    </row>
    <row r="201" ht="15.75" customHeight="1">
      <c r="B201" s="163">
        <f t="shared" si="1"/>
        <v>2641</v>
      </c>
      <c r="C201" s="163">
        <v>197.0</v>
      </c>
      <c r="BQ201" s="156"/>
      <c r="BV201" s="156"/>
      <c r="CG201" s="157"/>
      <c r="CL201" s="157"/>
      <c r="CM201" s="157"/>
      <c r="CN201" s="157"/>
      <c r="CO201" s="157"/>
      <c r="CP201" s="157"/>
      <c r="CQ201" s="157"/>
      <c r="CR201" s="157"/>
      <c r="CS201" s="157"/>
      <c r="CT201" s="157"/>
      <c r="CU201" s="157"/>
      <c r="CV201" s="157"/>
      <c r="CW201" s="157"/>
      <c r="CX201" s="157"/>
      <c r="CY201" s="157"/>
      <c r="CZ201" s="157"/>
      <c r="DA201" s="157"/>
      <c r="DB201" s="157"/>
      <c r="DC201" s="157"/>
      <c r="DD201" s="157"/>
      <c r="DE201" s="157"/>
      <c r="DF201" s="157"/>
      <c r="DG201" s="157"/>
      <c r="DH201" s="157"/>
      <c r="DI201" s="157"/>
      <c r="DJ201" s="157"/>
      <c r="DK201" s="157"/>
      <c r="DL201" s="157"/>
      <c r="DM201" s="157"/>
      <c r="DN201" s="157"/>
      <c r="DO201" s="157"/>
      <c r="DP201" s="157"/>
      <c r="DQ201" s="157"/>
      <c r="DR201" s="157"/>
      <c r="DS201" s="157"/>
      <c r="DT201" s="157"/>
      <c r="DU201" s="157"/>
      <c r="DV201" s="157"/>
      <c r="DW201" s="157"/>
      <c r="DX201" s="157"/>
      <c r="DY201" s="157"/>
      <c r="DZ201" s="157"/>
    </row>
    <row r="202" ht="15.75" customHeight="1">
      <c r="B202" s="163">
        <f t="shared" si="1"/>
        <v>2640</v>
      </c>
      <c r="C202" s="163">
        <v>198.0</v>
      </c>
      <c r="BQ202" s="156"/>
      <c r="BV202" s="156"/>
      <c r="CG202" s="157"/>
      <c r="CL202" s="157"/>
      <c r="CM202" s="157"/>
      <c r="CN202" s="157"/>
      <c r="CO202" s="157"/>
      <c r="CP202" s="157"/>
      <c r="CQ202" s="157"/>
      <c r="CR202" s="157"/>
      <c r="CS202" s="157"/>
      <c r="CT202" s="157"/>
      <c r="CU202" s="157"/>
      <c r="CV202" s="157"/>
      <c r="CW202" s="157"/>
      <c r="CX202" s="157"/>
      <c r="CY202" s="157"/>
      <c r="CZ202" s="157"/>
      <c r="DA202" s="157"/>
      <c r="DB202" s="157"/>
      <c r="DC202" s="157"/>
      <c r="DD202" s="157"/>
      <c r="DE202" s="157"/>
      <c r="DF202" s="157"/>
      <c r="DG202" s="157"/>
      <c r="DH202" s="157"/>
      <c r="DI202" s="157"/>
      <c r="DJ202" s="157"/>
      <c r="DK202" s="157"/>
      <c r="DL202" s="157"/>
      <c r="DM202" s="157"/>
      <c r="DN202" s="157"/>
      <c r="DO202" s="157"/>
      <c r="DP202" s="157"/>
      <c r="DQ202" s="157"/>
      <c r="DR202" s="157"/>
      <c r="DS202" s="157"/>
      <c r="DT202" s="157"/>
      <c r="DU202" s="157"/>
      <c r="DV202" s="157"/>
      <c r="DW202" s="157"/>
      <c r="DX202" s="157"/>
      <c r="DY202" s="157"/>
      <c r="DZ202" s="157"/>
    </row>
    <row r="203" ht="15.75" customHeight="1">
      <c r="B203" s="163">
        <f t="shared" si="1"/>
        <v>2639</v>
      </c>
      <c r="C203" s="163">
        <v>199.0</v>
      </c>
      <c r="BQ203" s="156"/>
      <c r="BV203" s="156"/>
      <c r="CG203" s="157"/>
      <c r="CL203" s="157"/>
      <c r="CM203" s="157"/>
      <c r="CN203" s="157"/>
      <c r="CO203" s="157"/>
      <c r="CP203" s="157"/>
      <c r="CQ203" s="157"/>
      <c r="CR203" s="157"/>
      <c r="CS203" s="157"/>
      <c r="CT203" s="157"/>
      <c r="CU203" s="157"/>
      <c r="CV203" s="157"/>
      <c r="CW203" s="157"/>
      <c r="CX203" s="157"/>
      <c r="CY203" s="157"/>
      <c r="CZ203" s="157"/>
      <c r="DA203" s="157"/>
      <c r="DB203" s="157"/>
      <c r="DC203" s="157"/>
      <c r="DD203" s="157"/>
      <c r="DE203" s="157"/>
      <c r="DF203" s="157"/>
      <c r="DG203" s="157"/>
      <c r="DH203" s="157"/>
      <c r="DI203" s="157"/>
      <c r="DJ203" s="157"/>
      <c r="DK203" s="157"/>
      <c r="DL203" s="157"/>
      <c r="DM203" s="157"/>
      <c r="DN203" s="157"/>
      <c r="DO203" s="157"/>
      <c r="DP203" s="157"/>
      <c r="DQ203" s="157"/>
      <c r="DR203" s="157"/>
      <c r="DS203" s="157"/>
      <c r="DT203" s="157"/>
      <c r="DU203" s="157"/>
      <c r="DV203" s="157"/>
      <c r="DW203" s="157"/>
      <c r="DX203" s="157"/>
      <c r="DY203" s="157"/>
      <c r="DZ203" s="157"/>
    </row>
    <row r="204" ht="15.75" customHeight="1">
      <c r="B204" s="163">
        <f t="shared" si="1"/>
        <v>2638</v>
      </c>
      <c r="C204" s="163">
        <v>200.0</v>
      </c>
      <c r="BQ204" s="156"/>
      <c r="BV204" s="156"/>
      <c r="CG204" s="157"/>
      <c r="CL204" s="157"/>
      <c r="CM204" s="157"/>
      <c r="CN204" s="157"/>
      <c r="CO204" s="157"/>
      <c r="CP204" s="157"/>
      <c r="CQ204" s="157"/>
      <c r="CR204" s="157"/>
      <c r="CS204" s="157"/>
      <c r="CT204" s="157"/>
      <c r="CU204" s="157"/>
      <c r="CV204" s="157"/>
      <c r="CW204" s="157"/>
      <c r="CX204" s="157"/>
      <c r="CY204" s="157"/>
      <c r="CZ204" s="157"/>
      <c r="DA204" s="157"/>
      <c r="DB204" s="157"/>
      <c r="DC204" s="157"/>
      <c r="DD204" s="157"/>
      <c r="DE204" s="157"/>
      <c r="DF204" s="157"/>
      <c r="DG204" s="157"/>
      <c r="DH204" s="157"/>
      <c r="DI204" s="157"/>
      <c r="DJ204" s="157"/>
      <c r="DK204" s="157"/>
      <c r="DL204" s="157"/>
      <c r="DM204" s="157"/>
      <c r="DN204" s="157"/>
      <c r="DO204" s="157"/>
      <c r="DP204" s="157"/>
      <c r="DQ204" s="157"/>
      <c r="DR204" s="157"/>
      <c r="DS204" s="157"/>
      <c r="DT204" s="157"/>
      <c r="DU204" s="157"/>
      <c r="DV204" s="157"/>
      <c r="DW204" s="157"/>
      <c r="DX204" s="157"/>
      <c r="DY204" s="157"/>
      <c r="DZ204" s="157"/>
    </row>
    <row r="205" ht="15.75" customHeight="1">
      <c r="B205" s="163">
        <f t="shared" si="1"/>
        <v>2637</v>
      </c>
      <c r="C205" s="163">
        <v>201.0</v>
      </c>
      <c r="BQ205" s="156"/>
      <c r="BV205" s="156"/>
      <c r="CG205" s="157"/>
      <c r="CL205" s="157"/>
      <c r="CM205" s="157"/>
      <c r="CN205" s="157"/>
      <c r="CO205" s="157"/>
      <c r="CP205" s="157"/>
      <c r="CQ205" s="157"/>
      <c r="CR205" s="157"/>
      <c r="CS205" s="157"/>
      <c r="CT205" s="157"/>
      <c r="CU205" s="157"/>
      <c r="CV205" s="157"/>
      <c r="CW205" s="157"/>
      <c r="CX205" s="157"/>
      <c r="CY205" s="157"/>
      <c r="CZ205" s="157"/>
      <c r="DA205" s="157"/>
      <c r="DB205" s="157"/>
      <c r="DC205" s="157"/>
      <c r="DD205" s="157"/>
      <c r="DE205" s="157"/>
      <c r="DF205" s="157"/>
      <c r="DG205" s="157"/>
      <c r="DH205" s="157"/>
      <c r="DI205" s="157"/>
      <c r="DJ205" s="157"/>
      <c r="DK205" s="157"/>
      <c r="DL205" s="157"/>
      <c r="DM205" s="157"/>
      <c r="DN205" s="157"/>
      <c r="DO205" s="157"/>
      <c r="DP205" s="157"/>
      <c r="DQ205" s="157"/>
      <c r="DR205" s="157"/>
      <c r="DS205" s="157"/>
      <c r="DT205" s="157"/>
      <c r="DU205" s="157"/>
      <c r="DV205" s="157"/>
      <c r="DW205" s="157"/>
      <c r="DX205" s="157"/>
      <c r="DY205" s="157"/>
      <c r="DZ205" s="157"/>
    </row>
    <row r="206" ht="15.75" customHeight="1">
      <c r="B206" s="163">
        <f t="shared" si="1"/>
        <v>2636</v>
      </c>
      <c r="C206" s="163">
        <v>202.0</v>
      </c>
      <c r="BQ206" s="156"/>
      <c r="BV206" s="156"/>
      <c r="CG206" s="157"/>
      <c r="CL206" s="157"/>
      <c r="CM206" s="157"/>
      <c r="CN206" s="157"/>
      <c r="CO206" s="157"/>
      <c r="CP206" s="157"/>
      <c r="CQ206" s="157"/>
      <c r="CR206" s="157"/>
      <c r="CS206" s="157"/>
      <c r="CT206" s="157"/>
      <c r="CU206" s="157"/>
      <c r="CV206" s="157"/>
      <c r="CW206" s="157"/>
      <c r="CX206" s="157"/>
      <c r="CY206" s="157"/>
      <c r="CZ206" s="157"/>
      <c r="DA206" s="157"/>
      <c r="DB206" s="157"/>
      <c r="DC206" s="157"/>
      <c r="DD206" s="157"/>
      <c r="DE206" s="157"/>
      <c r="DF206" s="157"/>
      <c r="DG206" s="157"/>
      <c r="DH206" s="157"/>
      <c r="DI206" s="157"/>
      <c r="DJ206" s="157"/>
      <c r="DK206" s="157"/>
      <c r="DL206" s="157"/>
      <c r="DM206" s="157"/>
      <c r="DN206" s="157"/>
      <c r="DO206" s="157"/>
      <c r="DP206" s="157"/>
      <c r="DQ206" s="157"/>
      <c r="DR206" s="157"/>
      <c r="DS206" s="157"/>
      <c r="DT206" s="157"/>
      <c r="DU206" s="157"/>
      <c r="DV206" s="157"/>
      <c r="DW206" s="157"/>
      <c r="DX206" s="157"/>
      <c r="DY206" s="157"/>
      <c r="DZ206" s="157"/>
    </row>
    <row r="207" ht="15.75" customHeight="1">
      <c r="B207" s="163">
        <f t="shared" si="1"/>
        <v>2635</v>
      </c>
      <c r="C207" s="163">
        <v>203.0</v>
      </c>
      <c r="BQ207" s="156"/>
      <c r="BV207" s="156"/>
      <c r="CG207" s="157"/>
      <c r="CH207" s="157"/>
      <c r="CI207" s="157"/>
      <c r="CJ207" s="157"/>
      <c r="CK207" s="157"/>
      <c r="CL207" s="157"/>
      <c r="CM207" s="157"/>
      <c r="CN207" s="157"/>
      <c r="CO207" s="157"/>
      <c r="CP207" s="157"/>
      <c r="CQ207" s="157"/>
      <c r="CR207" s="157"/>
      <c r="CS207" s="157"/>
      <c r="CT207" s="157"/>
      <c r="CU207" s="157"/>
      <c r="CV207" s="157"/>
      <c r="CW207" s="157"/>
      <c r="CX207" s="157"/>
      <c r="CY207" s="157"/>
      <c r="CZ207" s="157"/>
      <c r="DA207" s="157"/>
      <c r="DB207" s="157"/>
      <c r="DC207" s="157"/>
      <c r="DD207" s="157"/>
      <c r="DE207" s="157"/>
      <c r="DF207" s="157"/>
      <c r="DG207" s="157"/>
      <c r="DH207" s="157"/>
      <c r="DI207" s="157"/>
      <c r="DJ207" s="157"/>
      <c r="DK207" s="157"/>
      <c r="DL207" s="157"/>
      <c r="DM207" s="157"/>
      <c r="DN207" s="157"/>
      <c r="DO207" s="157"/>
      <c r="DP207" s="157"/>
      <c r="DQ207" s="157"/>
      <c r="DR207" s="157"/>
      <c r="DS207" s="157"/>
      <c r="DT207" s="157"/>
      <c r="DU207" s="157"/>
      <c r="DV207" s="157"/>
      <c r="DW207" s="157"/>
      <c r="DX207" s="157"/>
      <c r="DY207" s="157"/>
      <c r="DZ207" s="157"/>
    </row>
    <row r="208" ht="15.75" customHeight="1">
      <c r="B208" s="163">
        <f t="shared" si="1"/>
        <v>2634</v>
      </c>
      <c r="C208" s="163">
        <v>204.0</v>
      </c>
      <c r="BQ208" s="156"/>
      <c r="BV208" s="156"/>
      <c r="CG208" s="157"/>
      <c r="CH208" s="157"/>
      <c r="CI208" s="157"/>
      <c r="CJ208" s="157"/>
      <c r="CK208" s="157"/>
      <c r="CL208" s="157"/>
      <c r="CM208" s="157"/>
      <c r="CN208" s="157"/>
      <c r="CO208" s="157"/>
      <c r="CP208" s="157"/>
      <c r="CQ208" s="157"/>
      <c r="CR208" s="157"/>
      <c r="CS208" s="157"/>
      <c r="CT208" s="157"/>
      <c r="CU208" s="157"/>
      <c r="CV208" s="157"/>
      <c r="CW208" s="157"/>
      <c r="CX208" s="157"/>
      <c r="CY208" s="157"/>
      <c r="CZ208" s="157"/>
      <c r="DA208" s="157"/>
      <c r="DB208" s="157"/>
      <c r="DC208" s="157"/>
      <c r="DD208" s="157"/>
      <c r="DE208" s="157"/>
      <c r="DF208" s="157"/>
      <c r="DG208" s="157"/>
      <c r="DH208" s="157"/>
      <c r="DI208" s="157"/>
      <c r="DJ208" s="157"/>
      <c r="DK208" s="157"/>
      <c r="DL208" s="157"/>
      <c r="DM208" s="157"/>
      <c r="DN208" s="157"/>
      <c r="DO208" s="157"/>
      <c r="DP208" s="157"/>
      <c r="DQ208" s="157"/>
      <c r="DR208" s="157"/>
      <c r="DS208" s="157"/>
      <c r="DT208" s="157"/>
      <c r="DU208" s="157"/>
      <c r="DV208" s="157"/>
      <c r="DW208" s="157"/>
      <c r="DX208" s="157"/>
      <c r="DY208" s="157"/>
      <c r="DZ208" s="157"/>
    </row>
    <row r="209" ht="15.75" customHeight="1">
      <c r="B209" s="163">
        <f t="shared" si="1"/>
        <v>2633</v>
      </c>
      <c r="C209" s="163">
        <v>205.0</v>
      </c>
      <c r="BQ209" s="156"/>
      <c r="BV209" s="156"/>
      <c r="CG209" s="157"/>
      <c r="CH209" s="157"/>
      <c r="CI209" s="157"/>
      <c r="CJ209" s="157"/>
      <c r="CK209" s="157"/>
      <c r="CL209" s="157"/>
      <c r="CM209" s="157"/>
      <c r="CN209" s="157"/>
      <c r="CO209" s="157"/>
      <c r="CP209" s="157"/>
      <c r="CQ209" s="157"/>
      <c r="CR209" s="157"/>
      <c r="CS209" s="157"/>
      <c r="CT209" s="157"/>
      <c r="CU209" s="157"/>
      <c r="CV209" s="157"/>
      <c r="CW209" s="157"/>
      <c r="CX209" s="157"/>
      <c r="CY209" s="157"/>
      <c r="CZ209" s="157"/>
      <c r="DA209" s="157"/>
      <c r="DB209" s="157"/>
      <c r="DC209" s="157"/>
      <c r="DD209" s="157"/>
      <c r="DE209" s="157"/>
      <c r="DF209" s="157"/>
      <c r="DG209" s="157"/>
      <c r="DH209" s="157"/>
      <c r="DI209" s="157"/>
      <c r="DJ209" s="157"/>
      <c r="DK209" s="157"/>
      <c r="DL209" s="157"/>
      <c r="DM209" s="157"/>
      <c r="DN209" s="157"/>
      <c r="DO209" s="157"/>
      <c r="DP209" s="157"/>
      <c r="DQ209" s="157"/>
      <c r="DR209" s="157"/>
      <c r="DS209" s="157"/>
      <c r="DT209" s="157"/>
      <c r="DU209" s="157"/>
      <c r="DV209" s="157"/>
      <c r="DW209" s="157"/>
      <c r="DX209" s="157"/>
      <c r="DY209" s="157"/>
      <c r="DZ209" s="157"/>
    </row>
    <row r="210" ht="15.75" customHeight="1">
      <c r="B210" s="163">
        <f t="shared" si="1"/>
        <v>2632</v>
      </c>
      <c r="C210" s="163">
        <v>206.0</v>
      </c>
      <c r="BQ210" s="156"/>
      <c r="BV210" s="156"/>
      <c r="CG210" s="157"/>
      <c r="CH210" s="157"/>
      <c r="CI210" s="157"/>
      <c r="CJ210" s="157"/>
      <c r="CK210" s="157"/>
      <c r="CL210" s="157"/>
      <c r="CM210" s="157"/>
      <c r="CN210" s="157"/>
      <c r="CO210" s="157"/>
      <c r="CP210" s="157"/>
      <c r="CQ210" s="157"/>
      <c r="CR210" s="157"/>
      <c r="CS210" s="157"/>
      <c r="CT210" s="157"/>
      <c r="CU210" s="157"/>
      <c r="CV210" s="157"/>
      <c r="CW210" s="157"/>
      <c r="CX210" s="157"/>
      <c r="CY210" s="157"/>
      <c r="CZ210" s="157"/>
      <c r="DA210" s="157"/>
      <c r="DB210" s="157"/>
      <c r="DC210" s="157"/>
      <c r="DD210" s="157"/>
      <c r="DE210" s="157"/>
      <c r="DF210" s="157"/>
      <c r="DG210" s="157"/>
      <c r="DH210" s="157"/>
      <c r="DI210" s="157"/>
      <c r="DJ210" s="157"/>
      <c r="DK210" s="157"/>
      <c r="DL210" s="157"/>
      <c r="DM210" s="157"/>
      <c r="DN210" s="157"/>
      <c r="DO210" s="157"/>
      <c r="DP210" s="157"/>
      <c r="DQ210" s="157"/>
      <c r="DR210" s="157"/>
      <c r="DS210" s="157"/>
      <c r="DT210" s="157"/>
      <c r="DU210" s="157"/>
      <c r="DV210" s="157"/>
      <c r="DW210" s="157"/>
      <c r="DX210" s="157"/>
      <c r="DY210" s="157"/>
      <c r="DZ210" s="157"/>
    </row>
    <row r="211" ht="15.75" customHeight="1">
      <c r="B211" s="163">
        <f t="shared" si="1"/>
        <v>2631</v>
      </c>
      <c r="C211" s="163">
        <v>207.0</v>
      </c>
      <c r="BQ211" s="156"/>
      <c r="BV211" s="156"/>
      <c r="CG211" s="157"/>
      <c r="CH211" s="157"/>
      <c r="CI211" s="157"/>
      <c r="CJ211" s="157"/>
      <c r="CK211" s="157"/>
      <c r="CL211" s="157"/>
      <c r="CM211" s="157"/>
      <c r="CN211" s="157"/>
      <c r="CO211" s="157"/>
      <c r="CP211" s="157"/>
      <c r="CQ211" s="157"/>
      <c r="CR211" s="157"/>
      <c r="CS211" s="157"/>
      <c r="CT211" s="157"/>
      <c r="CU211" s="157"/>
      <c r="CV211" s="157"/>
      <c r="CW211" s="157"/>
      <c r="CX211" s="157"/>
      <c r="CY211" s="157"/>
      <c r="CZ211" s="157"/>
      <c r="DA211" s="157"/>
      <c r="DB211" s="157"/>
      <c r="DC211" s="157"/>
      <c r="DD211" s="157"/>
      <c r="DE211" s="157"/>
      <c r="DF211" s="157"/>
      <c r="DG211" s="157"/>
      <c r="DH211" s="157"/>
      <c r="DI211" s="157"/>
      <c r="DJ211" s="157"/>
      <c r="DK211" s="157"/>
      <c r="DL211" s="157"/>
      <c r="DM211" s="157"/>
      <c r="DN211" s="157"/>
      <c r="DO211" s="157"/>
      <c r="DP211" s="157"/>
      <c r="DQ211" s="157"/>
      <c r="DR211" s="157"/>
      <c r="DS211" s="157"/>
      <c r="DT211" s="157"/>
      <c r="DU211" s="157"/>
      <c r="DV211" s="157"/>
      <c r="DW211" s="157"/>
      <c r="DX211" s="157"/>
      <c r="DY211" s="157"/>
      <c r="DZ211" s="157"/>
    </row>
    <row r="212" ht="15.75" customHeight="1">
      <c r="B212" s="163">
        <f t="shared" si="1"/>
        <v>2630</v>
      </c>
      <c r="C212" s="163">
        <v>208.0</v>
      </c>
      <c r="BQ212" s="156"/>
      <c r="BV212" s="156"/>
      <c r="CG212" s="157"/>
      <c r="CH212" s="157"/>
      <c r="CI212" s="157"/>
      <c r="CJ212" s="157"/>
      <c r="CK212" s="157"/>
      <c r="CL212" s="157"/>
      <c r="CM212" s="157"/>
      <c r="CN212" s="157"/>
      <c r="CO212" s="157"/>
      <c r="CP212" s="157"/>
      <c r="CQ212" s="157"/>
      <c r="CR212" s="157"/>
      <c r="CS212" s="157"/>
      <c r="CT212" s="157"/>
      <c r="CU212" s="157"/>
      <c r="CV212" s="157"/>
      <c r="CW212" s="157"/>
      <c r="CX212" s="157"/>
      <c r="CY212" s="157"/>
      <c r="CZ212" s="157"/>
      <c r="DA212" s="157"/>
      <c r="DB212" s="157"/>
      <c r="DC212" s="157"/>
      <c r="DD212" s="157"/>
      <c r="DE212" s="157"/>
      <c r="DF212" s="157"/>
      <c r="DG212" s="157"/>
      <c r="DH212" s="157"/>
      <c r="DI212" s="157"/>
      <c r="DJ212" s="157"/>
      <c r="DK212" s="157"/>
      <c r="DL212" s="157"/>
      <c r="DM212" s="157"/>
      <c r="DN212" s="157"/>
      <c r="DO212" s="157"/>
      <c r="DP212" s="157"/>
      <c r="DQ212" s="157"/>
      <c r="DR212" s="157"/>
      <c r="DS212" s="157"/>
      <c r="DT212" s="157"/>
      <c r="DU212" s="157"/>
      <c r="DV212" s="157"/>
      <c r="DW212" s="157"/>
      <c r="DX212" s="157"/>
      <c r="DY212" s="157"/>
      <c r="DZ212" s="157"/>
    </row>
    <row r="213" ht="15.75" customHeight="1">
      <c r="B213" s="163">
        <f t="shared" si="1"/>
        <v>2629</v>
      </c>
      <c r="C213" s="163">
        <v>209.0</v>
      </c>
      <c r="BQ213" s="156"/>
      <c r="BV213" s="156"/>
      <c r="CG213" s="157"/>
      <c r="CH213" s="157"/>
      <c r="CI213" s="157"/>
      <c r="CJ213" s="157"/>
      <c r="CK213" s="157"/>
      <c r="CL213" s="157"/>
      <c r="CM213" s="157"/>
      <c r="CN213" s="157"/>
      <c r="CO213" s="157"/>
      <c r="CP213" s="157"/>
      <c r="CQ213" s="157"/>
      <c r="CR213" s="157"/>
      <c r="CS213" s="157"/>
      <c r="CT213" s="157"/>
      <c r="CU213" s="157"/>
      <c r="CV213" s="157"/>
      <c r="CW213" s="157"/>
      <c r="CX213" s="157"/>
      <c r="CY213" s="157"/>
      <c r="CZ213" s="157"/>
      <c r="DA213" s="157"/>
      <c r="DB213" s="157"/>
      <c r="DC213" s="157"/>
      <c r="DD213" s="157"/>
      <c r="DE213" s="157"/>
      <c r="DF213" s="157"/>
      <c r="DG213" s="157"/>
      <c r="DH213" s="157"/>
      <c r="DI213" s="157"/>
      <c r="DJ213" s="157"/>
      <c r="DK213" s="157"/>
      <c r="DL213" s="157"/>
      <c r="DM213" s="157"/>
      <c r="DN213" s="157"/>
      <c r="DO213" s="157"/>
      <c r="DP213" s="157"/>
      <c r="DQ213" s="157"/>
      <c r="DR213" s="157"/>
      <c r="DS213" s="157"/>
      <c r="DT213" s="157"/>
      <c r="DU213" s="157"/>
      <c r="DV213" s="157"/>
      <c r="DW213" s="157"/>
      <c r="DX213" s="157"/>
      <c r="DY213" s="157"/>
      <c r="DZ213" s="157"/>
    </row>
    <row r="214" ht="15.75" customHeight="1">
      <c r="B214" s="163">
        <f t="shared" si="1"/>
        <v>2628</v>
      </c>
      <c r="C214" s="163">
        <v>210.0</v>
      </c>
      <c r="BQ214" s="156"/>
      <c r="BV214" s="156"/>
      <c r="CG214" s="157"/>
      <c r="CH214" s="157"/>
      <c r="CI214" s="157"/>
      <c r="CJ214" s="157"/>
      <c r="CK214" s="157"/>
      <c r="CL214" s="157"/>
      <c r="CM214" s="157"/>
      <c r="CN214" s="157"/>
      <c r="CO214" s="157"/>
      <c r="CP214" s="157"/>
      <c r="CQ214" s="157"/>
      <c r="CR214" s="157"/>
      <c r="CS214" s="157"/>
      <c r="CT214" s="157"/>
      <c r="CU214" s="157"/>
      <c r="CV214" s="157"/>
      <c r="CW214" s="157"/>
      <c r="CX214" s="157"/>
      <c r="CY214" s="157"/>
      <c r="CZ214" s="157"/>
      <c r="DA214" s="157"/>
      <c r="DB214" s="157"/>
      <c r="DC214" s="157"/>
      <c r="DD214" s="157"/>
      <c r="DE214" s="157"/>
      <c r="DF214" s="157"/>
      <c r="DG214" s="157"/>
      <c r="DH214" s="157"/>
      <c r="DI214" s="157"/>
      <c r="DJ214" s="157"/>
      <c r="DK214" s="157"/>
      <c r="DL214" s="157"/>
      <c r="DM214" s="157"/>
      <c r="DN214" s="157"/>
      <c r="DO214" s="157"/>
      <c r="DP214" s="157"/>
      <c r="DQ214" s="157"/>
      <c r="DR214" s="157"/>
      <c r="DS214" s="157"/>
      <c r="DT214" s="157"/>
      <c r="DU214" s="157"/>
      <c r="DV214" s="157"/>
      <c r="DW214" s="157"/>
      <c r="DX214" s="157"/>
      <c r="DY214" s="157"/>
      <c r="DZ214" s="157"/>
    </row>
    <row r="215" ht="15.75" customHeight="1">
      <c r="B215" s="163">
        <f t="shared" si="1"/>
        <v>2627</v>
      </c>
      <c r="C215" s="163">
        <v>211.0</v>
      </c>
      <c r="BQ215" s="156"/>
      <c r="BV215" s="156"/>
      <c r="CG215" s="157"/>
      <c r="CH215" s="157"/>
      <c r="CI215" s="157"/>
      <c r="CJ215" s="157"/>
      <c r="CK215" s="157"/>
      <c r="CL215" s="157"/>
      <c r="CM215" s="157"/>
      <c r="CN215" s="157"/>
      <c r="CO215" s="157"/>
      <c r="CP215" s="157"/>
      <c r="CQ215" s="157"/>
      <c r="CR215" s="157"/>
      <c r="CS215" s="157"/>
      <c r="CT215" s="157"/>
      <c r="CU215" s="157"/>
      <c r="CV215" s="157"/>
      <c r="CW215" s="157"/>
      <c r="CX215" s="157"/>
      <c r="CY215" s="157"/>
      <c r="CZ215" s="157"/>
      <c r="DA215" s="157"/>
      <c r="DB215" s="157"/>
      <c r="DC215" s="157"/>
      <c r="DD215" s="157"/>
      <c r="DE215" s="157"/>
      <c r="DF215" s="157"/>
      <c r="DG215" s="157"/>
      <c r="DH215" s="157"/>
      <c r="DI215" s="157"/>
      <c r="DJ215" s="157"/>
      <c r="DK215" s="157"/>
      <c r="DL215" s="157"/>
      <c r="DM215" s="157"/>
      <c r="DN215" s="157"/>
      <c r="DO215" s="157"/>
      <c r="DP215" s="157"/>
      <c r="DQ215" s="157"/>
      <c r="DR215" s="157"/>
      <c r="DS215" s="157"/>
      <c r="DT215" s="157"/>
      <c r="DU215" s="157"/>
      <c r="DV215" s="157"/>
      <c r="DW215" s="157"/>
      <c r="DX215" s="157"/>
      <c r="DY215" s="157"/>
      <c r="DZ215" s="157"/>
    </row>
    <row r="216" ht="15.75" customHeight="1">
      <c r="B216" s="163">
        <f t="shared" si="1"/>
        <v>2626</v>
      </c>
      <c r="C216" s="163">
        <v>212.0</v>
      </c>
      <c r="BQ216" s="156"/>
      <c r="BV216" s="156"/>
      <c r="CG216" s="157"/>
      <c r="CH216" s="157"/>
      <c r="CI216" s="157"/>
      <c r="CJ216" s="157"/>
      <c r="CK216" s="157"/>
      <c r="CL216" s="157"/>
      <c r="CM216" s="157"/>
      <c r="CN216" s="157"/>
      <c r="CO216" s="157"/>
      <c r="CP216" s="157"/>
      <c r="CQ216" s="157"/>
      <c r="CR216" s="157"/>
      <c r="CS216" s="157"/>
      <c r="CT216" s="157"/>
      <c r="CU216" s="157"/>
      <c r="CV216" s="157"/>
      <c r="CW216" s="157"/>
      <c r="CX216" s="157"/>
      <c r="CY216" s="157"/>
      <c r="CZ216" s="157"/>
      <c r="DA216" s="157"/>
      <c r="DB216" s="157"/>
      <c r="DC216" s="157"/>
      <c r="DD216" s="157"/>
      <c r="DE216" s="157"/>
      <c r="DF216" s="157"/>
      <c r="DG216" s="157"/>
      <c r="DH216" s="157"/>
      <c r="DI216" s="157"/>
      <c r="DJ216" s="157"/>
      <c r="DK216" s="157"/>
      <c r="DL216" s="157"/>
      <c r="DM216" s="157"/>
      <c r="DN216" s="157"/>
      <c r="DO216" s="157"/>
      <c r="DP216" s="157"/>
      <c r="DQ216" s="157"/>
      <c r="DR216" s="157"/>
      <c r="DS216" s="157"/>
      <c r="DT216" s="157"/>
      <c r="DU216" s="157"/>
      <c r="DV216" s="157"/>
      <c r="DW216" s="157"/>
      <c r="DX216" s="157"/>
      <c r="DY216" s="157"/>
      <c r="DZ216" s="157"/>
    </row>
    <row r="217" ht="15.75" customHeight="1">
      <c r="B217" s="163">
        <f t="shared" si="1"/>
        <v>2625</v>
      </c>
      <c r="C217" s="163">
        <v>213.0</v>
      </c>
      <c r="BQ217" s="156"/>
      <c r="BV217" s="156"/>
      <c r="CG217" s="157"/>
      <c r="CH217" s="157"/>
      <c r="CI217" s="157"/>
      <c r="CJ217" s="157"/>
      <c r="CK217" s="157"/>
      <c r="CL217" s="157"/>
      <c r="CM217" s="157"/>
      <c r="CN217" s="157"/>
      <c r="CO217" s="157"/>
      <c r="CP217" s="157"/>
      <c r="CQ217" s="157"/>
      <c r="CR217" s="157"/>
      <c r="CS217" s="157"/>
      <c r="CT217" s="157"/>
      <c r="CU217" s="157"/>
      <c r="CV217" s="157"/>
      <c r="CW217" s="157"/>
      <c r="CX217" s="157"/>
      <c r="CY217" s="157"/>
      <c r="CZ217" s="157"/>
      <c r="DA217" s="157"/>
      <c r="DB217" s="157"/>
      <c r="DC217" s="157"/>
      <c r="DD217" s="157"/>
      <c r="DE217" s="157"/>
      <c r="DF217" s="157"/>
      <c r="DG217" s="157"/>
      <c r="DH217" s="157"/>
      <c r="DI217" s="157"/>
      <c r="DJ217" s="157"/>
      <c r="DK217" s="157"/>
      <c r="DL217" s="157"/>
      <c r="DM217" s="157"/>
      <c r="DN217" s="157"/>
      <c r="DO217" s="157"/>
      <c r="DP217" s="157"/>
      <c r="DQ217" s="157"/>
      <c r="DR217" s="157"/>
      <c r="DS217" s="157"/>
      <c r="DT217" s="157"/>
      <c r="DU217" s="157"/>
      <c r="DV217" s="157"/>
      <c r="DW217" s="157"/>
      <c r="DX217" s="157"/>
      <c r="DY217" s="157"/>
      <c r="DZ217" s="157"/>
    </row>
    <row r="218" ht="15.75" customHeight="1">
      <c r="B218" s="163">
        <f t="shared" si="1"/>
        <v>2624</v>
      </c>
      <c r="C218" s="163">
        <v>214.0</v>
      </c>
      <c r="BQ218" s="156"/>
      <c r="BV218" s="156"/>
      <c r="CG218" s="157"/>
      <c r="CH218" s="157"/>
      <c r="CI218" s="157"/>
      <c r="CJ218" s="157"/>
      <c r="CK218" s="157"/>
      <c r="CL218" s="157"/>
      <c r="CM218" s="157"/>
      <c r="CN218" s="157"/>
      <c r="CO218" s="157"/>
      <c r="CP218" s="157"/>
      <c r="CQ218" s="157"/>
      <c r="CR218" s="157"/>
      <c r="CS218" s="157"/>
      <c r="CT218" s="157"/>
      <c r="CU218" s="157"/>
      <c r="CV218" s="157"/>
      <c r="CW218" s="157"/>
      <c r="CX218" s="157"/>
      <c r="CY218" s="157"/>
      <c r="CZ218" s="157"/>
      <c r="DA218" s="157"/>
      <c r="DB218" s="157"/>
      <c r="DC218" s="157"/>
      <c r="DD218" s="157"/>
      <c r="DE218" s="157"/>
      <c r="DF218" s="157"/>
      <c r="DG218" s="157"/>
      <c r="DH218" s="157"/>
      <c r="DI218" s="157"/>
      <c r="DJ218" s="157"/>
      <c r="DK218" s="157"/>
      <c r="DL218" s="157"/>
      <c r="DM218" s="157"/>
      <c r="DN218" s="157"/>
      <c r="DO218" s="157"/>
      <c r="DP218" s="157"/>
      <c r="DQ218" s="157"/>
      <c r="DR218" s="157"/>
      <c r="DS218" s="157"/>
      <c r="DT218" s="157"/>
      <c r="DU218" s="157"/>
      <c r="DV218" s="157"/>
      <c r="DW218" s="157"/>
      <c r="DX218" s="157"/>
      <c r="DY218" s="157"/>
      <c r="DZ218" s="157"/>
    </row>
    <row r="219" ht="15.75" customHeight="1">
      <c r="B219" s="163">
        <f t="shared" si="1"/>
        <v>2623</v>
      </c>
      <c r="C219" s="163">
        <v>215.0</v>
      </c>
      <c r="BQ219" s="156"/>
      <c r="BV219" s="156"/>
      <c r="CG219" s="157"/>
      <c r="CH219" s="157"/>
      <c r="CI219" s="157"/>
      <c r="CJ219" s="157"/>
      <c r="CK219" s="157"/>
      <c r="CL219" s="157"/>
      <c r="CM219" s="157"/>
      <c r="CN219" s="157"/>
      <c r="CO219" s="157"/>
      <c r="CP219" s="157"/>
      <c r="CQ219" s="157"/>
      <c r="CR219" s="157"/>
      <c r="CS219" s="157"/>
      <c r="CT219" s="157"/>
      <c r="CU219" s="157"/>
      <c r="CV219" s="157"/>
      <c r="CW219" s="157"/>
      <c r="CX219" s="157"/>
      <c r="CY219" s="157"/>
      <c r="CZ219" s="157"/>
      <c r="DA219" s="157"/>
      <c r="DB219" s="157"/>
      <c r="DC219" s="157"/>
      <c r="DD219" s="157"/>
      <c r="DE219" s="157"/>
      <c r="DF219" s="157"/>
      <c r="DG219" s="157"/>
      <c r="DH219" s="157"/>
      <c r="DI219" s="157"/>
      <c r="DJ219" s="157"/>
      <c r="DK219" s="157"/>
      <c r="DL219" s="157"/>
      <c r="DM219" s="157"/>
      <c r="DN219" s="157"/>
      <c r="DO219" s="157"/>
      <c r="DP219" s="157"/>
      <c r="DQ219" s="157"/>
      <c r="DR219" s="157"/>
      <c r="DS219" s="157"/>
      <c r="DT219" s="157"/>
      <c r="DU219" s="157"/>
      <c r="DV219" s="157"/>
      <c r="DW219" s="157"/>
      <c r="DX219" s="157"/>
      <c r="DY219" s="157"/>
      <c r="DZ219" s="157"/>
    </row>
    <row r="220" ht="15.75" customHeight="1">
      <c r="B220" s="163">
        <f t="shared" si="1"/>
        <v>2622</v>
      </c>
      <c r="C220" s="163">
        <v>216.0</v>
      </c>
      <c r="BQ220" s="156"/>
      <c r="BV220" s="156"/>
      <c r="CG220" s="157"/>
      <c r="CH220" s="157"/>
      <c r="CI220" s="157"/>
      <c r="CJ220" s="157"/>
      <c r="CK220" s="157"/>
      <c r="CL220" s="157"/>
      <c r="CM220" s="157"/>
      <c r="CN220" s="157"/>
      <c r="CO220" s="157"/>
      <c r="CP220" s="157"/>
      <c r="CQ220" s="157"/>
      <c r="CR220" s="157"/>
      <c r="CS220" s="157"/>
      <c r="CT220" s="157"/>
      <c r="CU220" s="157"/>
      <c r="CV220" s="157"/>
      <c r="CW220" s="157"/>
      <c r="CX220" s="157"/>
      <c r="CY220" s="157"/>
      <c r="CZ220" s="157"/>
      <c r="DA220" s="157"/>
      <c r="DB220" s="157"/>
      <c r="DC220" s="157"/>
      <c r="DD220" s="157"/>
      <c r="DE220" s="157"/>
      <c r="DF220" s="157"/>
      <c r="DG220" s="157"/>
      <c r="DH220" s="157"/>
      <c r="DI220" s="157"/>
      <c r="DJ220" s="157"/>
      <c r="DK220" s="157"/>
      <c r="DL220" s="157"/>
      <c r="DM220" s="157"/>
      <c r="DN220" s="157"/>
      <c r="DO220" s="157"/>
      <c r="DP220" s="157"/>
      <c r="DQ220" s="157"/>
      <c r="DR220" s="157"/>
      <c r="DS220" s="157"/>
      <c r="DT220" s="157"/>
      <c r="DU220" s="157"/>
      <c r="DV220" s="157"/>
      <c r="DW220" s="157"/>
      <c r="DX220" s="157"/>
      <c r="DY220" s="157"/>
      <c r="DZ220" s="157"/>
    </row>
    <row r="221" ht="15.75" customHeight="1">
      <c r="B221" s="163">
        <f t="shared" si="1"/>
        <v>2621</v>
      </c>
      <c r="C221" s="163">
        <v>217.0</v>
      </c>
      <c r="BQ221" s="156"/>
      <c r="BV221" s="156"/>
      <c r="CG221" s="157"/>
      <c r="CH221" s="157"/>
      <c r="CI221" s="157"/>
      <c r="CJ221" s="157"/>
      <c r="CK221" s="157"/>
      <c r="CL221" s="157"/>
      <c r="CM221" s="157"/>
      <c r="CN221" s="157"/>
      <c r="CO221" s="157"/>
      <c r="CP221" s="157"/>
      <c r="CQ221" s="157"/>
      <c r="CR221" s="157"/>
      <c r="CS221" s="157"/>
      <c r="CT221" s="157"/>
      <c r="CU221" s="157"/>
      <c r="CV221" s="157"/>
      <c r="CW221" s="157"/>
      <c r="CX221" s="157"/>
      <c r="CY221" s="157"/>
      <c r="CZ221" s="157"/>
      <c r="DA221" s="157"/>
      <c r="DB221" s="157"/>
      <c r="DC221" s="157"/>
      <c r="DD221" s="157"/>
      <c r="DE221" s="157"/>
      <c r="DF221" s="157"/>
      <c r="DG221" s="157"/>
      <c r="DH221" s="157"/>
      <c r="DI221" s="157"/>
      <c r="DJ221" s="157"/>
      <c r="DK221" s="157"/>
      <c r="DL221" s="157"/>
      <c r="DM221" s="157"/>
      <c r="DN221" s="157"/>
      <c r="DO221" s="157"/>
      <c r="DP221" s="157"/>
      <c r="DQ221" s="157"/>
      <c r="DR221" s="157"/>
      <c r="DS221" s="157"/>
      <c r="DT221" s="157"/>
      <c r="DU221" s="157"/>
      <c r="DV221" s="157"/>
      <c r="DW221" s="157"/>
      <c r="DX221" s="157"/>
      <c r="DY221" s="157"/>
      <c r="DZ221" s="157"/>
    </row>
    <row r="222" ht="15.75" customHeight="1">
      <c r="B222" s="163">
        <f t="shared" si="1"/>
        <v>2620</v>
      </c>
      <c r="C222" s="163">
        <v>218.0</v>
      </c>
      <c r="BQ222" s="156"/>
      <c r="BV222" s="156"/>
      <c r="CG222" s="157"/>
      <c r="CH222" s="157"/>
      <c r="CI222" s="157"/>
      <c r="CJ222" s="157"/>
      <c r="CK222" s="157"/>
      <c r="CL222" s="157"/>
      <c r="CM222" s="157"/>
      <c r="CN222" s="157"/>
      <c r="CO222" s="157"/>
      <c r="CP222" s="157"/>
      <c r="CQ222" s="157"/>
      <c r="CR222" s="157"/>
      <c r="CS222" s="157"/>
      <c r="CT222" s="157"/>
      <c r="CU222" s="157"/>
      <c r="CV222" s="157"/>
      <c r="CW222" s="157"/>
      <c r="CX222" s="157"/>
      <c r="CY222" s="157"/>
      <c r="CZ222" s="157"/>
      <c r="DA222" s="157"/>
      <c r="DB222" s="157"/>
      <c r="DC222" s="157"/>
      <c r="DD222" s="157"/>
      <c r="DE222" s="157"/>
      <c r="DF222" s="157"/>
      <c r="DG222" s="157"/>
      <c r="DH222" s="157"/>
      <c r="DI222" s="157"/>
      <c r="DJ222" s="157"/>
      <c r="DK222" s="157"/>
      <c r="DL222" s="157"/>
      <c r="DM222" s="157"/>
      <c r="DN222" s="157"/>
      <c r="DO222" s="157"/>
      <c r="DP222" s="157"/>
      <c r="DQ222" s="157"/>
      <c r="DR222" s="157"/>
      <c r="DS222" s="157"/>
      <c r="DT222" s="157"/>
      <c r="DU222" s="157"/>
      <c r="DV222" s="157"/>
      <c r="DW222" s="157"/>
      <c r="DX222" s="157"/>
      <c r="DY222" s="157"/>
      <c r="DZ222" s="157"/>
    </row>
    <row r="223" ht="15.75" customHeight="1">
      <c r="B223" s="163">
        <f t="shared" si="1"/>
        <v>2619</v>
      </c>
      <c r="C223" s="163">
        <v>219.0</v>
      </c>
      <c r="BQ223" s="156"/>
      <c r="BV223" s="156"/>
      <c r="CG223" s="157"/>
      <c r="CH223" s="157"/>
      <c r="CI223" s="157"/>
      <c r="CJ223" s="157"/>
      <c r="CK223" s="157"/>
      <c r="CL223" s="157"/>
      <c r="CM223" s="157"/>
      <c r="CN223" s="157"/>
      <c r="CO223" s="157"/>
      <c r="CP223" s="157"/>
      <c r="CQ223" s="157"/>
      <c r="CR223" s="157"/>
      <c r="CS223" s="157"/>
      <c r="CT223" s="157"/>
      <c r="CU223" s="157"/>
      <c r="CV223" s="157"/>
      <c r="CW223" s="157"/>
      <c r="CX223" s="157"/>
      <c r="CY223" s="157"/>
      <c r="CZ223" s="157"/>
      <c r="DA223" s="157"/>
      <c r="DB223" s="157"/>
      <c r="DC223" s="157"/>
      <c r="DD223" s="157"/>
      <c r="DE223" s="157"/>
      <c r="DF223" s="157"/>
      <c r="DG223" s="157"/>
      <c r="DH223" s="157"/>
      <c r="DI223" s="157"/>
      <c r="DJ223" s="157"/>
      <c r="DK223" s="157"/>
      <c r="DL223" s="157"/>
      <c r="DM223" s="157"/>
      <c r="DN223" s="157"/>
      <c r="DO223" s="157"/>
      <c r="DP223" s="157"/>
      <c r="DQ223" s="157"/>
      <c r="DR223" s="157"/>
      <c r="DS223" s="157"/>
      <c r="DT223" s="157"/>
      <c r="DU223" s="157"/>
      <c r="DV223" s="157"/>
      <c r="DW223" s="157"/>
      <c r="DX223" s="157"/>
      <c r="DY223" s="157"/>
      <c r="DZ223" s="157"/>
    </row>
    <row r="224" ht="15.75" customHeight="1">
      <c r="B224" s="163">
        <f t="shared" si="1"/>
        <v>2618</v>
      </c>
      <c r="C224" s="163">
        <v>220.0</v>
      </c>
      <c r="BQ224" s="156"/>
      <c r="BV224" s="156"/>
      <c r="CG224" s="157"/>
      <c r="CH224" s="157"/>
      <c r="CI224" s="157"/>
      <c r="CJ224" s="157"/>
      <c r="CK224" s="157"/>
      <c r="CL224" s="157"/>
      <c r="CM224" s="157"/>
      <c r="CN224" s="157"/>
      <c r="CO224" s="157"/>
      <c r="CP224" s="157"/>
      <c r="CQ224" s="157"/>
      <c r="CR224" s="157"/>
      <c r="CS224" s="157"/>
      <c r="CT224" s="157"/>
      <c r="CU224" s="157"/>
      <c r="CV224" s="157"/>
      <c r="CW224" s="157"/>
      <c r="CX224" s="157"/>
      <c r="CY224" s="157"/>
      <c r="CZ224" s="157"/>
      <c r="DA224" s="157"/>
      <c r="DB224" s="157"/>
      <c r="DC224" s="157"/>
      <c r="DD224" s="157"/>
      <c r="DE224" s="157"/>
      <c r="DF224" s="157"/>
      <c r="DG224" s="157"/>
      <c r="DH224" s="157"/>
      <c r="DI224" s="157"/>
      <c r="DJ224" s="157"/>
      <c r="DK224" s="157"/>
      <c r="DL224" s="157"/>
      <c r="DM224" s="157"/>
      <c r="DN224" s="157"/>
      <c r="DO224" s="157"/>
      <c r="DP224" s="157"/>
      <c r="DQ224" s="157"/>
      <c r="DR224" s="157"/>
      <c r="DS224" s="157"/>
      <c r="DT224" s="157"/>
      <c r="DU224" s="157"/>
      <c r="DV224" s="157"/>
      <c r="DW224" s="157"/>
      <c r="DX224" s="157"/>
      <c r="DY224" s="157"/>
      <c r="DZ224" s="157"/>
    </row>
    <row r="225" ht="15.75" customHeight="1">
      <c r="B225" s="163">
        <f t="shared" si="1"/>
        <v>2617</v>
      </c>
      <c r="C225" s="163">
        <v>221.0</v>
      </c>
      <c r="BQ225" s="156"/>
      <c r="BV225" s="156"/>
      <c r="CG225" s="157"/>
      <c r="CH225" s="157"/>
      <c r="CI225" s="157"/>
      <c r="CJ225" s="157"/>
      <c r="CK225" s="157"/>
      <c r="CL225" s="157"/>
      <c r="CM225" s="157"/>
      <c r="CN225" s="157"/>
      <c r="CO225" s="157"/>
      <c r="CP225" s="157"/>
      <c r="CQ225" s="157"/>
      <c r="CR225" s="157"/>
      <c r="CS225" s="157"/>
      <c r="CT225" s="157"/>
      <c r="CU225" s="157"/>
      <c r="CV225" s="157"/>
      <c r="CW225" s="157"/>
      <c r="CX225" s="157"/>
      <c r="CY225" s="157"/>
      <c r="CZ225" s="157"/>
      <c r="DA225" s="157"/>
      <c r="DB225" s="157"/>
      <c r="DC225" s="157"/>
      <c r="DD225" s="157"/>
      <c r="DE225" s="157"/>
      <c r="DF225" s="157"/>
      <c r="DG225" s="157"/>
      <c r="DH225" s="157"/>
      <c r="DI225" s="157"/>
      <c r="DJ225" s="157"/>
      <c r="DK225" s="157"/>
      <c r="DL225" s="157"/>
      <c r="DM225" s="157"/>
      <c r="DN225" s="157"/>
      <c r="DO225" s="157"/>
      <c r="DP225" s="157"/>
      <c r="DQ225" s="157"/>
      <c r="DR225" s="157"/>
      <c r="DS225" s="157"/>
      <c r="DT225" s="157"/>
      <c r="DU225" s="157"/>
      <c r="DV225" s="157"/>
      <c r="DW225" s="157"/>
      <c r="DX225" s="157"/>
      <c r="DY225" s="157"/>
      <c r="DZ225" s="157"/>
    </row>
    <row r="226" ht="15.75" customHeight="1">
      <c r="B226" s="163">
        <f t="shared" si="1"/>
        <v>2616</v>
      </c>
      <c r="C226" s="163">
        <v>222.0</v>
      </c>
      <c r="BQ226" s="156"/>
      <c r="BV226" s="156"/>
      <c r="CG226" s="157"/>
      <c r="CH226" s="157"/>
      <c r="CI226" s="157"/>
      <c r="CJ226" s="157"/>
      <c r="CK226" s="157"/>
      <c r="CL226" s="157"/>
      <c r="CM226" s="157"/>
      <c r="CN226" s="157"/>
      <c r="CO226" s="157"/>
      <c r="CP226" s="157"/>
      <c r="CQ226" s="157"/>
      <c r="CR226" s="157"/>
      <c r="CS226" s="157"/>
      <c r="CT226" s="157"/>
      <c r="CU226" s="157"/>
      <c r="CV226" s="157"/>
      <c r="CW226" s="157"/>
      <c r="CX226" s="157"/>
      <c r="CY226" s="157"/>
      <c r="CZ226" s="157"/>
      <c r="DA226" s="157"/>
      <c r="DB226" s="157"/>
      <c r="DC226" s="157"/>
      <c r="DD226" s="157"/>
      <c r="DE226" s="157"/>
      <c r="DF226" s="157"/>
      <c r="DG226" s="157"/>
      <c r="DH226" s="157"/>
      <c r="DI226" s="157"/>
      <c r="DJ226" s="157"/>
      <c r="DK226" s="157"/>
      <c r="DL226" s="157"/>
      <c r="DM226" s="157"/>
      <c r="DN226" s="157"/>
      <c r="DO226" s="157"/>
      <c r="DP226" s="157"/>
      <c r="DQ226" s="157"/>
      <c r="DR226" s="157"/>
      <c r="DS226" s="157"/>
      <c r="DT226" s="157"/>
      <c r="DU226" s="157"/>
      <c r="DV226" s="157"/>
      <c r="DW226" s="157"/>
      <c r="DX226" s="157"/>
      <c r="DY226" s="157"/>
      <c r="DZ226" s="157"/>
    </row>
    <row r="227" ht="15.75" customHeight="1">
      <c r="B227" s="163">
        <f t="shared" si="1"/>
        <v>2615</v>
      </c>
      <c r="C227" s="163">
        <v>223.0</v>
      </c>
      <c r="BQ227" s="156"/>
      <c r="BV227" s="156"/>
      <c r="CG227" s="157"/>
      <c r="CH227" s="157"/>
      <c r="CI227" s="157"/>
      <c r="CJ227" s="157"/>
      <c r="CK227" s="157"/>
      <c r="CL227" s="157"/>
      <c r="CM227" s="157"/>
      <c r="CN227" s="157"/>
      <c r="CO227" s="157"/>
      <c r="CP227" s="157"/>
      <c r="CQ227" s="157"/>
      <c r="CR227" s="157"/>
      <c r="CS227" s="157"/>
      <c r="CT227" s="157"/>
      <c r="CU227" s="157"/>
      <c r="CV227" s="157"/>
      <c r="CW227" s="157"/>
      <c r="CX227" s="157"/>
      <c r="CY227" s="157"/>
      <c r="CZ227" s="157"/>
      <c r="DA227" s="157"/>
      <c r="DB227" s="157"/>
      <c r="DC227" s="157"/>
      <c r="DD227" s="157"/>
      <c r="DE227" s="157"/>
      <c r="DF227" s="157"/>
      <c r="DG227" s="157"/>
      <c r="DH227" s="157"/>
      <c r="DI227" s="157"/>
      <c r="DJ227" s="157"/>
      <c r="DK227" s="157"/>
      <c r="DL227" s="157"/>
      <c r="DM227" s="157"/>
      <c r="DN227" s="157"/>
      <c r="DO227" s="157"/>
      <c r="DP227" s="157"/>
      <c r="DQ227" s="157"/>
      <c r="DR227" s="157"/>
      <c r="DS227" s="157"/>
      <c r="DT227" s="157"/>
      <c r="DU227" s="157"/>
      <c r="DV227" s="157"/>
      <c r="DW227" s="157"/>
      <c r="DX227" s="157"/>
      <c r="DY227" s="157"/>
      <c r="DZ227" s="157"/>
    </row>
    <row r="228" ht="15.75" customHeight="1">
      <c r="B228" s="163">
        <f t="shared" si="1"/>
        <v>2614</v>
      </c>
      <c r="C228" s="163">
        <v>224.0</v>
      </c>
    </row>
    <row r="229" ht="15.75" customHeight="1">
      <c r="B229" s="163">
        <f t="shared" si="1"/>
        <v>2613</v>
      </c>
      <c r="C229" s="163">
        <v>225.0</v>
      </c>
    </row>
    <row r="230" ht="15.75" customHeight="1">
      <c r="B230" s="163">
        <f t="shared" si="1"/>
        <v>2612</v>
      </c>
      <c r="C230" s="163">
        <v>226.0</v>
      </c>
    </row>
    <row r="231" ht="15.75" customHeight="1">
      <c r="B231" s="163">
        <f t="shared" si="1"/>
        <v>2611</v>
      </c>
      <c r="C231" s="163">
        <v>227.0</v>
      </c>
    </row>
    <row r="232" ht="15.75" customHeight="1">
      <c r="B232" s="163">
        <f t="shared" si="1"/>
        <v>2610</v>
      </c>
      <c r="C232" s="163">
        <v>228.0</v>
      </c>
    </row>
    <row r="233" ht="15.75" customHeight="1">
      <c r="B233" s="163">
        <f t="shared" si="1"/>
        <v>2609</v>
      </c>
      <c r="C233" s="163">
        <v>229.0</v>
      </c>
    </row>
    <row r="234" ht="15.75" customHeight="1">
      <c r="B234" s="163">
        <f t="shared" si="1"/>
        <v>2608</v>
      </c>
      <c r="C234" s="163">
        <v>230.0</v>
      </c>
    </row>
    <row r="235" ht="15.75" customHeight="1">
      <c r="B235" s="163">
        <f t="shared" si="1"/>
        <v>2607</v>
      </c>
      <c r="C235" s="163">
        <v>231.0</v>
      </c>
    </row>
    <row r="236" ht="15.75" customHeight="1">
      <c r="B236" s="163">
        <f t="shared" si="1"/>
        <v>2606</v>
      </c>
      <c r="C236" s="163">
        <v>232.0</v>
      </c>
    </row>
    <row r="237" ht="15.75" customHeight="1">
      <c r="B237" s="163">
        <f t="shared" si="1"/>
        <v>2605</v>
      </c>
      <c r="C237" s="163">
        <v>233.0</v>
      </c>
    </row>
    <row r="238" ht="15.75" customHeight="1">
      <c r="B238" s="163">
        <f t="shared" si="1"/>
        <v>2604</v>
      </c>
      <c r="C238" s="163">
        <v>234.0</v>
      </c>
    </row>
    <row r="239" ht="15.75" customHeight="1">
      <c r="B239" s="163">
        <f t="shared" si="1"/>
        <v>2603</v>
      </c>
      <c r="C239" s="163">
        <v>235.0</v>
      </c>
    </row>
    <row r="240" ht="15.75" customHeight="1">
      <c r="B240" s="163">
        <f t="shared" si="1"/>
        <v>2602</v>
      </c>
      <c r="C240" s="163">
        <v>236.0</v>
      </c>
    </row>
    <row r="241" ht="15.75" customHeight="1">
      <c r="B241" s="163">
        <f t="shared" si="1"/>
        <v>2601</v>
      </c>
      <c r="C241" s="163">
        <v>237.0</v>
      </c>
    </row>
    <row r="242" ht="15.75" customHeight="1">
      <c r="B242" s="163">
        <f t="shared" si="1"/>
        <v>2600</v>
      </c>
      <c r="C242" s="163">
        <v>238.0</v>
      </c>
    </row>
    <row r="243" ht="15.75" customHeight="1">
      <c r="B243" s="163">
        <f t="shared" si="1"/>
        <v>2599</v>
      </c>
      <c r="C243" s="163">
        <v>239.0</v>
      </c>
    </row>
    <row r="244" ht="15.75" customHeight="1">
      <c r="B244" s="163">
        <f t="shared" si="1"/>
        <v>2598</v>
      </c>
      <c r="C244" s="163">
        <v>240.0</v>
      </c>
    </row>
    <row r="245" ht="15.75" customHeight="1">
      <c r="B245" s="163">
        <f t="shared" si="1"/>
        <v>2597</v>
      </c>
      <c r="C245" s="163">
        <v>241.0</v>
      </c>
    </row>
    <row r="246" ht="15.75" customHeight="1">
      <c r="B246" s="163">
        <f t="shared" si="1"/>
        <v>2596</v>
      </c>
      <c r="C246" s="163">
        <v>242.0</v>
      </c>
    </row>
    <row r="247" ht="15.75" customHeight="1">
      <c r="B247" s="163">
        <f t="shared" si="1"/>
        <v>2595</v>
      </c>
      <c r="C247" s="163">
        <v>243.0</v>
      </c>
    </row>
    <row r="248" ht="15.75" customHeight="1">
      <c r="B248" s="163">
        <f t="shared" si="1"/>
        <v>2594</v>
      </c>
      <c r="C248" s="163">
        <v>244.0</v>
      </c>
    </row>
    <row r="249" ht="15.75" customHeight="1">
      <c r="B249" s="163">
        <f t="shared" si="1"/>
        <v>2593</v>
      </c>
      <c r="C249" s="163">
        <v>245.0</v>
      </c>
    </row>
    <row r="250" ht="15.75" customHeight="1">
      <c r="B250" s="163">
        <f t="shared" si="1"/>
        <v>2592</v>
      </c>
      <c r="C250" s="163">
        <v>246.0</v>
      </c>
    </row>
    <row r="251" ht="15.75" customHeight="1">
      <c r="B251" s="163">
        <f t="shared" si="1"/>
        <v>2591</v>
      </c>
      <c r="C251" s="163">
        <v>247.0</v>
      </c>
    </row>
    <row r="252" ht="15.75" customHeight="1">
      <c r="B252" s="163">
        <f t="shared" si="1"/>
        <v>2590</v>
      </c>
      <c r="C252" s="163">
        <v>248.0</v>
      </c>
    </row>
    <row r="253" ht="15.75" customHeight="1">
      <c r="B253" s="163">
        <f t="shared" si="1"/>
        <v>2589</v>
      </c>
      <c r="C253" s="163">
        <v>249.0</v>
      </c>
    </row>
    <row r="254" ht="15.75" customHeight="1">
      <c r="B254" s="163">
        <f t="shared" si="1"/>
        <v>2588</v>
      </c>
      <c r="C254" s="163">
        <v>250.0</v>
      </c>
    </row>
    <row r="255" ht="15.75" customHeight="1">
      <c r="B255" s="163">
        <f t="shared" si="1"/>
        <v>2587</v>
      </c>
      <c r="C255" s="163">
        <v>251.0</v>
      </c>
    </row>
    <row r="256" ht="15.75" customHeight="1">
      <c r="B256" s="163">
        <f t="shared" si="1"/>
        <v>2586</v>
      </c>
      <c r="C256" s="163">
        <v>252.0</v>
      </c>
    </row>
    <row r="257" ht="15.75" customHeight="1">
      <c r="B257" s="163">
        <f t="shared" si="1"/>
        <v>2585</v>
      </c>
      <c r="C257" s="163">
        <v>253.0</v>
      </c>
    </row>
    <row r="258" ht="15.75" customHeight="1">
      <c r="B258" s="163">
        <f t="shared" si="1"/>
        <v>2584</v>
      </c>
      <c r="C258" s="163">
        <v>254.0</v>
      </c>
    </row>
    <row r="259" ht="15.75" customHeight="1">
      <c r="B259" s="163">
        <f t="shared" si="1"/>
        <v>2583</v>
      </c>
      <c r="C259" s="163">
        <v>255.0</v>
      </c>
    </row>
    <row r="260" ht="15.75" customHeight="1">
      <c r="B260" s="163">
        <f t="shared" si="1"/>
        <v>2582</v>
      </c>
      <c r="C260" s="163">
        <v>256.0</v>
      </c>
    </row>
    <row r="261" ht="15.75" customHeight="1">
      <c r="B261" s="163">
        <f t="shared" si="1"/>
        <v>2581</v>
      </c>
      <c r="C261" s="163">
        <v>257.0</v>
      </c>
    </row>
    <row r="262" ht="15.75" customHeight="1">
      <c r="B262" s="163">
        <f t="shared" si="1"/>
        <v>2580</v>
      </c>
      <c r="C262" s="163">
        <v>258.0</v>
      </c>
    </row>
    <row r="263" ht="15.75" customHeight="1">
      <c r="B263" s="163">
        <f t="shared" si="1"/>
        <v>2579</v>
      </c>
      <c r="C263" s="163">
        <v>259.0</v>
      </c>
    </row>
    <row r="264" ht="15.75" customHeight="1">
      <c r="B264" s="163">
        <f t="shared" si="1"/>
        <v>2578</v>
      </c>
      <c r="C264" s="163">
        <v>260.0</v>
      </c>
    </row>
    <row r="265" ht="15.75" customHeight="1">
      <c r="B265" s="163">
        <f t="shared" si="1"/>
        <v>2577</v>
      </c>
      <c r="C265" s="163">
        <v>261.0</v>
      </c>
    </row>
    <row r="266" ht="15.75" customHeight="1">
      <c r="B266" s="163">
        <f t="shared" si="1"/>
        <v>2576</v>
      </c>
      <c r="C266" s="163">
        <v>262.0</v>
      </c>
    </row>
    <row r="267" ht="15.75" customHeight="1">
      <c r="B267" s="163">
        <f t="shared" si="1"/>
        <v>2575</v>
      </c>
      <c r="C267" s="163">
        <v>263.0</v>
      </c>
    </row>
    <row r="268" ht="15.75" customHeight="1">
      <c r="B268" s="163">
        <f t="shared" si="1"/>
        <v>2574</v>
      </c>
      <c r="C268" s="163">
        <v>264.0</v>
      </c>
    </row>
    <row r="269" ht="15.75" customHeight="1">
      <c r="B269" s="163">
        <f t="shared" si="1"/>
        <v>2573</v>
      </c>
      <c r="C269" s="163">
        <v>265.0</v>
      </c>
    </row>
    <row r="270" ht="15.75" customHeight="1">
      <c r="B270" s="163">
        <f t="shared" si="1"/>
        <v>2572</v>
      </c>
      <c r="C270" s="163">
        <v>266.0</v>
      </c>
    </row>
    <row r="271" ht="15.75" customHeight="1">
      <c r="B271" s="163">
        <f t="shared" si="1"/>
        <v>2571</v>
      </c>
      <c r="C271" s="163">
        <v>267.0</v>
      </c>
    </row>
    <row r="272" ht="15.75" customHeight="1">
      <c r="B272" s="163">
        <f t="shared" si="1"/>
        <v>2570</v>
      </c>
      <c r="C272" s="163">
        <v>268.0</v>
      </c>
    </row>
    <row r="273" ht="15.75" customHeight="1">
      <c r="B273" s="163">
        <f t="shared" si="1"/>
        <v>2569</v>
      </c>
      <c r="C273" s="163">
        <v>269.0</v>
      </c>
    </row>
    <row r="274" ht="15.75" customHeight="1">
      <c r="B274" s="163">
        <f t="shared" si="1"/>
        <v>2568</v>
      </c>
      <c r="C274" s="163">
        <v>270.0</v>
      </c>
    </row>
    <row r="275" ht="15.75" customHeight="1">
      <c r="B275" s="163">
        <f t="shared" si="1"/>
        <v>2567</v>
      </c>
      <c r="C275" s="163">
        <v>271.0</v>
      </c>
    </row>
    <row r="276" ht="15.75" customHeight="1">
      <c r="B276" s="163">
        <f t="shared" si="1"/>
        <v>2566</v>
      </c>
      <c r="C276" s="163">
        <v>272.0</v>
      </c>
    </row>
    <row r="277" ht="15.75" customHeight="1">
      <c r="B277" s="163">
        <f t="shared" si="1"/>
        <v>2565</v>
      </c>
      <c r="C277" s="163">
        <v>273.0</v>
      </c>
    </row>
    <row r="278" ht="15.75" customHeight="1">
      <c r="B278" s="163">
        <f t="shared" si="1"/>
        <v>2564</v>
      </c>
      <c r="C278" s="163">
        <v>274.0</v>
      </c>
    </row>
    <row r="279" ht="15.75" customHeight="1">
      <c r="B279" s="163">
        <f t="shared" si="1"/>
        <v>2563</v>
      </c>
      <c r="C279" s="163">
        <v>275.0</v>
      </c>
    </row>
    <row r="280" ht="15.75" customHeight="1">
      <c r="B280" s="163">
        <f t="shared" si="1"/>
        <v>2562</v>
      </c>
      <c r="C280" s="163">
        <v>276.0</v>
      </c>
    </row>
    <row r="281" ht="15.75" customHeight="1">
      <c r="B281" s="163">
        <f t="shared" si="1"/>
        <v>2561</v>
      </c>
      <c r="C281" s="163">
        <v>277.0</v>
      </c>
    </row>
    <row r="282" ht="15.75" customHeight="1">
      <c r="B282" s="163">
        <f t="shared" si="1"/>
        <v>2560</v>
      </c>
      <c r="C282" s="163">
        <v>278.0</v>
      </c>
    </row>
    <row r="283" ht="15.75" customHeight="1">
      <c r="B283" s="163">
        <f t="shared" si="1"/>
        <v>2559</v>
      </c>
      <c r="C283" s="163">
        <v>279.0</v>
      </c>
    </row>
    <row r="284" ht="15.75" customHeight="1">
      <c r="B284" s="163">
        <f t="shared" si="1"/>
        <v>2558</v>
      </c>
      <c r="C284" s="163">
        <v>280.0</v>
      </c>
    </row>
    <row r="285" ht="15.75" customHeight="1">
      <c r="B285" s="163">
        <f t="shared" si="1"/>
        <v>2557</v>
      </c>
      <c r="C285" s="163">
        <v>281.0</v>
      </c>
    </row>
    <row r="286" ht="15.75" customHeight="1">
      <c r="B286" s="163">
        <f t="shared" si="1"/>
        <v>2556</v>
      </c>
      <c r="C286" s="163">
        <v>282.0</v>
      </c>
    </row>
    <row r="287" ht="15.75" customHeight="1">
      <c r="B287" s="163">
        <f t="shared" si="1"/>
        <v>2555</v>
      </c>
      <c r="C287" s="163">
        <v>283.0</v>
      </c>
    </row>
    <row r="288" ht="15.75" customHeight="1">
      <c r="B288" s="163">
        <f t="shared" si="1"/>
        <v>2554</v>
      </c>
      <c r="C288" s="163">
        <v>284.0</v>
      </c>
    </row>
    <row r="289" ht="15.75" customHeight="1">
      <c r="B289" s="163">
        <f t="shared" si="1"/>
        <v>2553</v>
      </c>
      <c r="C289" s="163">
        <v>285.0</v>
      </c>
    </row>
    <row r="290" ht="15.75" customHeight="1">
      <c r="B290" s="163">
        <f t="shared" si="1"/>
        <v>2552</v>
      </c>
      <c r="C290" s="163">
        <v>286.0</v>
      </c>
    </row>
    <row r="291" ht="15.75" customHeight="1">
      <c r="B291" s="163">
        <f t="shared" si="1"/>
        <v>2551</v>
      </c>
      <c r="C291" s="163">
        <v>287.0</v>
      </c>
    </row>
    <row r="292" ht="15.75" customHeight="1">
      <c r="B292" s="163">
        <f t="shared" si="1"/>
        <v>2550</v>
      </c>
      <c r="C292" s="163">
        <v>288.0</v>
      </c>
    </row>
    <row r="293" ht="15.75" customHeight="1">
      <c r="B293" s="163">
        <f t="shared" si="1"/>
        <v>2549</v>
      </c>
      <c r="C293" s="163">
        <v>289.0</v>
      </c>
    </row>
    <row r="294" ht="15.75" customHeight="1">
      <c r="B294" s="163">
        <f t="shared" si="1"/>
        <v>2548</v>
      </c>
      <c r="C294" s="163">
        <v>290.0</v>
      </c>
    </row>
    <row r="295" ht="15.75" customHeight="1">
      <c r="B295" s="163">
        <f t="shared" si="1"/>
        <v>2547</v>
      </c>
      <c r="C295" s="163">
        <v>291.0</v>
      </c>
    </row>
    <row r="296" ht="15.75" customHeight="1">
      <c r="B296" s="163">
        <f t="shared" si="1"/>
        <v>2546</v>
      </c>
      <c r="C296" s="163">
        <v>292.0</v>
      </c>
    </row>
    <row r="297" ht="15.75" customHeight="1">
      <c r="B297" s="163">
        <f t="shared" si="1"/>
        <v>2545</v>
      </c>
      <c r="C297" s="163">
        <v>293.0</v>
      </c>
    </row>
    <row r="298" ht="15.75" customHeight="1">
      <c r="B298" s="163">
        <f t="shared" si="1"/>
        <v>2544</v>
      </c>
      <c r="C298" s="163">
        <v>294.0</v>
      </c>
    </row>
    <row r="299" ht="15.75" customHeight="1">
      <c r="B299" s="163">
        <f t="shared" si="1"/>
        <v>2543</v>
      </c>
      <c r="C299" s="163">
        <v>295.0</v>
      </c>
    </row>
    <row r="300" ht="15.75" customHeight="1">
      <c r="B300" s="163">
        <f t="shared" si="1"/>
        <v>2542</v>
      </c>
      <c r="C300" s="163">
        <v>296.0</v>
      </c>
    </row>
    <row r="301" ht="15.75" customHeight="1">
      <c r="B301" s="163">
        <f t="shared" si="1"/>
        <v>2541</v>
      </c>
      <c r="C301" s="163">
        <v>297.0</v>
      </c>
    </row>
    <row r="302" ht="15.75" customHeight="1">
      <c r="B302" s="163">
        <f t="shared" si="1"/>
        <v>2540</v>
      </c>
      <c r="C302" s="163">
        <v>298.0</v>
      </c>
    </row>
    <row r="303" ht="15.75" customHeight="1">
      <c r="B303" s="163">
        <f t="shared" si="1"/>
        <v>2539</v>
      </c>
      <c r="C303" s="163">
        <v>299.0</v>
      </c>
    </row>
    <row r="304" ht="15.75" customHeight="1">
      <c r="B304" s="163">
        <f t="shared" si="1"/>
        <v>2538</v>
      </c>
      <c r="C304" s="163">
        <v>300.0</v>
      </c>
    </row>
    <row r="305" ht="15.75" customHeight="1">
      <c r="B305" s="163">
        <f t="shared" si="1"/>
        <v>2537</v>
      </c>
      <c r="C305" s="163">
        <v>301.0</v>
      </c>
    </row>
    <row r="306" ht="15.75" customHeight="1">
      <c r="B306" s="163">
        <f t="shared" si="1"/>
        <v>2536</v>
      </c>
      <c r="C306" s="163">
        <v>302.0</v>
      </c>
    </row>
    <row r="307" ht="15.75" customHeight="1">
      <c r="B307" s="163">
        <f t="shared" si="1"/>
        <v>2535</v>
      </c>
      <c r="C307" s="163">
        <v>303.0</v>
      </c>
    </row>
    <row r="308" ht="15.75" customHeight="1">
      <c r="B308" s="163">
        <f t="shared" si="1"/>
        <v>2534</v>
      </c>
      <c r="C308" s="163">
        <v>304.0</v>
      </c>
    </row>
    <row r="309" ht="15.75" customHeight="1">
      <c r="B309" s="163">
        <f t="shared" si="1"/>
        <v>2533</v>
      </c>
      <c r="C309" s="163">
        <v>305.0</v>
      </c>
    </row>
    <row r="310" ht="15.75" customHeight="1">
      <c r="B310" s="163">
        <f t="shared" si="1"/>
        <v>2532</v>
      </c>
      <c r="C310" s="163">
        <v>306.0</v>
      </c>
    </row>
    <row r="311" ht="15.75" customHeight="1">
      <c r="B311" s="163">
        <f t="shared" si="1"/>
        <v>2531</v>
      </c>
      <c r="C311" s="163">
        <v>307.0</v>
      </c>
    </row>
    <row r="312" ht="15.75" customHeight="1">
      <c r="B312" s="163">
        <f t="shared" si="1"/>
        <v>2530</v>
      </c>
      <c r="C312" s="163">
        <v>308.0</v>
      </c>
    </row>
    <row r="313" ht="15.75" customHeight="1">
      <c r="B313" s="163">
        <f t="shared" si="1"/>
        <v>2529</v>
      </c>
      <c r="C313" s="163">
        <v>309.0</v>
      </c>
    </row>
    <row r="314" ht="15.75" customHeight="1">
      <c r="B314" s="163">
        <f t="shared" si="1"/>
        <v>2528</v>
      </c>
      <c r="C314" s="163">
        <v>310.0</v>
      </c>
    </row>
    <row r="315" ht="15.75" customHeight="1">
      <c r="B315" s="163">
        <f t="shared" si="1"/>
        <v>2527</v>
      </c>
      <c r="C315" s="163">
        <v>311.0</v>
      </c>
    </row>
    <row r="316" ht="15.75" customHeight="1">
      <c r="B316" s="163">
        <f t="shared" si="1"/>
        <v>2526</v>
      </c>
      <c r="C316" s="163">
        <v>312.0</v>
      </c>
    </row>
    <row r="317" ht="15.75" customHeight="1">
      <c r="B317" s="163">
        <f t="shared" si="1"/>
        <v>2525</v>
      </c>
      <c r="C317" s="163">
        <v>313.0</v>
      </c>
    </row>
    <row r="318" ht="15.75" customHeight="1">
      <c r="B318" s="163">
        <f t="shared" si="1"/>
        <v>2524</v>
      </c>
      <c r="C318" s="163">
        <v>314.0</v>
      </c>
    </row>
    <row r="319" ht="15.75" customHeight="1">
      <c r="B319" s="163">
        <f t="shared" si="1"/>
        <v>2523</v>
      </c>
      <c r="C319" s="163">
        <v>315.0</v>
      </c>
    </row>
    <row r="320" ht="15.75" customHeight="1">
      <c r="B320" s="163">
        <f t="shared" si="1"/>
        <v>2522</v>
      </c>
      <c r="C320" s="163">
        <v>316.0</v>
      </c>
    </row>
    <row r="321" ht="15.75" customHeight="1">
      <c r="B321" s="163">
        <f t="shared" si="1"/>
        <v>2521</v>
      </c>
      <c r="C321" s="163">
        <v>317.0</v>
      </c>
    </row>
    <row r="322" ht="15.75" customHeight="1">
      <c r="B322" s="163">
        <f t="shared" si="1"/>
        <v>2520</v>
      </c>
      <c r="C322" s="163">
        <v>318.0</v>
      </c>
    </row>
    <row r="323" ht="15.75" customHeight="1">
      <c r="B323" s="163">
        <f t="shared" si="1"/>
        <v>2519</v>
      </c>
      <c r="C323" s="163">
        <v>319.0</v>
      </c>
    </row>
    <row r="324" ht="15.75" customHeight="1">
      <c r="B324" s="163">
        <f t="shared" si="1"/>
        <v>2518</v>
      </c>
      <c r="C324" s="163">
        <v>320.0</v>
      </c>
    </row>
    <row r="325" ht="15.75" customHeight="1">
      <c r="B325" s="163">
        <f t="shared" si="1"/>
        <v>2517</v>
      </c>
      <c r="C325" s="163">
        <v>321.0</v>
      </c>
    </row>
    <row r="326" ht="15.75" customHeight="1">
      <c r="B326" s="163">
        <f t="shared" si="1"/>
        <v>2516</v>
      </c>
      <c r="C326" s="163">
        <v>322.0</v>
      </c>
    </row>
    <row r="327" ht="15.75" customHeight="1">
      <c r="B327" s="163">
        <f t="shared" si="1"/>
        <v>2515</v>
      </c>
      <c r="C327" s="163">
        <v>323.0</v>
      </c>
    </row>
    <row r="328" ht="15.75" customHeight="1">
      <c r="B328" s="163">
        <f t="shared" si="1"/>
        <v>2514</v>
      </c>
      <c r="C328" s="163">
        <v>324.0</v>
      </c>
    </row>
    <row r="329" ht="15.75" customHeight="1">
      <c r="B329" s="163">
        <f t="shared" si="1"/>
        <v>2513</v>
      </c>
      <c r="C329" s="163">
        <v>325.0</v>
      </c>
    </row>
    <row r="330" ht="15.75" customHeight="1">
      <c r="B330" s="163">
        <f t="shared" si="1"/>
        <v>2512</v>
      </c>
      <c r="C330" s="163">
        <v>326.0</v>
      </c>
    </row>
    <row r="331" ht="15.75" customHeight="1">
      <c r="B331" s="163">
        <f t="shared" si="1"/>
        <v>2511</v>
      </c>
      <c r="C331" s="163">
        <v>327.0</v>
      </c>
    </row>
    <row r="332" ht="15.75" customHeight="1">
      <c r="B332" s="163">
        <f t="shared" si="1"/>
        <v>2510</v>
      </c>
      <c r="C332" s="163">
        <v>328.0</v>
      </c>
    </row>
    <row r="333" ht="15.75" customHeight="1">
      <c r="B333" s="163">
        <f t="shared" si="1"/>
        <v>2509</v>
      </c>
      <c r="C333" s="163">
        <v>329.0</v>
      </c>
    </row>
    <row r="334" ht="15.75" customHeight="1">
      <c r="B334" s="163">
        <f t="shared" si="1"/>
        <v>2508</v>
      </c>
      <c r="C334" s="163">
        <v>330.0</v>
      </c>
    </row>
    <row r="335" ht="15.75" customHeight="1">
      <c r="B335" s="163">
        <f t="shared" si="1"/>
        <v>2507</v>
      </c>
      <c r="C335" s="163">
        <v>331.0</v>
      </c>
    </row>
    <row r="336" ht="15.75" customHeight="1">
      <c r="B336" s="163">
        <f t="shared" si="1"/>
        <v>2506</v>
      </c>
      <c r="C336" s="163">
        <v>332.0</v>
      </c>
    </row>
    <row r="337" ht="15.75" customHeight="1">
      <c r="B337" s="163">
        <f t="shared" si="1"/>
        <v>2505</v>
      </c>
      <c r="C337" s="163">
        <v>333.0</v>
      </c>
    </row>
    <row r="338" ht="15.75" customHeight="1">
      <c r="B338" s="163">
        <f t="shared" si="1"/>
        <v>2504</v>
      </c>
      <c r="C338" s="163">
        <v>334.0</v>
      </c>
    </row>
    <row r="339" ht="15.75" customHeight="1">
      <c r="B339" s="163">
        <f t="shared" si="1"/>
        <v>2503</v>
      </c>
      <c r="C339" s="163">
        <v>335.0</v>
      </c>
    </row>
    <row r="340" ht="15.75" customHeight="1">
      <c r="B340" s="163">
        <f t="shared" si="1"/>
        <v>2502</v>
      </c>
      <c r="C340" s="163">
        <v>336.0</v>
      </c>
    </row>
    <row r="341" ht="15.75" customHeight="1">
      <c r="B341" s="163">
        <f t="shared" si="1"/>
        <v>2501</v>
      </c>
      <c r="C341" s="163">
        <v>337.0</v>
      </c>
    </row>
    <row r="342" ht="15.75" customHeight="1">
      <c r="B342" s="163">
        <f t="shared" si="1"/>
        <v>2500</v>
      </c>
      <c r="C342" s="163">
        <v>338.0</v>
      </c>
    </row>
    <row r="343" ht="15.75" customHeight="1">
      <c r="B343" s="163">
        <f t="shared" si="1"/>
        <v>2499</v>
      </c>
      <c r="C343" s="163">
        <v>339.0</v>
      </c>
    </row>
    <row r="344" ht="15.75" customHeight="1">
      <c r="B344" s="163">
        <f t="shared" si="1"/>
        <v>2498</v>
      </c>
      <c r="C344" s="163">
        <v>340.0</v>
      </c>
    </row>
    <row r="345" ht="15.75" customHeight="1">
      <c r="B345" s="163">
        <f t="shared" si="1"/>
        <v>2497</v>
      </c>
      <c r="C345" s="163">
        <v>341.0</v>
      </c>
    </row>
    <row r="346" ht="15.75" customHeight="1">
      <c r="B346" s="163">
        <f t="shared" si="1"/>
        <v>2496</v>
      </c>
      <c r="C346" s="163">
        <v>342.0</v>
      </c>
    </row>
    <row r="347" ht="15.75" customHeight="1">
      <c r="B347" s="163">
        <f t="shared" si="1"/>
        <v>2495</v>
      </c>
      <c r="C347" s="163">
        <v>343.0</v>
      </c>
    </row>
    <row r="348" ht="15.75" customHeight="1">
      <c r="B348" s="163">
        <f t="shared" si="1"/>
        <v>2494</v>
      </c>
      <c r="C348" s="163">
        <v>344.0</v>
      </c>
    </row>
    <row r="349" ht="15.75" customHeight="1">
      <c r="B349" s="163">
        <f t="shared" si="1"/>
        <v>2493</v>
      </c>
      <c r="C349" s="163">
        <v>345.0</v>
      </c>
    </row>
    <row r="350" ht="15.75" customHeight="1">
      <c r="B350" s="163">
        <f t="shared" si="1"/>
        <v>2492</v>
      </c>
      <c r="C350" s="163">
        <v>346.0</v>
      </c>
    </row>
    <row r="351" ht="15.75" customHeight="1">
      <c r="B351" s="163">
        <f t="shared" si="1"/>
        <v>2491</v>
      </c>
      <c r="C351" s="163">
        <v>347.0</v>
      </c>
    </row>
    <row r="352" ht="15.75" customHeight="1">
      <c r="B352" s="163">
        <f t="shared" si="1"/>
        <v>2490</v>
      </c>
      <c r="C352" s="163">
        <v>348.0</v>
      </c>
    </row>
    <row r="353" ht="15.75" customHeight="1">
      <c r="B353" s="163">
        <f t="shared" si="1"/>
        <v>2489</v>
      </c>
      <c r="C353" s="163">
        <v>349.0</v>
      </c>
    </row>
    <row r="354" ht="15.75" customHeight="1">
      <c r="B354" s="163">
        <f t="shared" si="1"/>
        <v>2488</v>
      </c>
      <c r="C354" s="163">
        <v>350.0</v>
      </c>
    </row>
    <row r="355" ht="15.75" customHeight="1">
      <c r="B355" s="163">
        <f t="shared" si="1"/>
        <v>2487</v>
      </c>
      <c r="C355" s="163">
        <v>351.0</v>
      </c>
    </row>
    <row r="356" ht="15.75" customHeight="1">
      <c r="B356" s="163">
        <f t="shared" si="1"/>
        <v>2486</v>
      </c>
      <c r="C356" s="163">
        <v>352.0</v>
      </c>
    </row>
    <row r="357" ht="15.75" customHeight="1">
      <c r="B357" s="163">
        <f t="shared" si="1"/>
        <v>2485</v>
      </c>
      <c r="C357" s="163">
        <v>353.0</v>
      </c>
    </row>
    <row r="358" ht="15.75" customHeight="1">
      <c r="B358" s="163">
        <f t="shared" si="1"/>
        <v>2484</v>
      </c>
      <c r="C358" s="163">
        <v>354.0</v>
      </c>
    </row>
    <row r="359" ht="15.75" customHeight="1">
      <c r="B359" s="163">
        <f t="shared" si="1"/>
        <v>2483</v>
      </c>
      <c r="C359" s="163">
        <v>355.0</v>
      </c>
    </row>
    <row r="360" ht="15.75" customHeight="1">
      <c r="B360" s="163">
        <f t="shared" si="1"/>
        <v>2482</v>
      </c>
      <c r="C360" s="163">
        <v>356.0</v>
      </c>
    </row>
    <row r="361" ht="15.75" customHeight="1">
      <c r="B361" s="163">
        <f t="shared" si="1"/>
        <v>2481</v>
      </c>
      <c r="C361" s="163">
        <v>357.0</v>
      </c>
    </row>
    <row r="362" ht="15.75" customHeight="1">
      <c r="B362" s="163">
        <f t="shared" si="1"/>
        <v>2480</v>
      </c>
      <c r="C362" s="163">
        <v>358.0</v>
      </c>
    </row>
    <row r="363" ht="15.75" customHeight="1">
      <c r="B363" s="163">
        <f t="shared" si="1"/>
        <v>2479</v>
      </c>
      <c r="C363" s="163">
        <v>359.0</v>
      </c>
    </row>
    <row r="364" ht="15.75" customHeight="1">
      <c r="B364" s="163">
        <f t="shared" si="1"/>
        <v>2478</v>
      </c>
      <c r="C364" s="163">
        <v>360.0</v>
      </c>
    </row>
    <row r="365" ht="15.75" customHeight="1">
      <c r="B365" s="163">
        <f t="shared" si="1"/>
        <v>2477</v>
      </c>
      <c r="C365" s="163">
        <v>361.0</v>
      </c>
    </row>
    <row r="366" ht="15.75" customHeight="1">
      <c r="B366" s="163">
        <f t="shared" si="1"/>
        <v>2476</v>
      </c>
      <c r="C366" s="163">
        <v>362.0</v>
      </c>
    </row>
    <row r="367" ht="15.75" customHeight="1">
      <c r="B367" s="163">
        <f t="shared" si="1"/>
        <v>2475</v>
      </c>
      <c r="C367" s="163">
        <v>363.0</v>
      </c>
    </row>
    <row r="368" ht="15.75" customHeight="1">
      <c r="B368" s="163">
        <f t="shared" si="1"/>
        <v>2474</v>
      </c>
      <c r="C368" s="163">
        <v>364.0</v>
      </c>
    </row>
    <row r="369" ht="15.75" customHeight="1">
      <c r="B369" s="163">
        <f t="shared" si="1"/>
        <v>2473</v>
      </c>
      <c r="C369" s="163">
        <v>365.0</v>
      </c>
    </row>
    <row r="370" ht="15.75" customHeight="1">
      <c r="B370" s="163">
        <f t="shared" si="1"/>
        <v>2472</v>
      </c>
      <c r="C370" s="163">
        <v>366.0</v>
      </c>
    </row>
    <row r="371" ht="15.75" customHeight="1">
      <c r="B371" s="163">
        <f t="shared" si="1"/>
        <v>2471</v>
      </c>
      <c r="C371" s="163">
        <v>367.0</v>
      </c>
    </row>
    <row r="372" ht="15.75" customHeight="1">
      <c r="B372" s="163">
        <f t="shared" si="1"/>
        <v>2470</v>
      </c>
      <c r="C372" s="163">
        <v>368.0</v>
      </c>
    </row>
    <row r="373" ht="15.75" customHeight="1">
      <c r="B373" s="163">
        <f t="shared" si="1"/>
        <v>2469</v>
      </c>
      <c r="C373" s="163">
        <v>369.0</v>
      </c>
    </row>
    <row r="374" ht="15.75" customHeight="1">
      <c r="B374" s="163">
        <f t="shared" si="1"/>
        <v>2468</v>
      </c>
      <c r="C374" s="163">
        <v>370.0</v>
      </c>
    </row>
    <row r="375" ht="15.75" customHeight="1">
      <c r="B375" s="163">
        <f t="shared" si="1"/>
        <v>2467</v>
      </c>
      <c r="C375" s="163">
        <v>371.0</v>
      </c>
    </row>
    <row r="376" ht="15.75" customHeight="1">
      <c r="B376" s="163">
        <f t="shared" si="1"/>
        <v>2466</v>
      </c>
      <c r="C376" s="163">
        <v>372.0</v>
      </c>
    </row>
    <row r="377" ht="15.75" customHeight="1">
      <c r="B377" s="163">
        <f t="shared" si="1"/>
        <v>2465</v>
      </c>
      <c r="C377" s="163">
        <v>373.0</v>
      </c>
    </row>
    <row r="378" ht="15.75" customHeight="1">
      <c r="B378" s="163">
        <f t="shared" si="1"/>
        <v>2464</v>
      </c>
      <c r="C378" s="163">
        <v>374.0</v>
      </c>
    </row>
    <row r="379" ht="15.75" customHeight="1">
      <c r="B379" s="163">
        <f t="shared" si="1"/>
        <v>2463</v>
      </c>
      <c r="C379" s="163">
        <v>375.0</v>
      </c>
    </row>
    <row r="380" ht="15.75" customHeight="1">
      <c r="B380" s="163">
        <f t="shared" si="1"/>
        <v>2462</v>
      </c>
      <c r="C380" s="163">
        <v>376.0</v>
      </c>
    </row>
    <row r="381" ht="15.75" customHeight="1">
      <c r="B381" s="163">
        <f t="shared" si="1"/>
        <v>2461</v>
      </c>
      <c r="C381" s="163">
        <v>377.0</v>
      </c>
    </row>
    <row r="382" ht="15.75" customHeight="1">
      <c r="B382" s="163">
        <f t="shared" si="1"/>
        <v>2460</v>
      </c>
      <c r="C382" s="163">
        <v>378.0</v>
      </c>
    </row>
    <row r="383" ht="15.75" customHeight="1">
      <c r="B383" s="163">
        <f t="shared" si="1"/>
        <v>2459</v>
      </c>
      <c r="C383" s="163">
        <v>379.0</v>
      </c>
    </row>
    <row r="384" ht="15.75" customHeight="1">
      <c r="B384" s="163">
        <f t="shared" si="1"/>
        <v>2458</v>
      </c>
      <c r="C384" s="163">
        <v>380.0</v>
      </c>
    </row>
    <row r="385" ht="15.75" customHeight="1">
      <c r="B385" s="163">
        <f t="shared" si="1"/>
        <v>2457</v>
      </c>
      <c r="C385" s="163">
        <v>381.0</v>
      </c>
    </row>
    <row r="386" ht="15.75" customHeight="1">
      <c r="B386" s="163">
        <f t="shared" si="1"/>
        <v>2456</v>
      </c>
      <c r="C386" s="163">
        <v>382.0</v>
      </c>
    </row>
    <row r="387" ht="15.75" customHeight="1">
      <c r="B387" s="163">
        <f t="shared" si="1"/>
        <v>2455</v>
      </c>
      <c r="C387" s="163">
        <v>383.0</v>
      </c>
    </row>
    <row r="388" ht="15.75" customHeight="1">
      <c r="B388" s="163">
        <f t="shared" si="1"/>
        <v>2454</v>
      </c>
      <c r="C388" s="163">
        <v>384.0</v>
      </c>
    </row>
    <row r="389" ht="15.75" customHeight="1">
      <c r="B389" s="163">
        <f t="shared" si="1"/>
        <v>2453</v>
      </c>
      <c r="C389" s="163">
        <v>385.0</v>
      </c>
    </row>
    <row r="390" ht="15.75" customHeight="1">
      <c r="B390" s="163">
        <f t="shared" si="1"/>
        <v>2452</v>
      </c>
      <c r="C390" s="163">
        <v>386.0</v>
      </c>
    </row>
    <row r="391" ht="15.75" customHeight="1">
      <c r="B391" s="163">
        <f t="shared" si="1"/>
        <v>2451</v>
      </c>
      <c r="C391" s="163">
        <v>387.0</v>
      </c>
    </row>
    <row r="392" ht="15.75" customHeight="1">
      <c r="B392" s="163">
        <f t="shared" si="1"/>
        <v>2450</v>
      </c>
      <c r="C392" s="163">
        <v>388.0</v>
      </c>
    </row>
    <row r="393" ht="15.75" customHeight="1">
      <c r="B393" s="163">
        <f t="shared" si="1"/>
        <v>2449</v>
      </c>
      <c r="C393" s="163">
        <v>389.0</v>
      </c>
    </row>
    <row r="394" ht="15.75" customHeight="1">
      <c r="B394" s="163">
        <f t="shared" si="1"/>
        <v>2448</v>
      </c>
      <c r="C394" s="163">
        <v>390.0</v>
      </c>
    </row>
    <row r="395" ht="15.75" customHeight="1">
      <c r="B395" s="163">
        <f t="shared" si="1"/>
        <v>2447</v>
      </c>
      <c r="C395" s="163">
        <v>391.0</v>
      </c>
    </row>
    <row r="396" ht="15.75" customHeight="1">
      <c r="B396" s="163">
        <f t="shared" si="1"/>
        <v>2446</v>
      </c>
      <c r="C396" s="163">
        <v>392.0</v>
      </c>
    </row>
    <row r="397" ht="15.75" customHeight="1">
      <c r="B397" s="163">
        <f t="shared" si="1"/>
        <v>2445</v>
      </c>
      <c r="C397" s="163">
        <v>393.0</v>
      </c>
    </row>
    <row r="398" ht="15.75" customHeight="1">
      <c r="B398" s="163">
        <f t="shared" si="1"/>
        <v>2444</v>
      </c>
      <c r="C398" s="163">
        <v>394.0</v>
      </c>
    </row>
    <row r="399" ht="15.75" customHeight="1">
      <c r="B399" s="163">
        <f t="shared" si="1"/>
        <v>2443</v>
      </c>
      <c r="C399" s="163">
        <v>395.0</v>
      </c>
    </row>
    <row r="400" ht="15.75" customHeight="1">
      <c r="B400" s="163">
        <f t="shared" si="1"/>
        <v>2442</v>
      </c>
      <c r="C400" s="163">
        <v>396.0</v>
      </c>
    </row>
    <row r="401" ht="15.75" customHeight="1">
      <c r="B401" s="163">
        <f t="shared" si="1"/>
        <v>2441</v>
      </c>
      <c r="C401" s="163">
        <v>397.0</v>
      </c>
    </row>
    <row r="402" ht="15.75" customHeight="1">
      <c r="B402" s="163">
        <f t="shared" si="1"/>
        <v>2440</v>
      </c>
      <c r="C402" s="163">
        <v>398.0</v>
      </c>
    </row>
    <row r="403" ht="15.75" customHeight="1">
      <c r="B403" s="163">
        <f t="shared" si="1"/>
        <v>2439</v>
      </c>
      <c r="C403" s="163">
        <v>399.0</v>
      </c>
    </row>
    <row r="404" ht="15.75" customHeight="1">
      <c r="B404" s="163">
        <f t="shared" si="1"/>
        <v>2438</v>
      </c>
      <c r="C404" s="163">
        <v>400.0</v>
      </c>
    </row>
    <row r="405" ht="15.75" customHeight="1">
      <c r="B405" s="163">
        <f t="shared" si="1"/>
        <v>2437</v>
      </c>
      <c r="C405" s="163">
        <v>401.0</v>
      </c>
    </row>
    <row r="406" ht="15.75" customHeight="1">
      <c r="B406" s="163">
        <f t="shared" si="1"/>
        <v>2436</v>
      </c>
      <c r="C406" s="163">
        <v>402.0</v>
      </c>
    </row>
    <row r="407" ht="15.75" customHeight="1">
      <c r="B407" s="163">
        <f t="shared" si="1"/>
        <v>2435</v>
      </c>
      <c r="C407" s="163">
        <v>403.0</v>
      </c>
    </row>
    <row r="408" ht="15.75" customHeight="1">
      <c r="B408" s="163">
        <f t="shared" si="1"/>
        <v>2434</v>
      </c>
      <c r="C408" s="163">
        <v>404.0</v>
      </c>
    </row>
    <row r="409" ht="15.75" customHeight="1">
      <c r="B409" s="163">
        <f t="shared" si="1"/>
        <v>2433</v>
      </c>
      <c r="C409" s="163">
        <v>405.0</v>
      </c>
    </row>
    <row r="410" ht="15.75" customHeight="1">
      <c r="B410" s="163">
        <f t="shared" si="1"/>
        <v>2432</v>
      </c>
      <c r="C410" s="163">
        <v>406.0</v>
      </c>
    </row>
    <row r="411" ht="15.75" customHeight="1">
      <c r="B411" s="163">
        <f t="shared" si="1"/>
        <v>2431</v>
      </c>
      <c r="C411" s="163">
        <v>407.0</v>
      </c>
    </row>
    <row r="412" ht="15.75" customHeight="1">
      <c r="B412" s="163">
        <f t="shared" si="1"/>
        <v>2430</v>
      </c>
      <c r="C412" s="163">
        <v>408.0</v>
      </c>
    </row>
    <row r="413" ht="15.75" customHeight="1">
      <c r="B413" s="163">
        <f t="shared" si="1"/>
        <v>2429</v>
      </c>
      <c r="C413" s="163">
        <v>409.0</v>
      </c>
    </row>
    <row r="414" ht="15.75" customHeight="1">
      <c r="B414" s="163">
        <f t="shared" si="1"/>
        <v>2428</v>
      </c>
      <c r="C414" s="163">
        <v>410.0</v>
      </c>
    </row>
    <row r="415" ht="15.75" customHeight="1">
      <c r="B415" s="163">
        <f t="shared" si="1"/>
        <v>2427</v>
      </c>
      <c r="C415" s="163">
        <v>411.0</v>
      </c>
    </row>
    <row r="416" ht="15.75" customHeight="1">
      <c r="B416" s="163">
        <f t="shared" si="1"/>
        <v>2426</v>
      </c>
      <c r="C416" s="163">
        <v>412.0</v>
      </c>
    </row>
    <row r="417" ht="15.75" customHeight="1">
      <c r="B417" s="163">
        <f t="shared" si="1"/>
        <v>2425</v>
      </c>
      <c r="C417" s="163">
        <v>413.0</v>
      </c>
    </row>
    <row r="418" ht="15.75" customHeight="1">
      <c r="B418" s="163">
        <f t="shared" si="1"/>
        <v>2424</v>
      </c>
      <c r="C418" s="163">
        <v>414.0</v>
      </c>
    </row>
    <row r="419" ht="15.75" customHeight="1">
      <c r="B419" s="163">
        <f t="shared" si="1"/>
        <v>2423</v>
      </c>
      <c r="C419" s="163">
        <v>415.0</v>
      </c>
    </row>
    <row r="420" ht="15.75" customHeight="1">
      <c r="B420" s="163">
        <f t="shared" si="1"/>
        <v>2422</v>
      </c>
      <c r="C420" s="163">
        <v>416.0</v>
      </c>
    </row>
    <row r="421" ht="15.75" customHeight="1">
      <c r="B421" s="163">
        <f t="shared" si="1"/>
        <v>2421</v>
      </c>
      <c r="C421" s="163">
        <v>417.0</v>
      </c>
    </row>
    <row r="422" ht="15.75" customHeight="1">
      <c r="B422" s="163">
        <f t="shared" si="1"/>
        <v>2420</v>
      </c>
      <c r="C422" s="163">
        <v>418.0</v>
      </c>
    </row>
    <row r="423" ht="15.75" customHeight="1">
      <c r="B423" s="163">
        <f t="shared" si="1"/>
        <v>2419</v>
      </c>
      <c r="C423" s="163">
        <v>419.0</v>
      </c>
    </row>
    <row r="424" ht="15.75" customHeight="1">
      <c r="B424" s="163">
        <f t="shared" si="1"/>
        <v>2418</v>
      </c>
      <c r="C424" s="163">
        <v>420.0</v>
      </c>
    </row>
    <row r="425" ht="15.75" customHeight="1">
      <c r="B425" s="163">
        <f t="shared" si="1"/>
        <v>2417</v>
      </c>
      <c r="C425" s="163">
        <v>421.0</v>
      </c>
    </row>
    <row r="426" ht="15.75" customHeight="1">
      <c r="B426" s="163">
        <f t="shared" si="1"/>
        <v>2416</v>
      </c>
      <c r="C426" s="163">
        <v>422.0</v>
      </c>
    </row>
    <row r="427" ht="15.75" customHeight="1">
      <c r="B427" s="163">
        <f t="shared" si="1"/>
        <v>2415</v>
      </c>
      <c r="C427" s="163">
        <v>423.0</v>
      </c>
    </row>
    <row r="428" ht="15.75" customHeight="1">
      <c r="B428" s="163">
        <f t="shared" si="1"/>
        <v>2414</v>
      </c>
      <c r="C428" s="163">
        <v>424.0</v>
      </c>
    </row>
    <row r="429" ht="15.75" customHeight="1">
      <c r="B429" s="163">
        <f t="shared" si="1"/>
        <v>2413</v>
      </c>
      <c r="C429" s="163">
        <v>425.0</v>
      </c>
    </row>
    <row r="430" ht="15.75" customHeight="1">
      <c r="B430" s="163">
        <f t="shared" si="1"/>
        <v>2412</v>
      </c>
      <c r="C430" s="163">
        <v>426.0</v>
      </c>
    </row>
    <row r="431" ht="15.75" customHeight="1">
      <c r="B431" s="163">
        <f t="shared" si="1"/>
        <v>2411</v>
      </c>
      <c r="C431" s="163">
        <v>427.0</v>
      </c>
    </row>
    <row r="432" ht="15.75" customHeight="1">
      <c r="B432" s="163">
        <f t="shared" si="1"/>
        <v>2410</v>
      </c>
      <c r="C432" s="163">
        <v>428.0</v>
      </c>
    </row>
    <row r="433" ht="15.75" customHeight="1">
      <c r="B433" s="163">
        <f t="shared" si="1"/>
        <v>2409</v>
      </c>
      <c r="C433" s="163">
        <v>429.0</v>
      </c>
    </row>
    <row r="434" ht="15.75" customHeight="1">
      <c r="B434" s="163">
        <f t="shared" si="1"/>
        <v>2408</v>
      </c>
      <c r="C434" s="163">
        <v>430.0</v>
      </c>
    </row>
    <row r="435" ht="15.75" customHeight="1">
      <c r="B435" s="163">
        <f t="shared" si="1"/>
        <v>2407</v>
      </c>
      <c r="C435" s="163">
        <v>431.0</v>
      </c>
    </row>
    <row r="436" ht="15.75" customHeight="1">
      <c r="B436" s="163">
        <f t="shared" si="1"/>
        <v>2406</v>
      </c>
      <c r="C436" s="163">
        <v>432.0</v>
      </c>
    </row>
    <row r="437" ht="15.75" customHeight="1">
      <c r="B437" s="163">
        <f t="shared" si="1"/>
        <v>2405</v>
      </c>
      <c r="C437" s="163">
        <v>433.0</v>
      </c>
    </row>
    <row r="438" ht="15.75" customHeight="1">
      <c r="B438" s="163">
        <f t="shared" si="1"/>
        <v>2404</v>
      </c>
      <c r="C438" s="163">
        <v>434.0</v>
      </c>
    </row>
    <row r="439" ht="15.75" customHeight="1">
      <c r="B439" s="163">
        <f t="shared" si="1"/>
        <v>2403</v>
      </c>
      <c r="C439" s="163">
        <v>435.0</v>
      </c>
    </row>
    <row r="440" ht="15.75" customHeight="1">
      <c r="B440" s="163">
        <f t="shared" si="1"/>
        <v>2402</v>
      </c>
      <c r="C440" s="163">
        <v>436.0</v>
      </c>
    </row>
    <row r="441" ht="15.75" customHeight="1">
      <c r="B441" s="163">
        <f t="shared" si="1"/>
        <v>2401</v>
      </c>
      <c r="C441" s="163">
        <v>437.0</v>
      </c>
    </row>
    <row r="442" ht="15.75" customHeight="1">
      <c r="B442" s="163">
        <f t="shared" si="1"/>
        <v>2400</v>
      </c>
      <c r="C442" s="163">
        <v>438.0</v>
      </c>
    </row>
    <row r="443" ht="15.75" customHeight="1">
      <c r="B443" s="163">
        <f t="shared" si="1"/>
        <v>2399</v>
      </c>
      <c r="C443" s="163">
        <v>439.0</v>
      </c>
    </row>
    <row r="444" ht="15.75" customHeight="1">
      <c r="B444" s="163">
        <f t="shared" si="1"/>
        <v>2398</v>
      </c>
      <c r="C444" s="163">
        <v>440.0</v>
      </c>
    </row>
    <row r="445" ht="15.75" customHeight="1">
      <c r="B445" s="163">
        <f t="shared" si="1"/>
        <v>2397</v>
      </c>
      <c r="C445" s="163">
        <v>441.0</v>
      </c>
    </row>
    <row r="446" ht="15.75" customHeight="1">
      <c r="B446" s="163">
        <f t="shared" si="1"/>
        <v>2396</v>
      </c>
      <c r="C446" s="163">
        <v>442.0</v>
      </c>
    </row>
    <row r="447" ht="15.75" customHeight="1">
      <c r="B447" s="163">
        <f t="shared" si="1"/>
        <v>2395</v>
      </c>
      <c r="C447" s="163">
        <v>443.0</v>
      </c>
    </row>
    <row r="448" ht="15.75" customHeight="1">
      <c r="B448" s="163">
        <f t="shared" si="1"/>
        <v>2394</v>
      </c>
      <c r="C448" s="163">
        <v>444.0</v>
      </c>
    </row>
    <row r="449" ht="15.75" customHeight="1">
      <c r="B449" s="163">
        <f t="shared" si="1"/>
        <v>2393</v>
      </c>
      <c r="C449" s="163">
        <v>445.0</v>
      </c>
    </row>
    <row r="450" ht="15.75" customHeight="1">
      <c r="B450" s="163">
        <f t="shared" si="1"/>
        <v>2392</v>
      </c>
      <c r="C450" s="163">
        <v>446.0</v>
      </c>
    </row>
    <row r="451" ht="15.75" customHeight="1">
      <c r="B451" s="163">
        <f t="shared" si="1"/>
        <v>2391</v>
      </c>
      <c r="C451" s="163">
        <v>447.0</v>
      </c>
    </row>
    <row r="452" ht="15.75" customHeight="1">
      <c r="B452" s="163">
        <f t="shared" si="1"/>
        <v>2390</v>
      </c>
      <c r="C452" s="163">
        <v>448.0</v>
      </c>
    </row>
    <row r="453" ht="15.75" customHeight="1">
      <c r="B453" s="163">
        <f t="shared" si="1"/>
        <v>2389</v>
      </c>
      <c r="C453" s="163">
        <v>449.0</v>
      </c>
    </row>
    <row r="454" ht="15.75" customHeight="1">
      <c r="B454" s="163">
        <f t="shared" si="1"/>
        <v>2388</v>
      </c>
      <c r="C454" s="163">
        <v>450.0</v>
      </c>
    </row>
    <row r="455" ht="15.75" customHeight="1">
      <c r="B455" s="163">
        <f t="shared" si="1"/>
        <v>2387</v>
      </c>
      <c r="C455" s="163">
        <v>451.0</v>
      </c>
    </row>
    <row r="456" ht="15.75" customHeight="1">
      <c r="B456" s="163">
        <f t="shared" si="1"/>
        <v>2386</v>
      </c>
      <c r="C456" s="163">
        <v>452.0</v>
      </c>
    </row>
    <row r="457" ht="15.75" customHeight="1">
      <c r="B457" s="163">
        <f t="shared" si="1"/>
        <v>2385</v>
      </c>
      <c r="C457" s="163">
        <v>453.0</v>
      </c>
    </row>
    <row r="458" ht="15.75" customHeight="1">
      <c r="B458" s="163">
        <f t="shared" si="1"/>
        <v>2384</v>
      </c>
      <c r="C458" s="163">
        <v>454.0</v>
      </c>
    </row>
    <row r="459" ht="15.75" customHeight="1">
      <c r="B459" s="163">
        <f t="shared" si="1"/>
        <v>2383</v>
      </c>
      <c r="C459" s="163">
        <v>455.0</v>
      </c>
    </row>
    <row r="460" ht="15.75" customHeight="1">
      <c r="B460" s="163">
        <f t="shared" si="1"/>
        <v>2382</v>
      </c>
      <c r="C460" s="163">
        <v>456.0</v>
      </c>
    </row>
    <row r="461" ht="15.75" customHeight="1">
      <c r="B461" s="163">
        <f t="shared" si="1"/>
        <v>2381</v>
      </c>
      <c r="C461" s="163">
        <v>457.0</v>
      </c>
    </row>
    <row r="462" ht="15.75" customHeight="1">
      <c r="B462" s="163">
        <f t="shared" si="1"/>
        <v>2380</v>
      </c>
      <c r="C462" s="163">
        <v>458.0</v>
      </c>
    </row>
    <row r="463" ht="15.75" customHeight="1">
      <c r="B463" s="163">
        <f t="shared" si="1"/>
        <v>2379</v>
      </c>
      <c r="C463" s="163">
        <v>459.0</v>
      </c>
    </row>
    <row r="464" ht="15.75" customHeight="1">
      <c r="B464" s="163">
        <f t="shared" si="1"/>
        <v>2378</v>
      </c>
      <c r="C464" s="163">
        <v>460.0</v>
      </c>
    </row>
    <row r="465" ht="15.75" customHeight="1">
      <c r="B465" s="163">
        <f t="shared" si="1"/>
        <v>2377</v>
      </c>
      <c r="C465" s="163">
        <v>461.0</v>
      </c>
    </row>
    <row r="466" ht="15.75" customHeight="1">
      <c r="B466" s="163">
        <f t="shared" si="1"/>
        <v>2376</v>
      </c>
      <c r="C466" s="163">
        <v>462.0</v>
      </c>
    </row>
    <row r="467" ht="15.75" customHeight="1">
      <c r="B467" s="163">
        <f t="shared" si="1"/>
        <v>2375</v>
      </c>
      <c r="C467" s="163">
        <v>463.0</v>
      </c>
    </row>
    <row r="468" ht="15.75" customHeight="1">
      <c r="B468" s="163">
        <f t="shared" si="1"/>
        <v>2374</v>
      </c>
      <c r="C468" s="163">
        <v>464.0</v>
      </c>
    </row>
    <row r="469" ht="15.75" customHeight="1">
      <c r="B469" s="163">
        <f t="shared" si="1"/>
        <v>2373</v>
      </c>
      <c r="C469" s="163">
        <v>465.0</v>
      </c>
    </row>
    <row r="470" ht="15.75" customHeight="1">
      <c r="B470" s="163">
        <f t="shared" si="1"/>
        <v>2372</v>
      </c>
      <c r="C470" s="163">
        <v>466.0</v>
      </c>
    </row>
    <row r="471" ht="15.75" customHeight="1">
      <c r="B471" s="163">
        <f t="shared" si="1"/>
        <v>2371</v>
      </c>
      <c r="C471" s="163">
        <v>467.0</v>
      </c>
    </row>
    <row r="472" ht="15.75" customHeight="1">
      <c r="B472" s="163">
        <f t="shared" si="1"/>
        <v>2370</v>
      </c>
      <c r="C472" s="163">
        <v>468.0</v>
      </c>
    </row>
    <row r="473" ht="15.75" customHeight="1">
      <c r="B473" s="163">
        <f t="shared" si="1"/>
        <v>2369</v>
      </c>
      <c r="C473" s="163">
        <v>469.0</v>
      </c>
    </row>
    <row r="474" ht="15.75" customHeight="1">
      <c r="B474" s="163">
        <f t="shared" si="1"/>
        <v>2368</v>
      </c>
      <c r="C474" s="163">
        <v>470.0</v>
      </c>
    </row>
    <row r="475" ht="15.75" customHeight="1">
      <c r="B475" s="163">
        <f t="shared" si="1"/>
        <v>2367</v>
      </c>
      <c r="C475" s="163">
        <v>471.0</v>
      </c>
    </row>
    <row r="476" ht="15.75" customHeight="1">
      <c r="B476" s="163">
        <f t="shared" si="1"/>
        <v>2366</v>
      </c>
      <c r="C476" s="163">
        <v>472.0</v>
      </c>
    </row>
    <row r="477" ht="15.75" customHeight="1">
      <c r="B477" s="163">
        <f t="shared" si="1"/>
        <v>2365</v>
      </c>
      <c r="C477" s="163">
        <v>473.0</v>
      </c>
    </row>
    <row r="478" ht="15.75" customHeight="1">
      <c r="B478" s="163">
        <f t="shared" si="1"/>
        <v>2364</v>
      </c>
      <c r="C478" s="163">
        <v>474.0</v>
      </c>
    </row>
    <row r="479" ht="15.75" customHeight="1">
      <c r="B479" s="163">
        <f t="shared" si="1"/>
        <v>2363</v>
      </c>
      <c r="C479" s="163">
        <v>475.0</v>
      </c>
    </row>
    <row r="480" ht="15.75" customHeight="1">
      <c r="B480" s="163">
        <f t="shared" si="1"/>
        <v>2362</v>
      </c>
      <c r="C480" s="163">
        <v>476.0</v>
      </c>
    </row>
    <row r="481" ht="15.75" customHeight="1">
      <c r="B481" s="163">
        <f t="shared" si="1"/>
        <v>2361</v>
      </c>
      <c r="C481" s="163">
        <v>477.0</v>
      </c>
    </row>
    <row r="482" ht="15.75" customHeight="1">
      <c r="B482" s="163">
        <f t="shared" si="1"/>
        <v>2360</v>
      </c>
      <c r="C482" s="163">
        <v>478.0</v>
      </c>
    </row>
    <row r="483" ht="15.75" customHeight="1">
      <c r="B483" s="163">
        <f t="shared" si="1"/>
        <v>2359</v>
      </c>
      <c r="C483" s="163">
        <v>479.0</v>
      </c>
    </row>
    <row r="484" ht="15.75" customHeight="1">
      <c r="B484" s="163">
        <f t="shared" si="1"/>
        <v>2358</v>
      </c>
      <c r="C484" s="163">
        <v>480.0</v>
      </c>
    </row>
    <row r="485" ht="15.75" customHeight="1">
      <c r="B485" s="163">
        <f t="shared" si="1"/>
        <v>2357</v>
      </c>
      <c r="C485" s="163">
        <v>481.0</v>
      </c>
    </row>
    <row r="486" ht="15.75" customHeight="1">
      <c r="B486" s="163">
        <f t="shared" si="1"/>
        <v>2356</v>
      </c>
      <c r="C486" s="163">
        <v>482.0</v>
      </c>
    </row>
    <row r="487" ht="15.75" customHeight="1">
      <c r="B487" s="163">
        <f t="shared" si="1"/>
        <v>2355</v>
      </c>
      <c r="C487" s="163">
        <v>483.0</v>
      </c>
    </row>
    <row r="488" ht="15.75" customHeight="1">
      <c r="B488" s="163">
        <f t="shared" si="1"/>
        <v>2354</v>
      </c>
      <c r="C488" s="163">
        <v>484.0</v>
      </c>
    </row>
    <row r="489" ht="15.75" customHeight="1">
      <c r="B489" s="163">
        <f t="shared" si="1"/>
        <v>2353</v>
      </c>
      <c r="C489" s="163">
        <v>485.0</v>
      </c>
    </row>
    <row r="490" ht="15.75" customHeight="1">
      <c r="B490" s="163">
        <f t="shared" si="1"/>
        <v>2352</v>
      </c>
      <c r="C490" s="163">
        <v>486.0</v>
      </c>
    </row>
    <row r="491" ht="15.75" customHeight="1">
      <c r="B491" s="163">
        <f t="shared" si="1"/>
        <v>2351</v>
      </c>
      <c r="C491" s="163">
        <v>487.0</v>
      </c>
    </row>
    <row r="492" ht="15.75" customHeight="1">
      <c r="B492" s="163">
        <f t="shared" si="1"/>
        <v>2350</v>
      </c>
      <c r="C492" s="163">
        <v>488.0</v>
      </c>
    </row>
    <row r="493" ht="15.75" customHeight="1">
      <c r="B493" s="163">
        <f t="shared" si="1"/>
        <v>2349</v>
      </c>
      <c r="C493" s="163">
        <v>489.0</v>
      </c>
    </row>
    <row r="494" ht="15.75" customHeight="1">
      <c r="B494" s="163">
        <f t="shared" si="1"/>
        <v>2348</v>
      </c>
      <c r="C494" s="163">
        <v>490.0</v>
      </c>
    </row>
    <row r="495" ht="15.75" customHeight="1">
      <c r="B495" s="163">
        <f t="shared" si="1"/>
        <v>2347</v>
      </c>
      <c r="C495" s="163">
        <v>491.0</v>
      </c>
    </row>
    <row r="496" ht="15.75" customHeight="1">
      <c r="B496" s="163">
        <f t="shared" si="1"/>
        <v>2346</v>
      </c>
      <c r="C496" s="163">
        <v>492.0</v>
      </c>
    </row>
    <row r="497" ht="15.75" customHeight="1">
      <c r="B497" s="163">
        <f t="shared" si="1"/>
        <v>2345</v>
      </c>
      <c r="C497" s="163">
        <v>493.0</v>
      </c>
    </row>
    <row r="498" ht="15.75" customHeight="1">
      <c r="B498" s="163">
        <f t="shared" si="1"/>
        <v>2344</v>
      </c>
      <c r="C498" s="163">
        <v>494.0</v>
      </c>
    </row>
    <row r="499" ht="15.75" customHeight="1">
      <c r="B499" s="163">
        <f t="shared" si="1"/>
        <v>2343</v>
      </c>
      <c r="C499" s="163">
        <v>495.0</v>
      </c>
    </row>
    <row r="500" ht="15.75" customHeight="1">
      <c r="B500" s="163">
        <f t="shared" si="1"/>
        <v>2342</v>
      </c>
      <c r="C500" s="163">
        <v>496.0</v>
      </c>
    </row>
    <row r="501" ht="15.75" customHeight="1">
      <c r="B501" s="163">
        <f t="shared" si="1"/>
        <v>2341</v>
      </c>
      <c r="C501" s="163">
        <v>497.0</v>
      </c>
    </row>
    <row r="502" ht="15.75" customHeight="1">
      <c r="B502" s="163">
        <f t="shared" si="1"/>
        <v>2340</v>
      </c>
      <c r="C502" s="163">
        <v>498.0</v>
      </c>
    </row>
    <row r="503" ht="15.75" customHeight="1">
      <c r="B503" s="163">
        <f t="shared" si="1"/>
        <v>2339</v>
      </c>
      <c r="C503" s="163">
        <v>499.0</v>
      </c>
    </row>
    <row r="504" ht="15.75" customHeight="1">
      <c r="B504" s="163">
        <f t="shared" si="1"/>
        <v>2338</v>
      </c>
      <c r="C504" s="163">
        <v>500.0</v>
      </c>
    </row>
    <row r="505" ht="15.75" customHeight="1">
      <c r="B505" s="163">
        <f t="shared" si="1"/>
        <v>2337</v>
      </c>
      <c r="C505" s="163">
        <v>501.0</v>
      </c>
    </row>
    <row r="506" ht="15.75" customHeight="1">
      <c r="B506" s="163">
        <f t="shared" si="1"/>
        <v>2336</v>
      </c>
      <c r="C506" s="163">
        <v>502.0</v>
      </c>
    </row>
    <row r="507" ht="15.75" customHeight="1">
      <c r="B507" s="163">
        <f t="shared" si="1"/>
        <v>2335</v>
      </c>
      <c r="C507" s="163">
        <v>503.0</v>
      </c>
    </row>
    <row r="508" ht="15.75" customHeight="1">
      <c r="B508" s="163">
        <f t="shared" si="1"/>
        <v>2334</v>
      </c>
      <c r="C508" s="163">
        <v>504.0</v>
      </c>
    </row>
    <row r="509" ht="15.75" customHeight="1">
      <c r="B509" s="163">
        <f t="shared" si="1"/>
        <v>2333</v>
      </c>
      <c r="C509" s="163">
        <v>505.0</v>
      </c>
    </row>
    <row r="510" ht="15.75" customHeight="1">
      <c r="B510" s="163">
        <f t="shared" si="1"/>
        <v>2332</v>
      </c>
      <c r="C510" s="163">
        <v>506.0</v>
      </c>
    </row>
    <row r="511" ht="15.75" customHeight="1">
      <c r="B511" s="163">
        <f t="shared" si="1"/>
        <v>2331</v>
      </c>
      <c r="C511" s="163">
        <v>507.0</v>
      </c>
    </row>
    <row r="512" ht="15.75" customHeight="1">
      <c r="B512" s="163">
        <f t="shared" si="1"/>
        <v>2330</v>
      </c>
      <c r="C512" s="163">
        <v>508.0</v>
      </c>
    </row>
    <row r="513" ht="15.75" customHeight="1">
      <c r="B513" s="163">
        <f t="shared" si="1"/>
        <v>2329</v>
      </c>
      <c r="C513" s="163">
        <v>509.0</v>
      </c>
    </row>
    <row r="514" ht="15.75" customHeight="1">
      <c r="B514" s="163">
        <f t="shared" si="1"/>
        <v>2328</v>
      </c>
      <c r="C514" s="163">
        <v>510.0</v>
      </c>
    </row>
    <row r="515" ht="15.75" customHeight="1">
      <c r="B515" s="163">
        <f t="shared" si="1"/>
        <v>2327</v>
      </c>
      <c r="C515" s="163">
        <v>511.0</v>
      </c>
    </row>
    <row r="516" ht="15.75" customHeight="1">
      <c r="B516" s="163">
        <f t="shared" si="1"/>
        <v>2326</v>
      </c>
      <c r="C516" s="163">
        <v>512.0</v>
      </c>
    </row>
    <row r="517" ht="15.75" customHeight="1">
      <c r="B517" s="163">
        <f t="shared" si="1"/>
        <v>2325</v>
      </c>
      <c r="C517" s="163">
        <v>513.0</v>
      </c>
    </row>
    <row r="518" ht="15.75" customHeight="1">
      <c r="B518" s="163">
        <f t="shared" si="1"/>
        <v>2324</v>
      </c>
      <c r="C518" s="163">
        <v>514.0</v>
      </c>
    </row>
    <row r="519" ht="15.75" customHeight="1">
      <c r="B519" s="163">
        <f t="shared" si="1"/>
        <v>2323</v>
      </c>
      <c r="C519" s="163">
        <v>515.0</v>
      </c>
    </row>
    <row r="520" ht="15.75" customHeight="1">
      <c r="B520" s="163">
        <f t="shared" si="1"/>
        <v>2322</v>
      </c>
      <c r="C520" s="163">
        <v>516.0</v>
      </c>
    </row>
    <row r="521" ht="15.75" customHeight="1">
      <c r="B521" s="163">
        <f t="shared" si="1"/>
        <v>2321</v>
      </c>
      <c r="C521" s="163">
        <v>517.0</v>
      </c>
    </row>
    <row r="522" ht="15.75" customHeight="1">
      <c r="B522" s="163">
        <f t="shared" si="1"/>
        <v>2320</v>
      </c>
      <c r="C522" s="163">
        <v>518.0</v>
      </c>
    </row>
    <row r="523" ht="15.75" customHeight="1">
      <c r="B523" s="163">
        <f t="shared" si="1"/>
        <v>2319</v>
      </c>
      <c r="C523" s="163">
        <v>519.0</v>
      </c>
    </row>
    <row r="524" ht="15.75" customHeight="1">
      <c r="B524" s="163">
        <f t="shared" si="1"/>
        <v>2318</v>
      </c>
      <c r="C524" s="163">
        <v>520.0</v>
      </c>
    </row>
    <row r="525" ht="15.75" customHeight="1">
      <c r="B525" s="163">
        <f t="shared" si="1"/>
        <v>2317</v>
      </c>
      <c r="C525" s="163">
        <v>521.0</v>
      </c>
    </row>
    <row r="526" ht="15.75" customHeight="1">
      <c r="B526" s="163">
        <f t="shared" si="1"/>
        <v>2316</v>
      </c>
      <c r="C526" s="163">
        <v>522.0</v>
      </c>
    </row>
    <row r="527" ht="15.75" customHeight="1">
      <c r="B527" s="163">
        <f t="shared" si="1"/>
        <v>2315</v>
      </c>
      <c r="C527" s="163">
        <v>523.0</v>
      </c>
    </row>
    <row r="528" ht="15.75" customHeight="1">
      <c r="B528" s="163">
        <f t="shared" si="1"/>
        <v>2314</v>
      </c>
      <c r="C528" s="163">
        <v>524.0</v>
      </c>
    </row>
    <row r="529" ht="15.75" customHeight="1">
      <c r="B529" s="163">
        <f t="shared" si="1"/>
        <v>2313</v>
      </c>
      <c r="C529" s="163">
        <v>525.0</v>
      </c>
    </row>
    <row r="530" ht="15.75" customHeight="1">
      <c r="B530" s="163">
        <f t="shared" si="1"/>
        <v>2312</v>
      </c>
      <c r="C530" s="163">
        <v>526.0</v>
      </c>
    </row>
    <row r="531" ht="15.75" customHeight="1">
      <c r="B531" s="163">
        <f t="shared" si="1"/>
        <v>2311</v>
      </c>
      <c r="C531" s="163">
        <v>527.0</v>
      </c>
    </row>
    <row r="532" ht="15.75" customHeight="1">
      <c r="B532" s="163">
        <f t="shared" si="1"/>
        <v>2310</v>
      </c>
      <c r="C532" s="163">
        <v>528.0</v>
      </c>
    </row>
    <row r="533" ht="15.75" customHeight="1">
      <c r="B533" s="163">
        <f t="shared" si="1"/>
        <v>2309</v>
      </c>
      <c r="C533" s="163">
        <v>529.0</v>
      </c>
    </row>
    <row r="534" ht="15.75" customHeight="1">
      <c r="B534" s="163">
        <f t="shared" si="1"/>
        <v>2308</v>
      </c>
      <c r="C534" s="163">
        <v>530.0</v>
      </c>
    </row>
    <row r="535" ht="15.75" customHeight="1">
      <c r="B535" s="163">
        <f t="shared" si="1"/>
        <v>2307</v>
      </c>
      <c r="C535" s="163">
        <v>531.0</v>
      </c>
    </row>
    <row r="536" ht="15.75" customHeight="1">
      <c r="B536" s="163">
        <f t="shared" si="1"/>
        <v>2306</v>
      </c>
      <c r="C536" s="163">
        <v>532.0</v>
      </c>
    </row>
    <row r="537" ht="15.75" customHeight="1">
      <c r="B537" s="163">
        <f t="shared" si="1"/>
        <v>2305</v>
      </c>
      <c r="C537" s="163">
        <v>533.0</v>
      </c>
    </row>
    <row r="538" ht="15.75" customHeight="1">
      <c r="B538" s="163">
        <f t="shared" si="1"/>
        <v>2304</v>
      </c>
      <c r="C538" s="163">
        <v>534.0</v>
      </c>
    </row>
    <row r="539" ht="15.75" customHeight="1">
      <c r="B539" s="163">
        <f t="shared" si="1"/>
        <v>2303</v>
      </c>
      <c r="C539" s="163">
        <v>535.0</v>
      </c>
    </row>
    <row r="540" ht="15.75" customHeight="1">
      <c r="B540" s="163">
        <f t="shared" si="1"/>
        <v>2302</v>
      </c>
      <c r="C540" s="163">
        <v>536.0</v>
      </c>
    </row>
    <row r="541" ht="15.75" customHeight="1">
      <c r="B541" s="163">
        <f t="shared" si="1"/>
        <v>2301</v>
      </c>
      <c r="C541" s="163">
        <v>537.0</v>
      </c>
    </row>
    <row r="542" ht="15.75" customHeight="1">
      <c r="B542" s="163">
        <f t="shared" si="1"/>
        <v>2300</v>
      </c>
      <c r="C542" s="163">
        <v>538.0</v>
      </c>
    </row>
    <row r="543" ht="15.75" customHeight="1">
      <c r="B543" s="163">
        <f t="shared" si="1"/>
        <v>2299</v>
      </c>
      <c r="C543" s="163">
        <v>539.0</v>
      </c>
    </row>
    <row r="544" ht="15.75" customHeight="1">
      <c r="B544" s="163">
        <f t="shared" si="1"/>
        <v>2298</v>
      </c>
      <c r="C544" s="163">
        <v>540.0</v>
      </c>
    </row>
    <row r="545" ht="15.75" customHeight="1">
      <c r="B545" s="163">
        <f t="shared" si="1"/>
        <v>2297</v>
      </c>
      <c r="C545" s="163">
        <v>541.0</v>
      </c>
    </row>
    <row r="546" ht="15.75" customHeight="1">
      <c r="B546" s="163">
        <f t="shared" si="1"/>
        <v>2296</v>
      </c>
      <c r="C546" s="163">
        <v>542.0</v>
      </c>
    </row>
    <row r="547" ht="15.75" customHeight="1">
      <c r="B547" s="163">
        <f t="shared" si="1"/>
        <v>2295</v>
      </c>
      <c r="C547" s="163">
        <v>543.0</v>
      </c>
    </row>
    <row r="548" ht="15.75" customHeight="1">
      <c r="B548" s="163">
        <f t="shared" si="1"/>
        <v>2294</v>
      </c>
      <c r="C548" s="163">
        <v>544.0</v>
      </c>
    </row>
    <row r="549" ht="15.75" customHeight="1">
      <c r="B549" s="163">
        <f t="shared" si="1"/>
        <v>2293</v>
      </c>
      <c r="C549" s="163">
        <v>545.0</v>
      </c>
    </row>
    <row r="550" ht="15.75" customHeight="1">
      <c r="B550" s="163">
        <f t="shared" si="1"/>
        <v>2292</v>
      </c>
      <c r="C550" s="163">
        <v>546.0</v>
      </c>
    </row>
    <row r="551" ht="15.75" customHeight="1">
      <c r="B551" s="163">
        <f t="shared" si="1"/>
        <v>2291</v>
      </c>
      <c r="C551" s="163">
        <v>547.0</v>
      </c>
    </row>
    <row r="552" ht="15.75" customHeight="1">
      <c r="B552" s="163">
        <f t="shared" si="1"/>
        <v>2290</v>
      </c>
      <c r="C552" s="163">
        <v>548.0</v>
      </c>
    </row>
    <row r="553" ht="15.75" customHeight="1">
      <c r="B553" s="163">
        <f t="shared" si="1"/>
        <v>2289</v>
      </c>
      <c r="C553" s="163">
        <v>549.0</v>
      </c>
    </row>
    <row r="554" ht="15.75" customHeight="1">
      <c r="B554" s="163">
        <f t="shared" si="1"/>
        <v>2288</v>
      </c>
      <c r="C554" s="163">
        <v>550.0</v>
      </c>
    </row>
    <row r="555" ht="15.75" customHeight="1">
      <c r="B555" s="163">
        <f t="shared" si="1"/>
        <v>2287</v>
      </c>
      <c r="C555" s="163">
        <v>551.0</v>
      </c>
    </row>
    <row r="556" ht="15.75" customHeight="1">
      <c r="B556" s="163">
        <f t="shared" si="1"/>
        <v>2286</v>
      </c>
      <c r="C556" s="163">
        <v>552.0</v>
      </c>
    </row>
    <row r="557" ht="15.75" customHeight="1">
      <c r="B557" s="163">
        <f t="shared" si="1"/>
        <v>2285</v>
      </c>
      <c r="C557" s="163">
        <v>553.0</v>
      </c>
    </row>
    <row r="558" ht="15.75" customHeight="1">
      <c r="B558" s="163">
        <f t="shared" si="1"/>
        <v>2284</v>
      </c>
      <c r="C558" s="163">
        <v>554.0</v>
      </c>
    </row>
    <row r="559" ht="15.75" customHeight="1">
      <c r="B559" s="163">
        <f t="shared" si="1"/>
        <v>2283</v>
      </c>
      <c r="C559" s="163">
        <v>555.0</v>
      </c>
    </row>
    <row r="560" ht="15.75" customHeight="1">
      <c r="B560" s="163">
        <f t="shared" si="1"/>
        <v>2282</v>
      </c>
      <c r="C560" s="163">
        <v>556.0</v>
      </c>
    </row>
    <row r="561" ht="15.75" customHeight="1">
      <c r="B561" s="163">
        <f t="shared" si="1"/>
        <v>2281</v>
      </c>
      <c r="C561" s="163">
        <v>557.0</v>
      </c>
    </row>
    <row r="562" ht="15.75" customHeight="1">
      <c r="B562" s="163">
        <f t="shared" si="1"/>
        <v>2280</v>
      </c>
      <c r="C562" s="163">
        <v>558.0</v>
      </c>
    </row>
    <row r="563" ht="15.75" customHeight="1">
      <c r="B563" s="163">
        <f t="shared" si="1"/>
        <v>2279</v>
      </c>
      <c r="C563" s="163">
        <v>559.0</v>
      </c>
    </row>
    <row r="564" ht="15.75" customHeight="1">
      <c r="B564" s="163">
        <f t="shared" si="1"/>
        <v>2278</v>
      </c>
      <c r="C564" s="163">
        <v>560.0</v>
      </c>
    </row>
    <row r="565" ht="15.75" customHeight="1">
      <c r="B565" s="163">
        <f t="shared" si="1"/>
        <v>2277</v>
      </c>
      <c r="C565" s="163">
        <v>561.0</v>
      </c>
    </row>
    <row r="566" ht="15.75" customHeight="1">
      <c r="B566" s="163">
        <f t="shared" si="1"/>
        <v>2276</v>
      </c>
      <c r="C566" s="163">
        <v>562.0</v>
      </c>
    </row>
    <row r="567" ht="15.75" customHeight="1">
      <c r="B567" s="163">
        <f t="shared" si="1"/>
        <v>2275</v>
      </c>
      <c r="C567" s="163">
        <v>563.0</v>
      </c>
    </row>
    <row r="568" ht="15.75" customHeight="1">
      <c r="B568" s="163">
        <f t="shared" si="1"/>
        <v>2274</v>
      </c>
      <c r="C568" s="163">
        <v>564.0</v>
      </c>
    </row>
    <row r="569" ht="15.75" customHeight="1">
      <c r="B569" s="163">
        <f t="shared" si="1"/>
        <v>2273</v>
      </c>
      <c r="C569" s="163">
        <v>565.0</v>
      </c>
    </row>
    <row r="570" ht="15.75" customHeight="1">
      <c r="B570" s="163">
        <f t="shared" si="1"/>
        <v>2272</v>
      </c>
      <c r="C570" s="163">
        <v>566.0</v>
      </c>
    </row>
    <row r="571" ht="15.75" customHeight="1">
      <c r="B571" s="163">
        <f t="shared" si="1"/>
        <v>2271</v>
      </c>
      <c r="C571" s="163">
        <v>567.0</v>
      </c>
    </row>
    <row r="572" ht="15.75" customHeight="1">
      <c r="B572" s="163">
        <f t="shared" si="1"/>
        <v>2270</v>
      </c>
      <c r="C572" s="163">
        <v>568.0</v>
      </c>
    </row>
    <row r="573" ht="15.75" customHeight="1">
      <c r="B573" s="163">
        <f t="shared" si="1"/>
        <v>2269</v>
      </c>
      <c r="C573" s="163">
        <v>569.0</v>
      </c>
    </row>
    <row r="574" ht="15.75" customHeight="1">
      <c r="B574" s="163">
        <f t="shared" si="1"/>
        <v>2268</v>
      </c>
      <c r="C574" s="163">
        <v>570.0</v>
      </c>
    </row>
    <row r="575" ht="15.75" customHeight="1">
      <c r="B575" s="163">
        <f t="shared" si="1"/>
        <v>2267</v>
      </c>
      <c r="C575" s="163">
        <v>571.0</v>
      </c>
    </row>
    <row r="576" ht="15.75" customHeight="1">
      <c r="B576" s="163">
        <f t="shared" si="1"/>
        <v>2266</v>
      </c>
      <c r="C576" s="163">
        <v>572.0</v>
      </c>
    </row>
    <row r="577" ht="15.75" customHeight="1">
      <c r="B577" s="163">
        <f t="shared" si="1"/>
        <v>2265</v>
      </c>
      <c r="C577" s="163">
        <v>573.0</v>
      </c>
    </row>
    <row r="578" ht="15.75" customHeight="1">
      <c r="B578" s="163">
        <f t="shared" si="1"/>
        <v>2264</v>
      </c>
      <c r="C578" s="163">
        <v>574.0</v>
      </c>
    </row>
    <row r="579" ht="15.75" customHeight="1">
      <c r="B579" s="163">
        <f t="shared" si="1"/>
        <v>2263</v>
      </c>
      <c r="C579" s="163">
        <v>575.0</v>
      </c>
    </row>
    <row r="580" ht="15.75" customHeight="1">
      <c r="B580" s="163">
        <f t="shared" si="1"/>
        <v>2262</v>
      </c>
      <c r="C580" s="163">
        <v>576.0</v>
      </c>
    </row>
    <row r="581" ht="15.75" customHeight="1">
      <c r="B581" s="163">
        <f t="shared" si="1"/>
        <v>2261</v>
      </c>
      <c r="C581" s="163">
        <v>577.0</v>
      </c>
    </row>
    <row r="582" ht="15.75" customHeight="1">
      <c r="B582" s="163">
        <f t="shared" si="1"/>
        <v>2260</v>
      </c>
      <c r="C582" s="163">
        <v>578.0</v>
      </c>
    </row>
    <row r="583" ht="15.75" customHeight="1">
      <c r="B583" s="163">
        <f t="shared" si="1"/>
        <v>2259</v>
      </c>
      <c r="C583" s="163">
        <v>579.0</v>
      </c>
    </row>
    <row r="584" ht="15.75" customHeight="1">
      <c r="B584" s="163">
        <f t="shared" si="1"/>
        <v>2258</v>
      </c>
      <c r="C584" s="163">
        <v>580.0</v>
      </c>
    </row>
    <row r="585" ht="15.75" customHeight="1">
      <c r="B585" s="163">
        <f t="shared" si="1"/>
        <v>2257</v>
      </c>
      <c r="C585" s="163">
        <v>581.0</v>
      </c>
    </row>
    <row r="586" ht="15.75" customHeight="1">
      <c r="B586" s="163">
        <f t="shared" si="1"/>
        <v>2256</v>
      </c>
      <c r="C586" s="163">
        <v>582.0</v>
      </c>
    </row>
    <row r="587" ht="15.75" customHeight="1">
      <c r="B587" s="163">
        <f t="shared" si="1"/>
        <v>2255</v>
      </c>
      <c r="C587" s="163">
        <v>583.0</v>
      </c>
    </row>
    <row r="588" ht="15.75" customHeight="1">
      <c r="B588" s="163">
        <f t="shared" si="1"/>
        <v>2254</v>
      </c>
      <c r="C588" s="163">
        <v>584.0</v>
      </c>
    </row>
    <row r="589" ht="15.75" customHeight="1">
      <c r="B589" s="163">
        <f t="shared" si="1"/>
        <v>2253</v>
      </c>
      <c r="C589" s="163">
        <v>585.0</v>
      </c>
    </row>
    <row r="590" ht="15.75" customHeight="1">
      <c r="B590" s="163">
        <f t="shared" si="1"/>
        <v>2252</v>
      </c>
      <c r="C590" s="163">
        <v>586.0</v>
      </c>
    </row>
    <row r="591" ht="15.75" customHeight="1">
      <c r="B591" s="163">
        <f t="shared" si="1"/>
        <v>2251</v>
      </c>
      <c r="C591" s="163">
        <v>587.0</v>
      </c>
    </row>
    <row r="592" ht="15.75" customHeight="1">
      <c r="B592" s="163">
        <f t="shared" si="1"/>
        <v>2250</v>
      </c>
      <c r="C592" s="163">
        <v>588.0</v>
      </c>
    </row>
    <row r="593" ht="15.75" customHeight="1">
      <c r="B593" s="163">
        <f t="shared" si="1"/>
        <v>2249</v>
      </c>
      <c r="C593" s="163">
        <v>589.0</v>
      </c>
    </row>
    <row r="594" ht="15.75" customHeight="1">
      <c r="B594" s="163">
        <f t="shared" si="1"/>
        <v>2248</v>
      </c>
      <c r="C594" s="163">
        <v>590.0</v>
      </c>
    </row>
    <row r="595" ht="15.75" customHeight="1">
      <c r="B595" s="163">
        <f t="shared" si="1"/>
        <v>2247</v>
      </c>
      <c r="C595" s="163">
        <v>591.0</v>
      </c>
    </row>
    <row r="596" ht="15.75" customHeight="1">
      <c r="B596" s="163">
        <f t="shared" si="1"/>
        <v>2246</v>
      </c>
      <c r="C596" s="163">
        <v>592.0</v>
      </c>
    </row>
    <row r="597" ht="15.75" customHeight="1">
      <c r="B597" s="163">
        <f t="shared" si="1"/>
        <v>2245</v>
      </c>
      <c r="C597" s="163">
        <v>593.0</v>
      </c>
    </row>
    <row r="598" ht="15.75" customHeight="1">
      <c r="B598" s="163">
        <f t="shared" si="1"/>
        <v>2244</v>
      </c>
      <c r="C598" s="163">
        <v>594.0</v>
      </c>
    </row>
    <row r="599" ht="15.75" customHeight="1">
      <c r="B599" s="163">
        <f t="shared" si="1"/>
        <v>2243</v>
      </c>
      <c r="C599" s="163">
        <v>595.0</v>
      </c>
    </row>
    <row r="600" ht="15.75" customHeight="1">
      <c r="B600" s="163">
        <f t="shared" si="1"/>
        <v>2242</v>
      </c>
      <c r="C600" s="163">
        <v>596.0</v>
      </c>
    </row>
    <row r="601" ht="15.75" customHeight="1">
      <c r="B601" s="163">
        <f t="shared" si="1"/>
        <v>2241</v>
      </c>
      <c r="C601" s="163">
        <v>597.0</v>
      </c>
    </row>
    <row r="602" ht="15.75" customHeight="1">
      <c r="B602" s="163">
        <f t="shared" si="1"/>
        <v>2240</v>
      </c>
      <c r="C602" s="163">
        <v>598.0</v>
      </c>
    </row>
    <row r="603" ht="15.75" customHeight="1">
      <c r="B603" s="163">
        <f t="shared" si="1"/>
        <v>2239</v>
      </c>
      <c r="C603" s="163">
        <v>599.0</v>
      </c>
    </row>
    <row r="604" ht="15.75" customHeight="1">
      <c r="B604" s="163">
        <f t="shared" si="1"/>
        <v>2238</v>
      </c>
      <c r="C604" s="163">
        <v>600.0</v>
      </c>
    </row>
    <row r="605" ht="15.75" customHeight="1">
      <c r="B605" s="163">
        <f t="shared" si="1"/>
        <v>2237</v>
      </c>
      <c r="C605" s="163">
        <v>601.0</v>
      </c>
    </row>
    <row r="606" ht="15.75" customHeight="1">
      <c r="B606" s="163">
        <f t="shared" si="1"/>
        <v>2236</v>
      </c>
      <c r="C606" s="163">
        <v>602.0</v>
      </c>
    </row>
    <row r="607" ht="15.75" customHeight="1">
      <c r="B607" s="163">
        <f t="shared" si="1"/>
        <v>2235</v>
      </c>
      <c r="C607" s="163">
        <v>603.0</v>
      </c>
    </row>
    <row r="608" ht="15.75" customHeight="1">
      <c r="B608" s="163">
        <f t="shared" si="1"/>
        <v>2234</v>
      </c>
      <c r="C608" s="163">
        <v>604.0</v>
      </c>
    </row>
    <row r="609" ht="15.75" customHeight="1">
      <c r="B609" s="163">
        <f t="shared" si="1"/>
        <v>2233</v>
      </c>
      <c r="C609" s="163">
        <v>605.0</v>
      </c>
    </row>
    <row r="610" ht="15.75" customHeight="1">
      <c r="B610" s="163">
        <f t="shared" si="1"/>
        <v>2232</v>
      </c>
      <c r="C610" s="163">
        <v>606.0</v>
      </c>
    </row>
    <row r="611" ht="15.75" customHeight="1">
      <c r="B611" s="163">
        <f t="shared" si="1"/>
        <v>2231</v>
      </c>
      <c r="C611" s="163">
        <v>607.0</v>
      </c>
    </row>
    <row r="612" ht="15.75" customHeight="1">
      <c r="B612" s="163">
        <f t="shared" si="1"/>
        <v>2230</v>
      </c>
      <c r="C612" s="163">
        <v>608.0</v>
      </c>
    </row>
    <row r="613" ht="15.75" customHeight="1">
      <c r="B613" s="163">
        <f t="shared" si="1"/>
        <v>2229</v>
      </c>
      <c r="C613" s="163">
        <v>609.0</v>
      </c>
    </row>
    <row r="614" ht="15.75" customHeight="1">
      <c r="B614" s="163">
        <f t="shared" si="1"/>
        <v>2228</v>
      </c>
      <c r="C614" s="163">
        <v>610.0</v>
      </c>
    </row>
    <row r="615" ht="15.75" customHeight="1">
      <c r="B615" s="163">
        <f t="shared" si="1"/>
        <v>2227</v>
      </c>
      <c r="C615" s="163">
        <v>611.0</v>
      </c>
    </row>
    <row r="616" ht="15.75" customHeight="1">
      <c r="B616" s="163">
        <f t="shared" si="1"/>
        <v>2226</v>
      </c>
      <c r="C616" s="163">
        <v>612.0</v>
      </c>
    </row>
    <row r="617" ht="15.75" customHeight="1">
      <c r="B617" s="163">
        <f t="shared" si="1"/>
        <v>2225</v>
      </c>
      <c r="C617" s="163">
        <v>613.0</v>
      </c>
    </row>
    <row r="618" ht="15.75" customHeight="1">
      <c r="B618" s="163">
        <f t="shared" si="1"/>
        <v>2224</v>
      </c>
      <c r="C618" s="163">
        <v>614.0</v>
      </c>
    </row>
    <row r="619" ht="15.75" customHeight="1">
      <c r="B619" s="163">
        <f t="shared" si="1"/>
        <v>2223</v>
      </c>
      <c r="C619" s="163">
        <v>615.0</v>
      </c>
    </row>
    <row r="620" ht="15.75" customHeight="1">
      <c r="B620" s="163">
        <f t="shared" si="1"/>
        <v>2222</v>
      </c>
      <c r="C620" s="163">
        <v>616.0</v>
      </c>
    </row>
    <row r="621" ht="15.75" customHeight="1">
      <c r="B621" s="163">
        <f t="shared" si="1"/>
        <v>2221</v>
      </c>
      <c r="C621" s="163">
        <v>617.0</v>
      </c>
    </row>
    <row r="622" ht="15.75" customHeight="1">
      <c r="B622" s="163">
        <f t="shared" si="1"/>
        <v>2220</v>
      </c>
      <c r="C622" s="163">
        <v>618.0</v>
      </c>
    </row>
    <row r="623" ht="15.75" customHeight="1">
      <c r="B623" s="163">
        <f t="shared" si="1"/>
        <v>2219</v>
      </c>
      <c r="C623" s="163">
        <v>619.0</v>
      </c>
    </row>
    <row r="624" ht="15.75" customHeight="1">
      <c r="B624" s="163">
        <f t="shared" si="1"/>
        <v>2218</v>
      </c>
      <c r="C624" s="163">
        <v>620.0</v>
      </c>
    </row>
    <row r="625" ht="15.75" customHeight="1">
      <c r="B625" s="163">
        <f t="shared" si="1"/>
        <v>2217</v>
      </c>
      <c r="C625" s="163">
        <v>621.0</v>
      </c>
    </row>
    <row r="626" ht="15.75" customHeight="1">
      <c r="B626" s="163">
        <f t="shared" si="1"/>
        <v>2216</v>
      </c>
      <c r="C626" s="163">
        <v>622.0</v>
      </c>
    </row>
    <row r="627" ht="15.75" customHeight="1">
      <c r="B627" s="163">
        <f t="shared" si="1"/>
        <v>2215</v>
      </c>
      <c r="C627" s="163">
        <v>623.0</v>
      </c>
    </row>
    <row r="628" ht="15.75" customHeight="1">
      <c r="B628" s="163">
        <f t="shared" si="1"/>
        <v>2214</v>
      </c>
      <c r="C628" s="163">
        <v>624.0</v>
      </c>
    </row>
    <row r="629" ht="15.75" customHeight="1">
      <c r="B629" s="163">
        <f t="shared" si="1"/>
        <v>2213</v>
      </c>
      <c r="C629" s="163">
        <v>625.0</v>
      </c>
    </row>
    <row r="630" ht="15.75" customHeight="1">
      <c r="B630" s="163">
        <f t="shared" si="1"/>
        <v>2212</v>
      </c>
      <c r="C630" s="163">
        <v>626.0</v>
      </c>
    </row>
    <row r="631" ht="15.75" customHeight="1">
      <c r="B631" s="163">
        <f t="shared" si="1"/>
        <v>2211</v>
      </c>
      <c r="C631" s="163">
        <v>627.0</v>
      </c>
    </row>
    <row r="632" ht="15.75" customHeight="1">
      <c r="B632" s="163">
        <f t="shared" si="1"/>
        <v>2210</v>
      </c>
      <c r="C632" s="163">
        <v>628.0</v>
      </c>
    </row>
    <row r="633" ht="15.75" customHeight="1">
      <c r="B633" s="163">
        <f t="shared" si="1"/>
        <v>2209</v>
      </c>
      <c r="C633" s="163">
        <v>629.0</v>
      </c>
    </row>
    <row r="634" ht="15.75" customHeight="1">
      <c r="B634" s="163">
        <f t="shared" si="1"/>
        <v>2208</v>
      </c>
      <c r="C634" s="163">
        <v>630.0</v>
      </c>
    </row>
    <row r="635" ht="15.75" customHeight="1">
      <c r="B635" s="163">
        <f t="shared" si="1"/>
        <v>2207</v>
      </c>
      <c r="C635" s="163">
        <v>631.0</v>
      </c>
    </row>
    <row r="636" ht="15.75" customHeight="1">
      <c r="B636" s="163">
        <f t="shared" si="1"/>
        <v>2206</v>
      </c>
      <c r="C636" s="163">
        <v>632.0</v>
      </c>
    </row>
    <row r="637" ht="15.75" customHeight="1">
      <c r="B637" s="163">
        <f t="shared" si="1"/>
        <v>2205</v>
      </c>
      <c r="C637" s="163">
        <v>633.0</v>
      </c>
    </row>
    <row r="638" ht="15.75" customHeight="1">
      <c r="B638" s="163">
        <f t="shared" si="1"/>
        <v>2204</v>
      </c>
      <c r="C638" s="163">
        <v>634.0</v>
      </c>
    </row>
    <row r="639" ht="15.75" customHeight="1">
      <c r="B639" s="163">
        <f t="shared" si="1"/>
        <v>2203</v>
      </c>
      <c r="C639" s="163">
        <v>635.0</v>
      </c>
    </row>
    <row r="640" ht="15.75" customHeight="1">
      <c r="B640" s="163">
        <f t="shared" si="1"/>
        <v>2202</v>
      </c>
      <c r="C640" s="163">
        <v>636.0</v>
      </c>
    </row>
    <row r="641" ht="15.75" customHeight="1">
      <c r="B641" s="163">
        <f t="shared" si="1"/>
        <v>2201</v>
      </c>
      <c r="C641" s="163">
        <v>637.0</v>
      </c>
    </row>
    <row r="642" ht="15.75" customHeight="1">
      <c r="B642" s="163">
        <f t="shared" si="1"/>
        <v>2200</v>
      </c>
      <c r="C642" s="163">
        <v>638.0</v>
      </c>
    </row>
    <row r="643" ht="15.75" customHeight="1">
      <c r="B643" s="163">
        <f t="shared" si="1"/>
        <v>2199</v>
      </c>
      <c r="C643" s="163">
        <v>639.0</v>
      </c>
    </row>
    <row r="644" ht="15.75" customHeight="1">
      <c r="B644" s="163">
        <f t="shared" si="1"/>
        <v>2198</v>
      </c>
      <c r="C644" s="163">
        <v>640.0</v>
      </c>
    </row>
    <row r="645" ht="15.75" customHeight="1">
      <c r="B645" s="163">
        <f t="shared" si="1"/>
        <v>2197</v>
      </c>
      <c r="C645" s="163">
        <v>641.0</v>
      </c>
    </row>
    <row r="646" ht="15.75" customHeight="1">
      <c r="B646" s="163">
        <f t="shared" si="1"/>
        <v>2196</v>
      </c>
      <c r="C646" s="163">
        <v>642.0</v>
      </c>
    </row>
    <row r="647" ht="15.75" customHeight="1">
      <c r="B647" s="163">
        <f t="shared" si="1"/>
        <v>2195</v>
      </c>
      <c r="C647" s="163">
        <v>643.0</v>
      </c>
    </row>
    <row r="648" ht="15.75" customHeight="1">
      <c r="B648" s="163">
        <f t="shared" si="1"/>
        <v>2194</v>
      </c>
      <c r="C648" s="163">
        <v>644.0</v>
      </c>
    </row>
    <row r="649" ht="15.75" customHeight="1">
      <c r="B649" s="163">
        <f t="shared" si="1"/>
        <v>2193</v>
      </c>
      <c r="C649" s="163">
        <v>645.0</v>
      </c>
    </row>
    <row r="650" ht="15.75" customHeight="1">
      <c r="B650" s="163">
        <f t="shared" si="1"/>
        <v>2192</v>
      </c>
      <c r="C650" s="163">
        <v>646.0</v>
      </c>
    </row>
    <row r="651" ht="15.75" customHeight="1">
      <c r="B651" s="163">
        <f t="shared" si="1"/>
        <v>2191</v>
      </c>
      <c r="C651" s="163">
        <v>647.0</v>
      </c>
    </row>
    <row r="652" ht="15.75" customHeight="1">
      <c r="B652" s="163">
        <f t="shared" si="1"/>
        <v>2190</v>
      </c>
      <c r="C652" s="163">
        <v>648.0</v>
      </c>
    </row>
    <row r="653" ht="15.75" customHeight="1">
      <c r="B653" s="163">
        <f t="shared" si="1"/>
        <v>2189</v>
      </c>
      <c r="C653" s="163">
        <v>649.0</v>
      </c>
    </row>
    <row r="654" ht="15.75" customHeight="1">
      <c r="B654" s="163">
        <f t="shared" si="1"/>
        <v>2188</v>
      </c>
      <c r="C654" s="163">
        <v>650.0</v>
      </c>
    </row>
    <row r="655" ht="15.75" customHeight="1">
      <c r="B655" s="163">
        <f t="shared" si="1"/>
        <v>2187</v>
      </c>
      <c r="C655" s="163">
        <v>651.0</v>
      </c>
    </row>
    <row r="656" ht="15.75" customHeight="1">
      <c r="B656" s="163">
        <f t="shared" si="1"/>
        <v>2186</v>
      </c>
      <c r="C656" s="163">
        <v>652.0</v>
      </c>
    </row>
    <row r="657" ht="15.75" customHeight="1">
      <c r="B657" s="163">
        <f t="shared" si="1"/>
        <v>2185</v>
      </c>
      <c r="C657" s="163">
        <v>653.0</v>
      </c>
    </row>
    <row r="658" ht="15.75" customHeight="1">
      <c r="B658" s="163">
        <f t="shared" si="1"/>
        <v>2184</v>
      </c>
      <c r="C658" s="163">
        <v>654.0</v>
      </c>
    </row>
    <row r="659" ht="15.75" customHeight="1">
      <c r="B659" s="163">
        <f t="shared" si="1"/>
        <v>2183</v>
      </c>
      <c r="C659" s="163">
        <v>655.0</v>
      </c>
    </row>
    <row r="660" ht="15.75" customHeight="1">
      <c r="B660" s="163">
        <f t="shared" si="1"/>
        <v>2182</v>
      </c>
      <c r="C660" s="163">
        <v>656.0</v>
      </c>
    </row>
    <row r="661" ht="15.75" customHeight="1">
      <c r="B661" s="163">
        <f t="shared" si="1"/>
        <v>2181</v>
      </c>
      <c r="C661" s="163">
        <v>657.0</v>
      </c>
    </row>
    <row r="662" ht="15.75" customHeight="1">
      <c r="B662" s="163">
        <f t="shared" si="1"/>
        <v>2180</v>
      </c>
      <c r="C662" s="163">
        <v>658.0</v>
      </c>
    </row>
    <row r="663" ht="15.75" customHeight="1">
      <c r="B663" s="163">
        <f t="shared" si="1"/>
        <v>2179</v>
      </c>
      <c r="C663" s="163">
        <v>659.0</v>
      </c>
    </row>
    <row r="664" ht="15.75" customHeight="1">
      <c r="B664" s="163">
        <f t="shared" si="1"/>
        <v>2178</v>
      </c>
      <c r="C664" s="163">
        <v>660.0</v>
      </c>
    </row>
    <row r="665" ht="15.75" customHeight="1">
      <c r="B665" s="163">
        <f t="shared" si="1"/>
        <v>2177</v>
      </c>
      <c r="C665" s="163">
        <v>661.0</v>
      </c>
    </row>
    <row r="666" ht="15.75" customHeight="1">
      <c r="B666" s="163">
        <f t="shared" si="1"/>
        <v>2176</v>
      </c>
      <c r="C666" s="163">
        <v>662.0</v>
      </c>
    </row>
    <row r="667" ht="15.75" customHeight="1">
      <c r="B667" s="163">
        <f t="shared" si="1"/>
        <v>2175</v>
      </c>
      <c r="C667" s="163">
        <v>663.0</v>
      </c>
    </row>
    <row r="668" ht="15.75" customHeight="1">
      <c r="B668" s="163">
        <f t="shared" si="1"/>
        <v>2174</v>
      </c>
      <c r="C668" s="163">
        <v>664.0</v>
      </c>
    </row>
    <row r="669" ht="15.75" customHeight="1">
      <c r="B669" s="163">
        <f t="shared" si="1"/>
        <v>2173</v>
      </c>
      <c r="C669" s="163">
        <v>665.0</v>
      </c>
    </row>
    <row r="670" ht="15.75" customHeight="1">
      <c r="B670" s="163">
        <f t="shared" si="1"/>
        <v>2172</v>
      </c>
      <c r="C670" s="163">
        <v>666.0</v>
      </c>
    </row>
    <row r="671" ht="15.75" customHeight="1">
      <c r="B671" s="163">
        <f t="shared" si="1"/>
        <v>2171</v>
      </c>
      <c r="C671" s="163">
        <v>667.0</v>
      </c>
    </row>
    <row r="672" ht="15.75" customHeight="1">
      <c r="B672" s="163">
        <f t="shared" si="1"/>
        <v>2170</v>
      </c>
      <c r="C672" s="163">
        <v>668.0</v>
      </c>
    </row>
    <row r="673" ht="15.75" customHeight="1">
      <c r="B673" s="163">
        <f t="shared" si="1"/>
        <v>2169</v>
      </c>
      <c r="C673" s="163">
        <v>669.0</v>
      </c>
    </row>
    <row r="674" ht="15.75" customHeight="1">
      <c r="B674" s="163">
        <f t="shared" si="1"/>
        <v>2168</v>
      </c>
      <c r="C674" s="163">
        <v>670.0</v>
      </c>
    </row>
    <row r="675" ht="15.75" customHeight="1">
      <c r="B675" s="163">
        <f t="shared" si="1"/>
        <v>2167</v>
      </c>
      <c r="C675" s="163">
        <v>671.0</v>
      </c>
    </row>
    <row r="676" ht="15.75" customHeight="1">
      <c r="B676" s="163">
        <f t="shared" si="1"/>
        <v>2166</v>
      </c>
      <c r="C676" s="163">
        <v>672.0</v>
      </c>
    </row>
    <row r="677" ht="15.75" customHeight="1">
      <c r="B677" s="163">
        <f t="shared" si="1"/>
        <v>2165</v>
      </c>
      <c r="C677" s="163">
        <v>673.0</v>
      </c>
    </row>
    <row r="678" ht="15.75" customHeight="1">
      <c r="B678" s="163">
        <f t="shared" si="1"/>
        <v>2164</v>
      </c>
      <c r="C678" s="163">
        <v>674.0</v>
      </c>
    </row>
    <row r="679" ht="15.75" customHeight="1">
      <c r="B679" s="163">
        <f t="shared" si="1"/>
        <v>2163</v>
      </c>
      <c r="C679" s="163">
        <v>675.0</v>
      </c>
    </row>
    <row r="680" ht="15.75" customHeight="1">
      <c r="B680" s="163">
        <f t="shared" si="1"/>
        <v>2162</v>
      </c>
      <c r="C680" s="163">
        <v>676.0</v>
      </c>
    </row>
    <row r="681" ht="15.75" customHeight="1">
      <c r="B681" s="163">
        <f t="shared" si="1"/>
        <v>2161</v>
      </c>
      <c r="C681" s="163">
        <v>677.0</v>
      </c>
    </row>
    <row r="682" ht="15.75" customHeight="1">
      <c r="B682" s="163">
        <f t="shared" si="1"/>
        <v>2160</v>
      </c>
      <c r="C682" s="163">
        <v>678.0</v>
      </c>
    </row>
    <row r="683" ht="15.75" customHeight="1">
      <c r="B683" s="163">
        <f t="shared" si="1"/>
        <v>2159</v>
      </c>
      <c r="C683" s="163">
        <v>679.0</v>
      </c>
    </row>
    <row r="684" ht="15.75" customHeight="1">
      <c r="B684" s="163">
        <f t="shared" si="1"/>
        <v>2158</v>
      </c>
      <c r="C684" s="163">
        <v>680.0</v>
      </c>
    </row>
    <row r="685" ht="15.75" customHeight="1">
      <c r="B685" s="163">
        <f t="shared" si="1"/>
        <v>2157</v>
      </c>
      <c r="C685" s="163">
        <v>681.0</v>
      </c>
    </row>
    <row r="686" ht="15.75" customHeight="1">
      <c r="B686" s="163">
        <f t="shared" si="1"/>
        <v>2156</v>
      </c>
      <c r="C686" s="163">
        <v>682.0</v>
      </c>
    </row>
    <row r="687" ht="15.75" customHeight="1">
      <c r="B687" s="163">
        <f t="shared" si="1"/>
        <v>2155</v>
      </c>
      <c r="C687" s="163">
        <v>683.0</v>
      </c>
    </row>
    <row r="688" ht="15.75" customHeight="1">
      <c r="B688" s="163">
        <f t="shared" si="1"/>
        <v>2154</v>
      </c>
      <c r="C688" s="163">
        <v>684.0</v>
      </c>
    </row>
    <row r="689" ht="15.75" customHeight="1">
      <c r="B689" s="163">
        <f t="shared" si="1"/>
        <v>2153</v>
      </c>
      <c r="C689" s="163">
        <v>685.0</v>
      </c>
    </row>
    <row r="690" ht="15.75" customHeight="1">
      <c r="B690" s="163">
        <f t="shared" si="1"/>
        <v>2152</v>
      </c>
      <c r="C690" s="163">
        <v>686.0</v>
      </c>
    </row>
    <row r="691" ht="15.75" customHeight="1">
      <c r="B691" s="163">
        <f t="shared" si="1"/>
        <v>2151</v>
      </c>
      <c r="C691" s="163">
        <v>687.0</v>
      </c>
    </row>
    <row r="692" ht="15.75" customHeight="1">
      <c r="B692" s="163">
        <f t="shared" si="1"/>
        <v>2150</v>
      </c>
      <c r="C692" s="163">
        <v>688.0</v>
      </c>
    </row>
    <row r="693" ht="15.75" customHeight="1">
      <c r="B693" s="163">
        <f t="shared" si="1"/>
        <v>2149</v>
      </c>
      <c r="C693" s="163">
        <v>689.0</v>
      </c>
    </row>
    <row r="694" ht="15.75" customHeight="1">
      <c r="B694" s="163">
        <f t="shared" si="1"/>
        <v>2148</v>
      </c>
      <c r="C694" s="163">
        <v>690.0</v>
      </c>
    </row>
    <row r="695" ht="15.75" customHeight="1">
      <c r="B695" s="163">
        <f t="shared" si="1"/>
        <v>2147</v>
      </c>
      <c r="C695" s="163">
        <v>691.0</v>
      </c>
    </row>
    <row r="696" ht="15.75" customHeight="1">
      <c r="B696" s="163">
        <f t="shared" si="1"/>
        <v>2146</v>
      </c>
      <c r="C696" s="163">
        <v>692.0</v>
      </c>
    </row>
    <row r="697" ht="15.75" customHeight="1">
      <c r="B697" s="163">
        <f t="shared" si="1"/>
        <v>2145</v>
      </c>
      <c r="C697" s="163">
        <v>693.0</v>
      </c>
    </row>
    <row r="698" ht="15.75" customHeight="1">
      <c r="B698" s="163">
        <f t="shared" si="1"/>
        <v>2144</v>
      </c>
      <c r="C698" s="163">
        <v>694.0</v>
      </c>
    </row>
    <row r="699" ht="15.75" customHeight="1">
      <c r="B699" s="163">
        <f t="shared" si="1"/>
        <v>2143</v>
      </c>
      <c r="C699" s="163">
        <v>695.0</v>
      </c>
    </row>
    <row r="700" ht="15.75" customHeight="1">
      <c r="B700" s="163">
        <f t="shared" si="1"/>
        <v>2142</v>
      </c>
      <c r="C700" s="163">
        <v>696.0</v>
      </c>
    </row>
    <row r="701" ht="15.75" customHeight="1">
      <c r="B701" s="163">
        <f t="shared" si="1"/>
        <v>2141</v>
      </c>
      <c r="C701" s="163">
        <v>697.0</v>
      </c>
    </row>
    <row r="702" ht="15.75" customHeight="1">
      <c r="B702" s="163">
        <f t="shared" si="1"/>
        <v>2140</v>
      </c>
      <c r="C702" s="163">
        <v>698.0</v>
      </c>
    </row>
    <row r="703" ht="15.75" customHeight="1">
      <c r="B703" s="163">
        <f t="shared" si="1"/>
        <v>2139</v>
      </c>
      <c r="C703" s="163">
        <v>699.0</v>
      </c>
    </row>
    <row r="704" ht="15.75" customHeight="1">
      <c r="B704" s="163">
        <f t="shared" si="1"/>
        <v>2138</v>
      </c>
      <c r="C704" s="163">
        <v>700.0</v>
      </c>
    </row>
    <row r="705" ht="15.75" customHeight="1">
      <c r="B705" s="163">
        <f t="shared" si="1"/>
        <v>2137</v>
      </c>
      <c r="C705" s="163">
        <v>701.0</v>
      </c>
    </row>
    <row r="706" ht="15.75" customHeight="1">
      <c r="B706" s="163">
        <f t="shared" si="1"/>
        <v>2136</v>
      </c>
      <c r="C706" s="163">
        <v>702.0</v>
      </c>
    </row>
    <row r="707" ht="15.75" customHeight="1">
      <c r="B707" s="163">
        <f t="shared" si="1"/>
        <v>2135</v>
      </c>
      <c r="C707" s="163">
        <v>703.0</v>
      </c>
    </row>
    <row r="708" ht="15.75" customHeight="1">
      <c r="B708" s="163">
        <f t="shared" si="1"/>
        <v>2134</v>
      </c>
      <c r="C708" s="163">
        <v>704.0</v>
      </c>
    </row>
    <row r="709" ht="15.75" customHeight="1">
      <c r="B709" s="163">
        <f t="shared" si="1"/>
        <v>2133</v>
      </c>
      <c r="C709" s="163">
        <v>705.0</v>
      </c>
    </row>
    <row r="710" ht="15.75" customHeight="1">
      <c r="B710" s="163">
        <f t="shared" si="1"/>
        <v>2132</v>
      </c>
      <c r="C710" s="163">
        <v>706.0</v>
      </c>
    </row>
    <row r="711" ht="15.75" customHeight="1">
      <c r="B711" s="163">
        <f t="shared" si="1"/>
        <v>2131</v>
      </c>
      <c r="C711" s="163">
        <v>707.0</v>
      </c>
    </row>
    <row r="712" ht="15.75" customHeight="1">
      <c r="B712" s="163">
        <f t="shared" si="1"/>
        <v>2130</v>
      </c>
      <c r="C712" s="163">
        <v>708.0</v>
      </c>
    </row>
    <row r="713" ht="15.75" customHeight="1">
      <c r="B713" s="163">
        <f t="shared" si="1"/>
        <v>2129</v>
      </c>
      <c r="C713" s="163">
        <v>709.0</v>
      </c>
    </row>
    <row r="714" ht="15.75" customHeight="1">
      <c r="B714" s="163">
        <f t="shared" si="1"/>
        <v>2128</v>
      </c>
      <c r="C714" s="163">
        <v>710.0</v>
      </c>
    </row>
    <row r="715" ht="15.75" customHeight="1">
      <c r="B715" s="163">
        <f t="shared" si="1"/>
        <v>2127</v>
      </c>
      <c r="C715" s="163">
        <v>711.0</v>
      </c>
    </row>
    <row r="716" ht="15.75" customHeight="1">
      <c r="B716" s="163">
        <f t="shared" si="1"/>
        <v>2126</v>
      </c>
      <c r="C716" s="163">
        <v>712.0</v>
      </c>
    </row>
    <row r="717" ht="15.75" customHeight="1">
      <c r="B717" s="163">
        <f t="shared" si="1"/>
        <v>2125</v>
      </c>
      <c r="C717" s="163">
        <v>713.0</v>
      </c>
    </row>
    <row r="718" ht="15.75" customHeight="1">
      <c r="B718" s="163">
        <f t="shared" si="1"/>
        <v>2124</v>
      </c>
      <c r="C718" s="163">
        <v>714.0</v>
      </c>
    </row>
    <row r="719" ht="15.75" customHeight="1">
      <c r="B719" s="163">
        <f t="shared" si="1"/>
        <v>2123</v>
      </c>
      <c r="C719" s="163">
        <v>715.0</v>
      </c>
    </row>
    <row r="720" ht="15.75" customHeight="1">
      <c r="B720" s="163">
        <f t="shared" si="1"/>
        <v>2122</v>
      </c>
      <c r="C720" s="163">
        <v>716.0</v>
      </c>
    </row>
    <row r="721" ht="15.75" customHeight="1">
      <c r="B721" s="163">
        <f t="shared" si="1"/>
        <v>2121</v>
      </c>
      <c r="C721" s="163">
        <v>717.0</v>
      </c>
    </row>
    <row r="722" ht="15.75" customHeight="1">
      <c r="B722" s="163">
        <f t="shared" si="1"/>
        <v>2120</v>
      </c>
      <c r="C722" s="163">
        <v>718.0</v>
      </c>
    </row>
    <row r="723" ht="15.75" customHeight="1">
      <c r="B723" s="163">
        <f t="shared" si="1"/>
        <v>2119</v>
      </c>
      <c r="C723" s="163">
        <v>719.0</v>
      </c>
    </row>
    <row r="724" ht="15.75" customHeight="1">
      <c r="B724" s="163">
        <f t="shared" si="1"/>
        <v>2118</v>
      </c>
      <c r="C724" s="163">
        <v>720.0</v>
      </c>
    </row>
    <row r="725" ht="15.75" customHeight="1">
      <c r="B725" s="163">
        <f t="shared" si="1"/>
        <v>2117</v>
      </c>
      <c r="C725" s="163">
        <v>721.0</v>
      </c>
    </row>
    <row r="726" ht="15.75" customHeight="1">
      <c r="B726" s="163">
        <f t="shared" si="1"/>
        <v>2116</v>
      </c>
      <c r="C726" s="163">
        <v>722.0</v>
      </c>
    </row>
    <row r="727" ht="15.75" customHeight="1">
      <c r="B727" s="163">
        <f t="shared" si="1"/>
        <v>2115</v>
      </c>
      <c r="C727" s="163">
        <v>723.0</v>
      </c>
    </row>
    <row r="728" ht="15.75" customHeight="1">
      <c r="B728" s="163">
        <f t="shared" si="1"/>
        <v>2114</v>
      </c>
      <c r="C728" s="163">
        <v>724.0</v>
      </c>
    </row>
    <row r="729" ht="15.75" customHeight="1">
      <c r="B729" s="163">
        <f t="shared" si="1"/>
        <v>2113</v>
      </c>
      <c r="C729" s="163">
        <v>725.0</v>
      </c>
    </row>
    <row r="730" ht="15.75" customHeight="1">
      <c r="B730" s="163">
        <f t="shared" si="1"/>
        <v>2112</v>
      </c>
      <c r="C730" s="163">
        <v>726.0</v>
      </c>
    </row>
    <row r="731" ht="15.75" customHeight="1">
      <c r="B731" s="163">
        <f t="shared" si="1"/>
        <v>2111</v>
      </c>
      <c r="C731" s="163">
        <v>727.0</v>
      </c>
    </row>
    <row r="732" ht="15.75" customHeight="1">
      <c r="B732" s="163">
        <f t="shared" si="1"/>
        <v>2110</v>
      </c>
      <c r="C732" s="163">
        <v>728.0</v>
      </c>
    </row>
    <row r="733" ht="15.75" customHeight="1">
      <c r="B733" s="163">
        <f t="shared" si="1"/>
        <v>2109</v>
      </c>
      <c r="C733" s="163">
        <v>729.0</v>
      </c>
    </row>
    <row r="734" ht="15.75" customHeight="1">
      <c r="B734" s="163">
        <f t="shared" si="1"/>
        <v>2108</v>
      </c>
      <c r="C734" s="163">
        <v>730.0</v>
      </c>
    </row>
    <row r="735" ht="15.75" customHeight="1">
      <c r="B735" s="163">
        <f t="shared" si="1"/>
        <v>2107</v>
      </c>
      <c r="C735" s="163">
        <v>731.0</v>
      </c>
    </row>
    <row r="736" ht="15.75" customHeight="1">
      <c r="B736" s="163">
        <f t="shared" si="1"/>
        <v>2106</v>
      </c>
      <c r="C736" s="163">
        <v>732.0</v>
      </c>
    </row>
    <row r="737" ht="15.75" customHeight="1">
      <c r="B737" s="163">
        <f t="shared" si="1"/>
        <v>2105</v>
      </c>
      <c r="C737" s="163">
        <v>733.0</v>
      </c>
    </row>
    <row r="738" ht="15.75" customHeight="1">
      <c r="B738" s="163">
        <f t="shared" si="1"/>
        <v>2104</v>
      </c>
      <c r="C738" s="163">
        <v>734.0</v>
      </c>
    </row>
    <row r="739" ht="15.75" customHeight="1">
      <c r="B739" s="163">
        <f t="shared" si="1"/>
        <v>2103</v>
      </c>
      <c r="C739" s="163">
        <v>735.0</v>
      </c>
    </row>
    <row r="740" ht="15.75" customHeight="1">
      <c r="B740" s="163">
        <f t="shared" si="1"/>
        <v>2102</v>
      </c>
      <c r="C740" s="163">
        <v>736.0</v>
      </c>
    </row>
    <row r="741" ht="15.75" customHeight="1">
      <c r="B741" s="163">
        <f t="shared" si="1"/>
        <v>2101</v>
      </c>
      <c r="C741" s="163">
        <v>737.0</v>
      </c>
    </row>
    <row r="742" ht="15.75" customHeight="1">
      <c r="B742" s="163">
        <f t="shared" si="1"/>
        <v>2100</v>
      </c>
      <c r="C742" s="163">
        <v>738.0</v>
      </c>
    </row>
    <row r="743" ht="15.75" customHeight="1">
      <c r="B743" s="163">
        <f t="shared" si="1"/>
        <v>2099</v>
      </c>
      <c r="C743" s="163">
        <v>739.0</v>
      </c>
    </row>
    <row r="744" ht="15.75" customHeight="1">
      <c r="B744" s="163">
        <f t="shared" si="1"/>
        <v>2098</v>
      </c>
      <c r="C744" s="163">
        <v>740.0</v>
      </c>
    </row>
    <row r="745" ht="15.75" customHeight="1">
      <c r="B745" s="163">
        <f t="shared" si="1"/>
        <v>2097</v>
      </c>
      <c r="C745" s="163">
        <v>741.0</v>
      </c>
    </row>
    <row r="746" ht="15.75" customHeight="1">
      <c r="B746" s="163">
        <f t="shared" si="1"/>
        <v>2096</v>
      </c>
      <c r="C746" s="163">
        <v>742.0</v>
      </c>
    </row>
    <row r="747" ht="15.75" customHeight="1">
      <c r="B747" s="163">
        <f t="shared" si="1"/>
        <v>2095</v>
      </c>
      <c r="C747" s="163">
        <v>743.0</v>
      </c>
    </row>
    <row r="748" ht="15.75" customHeight="1">
      <c r="B748" s="163">
        <f t="shared" si="1"/>
        <v>2094</v>
      </c>
      <c r="C748" s="163">
        <v>744.0</v>
      </c>
    </row>
    <row r="749" ht="15.75" customHeight="1">
      <c r="B749" s="163">
        <f t="shared" si="1"/>
        <v>2093</v>
      </c>
      <c r="C749" s="163">
        <v>745.0</v>
      </c>
    </row>
    <row r="750" ht="15.75" customHeight="1">
      <c r="B750" s="163">
        <f t="shared" si="1"/>
        <v>2092</v>
      </c>
      <c r="C750" s="163">
        <v>746.0</v>
      </c>
    </row>
    <row r="751" ht="15.75" customHeight="1">
      <c r="B751" s="163">
        <f t="shared" si="1"/>
        <v>2091</v>
      </c>
      <c r="C751" s="163">
        <v>747.0</v>
      </c>
    </row>
    <row r="752" ht="15.75" customHeight="1">
      <c r="B752" s="163">
        <f t="shared" si="1"/>
        <v>2090</v>
      </c>
      <c r="C752" s="163">
        <v>748.0</v>
      </c>
    </row>
    <row r="753" ht="15.75" customHeight="1">
      <c r="B753" s="163">
        <f t="shared" si="1"/>
        <v>2089</v>
      </c>
      <c r="C753" s="163">
        <v>749.0</v>
      </c>
    </row>
    <row r="754" ht="15.75" customHeight="1">
      <c r="B754" s="163">
        <f t="shared" si="1"/>
        <v>2088</v>
      </c>
      <c r="C754" s="163">
        <v>750.0</v>
      </c>
    </row>
    <row r="755" ht="15.75" customHeight="1">
      <c r="B755" s="163">
        <f t="shared" si="1"/>
        <v>2087</v>
      </c>
      <c r="C755" s="163">
        <v>751.0</v>
      </c>
    </row>
    <row r="756" ht="15.75" customHeight="1">
      <c r="B756" s="163">
        <f t="shared" si="1"/>
        <v>2086</v>
      </c>
      <c r="C756" s="163">
        <v>752.0</v>
      </c>
    </row>
    <row r="757" ht="15.75" customHeight="1">
      <c r="B757" s="163">
        <f t="shared" si="1"/>
        <v>2085</v>
      </c>
      <c r="C757" s="163">
        <v>753.0</v>
      </c>
    </row>
    <row r="758" ht="15.75" customHeight="1">
      <c r="B758" s="163">
        <f t="shared" si="1"/>
        <v>2084</v>
      </c>
      <c r="C758" s="163">
        <v>754.0</v>
      </c>
    </row>
    <row r="759" ht="15.75" customHeight="1">
      <c r="B759" s="163">
        <f t="shared" si="1"/>
        <v>2083</v>
      </c>
      <c r="C759" s="163">
        <v>755.0</v>
      </c>
    </row>
    <row r="760" ht="15.75" customHeight="1">
      <c r="B760" s="163">
        <f t="shared" si="1"/>
        <v>2082</v>
      </c>
      <c r="C760" s="163">
        <v>756.0</v>
      </c>
    </row>
    <row r="761" ht="15.75" customHeight="1">
      <c r="B761" s="163">
        <f t="shared" si="1"/>
        <v>2081</v>
      </c>
      <c r="C761" s="163">
        <v>757.0</v>
      </c>
    </row>
    <row r="762" ht="15.75" customHeight="1">
      <c r="B762" s="163">
        <f t="shared" si="1"/>
        <v>2080</v>
      </c>
      <c r="C762" s="163">
        <v>758.0</v>
      </c>
    </row>
    <row r="763" ht="15.75" customHeight="1">
      <c r="B763" s="163">
        <f t="shared" si="1"/>
        <v>2079</v>
      </c>
      <c r="C763" s="163">
        <v>759.0</v>
      </c>
    </row>
    <row r="764" ht="15.75" customHeight="1">
      <c r="B764" s="163">
        <f t="shared" si="1"/>
        <v>2078</v>
      </c>
      <c r="C764" s="163">
        <v>760.0</v>
      </c>
    </row>
    <row r="765" ht="15.75" customHeight="1">
      <c r="B765" s="163">
        <f t="shared" si="1"/>
        <v>2077</v>
      </c>
      <c r="C765" s="163">
        <v>761.0</v>
      </c>
    </row>
    <row r="766" ht="15.75" customHeight="1">
      <c r="B766" s="163">
        <f t="shared" si="1"/>
        <v>2076</v>
      </c>
      <c r="C766" s="163">
        <v>762.0</v>
      </c>
    </row>
    <row r="767" ht="15.75" customHeight="1">
      <c r="B767" s="163">
        <f t="shared" si="1"/>
        <v>2075</v>
      </c>
      <c r="C767" s="163">
        <v>763.0</v>
      </c>
    </row>
    <row r="768" ht="15.75" customHeight="1">
      <c r="B768" s="163">
        <f t="shared" si="1"/>
        <v>2074</v>
      </c>
      <c r="C768" s="163">
        <v>764.0</v>
      </c>
    </row>
    <row r="769" ht="15.75" customHeight="1">
      <c r="B769" s="163">
        <f t="shared" si="1"/>
        <v>2073</v>
      </c>
      <c r="C769" s="163">
        <v>765.0</v>
      </c>
    </row>
    <row r="770" ht="15.75" customHeight="1">
      <c r="B770" s="163">
        <f t="shared" si="1"/>
        <v>2072</v>
      </c>
      <c r="C770" s="163">
        <v>766.0</v>
      </c>
    </row>
    <row r="771" ht="15.75" customHeight="1">
      <c r="B771" s="163">
        <f t="shared" si="1"/>
        <v>2071</v>
      </c>
      <c r="C771" s="163">
        <v>767.0</v>
      </c>
    </row>
    <row r="772" ht="15.75" customHeight="1">
      <c r="B772" s="163">
        <f t="shared" si="1"/>
        <v>2070</v>
      </c>
      <c r="C772" s="163">
        <v>768.0</v>
      </c>
    </row>
    <row r="773" ht="15.75" customHeight="1">
      <c r="B773" s="163">
        <f t="shared" si="1"/>
        <v>2069</v>
      </c>
      <c r="C773" s="163">
        <v>769.0</v>
      </c>
    </row>
    <row r="774" ht="15.75" customHeight="1">
      <c r="B774" s="163">
        <f t="shared" si="1"/>
        <v>2068</v>
      </c>
      <c r="C774" s="163">
        <v>770.0</v>
      </c>
    </row>
    <row r="775" ht="15.75" customHeight="1">
      <c r="B775" s="163">
        <f t="shared" si="1"/>
        <v>2067</v>
      </c>
      <c r="C775" s="163">
        <v>771.0</v>
      </c>
    </row>
    <row r="776" ht="15.75" customHeight="1">
      <c r="B776" s="163">
        <f t="shared" si="1"/>
        <v>2066</v>
      </c>
      <c r="C776" s="163">
        <v>772.0</v>
      </c>
    </row>
    <row r="777" ht="15.75" customHeight="1">
      <c r="B777" s="163">
        <f t="shared" si="1"/>
        <v>2065</v>
      </c>
      <c r="C777" s="163">
        <v>773.0</v>
      </c>
    </row>
    <row r="778" ht="15.75" customHeight="1">
      <c r="B778" s="163">
        <f t="shared" si="1"/>
        <v>2064</v>
      </c>
      <c r="C778" s="163">
        <v>774.0</v>
      </c>
    </row>
    <row r="779" ht="15.75" customHeight="1">
      <c r="B779" s="163">
        <f t="shared" si="1"/>
        <v>2063</v>
      </c>
      <c r="C779" s="163">
        <v>775.0</v>
      </c>
    </row>
    <row r="780" ht="15.75" customHeight="1">
      <c r="B780" s="163">
        <f t="shared" si="1"/>
        <v>2062</v>
      </c>
      <c r="C780" s="163">
        <v>776.0</v>
      </c>
    </row>
    <row r="781" ht="15.75" customHeight="1">
      <c r="B781" s="163">
        <f t="shared" si="1"/>
        <v>2061</v>
      </c>
      <c r="C781" s="163">
        <v>777.0</v>
      </c>
    </row>
    <row r="782" ht="15.75" customHeight="1">
      <c r="B782" s="163">
        <f t="shared" si="1"/>
        <v>2060</v>
      </c>
      <c r="C782" s="163">
        <v>778.0</v>
      </c>
    </row>
    <row r="783" ht="15.75" customHeight="1">
      <c r="B783" s="163">
        <f t="shared" si="1"/>
        <v>2059</v>
      </c>
      <c r="C783" s="163">
        <v>779.0</v>
      </c>
    </row>
    <row r="784" ht="15.75" customHeight="1">
      <c r="B784" s="163">
        <f t="shared" si="1"/>
        <v>2058</v>
      </c>
      <c r="C784" s="163">
        <v>780.0</v>
      </c>
    </row>
    <row r="785" ht="15.75" customHeight="1">
      <c r="B785" s="163">
        <f t="shared" si="1"/>
        <v>2057</v>
      </c>
      <c r="C785" s="163">
        <v>781.0</v>
      </c>
    </row>
    <row r="786" ht="15.75" customHeight="1">
      <c r="B786" s="163">
        <f t="shared" si="1"/>
        <v>2056</v>
      </c>
      <c r="C786" s="163">
        <v>782.0</v>
      </c>
    </row>
    <row r="787" ht="15.75" customHeight="1">
      <c r="B787" s="163">
        <f t="shared" si="1"/>
        <v>2055</v>
      </c>
      <c r="C787" s="163">
        <v>783.0</v>
      </c>
    </row>
    <row r="788" ht="15.75" customHeight="1">
      <c r="B788" s="163">
        <f t="shared" si="1"/>
        <v>2054</v>
      </c>
      <c r="C788" s="163">
        <v>784.0</v>
      </c>
    </row>
    <row r="789" ht="15.75" customHeight="1">
      <c r="B789" s="163">
        <f t="shared" si="1"/>
        <v>2053</v>
      </c>
      <c r="C789" s="163">
        <v>785.0</v>
      </c>
    </row>
    <row r="790" ht="15.75" customHeight="1">
      <c r="B790" s="163">
        <f t="shared" si="1"/>
        <v>2052</v>
      </c>
      <c r="C790" s="163">
        <v>786.0</v>
      </c>
    </row>
    <row r="791" ht="15.75" customHeight="1">
      <c r="B791" s="163">
        <f t="shared" si="1"/>
        <v>2051</v>
      </c>
      <c r="C791" s="163">
        <v>787.0</v>
      </c>
    </row>
    <row r="792" ht="15.75" customHeight="1">
      <c r="B792" s="163">
        <f t="shared" si="1"/>
        <v>2050</v>
      </c>
      <c r="C792" s="163">
        <v>788.0</v>
      </c>
    </row>
    <row r="793" ht="15.75" customHeight="1">
      <c r="B793" s="163">
        <f t="shared" si="1"/>
        <v>2049</v>
      </c>
      <c r="C793" s="163">
        <v>789.0</v>
      </c>
    </row>
    <row r="794" ht="15.75" customHeight="1">
      <c r="B794" s="163">
        <f t="shared" si="1"/>
        <v>2048</v>
      </c>
      <c r="C794" s="163">
        <v>790.0</v>
      </c>
    </row>
    <row r="795" ht="15.75" customHeight="1">
      <c r="B795" s="163">
        <f t="shared" si="1"/>
        <v>2047</v>
      </c>
      <c r="C795" s="163">
        <v>791.0</v>
      </c>
    </row>
    <row r="796" ht="15.75" customHeight="1">
      <c r="B796" s="163">
        <f t="shared" si="1"/>
        <v>2046</v>
      </c>
      <c r="C796" s="163">
        <v>792.0</v>
      </c>
    </row>
    <row r="797" ht="15.75" customHeight="1">
      <c r="B797" s="163">
        <f t="shared" si="1"/>
        <v>2045</v>
      </c>
      <c r="C797" s="163">
        <v>793.0</v>
      </c>
    </row>
    <row r="798" ht="15.75" customHeight="1">
      <c r="B798" s="163">
        <f t="shared" si="1"/>
        <v>2044</v>
      </c>
      <c r="C798" s="163">
        <v>794.0</v>
      </c>
    </row>
    <row r="799" ht="15.75" customHeight="1">
      <c r="B799" s="163">
        <f t="shared" si="1"/>
        <v>2043</v>
      </c>
      <c r="C799" s="163">
        <v>795.0</v>
      </c>
    </row>
    <row r="800" ht="15.75" customHeight="1">
      <c r="B800" s="163">
        <f t="shared" si="1"/>
        <v>2042</v>
      </c>
      <c r="C800" s="163">
        <v>796.0</v>
      </c>
    </row>
    <row r="801" ht="15.75" customHeight="1">
      <c r="B801" s="163">
        <f t="shared" si="1"/>
        <v>2041</v>
      </c>
      <c r="C801" s="163">
        <v>797.0</v>
      </c>
    </row>
    <row r="802" ht="15.75" customHeight="1">
      <c r="B802" s="163">
        <f t="shared" si="1"/>
        <v>2040</v>
      </c>
      <c r="C802" s="163">
        <v>798.0</v>
      </c>
    </row>
    <row r="803" ht="15.75" customHeight="1">
      <c r="B803" s="163">
        <f t="shared" si="1"/>
        <v>2039</v>
      </c>
      <c r="C803" s="163">
        <v>799.0</v>
      </c>
    </row>
    <row r="804" ht="15.75" customHeight="1">
      <c r="B804" s="163">
        <f t="shared" si="1"/>
        <v>2038</v>
      </c>
      <c r="C804" s="163">
        <v>800.0</v>
      </c>
    </row>
    <row r="805" ht="15.75" customHeight="1">
      <c r="B805" s="163">
        <f t="shared" si="1"/>
        <v>2037</v>
      </c>
      <c r="C805" s="163">
        <v>801.0</v>
      </c>
    </row>
    <row r="806" ht="15.75" customHeight="1">
      <c r="B806" s="163">
        <f t="shared" si="1"/>
        <v>2036</v>
      </c>
      <c r="C806" s="163">
        <v>802.0</v>
      </c>
    </row>
    <row r="807" ht="15.75" customHeight="1">
      <c r="B807" s="163">
        <f t="shared" si="1"/>
        <v>2035</v>
      </c>
      <c r="C807" s="163">
        <v>803.0</v>
      </c>
    </row>
    <row r="808" ht="15.75" customHeight="1">
      <c r="B808" s="163">
        <f t="shared" si="1"/>
        <v>2034</v>
      </c>
      <c r="C808" s="163">
        <v>804.0</v>
      </c>
    </row>
    <row r="809" ht="15.75" customHeight="1">
      <c r="B809" s="163">
        <f t="shared" si="1"/>
        <v>2033</v>
      </c>
      <c r="C809" s="163">
        <v>805.0</v>
      </c>
    </row>
    <row r="810" ht="15.75" customHeight="1">
      <c r="B810" s="163">
        <f t="shared" si="1"/>
        <v>2032</v>
      </c>
      <c r="C810" s="163">
        <v>806.0</v>
      </c>
    </row>
    <row r="811" ht="15.75" customHeight="1">
      <c r="B811" s="163">
        <f t="shared" si="1"/>
        <v>2031</v>
      </c>
      <c r="C811" s="163">
        <v>807.0</v>
      </c>
    </row>
    <row r="812" ht="15.75" customHeight="1">
      <c r="B812" s="163">
        <f t="shared" si="1"/>
        <v>2030</v>
      </c>
      <c r="C812" s="163">
        <v>808.0</v>
      </c>
    </row>
    <row r="813" ht="15.75" customHeight="1">
      <c r="B813" s="163">
        <f t="shared" si="1"/>
        <v>2029</v>
      </c>
      <c r="C813" s="163">
        <v>809.0</v>
      </c>
    </row>
    <row r="814" ht="15.75" customHeight="1">
      <c r="B814" s="163">
        <f t="shared" si="1"/>
        <v>2028</v>
      </c>
      <c r="C814" s="163">
        <v>810.0</v>
      </c>
    </row>
    <row r="815" ht="15.75" customHeight="1">
      <c r="B815" s="163">
        <f t="shared" si="1"/>
        <v>2027</v>
      </c>
      <c r="C815" s="163">
        <v>811.0</v>
      </c>
    </row>
    <row r="816" ht="15.75" customHeight="1">
      <c r="B816" s="163">
        <f t="shared" si="1"/>
        <v>2026</v>
      </c>
      <c r="C816" s="163">
        <v>812.0</v>
      </c>
    </row>
    <row r="817" ht="15.75" customHeight="1">
      <c r="B817" s="163">
        <f t="shared" si="1"/>
        <v>2025</v>
      </c>
      <c r="C817" s="163">
        <v>813.0</v>
      </c>
    </row>
    <row r="818" ht="15.75" customHeight="1">
      <c r="B818" s="163">
        <f t="shared" si="1"/>
        <v>2024</v>
      </c>
      <c r="C818" s="163">
        <v>814.0</v>
      </c>
    </row>
    <row r="819" ht="15.75" customHeight="1">
      <c r="B819" s="163">
        <f t="shared" si="1"/>
        <v>2023</v>
      </c>
      <c r="C819" s="163">
        <v>815.0</v>
      </c>
    </row>
    <row r="820" ht="15.75" customHeight="1">
      <c r="B820" s="163">
        <f t="shared" si="1"/>
        <v>2022</v>
      </c>
      <c r="C820" s="163">
        <v>816.0</v>
      </c>
    </row>
    <row r="821" ht="15.75" customHeight="1">
      <c r="B821" s="163">
        <f t="shared" si="1"/>
        <v>2021</v>
      </c>
      <c r="C821" s="163">
        <v>817.0</v>
      </c>
    </row>
    <row r="822" ht="15.75" customHeight="1">
      <c r="B822" s="163">
        <f t="shared" si="1"/>
        <v>2020</v>
      </c>
      <c r="C822" s="163">
        <v>818.0</v>
      </c>
    </row>
    <row r="823" ht="15.75" customHeight="1">
      <c r="B823" s="163">
        <f t="shared" si="1"/>
        <v>2019</v>
      </c>
      <c r="C823" s="163">
        <v>819.0</v>
      </c>
    </row>
    <row r="824" ht="15.75" customHeight="1">
      <c r="B824" s="163">
        <f t="shared" si="1"/>
        <v>2018</v>
      </c>
      <c r="C824" s="163">
        <v>820.0</v>
      </c>
    </row>
    <row r="825" ht="15.75" customHeight="1">
      <c r="B825" s="163">
        <f t="shared" si="1"/>
        <v>2017</v>
      </c>
      <c r="C825" s="163">
        <v>821.0</v>
      </c>
    </row>
    <row r="826" ht="15.75" customHeight="1">
      <c r="B826" s="163">
        <f t="shared" si="1"/>
        <v>2016</v>
      </c>
      <c r="C826" s="163">
        <v>822.0</v>
      </c>
    </row>
    <row r="827" ht="15.75" customHeight="1">
      <c r="B827" s="163">
        <f t="shared" si="1"/>
        <v>2015</v>
      </c>
      <c r="C827" s="163">
        <v>823.0</v>
      </c>
    </row>
    <row r="828" ht="15.75" customHeight="1">
      <c r="B828" s="163">
        <f t="shared" si="1"/>
        <v>2014</v>
      </c>
      <c r="C828" s="163">
        <v>824.0</v>
      </c>
    </row>
    <row r="829" ht="15.75" customHeight="1">
      <c r="B829" s="163">
        <f t="shared" si="1"/>
        <v>2013</v>
      </c>
      <c r="C829" s="163">
        <v>825.0</v>
      </c>
    </row>
    <row r="830" ht="15.75" customHeight="1">
      <c r="B830" s="163">
        <f t="shared" si="1"/>
        <v>2012</v>
      </c>
      <c r="C830" s="163">
        <v>826.0</v>
      </c>
    </row>
    <row r="831" ht="15.75" customHeight="1">
      <c r="B831" s="163">
        <f t="shared" si="1"/>
        <v>2011</v>
      </c>
      <c r="C831" s="163">
        <v>827.0</v>
      </c>
    </row>
    <row r="832" ht="15.75" customHeight="1">
      <c r="B832" s="163">
        <f t="shared" si="1"/>
        <v>2010</v>
      </c>
      <c r="C832" s="163">
        <v>828.0</v>
      </c>
    </row>
    <row r="833" ht="15.75" customHeight="1">
      <c r="B833" s="163">
        <f t="shared" si="1"/>
        <v>2009</v>
      </c>
      <c r="C833" s="163">
        <v>829.0</v>
      </c>
    </row>
    <row r="834" ht="15.75" customHeight="1">
      <c r="B834" s="163">
        <f t="shared" si="1"/>
        <v>2008</v>
      </c>
      <c r="C834" s="163">
        <v>830.0</v>
      </c>
    </row>
    <row r="835" ht="15.75" customHeight="1">
      <c r="B835" s="163">
        <f t="shared" si="1"/>
        <v>2007</v>
      </c>
      <c r="C835" s="163">
        <v>831.0</v>
      </c>
    </row>
    <row r="836" ht="15.75" customHeight="1">
      <c r="B836" s="163">
        <f t="shared" si="1"/>
        <v>2006</v>
      </c>
      <c r="C836" s="163">
        <v>832.0</v>
      </c>
    </row>
    <row r="837" ht="15.75" customHeight="1">
      <c r="B837" s="163">
        <f t="shared" si="1"/>
        <v>2005</v>
      </c>
      <c r="C837" s="163">
        <v>833.0</v>
      </c>
    </row>
    <row r="838" ht="15.75" customHeight="1">
      <c r="B838" s="163">
        <f t="shared" si="1"/>
        <v>2004</v>
      </c>
      <c r="C838" s="163">
        <v>834.0</v>
      </c>
    </row>
    <row r="839" ht="15.75" customHeight="1">
      <c r="B839" s="163">
        <f t="shared" si="1"/>
        <v>2003</v>
      </c>
      <c r="C839" s="163">
        <v>835.0</v>
      </c>
    </row>
    <row r="840" ht="15.75" customHeight="1">
      <c r="B840" s="163">
        <f t="shared" si="1"/>
        <v>2002</v>
      </c>
      <c r="C840" s="163">
        <v>836.0</v>
      </c>
    </row>
    <row r="841" ht="15.75" customHeight="1">
      <c r="B841" s="163">
        <f t="shared" si="1"/>
        <v>2001</v>
      </c>
      <c r="C841" s="163">
        <v>837.0</v>
      </c>
    </row>
    <row r="842" ht="15.75" customHeight="1">
      <c r="B842" s="163">
        <f t="shared" si="1"/>
        <v>2000</v>
      </c>
      <c r="C842" s="163">
        <v>838.0</v>
      </c>
    </row>
    <row r="843" ht="15.75" customHeight="1">
      <c r="B843" s="163">
        <f t="shared" si="1"/>
        <v>1999</v>
      </c>
      <c r="C843" s="163">
        <v>839.0</v>
      </c>
    </row>
    <row r="844" ht="15.75" customHeight="1">
      <c r="B844" s="163">
        <f t="shared" si="1"/>
        <v>1998</v>
      </c>
      <c r="C844" s="163">
        <v>840.0</v>
      </c>
    </row>
    <row r="845" ht="15.75" customHeight="1">
      <c r="B845" s="163">
        <f t="shared" si="1"/>
        <v>1997</v>
      </c>
      <c r="C845" s="163">
        <v>841.0</v>
      </c>
    </row>
    <row r="846" ht="15.75" customHeight="1">
      <c r="B846" s="163">
        <f t="shared" si="1"/>
        <v>1996</v>
      </c>
      <c r="C846" s="163">
        <v>842.0</v>
      </c>
    </row>
    <row r="847" ht="15.75" customHeight="1">
      <c r="B847" s="163">
        <f t="shared" si="1"/>
        <v>1995</v>
      </c>
      <c r="C847" s="163">
        <v>843.0</v>
      </c>
    </row>
    <row r="848" ht="15.75" customHeight="1">
      <c r="B848" s="163">
        <f t="shared" si="1"/>
        <v>1994</v>
      </c>
      <c r="C848" s="163">
        <v>844.0</v>
      </c>
    </row>
    <row r="849" ht="15.75" customHeight="1">
      <c r="B849" s="163">
        <f t="shared" si="1"/>
        <v>1993</v>
      </c>
      <c r="C849" s="163">
        <v>845.0</v>
      </c>
    </row>
    <row r="850" ht="15.75" customHeight="1">
      <c r="B850" s="163">
        <f t="shared" si="1"/>
        <v>1992</v>
      </c>
      <c r="C850" s="163">
        <v>846.0</v>
      </c>
    </row>
    <row r="851" ht="15.75" customHeight="1">
      <c r="B851" s="163">
        <f t="shared" si="1"/>
        <v>1991</v>
      </c>
      <c r="C851" s="163">
        <v>847.0</v>
      </c>
    </row>
    <row r="852" ht="15.75" customHeight="1">
      <c r="B852" s="163">
        <f t="shared" si="1"/>
        <v>1990</v>
      </c>
      <c r="C852" s="163">
        <v>848.0</v>
      </c>
    </row>
    <row r="853" ht="15.75" customHeight="1">
      <c r="B853" s="163">
        <f t="shared" si="1"/>
        <v>1989</v>
      </c>
      <c r="C853" s="163">
        <v>849.0</v>
      </c>
    </row>
    <row r="854" ht="15.75" customHeight="1">
      <c r="B854" s="163">
        <f t="shared" si="1"/>
        <v>1988</v>
      </c>
      <c r="C854" s="163">
        <v>850.0</v>
      </c>
    </row>
    <row r="855" ht="15.75" customHeight="1">
      <c r="B855" s="163">
        <f t="shared" si="1"/>
        <v>1987</v>
      </c>
      <c r="C855" s="163">
        <v>851.0</v>
      </c>
    </row>
    <row r="856" ht="15.75" customHeight="1">
      <c r="B856" s="163">
        <f t="shared" si="1"/>
        <v>1986</v>
      </c>
      <c r="C856" s="163">
        <v>852.0</v>
      </c>
    </row>
    <row r="857" ht="15.75" customHeight="1">
      <c r="B857" s="163">
        <f t="shared" si="1"/>
        <v>1985</v>
      </c>
      <c r="C857" s="163">
        <v>853.0</v>
      </c>
    </row>
    <row r="858" ht="15.75" customHeight="1">
      <c r="B858" s="163">
        <f t="shared" si="1"/>
        <v>1984</v>
      </c>
      <c r="C858" s="163">
        <v>854.0</v>
      </c>
    </row>
    <row r="859" ht="15.75" customHeight="1">
      <c r="B859" s="163">
        <f t="shared" si="1"/>
        <v>1983</v>
      </c>
      <c r="C859" s="163">
        <v>855.0</v>
      </c>
    </row>
    <row r="860" ht="15.75" customHeight="1">
      <c r="B860" s="163">
        <f t="shared" si="1"/>
        <v>1982</v>
      </c>
      <c r="C860" s="163">
        <v>856.0</v>
      </c>
    </row>
    <row r="861" ht="15.75" customHeight="1">
      <c r="B861" s="163">
        <f t="shared" si="1"/>
        <v>1981</v>
      </c>
      <c r="C861" s="163">
        <v>857.0</v>
      </c>
    </row>
    <row r="862" ht="15.75" customHeight="1">
      <c r="B862" s="163">
        <f t="shared" si="1"/>
        <v>1980</v>
      </c>
      <c r="C862" s="163">
        <v>858.0</v>
      </c>
    </row>
    <row r="863" ht="15.75" customHeight="1">
      <c r="B863" s="163">
        <f t="shared" si="1"/>
        <v>1979</v>
      </c>
      <c r="C863" s="163">
        <v>859.0</v>
      </c>
    </row>
    <row r="864" ht="15.75" customHeight="1">
      <c r="B864" s="163">
        <f t="shared" si="1"/>
        <v>1978</v>
      </c>
      <c r="C864" s="163">
        <v>860.0</v>
      </c>
    </row>
    <row r="865" ht="15.75" customHeight="1">
      <c r="B865" s="163">
        <f t="shared" si="1"/>
        <v>1977</v>
      </c>
      <c r="C865" s="163">
        <v>861.0</v>
      </c>
    </row>
    <row r="866" ht="15.75" customHeight="1">
      <c r="B866" s="163">
        <f t="shared" si="1"/>
        <v>1976</v>
      </c>
      <c r="C866" s="163">
        <v>862.0</v>
      </c>
    </row>
    <row r="867" ht="15.75" customHeight="1">
      <c r="B867" s="163">
        <f t="shared" si="1"/>
        <v>1975</v>
      </c>
      <c r="C867" s="163">
        <v>863.0</v>
      </c>
    </row>
    <row r="868" ht="15.75" customHeight="1">
      <c r="B868" s="163">
        <f t="shared" si="1"/>
        <v>1974</v>
      </c>
      <c r="C868" s="163">
        <v>864.0</v>
      </c>
    </row>
    <row r="869" ht="15.75" customHeight="1">
      <c r="B869" s="163">
        <f t="shared" si="1"/>
        <v>1973</v>
      </c>
      <c r="C869" s="163">
        <v>865.0</v>
      </c>
    </row>
    <row r="870" ht="15.75" customHeight="1">
      <c r="B870" s="163">
        <f t="shared" si="1"/>
        <v>1972</v>
      </c>
      <c r="C870" s="163">
        <v>866.0</v>
      </c>
    </row>
    <row r="871" ht="15.75" customHeight="1">
      <c r="B871" s="163">
        <f t="shared" si="1"/>
        <v>1971</v>
      </c>
      <c r="C871" s="163">
        <v>867.0</v>
      </c>
    </row>
    <row r="872" ht="15.75" customHeight="1">
      <c r="B872" s="163">
        <f t="shared" si="1"/>
        <v>1970</v>
      </c>
      <c r="C872" s="163">
        <v>868.0</v>
      </c>
    </row>
    <row r="873" ht="15.75" customHeight="1">
      <c r="B873" s="163">
        <f t="shared" si="1"/>
        <v>1969</v>
      </c>
      <c r="C873" s="163">
        <v>869.0</v>
      </c>
    </row>
    <row r="874" ht="15.75" customHeight="1">
      <c r="B874" s="163">
        <f t="shared" si="1"/>
        <v>1968</v>
      </c>
      <c r="C874" s="163">
        <v>870.0</v>
      </c>
    </row>
    <row r="875" ht="15.75" customHeight="1">
      <c r="B875" s="163">
        <f t="shared" si="1"/>
        <v>1967</v>
      </c>
      <c r="C875" s="163">
        <v>871.0</v>
      </c>
    </row>
    <row r="876" ht="15.75" customHeight="1">
      <c r="B876" s="163">
        <f t="shared" si="1"/>
        <v>1966</v>
      </c>
      <c r="C876" s="163">
        <v>872.0</v>
      </c>
    </row>
    <row r="877" ht="15.75" customHeight="1">
      <c r="B877" s="163">
        <f t="shared" si="1"/>
        <v>1965</v>
      </c>
      <c r="C877" s="163">
        <v>873.0</v>
      </c>
    </row>
    <row r="878" ht="15.75" customHeight="1">
      <c r="B878" s="163">
        <f t="shared" si="1"/>
        <v>1964</v>
      </c>
      <c r="C878" s="163">
        <v>874.0</v>
      </c>
    </row>
    <row r="879" ht="15.75" customHeight="1">
      <c r="B879" s="163">
        <f t="shared" si="1"/>
        <v>1963</v>
      </c>
      <c r="C879" s="163">
        <v>875.0</v>
      </c>
    </row>
    <row r="880" ht="15.75" customHeight="1">
      <c r="B880" s="163">
        <f t="shared" si="1"/>
        <v>1962</v>
      </c>
      <c r="C880" s="163">
        <v>876.0</v>
      </c>
    </row>
    <row r="881" ht="15.75" customHeight="1">
      <c r="B881" s="163">
        <f t="shared" si="1"/>
        <v>1961</v>
      </c>
      <c r="C881" s="163">
        <v>877.0</v>
      </c>
    </row>
    <row r="882" ht="15.75" customHeight="1">
      <c r="B882" s="163">
        <f t="shared" si="1"/>
        <v>1960</v>
      </c>
      <c r="C882" s="163">
        <v>878.0</v>
      </c>
    </row>
    <row r="883" ht="15.75" customHeight="1">
      <c r="B883" s="163">
        <f t="shared" si="1"/>
        <v>1959</v>
      </c>
      <c r="C883" s="163">
        <v>879.0</v>
      </c>
    </row>
    <row r="884" ht="15.75" customHeight="1">
      <c r="B884" s="163">
        <f t="shared" si="1"/>
        <v>1958</v>
      </c>
      <c r="C884" s="163">
        <v>880.0</v>
      </c>
    </row>
    <row r="885" ht="15.75" customHeight="1">
      <c r="B885" s="163">
        <f t="shared" si="1"/>
        <v>1957</v>
      </c>
      <c r="C885" s="163">
        <v>881.0</v>
      </c>
    </row>
    <row r="886" ht="15.75" customHeight="1">
      <c r="B886" s="163">
        <f t="shared" si="1"/>
        <v>1956</v>
      </c>
      <c r="C886" s="163">
        <v>882.0</v>
      </c>
    </row>
    <row r="887" ht="15.75" customHeight="1">
      <c r="B887" s="163">
        <f t="shared" si="1"/>
        <v>1955</v>
      </c>
      <c r="C887" s="163">
        <v>883.0</v>
      </c>
    </row>
    <row r="888" ht="15.75" customHeight="1">
      <c r="B888" s="163">
        <f t="shared" si="1"/>
        <v>1954</v>
      </c>
      <c r="C888" s="163">
        <v>884.0</v>
      </c>
    </row>
    <row r="889" ht="15.75" customHeight="1">
      <c r="B889" s="163">
        <f t="shared" si="1"/>
        <v>1953</v>
      </c>
      <c r="C889" s="163">
        <v>885.0</v>
      </c>
    </row>
    <row r="890" ht="15.75" customHeight="1">
      <c r="B890" s="163">
        <f t="shared" si="1"/>
        <v>1952</v>
      </c>
      <c r="C890" s="163">
        <v>886.0</v>
      </c>
    </row>
    <row r="891" ht="15.75" customHeight="1">
      <c r="B891" s="163">
        <f t="shared" si="1"/>
        <v>1951</v>
      </c>
      <c r="C891" s="163">
        <v>887.0</v>
      </c>
    </row>
    <row r="892" ht="15.75" customHeight="1">
      <c r="B892" s="163">
        <f t="shared" si="1"/>
        <v>1950</v>
      </c>
      <c r="C892" s="163">
        <v>888.0</v>
      </c>
    </row>
    <row r="893" ht="15.75" customHeight="1">
      <c r="B893" s="163">
        <f t="shared" si="1"/>
        <v>1949</v>
      </c>
      <c r="C893" s="163">
        <v>889.0</v>
      </c>
    </row>
    <row r="894" ht="15.75" customHeight="1">
      <c r="B894" s="163">
        <f t="shared" si="1"/>
        <v>1948</v>
      </c>
      <c r="C894" s="163">
        <v>890.0</v>
      </c>
    </row>
    <row r="895" ht="15.75" customHeight="1">
      <c r="B895" s="163">
        <f t="shared" si="1"/>
        <v>1947</v>
      </c>
      <c r="C895" s="163">
        <v>891.0</v>
      </c>
    </row>
    <row r="896" ht="15.75" customHeight="1">
      <c r="B896" s="163">
        <f t="shared" si="1"/>
        <v>1946</v>
      </c>
      <c r="C896" s="163">
        <v>892.0</v>
      </c>
    </row>
    <row r="897" ht="15.75" customHeight="1">
      <c r="B897" s="163">
        <f t="shared" si="1"/>
        <v>1945</v>
      </c>
      <c r="C897" s="163">
        <v>893.0</v>
      </c>
    </row>
    <row r="898" ht="15.75" customHeight="1">
      <c r="B898" s="163">
        <f t="shared" si="1"/>
        <v>1944</v>
      </c>
      <c r="C898" s="163">
        <v>894.0</v>
      </c>
    </row>
    <row r="899" ht="15.75" customHeight="1">
      <c r="B899" s="163">
        <f t="shared" si="1"/>
        <v>1943</v>
      </c>
      <c r="C899" s="163">
        <v>895.0</v>
      </c>
    </row>
    <row r="900" ht="15.75" customHeight="1">
      <c r="B900" s="163">
        <f t="shared" si="1"/>
        <v>1942</v>
      </c>
      <c r="C900" s="163">
        <v>896.0</v>
      </c>
    </row>
    <row r="901" ht="15.75" customHeight="1">
      <c r="B901" s="163">
        <f t="shared" si="1"/>
        <v>1941</v>
      </c>
      <c r="C901" s="163">
        <v>897.0</v>
      </c>
    </row>
    <row r="902" ht="15.75" customHeight="1">
      <c r="B902" s="163">
        <f t="shared" si="1"/>
        <v>1940</v>
      </c>
      <c r="C902" s="163">
        <v>898.0</v>
      </c>
    </row>
    <row r="903" ht="15.75" customHeight="1">
      <c r="B903" s="163">
        <f t="shared" si="1"/>
        <v>1939</v>
      </c>
      <c r="C903" s="163">
        <v>899.0</v>
      </c>
    </row>
    <row r="904" ht="15.75" customHeight="1">
      <c r="B904" s="163">
        <f t="shared" si="1"/>
        <v>1938</v>
      </c>
      <c r="C904" s="163">
        <v>900.0</v>
      </c>
    </row>
    <row r="905" ht="15.75" customHeight="1">
      <c r="B905" s="163">
        <f t="shared" si="1"/>
        <v>1937</v>
      </c>
      <c r="C905" s="163">
        <v>901.0</v>
      </c>
    </row>
    <row r="906" ht="15.75" customHeight="1">
      <c r="B906" s="163">
        <f t="shared" si="1"/>
        <v>1936</v>
      </c>
      <c r="C906" s="163">
        <v>902.0</v>
      </c>
    </row>
    <row r="907" ht="15.75" customHeight="1">
      <c r="B907" s="163">
        <f t="shared" si="1"/>
        <v>1935</v>
      </c>
      <c r="C907" s="163">
        <v>903.0</v>
      </c>
    </row>
    <row r="908" ht="15.75" customHeight="1">
      <c r="B908" s="163">
        <f t="shared" si="1"/>
        <v>1934</v>
      </c>
      <c r="C908" s="163">
        <v>904.0</v>
      </c>
    </row>
    <row r="909" ht="15.75" customHeight="1">
      <c r="B909" s="163">
        <f t="shared" si="1"/>
        <v>1933</v>
      </c>
      <c r="C909" s="163">
        <v>905.0</v>
      </c>
    </row>
    <row r="910" ht="15.75" customHeight="1">
      <c r="B910" s="163">
        <f t="shared" si="1"/>
        <v>1932</v>
      </c>
      <c r="C910" s="163">
        <v>906.0</v>
      </c>
    </row>
    <row r="911" ht="15.75" customHeight="1">
      <c r="B911" s="163">
        <f t="shared" si="1"/>
        <v>1931</v>
      </c>
      <c r="C911" s="163">
        <v>907.0</v>
      </c>
    </row>
    <row r="912" ht="15.75" customHeight="1">
      <c r="B912" s="163">
        <f t="shared" si="1"/>
        <v>1930</v>
      </c>
      <c r="C912" s="163">
        <v>908.0</v>
      </c>
    </row>
    <row r="913" ht="15.75" customHeight="1">
      <c r="B913" s="163">
        <f t="shared" si="1"/>
        <v>1929</v>
      </c>
      <c r="C913" s="163">
        <v>909.0</v>
      </c>
    </row>
    <row r="914" ht="15.75" customHeight="1">
      <c r="B914" s="163">
        <f t="shared" si="1"/>
        <v>1928</v>
      </c>
      <c r="C914" s="163">
        <v>910.0</v>
      </c>
    </row>
    <row r="915" ht="15.75" customHeight="1">
      <c r="B915" s="163">
        <f t="shared" si="1"/>
        <v>1927</v>
      </c>
      <c r="C915" s="163">
        <v>911.0</v>
      </c>
    </row>
    <row r="916" ht="15.75" customHeight="1">
      <c r="B916" s="163">
        <f t="shared" si="1"/>
        <v>1926</v>
      </c>
      <c r="C916" s="163">
        <v>912.0</v>
      </c>
    </row>
    <row r="917" ht="15.75" customHeight="1">
      <c r="B917" s="163">
        <f t="shared" si="1"/>
        <v>1925</v>
      </c>
      <c r="C917" s="163">
        <v>913.0</v>
      </c>
    </row>
    <row r="918" ht="15.75" customHeight="1">
      <c r="B918" s="163">
        <f t="shared" si="1"/>
        <v>1924</v>
      </c>
      <c r="C918" s="163">
        <v>914.0</v>
      </c>
    </row>
    <row r="919" ht="15.75" customHeight="1">
      <c r="B919" s="163">
        <f t="shared" si="1"/>
        <v>1923</v>
      </c>
      <c r="C919" s="163">
        <v>915.0</v>
      </c>
    </row>
    <row r="920" ht="15.75" customHeight="1">
      <c r="B920" s="163">
        <f t="shared" si="1"/>
        <v>1922</v>
      </c>
      <c r="C920" s="163">
        <v>916.0</v>
      </c>
    </row>
    <row r="921" ht="15.75" customHeight="1">
      <c r="B921" s="163">
        <f t="shared" si="1"/>
        <v>1921</v>
      </c>
      <c r="C921" s="163">
        <v>917.0</v>
      </c>
    </row>
    <row r="922" ht="15.75" customHeight="1">
      <c r="B922" s="163">
        <f t="shared" si="1"/>
        <v>1920</v>
      </c>
      <c r="C922" s="163">
        <v>918.0</v>
      </c>
    </row>
    <row r="923" ht="15.75" customHeight="1">
      <c r="B923" s="163">
        <f t="shared" si="1"/>
        <v>1919</v>
      </c>
      <c r="C923" s="163">
        <v>919.0</v>
      </c>
    </row>
    <row r="924" ht="15.75" customHeight="1">
      <c r="B924" s="163">
        <f t="shared" si="1"/>
        <v>1918</v>
      </c>
      <c r="C924" s="163">
        <v>920.0</v>
      </c>
    </row>
    <row r="925" ht="15.75" customHeight="1">
      <c r="B925" s="163">
        <f t="shared" si="1"/>
        <v>1917</v>
      </c>
      <c r="C925" s="163">
        <v>921.0</v>
      </c>
    </row>
    <row r="926" ht="15.75" customHeight="1">
      <c r="B926" s="163">
        <f t="shared" si="1"/>
        <v>1916</v>
      </c>
      <c r="C926" s="163">
        <v>922.0</v>
      </c>
    </row>
    <row r="927" ht="15.75" customHeight="1">
      <c r="B927" s="163">
        <f t="shared" si="1"/>
        <v>1915</v>
      </c>
      <c r="C927" s="163">
        <v>923.0</v>
      </c>
    </row>
    <row r="928" ht="15.75" customHeight="1">
      <c r="B928" s="163">
        <f t="shared" si="1"/>
        <v>1914</v>
      </c>
      <c r="C928" s="163">
        <v>924.0</v>
      </c>
    </row>
    <row r="929" ht="15.75" customHeight="1">
      <c r="B929" s="163">
        <f t="shared" si="1"/>
        <v>1913</v>
      </c>
      <c r="C929" s="163">
        <v>925.0</v>
      </c>
    </row>
    <row r="930" ht="15.75" customHeight="1">
      <c r="B930" s="163">
        <f t="shared" si="1"/>
        <v>1912</v>
      </c>
      <c r="C930" s="163">
        <v>926.0</v>
      </c>
    </row>
    <row r="931" ht="15.75" customHeight="1">
      <c r="B931" s="163">
        <f t="shared" si="1"/>
        <v>1911</v>
      </c>
      <c r="C931" s="163">
        <v>927.0</v>
      </c>
    </row>
    <row r="932" ht="15.75" customHeight="1">
      <c r="B932" s="163">
        <f t="shared" si="1"/>
        <v>1910</v>
      </c>
      <c r="C932" s="163">
        <v>928.0</v>
      </c>
    </row>
    <row r="933" ht="15.75" customHeight="1">
      <c r="B933" s="163">
        <f t="shared" si="1"/>
        <v>1909</v>
      </c>
      <c r="C933" s="163">
        <v>929.0</v>
      </c>
    </row>
    <row r="934" ht="15.75" customHeight="1">
      <c r="B934" s="163">
        <f t="shared" si="1"/>
        <v>1908</v>
      </c>
      <c r="C934" s="163">
        <v>930.0</v>
      </c>
    </row>
    <row r="935" ht="15.75" customHeight="1">
      <c r="B935" s="163">
        <f t="shared" si="1"/>
        <v>1907</v>
      </c>
      <c r="C935" s="163">
        <v>931.0</v>
      </c>
    </row>
    <row r="936" ht="15.75" customHeight="1">
      <c r="B936" s="163">
        <f t="shared" si="1"/>
        <v>1906</v>
      </c>
      <c r="C936" s="163">
        <v>932.0</v>
      </c>
    </row>
    <row r="937" ht="15.75" customHeight="1">
      <c r="B937" s="163">
        <f t="shared" si="1"/>
        <v>1905</v>
      </c>
      <c r="C937" s="163">
        <v>933.0</v>
      </c>
    </row>
    <row r="938" ht="15.75" customHeight="1">
      <c r="B938" s="163">
        <f t="shared" si="1"/>
        <v>1904</v>
      </c>
      <c r="C938" s="163">
        <v>934.0</v>
      </c>
    </row>
    <row r="939" ht="15.75" customHeight="1">
      <c r="B939" s="163">
        <f t="shared" si="1"/>
        <v>1903</v>
      </c>
      <c r="C939" s="163">
        <v>935.0</v>
      </c>
    </row>
    <row r="940" ht="15.75" customHeight="1">
      <c r="B940" s="163">
        <f t="shared" si="1"/>
        <v>1902</v>
      </c>
      <c r="C940" s="163">
        <v>936.0</v>
      </c>
    </row>
    <row r="941" ht="15.75" customHeight="1">
      <c r="B941" s="163">
        <f t="shared" si="1"/>
        <v>1901</v>
      </c>
      <c r="C941" s="163">
        <v>937.0</v>
      </c>
    </row>
    <row r="942" ht="15.75" customHeight="1">
      <c r="B942" s="163">
        <f t="shared" si="1"/>
        <v>1900</v>
      </c>
      <c r="C942" s="163">
        <v>938.0</v>
      </c>
    </row>
    <row r="943" ht="15.75" customHeight="1">
      <c r="B943" s="163">
        <f t="shared" si="1"/>
        <v>1899</v>
      </c>
      <c r="C943" s="163">
        <v>939.0</v>
      </c>
    </row>
    <row r="944" ht="15.75" customHeight="1">
      <c r="B944" s="163">
        <f t="shared" si="1"/>
        <v>1898</v>
      </c>
      <c r="C944" s="163">
        <v>940.0</v>
      </c>
    </row>
    <row r="945" ht="15.75" customHeight="1">
      <c r="B945" s="163">
        <f t="shared" si="1"/>
        <v>1897</v>
      </c>
      <c r="C945" s="163">
        <v>941.0</v>
      </c>
    </row>
    <row r="946" ht="15.75" customHeight="1">
      <c r="B946" s="163">
        <f t="shared" si="1"/>
        <v>1896</v>
      </c>
      <c r="C946" s="163">
        <v>942.0</v>
      </c>
    </row>
    <row r="947" ht="15.75" customHeight="1">
      <c r="B947" s="163">
        <f t="shared" si="1"/>
        <v>1895</v>
      </c>
      <c r="C947" s="163">
        <v>943.0</v>
      </c>
    </row>
    <row r="948" ht="15.75" customHeight="1">
      <c r="B948" s="163">
        <f t="shared" si="1"/>
        <v>1894</v>
      </c>
      <c r="C948" s="163">
        <v>944.0</v>
      </c>
    </row>
    <row r="949" ht="15.75" customHeight="1">
      <c r="B949" s="163">
        <f t="shared" si="1"/>
        <v>1893</v>
      </c>
      <c r="C949" s="163">
        <v>945.0</v>
      </c>
    </row>
    <row r="950" ht="15.75" customHeight="1">
      <c r="B950" s="163">
        <f t="shared" si="1"/>
        <v>1892</v>
      </c>
      <c r="C950" s="163">
        <v>946.0</v>
      </c>
    </row>
    <row r="951" ht="15.75" customHeight="1">
      <c r="B951" s="163">
        <f t="shared" si="1"/>
        <v>1891</v>
      </c>
      <c r="C951" s="163">
        <v>947.0</v>
      </c>
    </row>
    <row r="952" ht="15.75" customHeight="1">
      <c r="B952" s="163">
        <f t="shared" si="1"/>
        <v>1890</v>
      </c>
      <c r="C952" s="163">
        <v>948.0</v>
      </c>
    </row>
    <row r="953" ht="15.75" customHeight="1">
      <c r="B953" s="163">
        <f t="shared" si="1"/>
        <v>1889</v>
      </c>
      <c r="C953" s="163">
        <v>949.0</v>
      </c>
    </row>
    <row r="954" ht="15.75" customHeight="1">
      <c r="B954" s="163">
        <f t="shared" si="1"/>
        <v>1888</v>
      </c>
      <c r="C954" s="163">
        <v>950.0</v>
      </c>
    </row>
    <row r="955" ht="15.75" customHeight="1">
      <c r="B955" s="163">
        <f t="shared" si="1"/>
        <v>1887</v>
      </c>
      <c r="C955" s="163">
        <v>951.0</v>
      </c>
    </row>
    <row r="956" ht="15.75" customHeight="1">
      <c r="B956" s="163">
        <f t="shared" si="1"/>
        <v>1886</v>
      </c>
      <c r="C956" s="163">
        <v>952.0</v>
      </c>
    </row>
    <row r="957" ht="15.75" customHeight="1">
      <c r="B957" s="163">
        <f t="shared" si="1"/>
        <v>1885</v>
      </c>
      <c r="C957" s="163">
        <v>953.0</v>
      </c>
    </row>
    <row r="958" ht="15.75" customHeight="1">
      <c r="B958" s="163">
        <f t="shared" si="1"/>
        <v>1884</v>
      </c>
      <c r="C958" s="163">
        <v>954.0</v>
      </c>
    </row>
    <row r="959" ht="15.75" customHeight="1">
      <c r="B959" s="163">
        <f t="shared" si="1"/>
        <v>1883</v>
      </c>
      <c r="C959" s="163">
        <v>955.0</v>
      </c>
    </row>
    <row r="960" ht="15.75" customHeight="1">
      <c r="B960" s="163">
        <f t="shared" si="1"/>
        <v>1882</v>
      </c>
      <c r="C960" s="163">
        <v>956.0</v>
      </c>
    </row>
    <row r="961" ht="15.75" customHeight="1">
      <c r="B961" s="163">
        <f t="shared" si="1"/>
        <v>1881</v>
      </c>
      <c r="C961" s="163">
        <v>957.0</v>
      </c>
    </row>
    <row r="962" ht="15.75" customHeight="1">
      <c r="B962" s="163">
        <f t="shared" si="1"/>
        <v>1880</v>
      </c>
      <c r="C962" s="163">
        <v>958.0</v>
      </c>
    </row>
    <row r="963" ht="15.75" customHeight="1">
      <c r="B963" s="163">
        <f t="shared" si="1"/>
        <v>1879</v>
      </c>
      <c r="C963" s="163">
        <v>959.0</v>
      </c>
    </row>
    <row r="964" ht="15.75" customHeight="1">
      <c r="B964" s="163">
        <f t="shared" si="1"/>
        <v>1878</v>
      </c>
      <c r="C964" s="163">
        <v>960.0</v>
      </c>
    </row>
    <row r="965" ht="15.75" customHeight="1">
      <c r="B965" s="163">
        <f t="shared" si="1"/>
        <v>1877</v>
      </c>
      <c r="C965" s="163">
        <v>961.0</v>
      </c>
    </row>
    <row r="966" ht="15.75" customHeight="1">
      <c r="B966" s="163">
        <f t="shared" si="1"/>
        <v>1876</v>
      </c>
      <c r="C966" s="163">
        <v>962.0</v>
      </c>
    </row>
    <row r="967" ht="15.75" customHeight="1">
      <c r="B967" s="163">
        <f t="shared" si="1"/>
        <v>1875</v>
      </c>
      <c r="C967" s="163">
        <v>963.0</v>
      </c>
    </row>
    <row r="968" ht="15.75" customHeight="1">
      <c r="B968" s="163">
        <f t="shared" si="1"/>
        <v>1874</v>
      </c>
      <c r="C968" s="163">
        <v>964.0</v>
      </c>
    </row>
    <row r="969" ht="15.75" customHeight="1">
      <c r="B969" s="163">
        <f t="shared" si="1"/>
        <v>1873</v>
      </c>
      <c r="C969" s="163">
        <v>965.0</v>
      </c>
    </row>
    <row r="970" ht="15.75" customHeight="1">
      <c r="B970" s="163">
        <f t="shared" si="1"/>
        <v>1872</v>
      </c>
      <c r="C970" s="163">
        <v>966.0</v>
      </c>
    </row>
    <row r="971" ht="15.75" customHeight="1">
      <c r="B971" s="163">
        <f t="shared" si="1"/>
        <v>1871</v>
      </c>
      <c r="C971" s="163">
        <v>967.0</v>
      </c>
    </row>
    <row r="972" ht="15.75" customHeight="1">
      <c r="B972" s="163">
        <f t="shared" si="1"/>
        <v>1870</v>
      </c>
      <c r="C972" s="163">
        <v>968.0</v>
      </c>
    </row>
    <row r="973" ht="15.75" customHeight="1">
      <c r="B973" s="163">
        <f t="shared" si="1"/>
        <v>1869</v>
      </c>
      <c r="C973" s="163">
        <v>969.0</v>
      </c>
    </row>
    <row r="974" ht="15.75" customHeight="1">
      <c r="B974" s="163">
        <f t="shared" si="1"/>
        <v>1868</v>
      </c>
      <c r="C974" s="163">
        <v>970.0</v>
      </c>
    </row>
    <row r="975" ht="15.75" customHeight="1">
      <c r="B975" s="163">
        <f t="shared" si="1"/>
        <v>1867</v>
      </c>
      <c r="C975" s="163">
        <v>971.0</v>
      </c>
    </row>
    <row r="976" ht="15.75" customHeight="1">
      <c r="B976" s="163">
        <f t="shared" si="1"/>
        <v>1866</v>
      </c>
      <c r="C976" s="163">
        <v>972.0</v>
      </c>
    </row>
    <row r="977" ht="15.75" customHeight="1">
      <c r="B977" s="163">
        <f t="shared" si="1"/>
        <v>1865</v>
      </c>
      <c r="C977" s="163">
        <v>973.0</v>
      </c>
    </row>
    <row r="978" ht="15.75" customHeight="1">
      <c r="B978" s="163">
        <f t="shared" si="1"/>
        <v>1864</v>
      </c>
      <c r="C978" s="163">
        <v>974.0</v>
      </c>
    </row>
    <row r="979" ht="15.75" customHeight="1">
      <c r="B979" s="163">
        <f t="shared" si="1"/>
        <v>1863</v>
      </c>
      <c r="C979" s="163">
        <v>975.0</v>
      </c>
    </row>
    <row r="980" ht="15.75" customHeight="1">
      <c r="B980" s="163">
        <f t="shared" si="1"/>
        <v>1862</v>
      </c>
      <c r="C980" s="163">
        <v>976.0</v>
      </c>
    </row>
    <row r="981" ht="15.75" customHeight="1">
      <c r="B981" s="163">
        <f t="shared" si="1"/>
        <v>1861</v>
      </c>
      <c r="C981" s="163">
        <v>977.0</v>
      </c>
    </row>
    <row r="982" ht="15.75" customHeight="1">
      <c r="B982" s="163">
        <f t="shared" si="1"/>
        <v>1860</v>
      </c>
      <c r="C982" s="163">
        <v>978.0</v>
      </c>
    </row>
    <row r="983" ht="15.75" customHeight="1">
      <c r="B983" s="163">
        <f t="shared" si="1"/>
        <v>1859</v>
      </c>
      <c r="C983" s="163">
        <v>979.0</v>
      </c>
    </row>
    <row r="984" ht="15.75" customHeight="1">
      <c r="B984" s="163">
        <f t="shared" si="1"/>
        <v>1858</v>
      </c>
      <c r="C984" s="163">
        <v>980.0</v>
      </c>
    </row>
    <row r="985" ht="15.75" customHeight="1">
      <c r="B985" s="163">
        <f t="shared" si="1"/>
        <v>1857</v>
      </c>
      <c r="C985" s="163">
        <v>981.0</v>
      </c>
    </row>
    <row r="986" ht="15.75" customHeight="1">
      <c r="B986" s="163">
        <f t="shared" si="1"/>
        <v>1856</v>
      </c>
      <c r="C986" s="163">
        <v>982.0</v>
      </c>
    </row>
    <row r="987" ht="15.75" customHeight="1">
      <c r="B987" s="163">
        <f t="shared" si="1"/>
        <v>1855</v>
      </c>
      <c r="C987" s="163">
        <v>983.0</v>
      </c>
    </row>
    <row r="988" ht="15.75" customHeight="1">
      <c r="B988" s="163">
        <f t="shared" si="1"/>
        <v>1854</v>
      </c>
      <c r="C988" s="163">
        <v>984.0</v>
      </c>
    </row>
    <row r="989" ht="15.75" customHeight="1">
      <c r="B989" s="163">
        <f t="shared" si="1"/>
        <v>1853</v>
      </c>
      <c r="C989" s="163">
        <v>985.0</v>
      </c>
    </row>
    <row r="990" ht="15.75" customHeight="1">
      <c r="B990" s="163">
        <f t="shared" si="1"/>
        <v>1852</v>
      </c>
      <c r="C990" s="163">
        <v>986.0</v>
      </c>
    </row>
    <row r="991" ht="15.75" customHeight="1">
      <c r="B991" s="163">
        <f t="shared" si="1"/>
        <v>1851</v>
      </c>
      <c r="C991" s="163">
        <v>987.0</v>
      </c>
    </row>
    <row r="992" ht="15.75" customHeight="1">
      <c r="B992" s="163">
        <f t="shared" si="1"/>
        <v>1850</v>
      </c>
      <c r="C992" s="163">
        <v>988.0</v>
      </c>
    </row>
    <row r="993" ht="15.75" customHeight="1">
      <c r="B993" s="163">
        <f t="shared" si="1"/>
        <v>1849</v>
      </c>
      <c r="C993" s="163">
        <v>989.0</v>
      </c>
    </row>
    <row r="994" ht="15.75" customHeight="1">
      <c r="B994" s="163">
        <f t="shared" si="1"/>
        <v>1848</v>
      </c>
      <c r="C994" s="163">
        <v>990.0</v>
      </c>
    </row>
    <row r="995" ht="15.75" customHeight="1">
      <c r="B995" s="163">
        <f t="shared" si="1"/>
        <v>1847</v>
      </c>
      <c r="C995" s="163">
        <v>991.0</v>
      </c>
    </row>
    <row r="996" ht="15.75" customHeight="1">
      <c r="B996" s="163">
        <f t="shared" si="1"/>
        <v>1846</v>
      </c>
      <c r="C996" s="163">
        <v>992.0</v>
      </c>
    </row>
    <row r="997" ht="15.75" customHeight="1">
      <c r="B997" s="163">
        <f t="shared" si="1"/>
        <v>1845</v>
      </c>
      <c r="C997" s="163">
        <v>993.0</v>
      </c>
    </row>
    <row r="998" ht="15.75" customHeight="1">
      <c r="B998" s="163">
        <f t="shared" si="1"/>
        <v>1844</v>
      </c>
      <c r="C998" s="163">
        <v>994.0</v>
      </c>
    </row>
    <row r="999" ht="15.75" customHeight="1">
      <c r="B999" s="163">
        <f t="shared" si="1"/>
        <v>1843</v>
      </c>
      <c r="C999" s="163">
        <v>995.0</v>
      </c>
    </row>
    <row r="1000" ht="15.75" customHeight="1">
      <c r="B1000" s="163">
        <f t="shared" si="1"/>
        <v>1842</v>
      </c>
      <c r="C1000" s="163">
        <v>996.0</v>
      </c>
    </row>
    <row r="1001" ht="15.75" customHeight="1">
      <c r="B1001" s="163">
        <f t="shared" si="1"/>
        <v>1841</v>
      </c>
      <c r="C1001" s="163">
        <v>997.0</v>
      </c>
    </row>
    <row r="1002" ht="15.75" customHeight="1">
      <c r="B1002" s="163">
        <f t="shared" si="1"/>
        <v>1840</v>
      </c>
      <c r="C1002" s="163">
        <v>998.0</v>
      </c>
    </row>
    <row r="1003" ht="15.75" customHeight="1">
      <c r="B1003" s="163">
        <f t="shared" si="1"/>
        <v>1839</v>
      </c>
      <c r="C1003" s="163">
        <v>999.0</v>
      </c>
    </row>
    <row r="1004" ht="15.75" customHeight="1">
      <c r="B1004" s="163">
        <f t="shared" si="1"/>
        <v>1838</v>
      </c>
      <c r="C1004" s="163">
        <v>1000.0</v>
      </c>
    </row>
    <row r="1005" ht="15.75" customHeight="1">
      <c r="B1005" s="163">
        <f t="shared" si="1"/>
        <v>1837</v>
      </c>
      <c r="C1005" s="163">
        <v>1001.0</v>
      </c>
    </row>
    <row r="1006" ht="15.75" customHeight="1">
      <c r="B1006" s="163">
        <f t="shared" si="1"/>
        <v>1836</v>
      </c>
      <c r="C1006" s="163">
        <v>1002.0</v>
      </c>
    </row>
    <row r="1007" ht="15.75" customHeight="1">
      <c r="B1007" s="163">
        <f t="shared" si="1"/>
        <v>1835</v>
      </c>
      <c r="C1007" s="163">
        <v>1003.0</v>
      </c>
    </row>
    <row r="1008" ht="15.75" customHeight="1">
      <c r="B1008" s="163"/>
      <c r="C1008" s="163"/>
    </row>
    <row r="1009" ht="15.75" customHeight="1">
      <c r="B1009" s="163"/>
      <c r="C1009" s="163"/>
    </row>
    <row r="1010" ht="15.75" customHeight="1">
      <c r="B1010" s="163"/>
      <c r="C1010" s="163"/>
    </row>
    <row r="1011" ht="15.75" customHeight="1">
      <c r="B1011" s="163"/>
      <c r="C1011" s="163"/>
    </row>
    <row r="1012" ht="15.75" customHeight="1">
      <c r="B1012" s="163"/>
      <c r="C1012" s="163"/>
    </row>
    <row r="1013" ht="15.75" customHeight="1">
      <c r="B1013" s="163"/>
      <c r="C1013" s="163"/>
    </row>
    <row r="1014" ht="15.75" customHeight="1">
      <c r="B1014" s="163"/>
      <c r="C1014" s="163"/>
    </row>
    <row r="1015" ht="15.75" customHeight="1">
      <c r="B1015" s="163"/>
      <c r="C1015" s="163"/>
    </row>
    <row r="1016" ht="15.75" customHeight="1">
      <c r="B1016" s="163"/>
      <c r="C1016" s="163"/>
    </row>
    <row r="1017" ht="15.75" customHeight="1">
      <c r="B1017" s="163"/>
      <c r="C1017" s="163"/>
    </row>
    <row r="1018" ht="15.75" customHeight="1">
      <c r="B1018" s="163"/>
      <c r="C1018" s="163"/>
    </row>
    <row r="1019" ht="15.75" customHeight="1">
      <c r="B1019" s="163"/>
      <c r="C1019" s="163"/>
    </row>
    <row r="1020" ht="15.75" customHeight="1">
      <c r="B1020" s="163"/>
      <c r="C1020" s="163"/>
    </row>
    <row r="1021" ht="15.75" customHeight="1">
      <c r="B1021" s="163"/>
      <c r="C1021" s="163"/>
    </row>
    <row r="1022" ht="15.75" customHeight="1">
      <c r="B1022" s="163"/>
      <c r="C1022" s="163"/>
    </row>
    <row r="1023" ht="15.75" customHeight="1">
      <c r="B1023" s="163"/>
      <c r="C1023" s="163"/>
    </row>
    <row r="1024" ht="15.75" customHeight="1">
      <c r="B1024" s="163"/>
      <c r="C1024" s="163"/>
    </row>
    <row r="1025" ht="15.75" customHeight="1">
      <c r="B1025" s="163"/>
      <c r="C1025" s="163"/>
    </row>
    <row r="1026" ht="15.75" customHeight="1">
      <c r="B1026" s="163"/>
      <c r="C1026" s="163"/>
    </row>
    <row r="1027" ht="15.75" customHeight="1">
      <c r="B1027" s="163"/>
      <c r="C1027" s="163"/>
    </row>
    <row r="1028" ht="15.75" customHeight="1">
      <c r="B1028" s="163"/>
      <c r="C1028" s="163"/>
    </row>
    <row r="1029" ht="15.75" customHeight="1">
      <c r="B1029" s="163"/>
      <c r="C1029" s="163"/>
    </row>
    <row r="1030" ht="15.75" customHeight="1">
      <c r="B1030" s="163"/>
      <c r="C1030" s="163"/>
    </row>
    <row r="1031" ht="15.75" customHeight="1">
      <c r="B1031" s="163"/>
      <c r="C1031" s="163"/>
    </row>
    <row r="1032" ht="15.75" customHeight="1">
      <c r="B1032" s="163"/>
      <c r="C1032" s="163"/>
    </row>
    <row r="1033" ht="15.75" customHeight="1">
      <c r="B1033" s="163"/>
      <c r="C1033" s="163"/>
    </row>
    <row r="1034" ht="15.75" customHeight="1">
      <c r="B1034" s="163"/>
      <c r="C1034" s="163"/>
    </row>
    <row r="1035" ht="15.75" customHeight="1">
      <c r="B1035" s="163"/>
      <c r="C1035" s="163"/>
    </row>
    <row r="1036" ht="15.75" customHeight="1">
      <c r="B1036" s="163"/>
      <c r="C1036" s="163"/>
    </row>
    <row r="1037" ht="15.75" customHeight="1">
      <c r="B1037" s="163"/>
      <c r="C1037" s="163"/>
    </row>
    <row r="1038" ht="15.75" customHeight="1">
      <c r="B1038" s="163"/>
      <c r="C1038" s="163"/>
    </row>
    <row r="1039" ht="15.75" customHeight="1">
      <c r="B1039" s="163"/>
      <c r="C1039" s="163"/>
    </row>
    <row r="1040" ht="15.75" customHeight="1">
      <c r="B1040" s="163"/>
      <c r="C1040" s="163"/>
    </row>
    <row r="1041" ht="15.75" customHeight="1">
      <c r="B1041" s="163"/>
      <c r="C1041" s="163"/>
    </row>
    <row r="1042" ht="15.75" customHeight="1">
      <c r="B1042" s="163"/>
      <c r="C1042" s="163"/>
    </row>
    <row r="1043" ht="15.75" customHeight="1">
      <c r="B1043" s="163"/>
      <c r="C1043" s="163"/>
    </row>
    <row r="1044" ht="15.75" customHeight="1">
      <c r="B1044" s="163"/>
      <c r="C1044" s="163"/>
    </row>
    <row r="1045" ht="15.75" customHeight="1">
      <c r="B1045" s="163"/>
      <c r="C1045" s="163"/>
    </row>
    <row r="1046" ht="15.75" customHeight="1">
      <c r="B1046" s="163"/>
      <c r="C1046" s="163"/>
    </row>
    <row r="1047" ht="15.75" customHeight="1">
      <c r="B1047" s="163"/>
      <c r="C1047" s="163"/>
    </row>
    <row r="1048" ht="15.75" customHeight="1">
      <c r="B1048" s="163"/>
      <c r="C1048" s="163"/>
    </row>
    <row r="1049" ht="15.75" customHeight="1">
      <c r="B1049" s="163"/>
      <c r="C1049" s="163"/>
    </row>
    <row r="1050" ht="15.75" customHeight="1">
      <c r="B1050" s="163"/>
      <c r="C1050" s="163"/>
    </row>
    <row r="1051" ht="15.75" customHeight="1">
      <c r="B1051" s="163"/>
      <c r="C1051" s="163"/>
    </row>
    <row r="1052" ht="15.75" customHeight="1">
      <c r="B1052" s="163"/>
      <c r="C1052" s="163"/>
    </row>
    <row r="1053" ht="15.75" customHeight="1">
      <c r="B1053" s="163"/>
      <c r="C1053" s="163"/>
    </row>
    <row r="1054" ht="15.75" customHeight="1">
      <c r="B1054" s="163"/>
      <c r="C1054" s="163"/>
    </row>
    <row r="1055" ht="15.75" customHeight="1">
      <c r="B1055" s="163"/>
      <c r="C1055" s="163"/>
    </row>
    <row r="1056" ht="15.75" customHeight="1">
      <c r="B1056" s="163"/>
      <c r="C1056" s="163"/>
    </row>
    <row r="1057" ht="15.75" customHeight="1">
      <c r="B1057" s="163"/>
      <c r="C1057" s="163"/>
    </row>
    <row r="1058" ht="15.75" customHeight="1">
      <c r="B1058" s="163"/>
      <c r="C1058" s="163"/>
    </row>
    <row r="1059" ht="15.75" customHeight="1">
      <c r="B1059" s="163"/>
      <c r="C1059" s="163"/>
    </row>
    <row r="1060" ht="15.75" customHeight="1">
      <c r="B1060" s="163"/>
      <c r="C1060" s="163"/>
    </row>
    <row r="1061" ht="15.75" customHeight="1">
      <c r="B1061" s="163"/>
      <c r="C1061" s="163"/>
    </row>
    <row r="1062" ht="15.75" customHeight="1">
      <c r="B1062" s="163"/>
      <c r="C1062" s="163"/>
    </row>
    <row r="1063" ht="15.75" customHeight="1">
      <c r="B1063" s="163"/>
      <c r="C1063" s="163"/>
    </row>
    <row r="1064" ht="15.75" customHeight="1">
      <c r="B1064" s="163"/>
      <c r="C1064" s="163"/>
    </row>
    <row r="1065" ht="15.75" customHeight="1">
      <c r="B1065" s="163"/>
      <c r="C1065" s="163"/>
    </row>
    <row r="1066" ht="15.75" customHeight="1">
      <c r="B1066" s="163"/>
      <c r="C1066" s="163"/>
    </row>
    <row r="1067" ht="15.75" customHeight="1">
      <c r="B1067" s="163"/>
      <c r="C1067" s="163"/>
    </row>
    <row r="1068" ht="15.75" customHeight="1">
      <c r="B1068" s="163"/>
      <c r="C1068" s="163"/>
    </row>
    <row r="1069" ht="15.75" customHeight="1">
      <c r="B1069" s="163"/>
      <c r="C1069" s="163"/>
    </row>
    <row r="1070" ht="15.75" customHeight="1">
      <c r="B1070" s="163"/>
      <c r="C1070" s="163"/>
    </row>
    <row r="1071" ht="15.75" customHeight="1">
      <c r="B1071" s="163"/>
      <c r="C1071" s="163"/>
    </row>
    <row r="1072" ht="15.75" customHeight="1">
      <c r="B1072" s="163"/>
      <c r="C1072" s="163"/>
    </row>
    <row r="1073" ht="15.75" customHeight="1">
      <c r="B1073" s="163"/>
      <c r="C1073" s="163"/>
    </row>
    <row r="1074" ht="15.75" customHeight="1">
      <c r="B1074" s="163"/>
      <c r="C1074" s="163"/>
    </row>
    <row r="1075" ht="15.75" customHeight="1">
      <c r="B1075" s="163"/>
      <c r="C1075" s="163"/>
    </row>
    <row r="1076" ht="15.75" customHeight="1">
      <c r="B1076" s="163"/>
      <c r="C1076" s="163"/>
    </row>
    <row r="1077" ht="15.75" customHeight="1">
      <c r="B1077" s="163"/>
      <c r="C1077" s="163"/>
    </row>
    <row r="1078" ht="15.75" customHeight="1">
      <c r="B1078" s="163"/>
      <c r="C1078" s="163"/>
    </row>
    <row r="1079" ht="15.75" customHeight="1">
      <c r="B1079" s="163"/>
      <c r="C1079" s="163"/>
    </row>
    <row r="1080" ht="15.75" customHeight="1">
      <c r="B1080" s="163"/>
      <c r="C1080" s="163"/>
    </row>
    <row r="1081" ht="15.75" customHeight="1">
      <c r="B1081" s="163"/>
      <c r="C1081" s="163"/>
    </row>
    <row r="1082" ht="15.75" customHeight="1">
      <c r="B1082" s="163"/>
      <c r="C1082" s="163"/>
    </row>
    <row r="1083" ht="15.75" customHeight="1">
      <c r="B1083" s="163"/>
      <c r="C1083" s="163"/>
    </row>
    <row r="1084" ht="15.75" customHeight="1">
      <c r="B1084" s="163"/>
      <c r="C1084" s="163"/>
    </row>
    <row r="1085" ht="15.75" customHeight="1">
      <c r="B1085" s="163"/>
      <c r="C1085" s="163"/>
    </row>
    <row r="1086" ht="15.75" customHeight="1">
      <c r="B1086" s="163"/>
      <c r="C1086" s="163"/>
    </row>
    <row r="1087" ht="15.75" customHeight="1">
      <c r="B1087" s="163"/>
      <c r="C1087" s="163"/>
    </row>
    <row r="1088" ht="15.75" customHeight="1">
      <c r="B1088" s="163"/>
      <c r="C1088" s="163"/>
    </row>
    <row r="1089" ht="15.75" customHeight="1">
      <c r="B1089" s="163"/>
      <c r="C1089" s="163"/>
    </row>
    <row r="1090" ht="15.75" customHeight="1">
      <c r="B1090" s="163"/>
      <c r="C1090" s="163"/>
    </row>
    <row r="1091" ht="15.75" customHeight="1">
      <c r="B1091" s="163"/>
      <c r="C1091" s="163"/>
    </row>
    <row r="1092" ht="15.75" customHeight="1">
      <c r="B1092" s="163"/>
      <c r="C1092" s="163"/>
    </row>
    <row r="1093" ht="15.75" customHeight="1">
      <c r="B1093" s="163"/>
      <c r="C1093" s="163"/>
    </row>
    <row r="1094" ht="15.75" customHeight="1">
      <c r="B1094" s="163"/>
      <c r="C1094" s="163"/>
    </row>
    <row r="1095" ht="15.75" customHeight="1">
      <c r="B1095" s="163"/>
      <c r="C1095" s="163"/>
    </row>
    <row r="1096" ht="15.75" customHeight="1">
      <c r="B1096" s="163"/>
      <c r="C1096" s="163"/>
    </row>
    <row r="1097" ht="15.75" customHeight="1">
      <c r="B1097" s="163"/>
      <c r="C1097" s="163"/>
    </row>
    <row r="1098" ht="15.75" customHeight="1">
      <c r="B1098" s="163"/>
      <c r="C1098" s="163"/>
    </row>
    <row r="1099" ht="15.75" customHeight="1">
      <c r="B1099" s="163"/>
      <c r="C1099" s="163"/>
    </row>
    <row r="1100" ht="15.75" customHeight="1">
      <c r="B1100" s="163"/>
      <c r="C1100" s="163"/>
    </row>
    <row r="1101" ht="15.75" customHeight="1">
      <c r="B1101" s="163"/>
      <c r="C1101" s="163"/>
    </row>
    <row r="1102" ht="15.75" customHeight="1">
      <c r="B1102" s="163"/>
      <c r="C1102" s="163"/>
    </row>
    <row r="1103" ht="15.75" customHeight="1">
      <c r="B1103" s="163"/>
      <c r="C1103" s="163"/>
    </row>
    <row r="1104" ht="15.75" customHeight="1">
      <c r="B1104" s="163"/>
      <c r="C1104" s="163"/>
    </row>
    <row r="1105" ht="15.75" customHeight="1">
      <c r="B1105" s="163"/>
      <c r="C1105" s="163"/>
    </row>
    <row r="1106" ht="15.75" customHeight="1">
      <c r="B1106" s="163"/>
      <c r="C1106" s="163"/>
    </row>
    <row r="1107" ht="15.75" customHeight="1">
      <c r="B1107" s="163"/>
      <c r="C1107" s="163"/>
    </row>
    <row r="1108" ht="15.75" customHeight="1">
      <c r="B1108" s="163"/>
      <c r="C1108" s="163"/>
    </row>
    <row r="1109" ht="15.75" customHeight="1">
      <c r="B1109" s="163"/>
      <c r="C1109" s="163"/>
    </row>
    <row r="1110" ht="15.75" customHeight="1">
      <c r="B1110" s="163"/>
      <c r="C1110" s="163"/>
    </row>
    <row r="1111" ht="15.75" customHeight="1">
      <c r="B1111" s="163"/>
      <c r="C1111" s="163"/>
    </row>
    <row r="1112" ht="15.75" customHeight="1">
      <c r="B1112" s="163"/>
      <c r="C1112" s="163"/>
    </row>
    <row r="1113" ht="15.75" customHeight="1">
      <c r="B1113" s="163"/>
      <c r="C1113" s="163"/>
    </row>
    <row r="1114" ht="15.75" customHeight="1">
      <c r="B1114" s="163"/>
      <c r="C1114" s="163"/>
    </row>
    <row r="1115" ht="15.75" customHeight="1">
      <c r="B1115" s="163"/>
      <c r="C1115" s="163"/>
    </row>
    <row r="1116" ht="15.75" customHeight="1">
      <c r="B1116" s="163"/>
      <c r="C1116" s="163"/>
    </row>
    <row r="1117" ht="15.75" customHeight="1">
      <c r="B1117" s="163"/>
      <c r="C1117" s="163"/>
    </row>
    <row r="1118" ht="15.75" customHeight="1">
      <c r="B1118" s="163"/>
      <c r="C1118" s="163"/>
    </row>
    <row r="1119" ht="15.75" customHeight="1">
      <c r="B1119" s="163"/>
      <c r="C1119" s="163"/>
    </row>
    <row r="1120" ht="15.75" customHeight="1">
      <c r="B1120" s="163"/>
      <c r="C1120" s="163"/>
    </row>
    <row r="1121" ht="15.75" customHeight="1">
      <c r="B1121" s="163"/>
      <c r="C1121" s="163"/>
    </row>
    <row r="1122" ht="15.75" customHeight="1">
      <c r="B1122" s="163"/>
      <c r="C1122" s="163"/>
    </row>
    <row r="1123" ht="15.75" customHeight="1">
      <c r="B1123" s="163"/>
      <c r="C1123" s="163"/>
    </row>
    <row r="1124" ht="15.75" customHeight="1">
      <c r="B1124" s="163"/>
      <c r="C1124" s="163"/>
    </row>
    <row r="1125" ht="15.75" customHeight="1">
      <c r="B1125" s="163"/>
      <c r="C1125" s="163"/>
    </row>
    <row r="1126" ht="15.75" customHeight="1">
      <c r="B1126" s="163"/>
      <c r="C1126" s="163"/>
    </row>
    <row r="1127" ht="15.75" customHeight="1">
      <c r="B1127" s="163"/>
      <c r="C1127" s="163"/>
    </row>
    <row r="1128" ht="15.75" customHeight="1">
      <c r="B1128" s="163"/>
      <c r="C1128" s="163"/>
    </row>
    <row r="1129" ht="15.75" customHeight="1">
      <c r="B1129" s="163"/>
      <c r="C1129" s="163"/>
    </row>
    <row r="1130" ht="15.75" customHeight="1">
      <c r="B1130" s="163"/>
      <c r="C1130" s="163"/>
    </row>
    <row r="1131" ht="15.75" customHeight="1">
      <c r="B1131" s="163"/>
      <c r="C1131" s="163"/>
    </row>
    <row r="1132" ht="15.75" customHeight="1">
      <c r="B1132" s="163"/>
      <c r="C1132" s="163"/>
    </row>
    <row r="1133" ht="15.75" customHeight="1">
      <c r="B1133" s="163"/>
      <c r="C1133" s="163"/>
    </row>
    <row r="1134" ht="15.75" customHeight="1">
      <c r="B1134" s="163"/>
      <c r="C1134" s="163"/>
    </row>
    <row r="1135" ht="15.75" customHeight="1">
      <c r="B1135" s="163"/>
      <c r="C1135" s="163"/>
    </row>
    <row r="1136" ht="15.75" customHeight="1">
      <c r="B1136" s="163"/>
      <c r="C1136" s="163"/>
    </row>
    <row r="1137" ht="15.75" customHeight="1">
      <c r="B1137" s="163"/>
      <c r="C1137" s="163"/>
    </row>
    <row r="1138" ht="15.75" customHeight="1">
      <c r="B1138" s="163"/>
      <c r="C1138" s="163"/>
    </row>
    <row r="1139" ht="15.75" customHeight="1">
      <c r="B1139" s="163"/>
      <c r="C1139" s="163"/>
    </row>
    <row r="1140" ht="15.75" customHeight="1">
      <c r="B1140" s="163"/>
      <c r="C1140" s="163"/>
    </row>
    <row r="1141" ht="15.75" customHeight="1">
      <c r="B1141" s="163"/>
      <c r="C1141" s="163"/>
    </row>
    <row r="1142" ht="15.75" customHeight="1">
      <c r="B1142" s="163"/>
      <c r="C1142" s="163"/>
    </row>
    <row r="1143" ht="15.75" customHeight="1">
      <c r="B1143" s="163"/>
      <c r="C1143" s="163"/>
    </row>
    <row r="1144" ht="15.75" customHeight="1">
      <c r="B1144" s="163"/>
      <c r="C1144" s="163"/>
    </row>
    <row r="1145" ht="15.75" customHeight="1">
      <c r="B1145" s="163"/>
      <c r="C1145" s="163"/>
    </row>
    <row r="1146" ht="15.75" customHeight="1">
      <c r="B1146" s="163"/>
      <c r="C1146" s="163"/>
    </row>
    <row r="1147" ht="15.75" customHeight="1">
      <c r="B1147" s="163"/>
      <c r="C1147" s="163"/>
    </row>
    <row r="1148" ht="15.75" customHeight="1">
      <c r="B1148" s="163"/>
      <c r="C1148" s="163"/>
    </row>
    <row r="1149" ht="15.75" customHeight="1">
      <c r="B1149" s="163"/>
      <c r="C1149" s="163"/>
    </row>
    <row r="1150" ht="15.75" customHeight="1">
      <c r="B1150" s="163"/>
      <c r="C1150" s="163"/>
    </row>
    <row r="1151" ht="15.75" customHeight="1">
      <c r="B1151" s="163"/>
      <c r="C1151" s="163"/>
    </row>
    <row r="1152" ht="15.75" customHeight="1">
      <c r="B1152" s="163"/>
      <c r="C1152" s="163"/>
    </row>
    <row r="1153" ht="15.75" customHeight="1">
      <c r="B1153" s="163"/>
      <c r="C1153" s="163"/>
    </row>
    <row r="1154" ht="15.75" customHeight="1">
      <c r="B1154" s="163"/>
      <c r="C1154" s="163"/>
    </row>
    <row r="1155" ht="15.75" customHeight="1">
      <c r="B1155" s="163"/>
      <c r="C1155" s="163"/>
    </row>
    <row r="1156" ht="15.75" customHeight="1">
      <c r="B1156" s="163"/>
      <c r="C1156" s="163"/>
    </row>
    <row r="1157" ht="15.75" customHeight="1">
      <c r="B1157" s="163"/>
      <c r="C1157" s="163"/>
    </row>
    <row r="1158" ht="15.75" customHeight="1">
      <c r="B1158" s="163"/>
      <c r="C1158" s="163"/>
    </row>
    <row r="1159" ht="15.75" customHeight="1">
      <c r="B1159" s="163"/>
      <c r="C1159" s="163"/>
    </row>
    <row r="1160" ht="15.75" customHeight="1">
      <c r="B1160" s="163"/>
      <c r="C1160" s="163"/>
    </row>
    <row r="1161" ht="15.75" customHeight="1">
      <c r="B1161" s="163"/>
      <c r="C1161" s="163"/>
    </row>
    <row r="1162" ht="15.75" customHeight="1">
      <c r="B1162" s="163"/>
      <c r="C1162" s="163"/>
    </row>
    <row r="1163" ht="15.75" customHeight="1">
      <c r="B1163" s="163"/>
      <c r="C1163" s="163"/>
    </row>
    <row r="1164" ht="15.75" customHeight="1">
      <c r="B1164" s="163"/>
      <c r="C1164" s="163"/>
    </row>
    <row r="1165" ht="15.75" customHeight="1">
      <c r="B1165" s="163"/>
      <c r="C1165" s="163"/>
    </row>
    <row r="1166" ht="15.75" customHeight="1">
      <c r="B1166" s="163"/>
      <c r="C1166" s="163"/>
    </row>
    <row r="1167" ht="15.75" customHeight="1">
      <c r="B1167" s="163"/>
      <c r="C1167" s="163"/>
    </row>
    <row r="1168" ht="15.75" customHeight="1">
      <c r="B1168" s="163"/>
      <c r="C1168" s="163"/>
    </row>
    <row r="1169" ht="15.75" customHeight="1">
      <c r="B1169" s="163"/>
      <c r="C1169" s="163"/>
    </row>
    <row r="1170" ht="15.75" customHeight="1">
      <c r="B1170" s="163"/>
      <c r="C1170" s="163"/>
    </row>
    <row r="1171" ht="15.75" customHeight="1">
      <c r="B1171" s="163"/>
      <c r="C1171" s="163"/>
    </row>
    <row r="1172" ht="15.75" customHeight="1">
      <c r="B1172" s="163"/>
      <c r="C1172" s="163"/>
    </row>
    <row r="1173" ht="15.75" customHeight="1">
      <c r="B1173" s="163"/>
      <c r="C1173" s="163"/>
    </row>
    <row r="1174" ht="15.75" customHeight="1">
      <c r="B1174" s="163"/>
      <c r="C1174" s="163"/>
    </row>
    <row r="1175" ht="15.75" customHeight="1">
      <c r="B1175" s="163"/>
      <c r="C1175" s="163"/>
    </row>
    <row r="1176" ht="15.75" customHeight="1">
      <c r="B1176" s="163"/>
      <c r="C1176" s="163"/>
    </row>
    <row r="1177" ht="15.75" customHeight="1">
      <c r="B1177" s="163"/>
      <c r="C1177" s="163"/>
    </row>
    <row r="1178" ht="15.75" customHeight="1">
      <c r="B1178" s="163"/>
      <c r="C1178" s="163"/>
    </row>
    <row r="1179" ht="15.75" customHeight="1">
      <c r="B1179" s="163"/>
      <c r="C1179" s="163"/>
    </row>
    <row r="1180" ht="15.75" customHeight="1">
      <c r="B1180" s="163"/>
      <c r="C1180" s="163"/>
    </row>
    <row r="1181" ht="15.75" customHeight="1">
      <c r="B1181" s="163"/>
      <c r="C1181" s="163"/>
    </row>
    <row r="1182" ht="15.75" customHeight="1">
      <c r="B1182" s="163"/>
      <c r="C1182" s="163"/>
    </row>
    <row r="1183" ht="15.75" customHeight="1">
      <c r="B1183" s="163"/>
      <c r="C1183" s="163"/>
    </row>
    <row r="1184" ht="15.75" customHeight="1">
      <c r="B1184" s="163"/>
      <c r="C1184" s="163"/>
    </row>
    <row r="1185" ht="15.75" customHeight="1">
      <c r="B1185" s="163"/>
      <c r="C1185" s="163"/>
    </row>
    <row r="1186" ht="15.75" customHeight="1">
      <c r="B1186" s="163"/>
      <c r="C1186" s="163"/>
    </row>
    <row r="1187" ht="15.75" customHeight="1">
      <c r="B1187" s="163"/>
      <c r="C1187" s="163"/>
    </row>
    <row r="1188" ht="15.75" customHeight="1">
      <c r="B1188" s="163"/>
      <c r="C1188" s="163"/>
    </row>
    <row r="1189" ht="15.75" customHeight="1">
      <c r="B1189" s="163"/>
      <c r="C1189" s="163"/>
    </row>
    <row r="1190" ht="15.75" customHeight="1">
      <c r="B1190" s="163"/>
      <c r="C1190" s="163"/>
    </row>
    <row r="1191" ht="15.75" customHeight="1">
      <c r="B1191" s="163"/>
      <c r="C1191" s="163"/>
    </row>
    <row r="1192" ht="15.75" customHeight="1">
      <c r="B1192" s="163"/>
      <c r="C1192" s="163"/>
    </row>
    <row r="1193" ht="15.75" customHeight="1">
      <c r="B1193" s="163"/>
      <c r="C1193" s="163"/>
    </row>
    <row r="1194" ht="15.75" customHeight="1">
      <c r="B1194" s="163"/>
      <c r="C1194" s="163"/>
    </row>
    <row r="1195" ht="15.75" customHeight="1">
      <c r="B1195" s="163"/>
      <c r="C1195" s="163"/>
    </row>
    <row r="1196" ht="15.75" customHeight="1">
      <c r="B1196" s="163"/>
      <c r="C1196" s="163"/>
    </row>
    <row r="1197" ht="15.75" customHeight="1">
      <c r="B1197" s="163"/>
      <c r="C1197" s="163"/>
    </row>
    <row r="1198" ht="15.75" customHeight="1">
      <c r="B1198" s="163"/>
      <c r="C1198" s="163"/>
    </row>
    <row r="1199" ht="15.75" customHeight="1">
      <c r="B1199" s="163"/>
      <c r="C1199" s="163"/>
    </row>
    <row r="1200" ht="15.75" customHeight="1">
      <c r="B1200" s="163"/>
      <c r="C1200" s="163"/>
    </row>
    <row r="1201" ht="15.75" customHeight="1">
      <c r="B1201" s="163"/>
      <c r="C1201" s="163"/>
    </row>
    <row r="1202" ht="15.75" customHeight="1">
      <c r="B1202" s="163"/>
      <c r="C1202" s="163"/>
    </row>
    <row r="1203" ht="15.75" customHeight="1">
      <c r="B1203" s="163"/>
      <c r="C1203" s="163"/>
    </row>
    <row r="1204" ht="15.75" customHeight="1">
      <c r="B1204" s="163"/>
      <c r="C1204" s="163"/>
    </row>
    <row r="1205" ht="15.75" customHeight="1">
      <c r="B1205" s="163"/>
      <c r="C1205" s="163"/>
    </row>
    <row r="1206" ht="15.75" customHeight="1">
      <c r="B1206" s="163"/>
      <c r="C1206" s="163"/>
    </row>
    <row r="1207" ht="15.75" customHeight="1">
      <c r="B1207" s="163"/>
      <c r="C1207" s="163"/>
    </row>
    <row r="1208" ht="15.75" customHeight="1">
      <c r="B1208" s="163"/>
      <c r="C1208" s="163"/>
    </row>
    <row r="1209" ht="15.75" customHeight="1">
      <c r="B1209" s="163"/>
      <c r="C1209" s="163"/>
    </row>
    <row r="1210" ht="15.75" customHeight="1">
      <c r="B1210" s="163"/>
      <c r="C1210" s="163"/>
    </row>
    <row r="1211" ht="15.75" customHeight="1">
      <c r="B1211" s="163"/>
      <c r="C1211" s="163"/>
    </row>
    <row r="1212" ht="15.75" customHeight="1">
      <c r="B1212" s="163"/>
      <c r="C1212" s="163"/>
    </row>
    <row r="1213" ht="15.75" customHeight="1">
      <c r="B1213" s="163"/>
      <c r="C1213" s="163"/>
    </row>
    <row r="1214" ht="15.75" customHeight="1">
      <c r="B1214" s="163"/>
      <c r="C1214" s="163"/>
    </row>
    <row r="1215" ht="15.75" customHeight="1">
      <c r="B1215" s="163"/>
      <c r="C1215" s="163"/>
    </row>
    <row r="1216" ht="15.75" customHeight="1">
      <c r="B1216" s="163"/>
      <c r="C1216" s="163"/>
    </row>
    <row r="1217" ht="15.75" customHeight="1">
      <c r="B1217" s="163"/>
      <c r="C1217" s="163"/>
    </row>
    <row r="1218" ht="15.75" customHeight="1">
      <c r="B1218" s="163"/>
      <c r="C1218" s="163"/>
    </row>
    <row r="1219" ht="15.75" customHeight="1">
      <c r="B1219" s="163"/>
      <c r="C1219" s="163"/>
    </row>
    <row r="1220" ht="15.75" customHeight="1">
      <c r="B1220" s="163"/>
      <c r="C1220" s="163"/>
    </row>
    <row r="1221" ht="15.75" customHeight="1">
      <c r="B1221" s="163"/>
      <c r="C1221" s="163"/>
    </row>
    <row r="1222" ht="15.75" customHeight="1">
      <c r="B1222" s="163"/>
      <c r="C1222" s="163"/>
    </row>
    <row r="1223" ht="15.75" customHeight="1">
      <c r="B1223" s="163"/>
      <c r="C1223" s="163"/>
    </row>
    <row r="1224" ht="15.75" customHeight="1">
      <c r="B1224" s="163"/>
      <c r="C1224" s="163"/>
    </row>
    <row r="1225" ht="15.75" customHeight="1">
      <c r="B1225" s="163"/>
      <c r="C1225" s="163"/>
    </row>
    <row r="1226" ht="15.75" customHeight="1">
      <c r="B1226" s="163"/>
      <c r="C1226" s="163"/>
    </row>
    <row r="1227" ht="15.75" customHeight="1">
      <c r="B1227" s="163"/>
      <c r="C1227" s="163"/>
    </row>
    <row r="1228" ht="15.75" customHeight="1">
      <c r="B1228" s="163"/>
      <c r="C1228" s="163"/>
    </row>
    <row r="1229" ht="15.75" customHeight="1">
      <c r="B1229" s="163"/>
      <c r="C1229" s="163"/>
    </row>
    <row r="1230" ht="15.75" customHeight="1">
      <c r="B1230" s="163"/>
      <c r="C1230" s="163"/>
    </row>
    <row r="1231" ht="15.75" customHeight="1">
      <c r="B1231" s="163"/>
      <c r="C1231" s="163"/>
    </row>
    <row r="1232" ht="15.75" customHeight="1">
      <c r="B1232" s="163"/>
      <c r="C1232" s="163"/>
    </row>
    <row r="1233" ht="15.75" customHeight="1">
      <c r="B1233" s="163"/>
      <c r="C1233" s="163"/>
    </row>
    <row r="1234" ht="15.75" customHeight="1">
      <c r="B1234" s="163"/>
      <c r="C1234" s="163"/>
    </row>
    <row r="1235" ht="15.75" customHeight="1">
      <c r="B1235" s="163"/>
      <c r="C1235" s="163"/>
    </row>
    <row r="1236" ht="15.75" customHeight="1">
      <c r="B1236" s="163"/>
      <c r="C1236" s="163"/>
    </row>
    <row r="1237" ht="15.75" customHeight="1">
      <c r="B1237" s="163"/>
      <c r="C1237" s="163"/>
    </row>
    <row r="1238" ht="15.75" customHeight="1">
      <c r="B1238" s="163"/>
      <c r="C1238" s="163"/>
    </row>
    <row r="1239" ht="15.75" customHeight="1">
      <c r="B1239" s="163"/>
      <c r="C1239" s="163"/>
    </row>
    <row r="1240" ht="15.75" customHeight="1">
      <c r="B1240" s="163"/>
      <c r="C1240" s="163"/>
    </row>
    <row r="1241" ht="15.75" customHeight="1">
      <c r="B1241" s="163"/>
      <c r="C1241" s="163"/>
    </row>
    <row r="1242" ht="15.75" customHeight="1">
      <c r="B1242" s="163"/>
      <c r="C1242" s="163"/>
    </row>
    <row r="1243" ht="15.75" customHeight="1">
      <c r="B1243" s="163"/>
      <c r="C1243" s="163"/>
    </row>
    <row r="1244" ht="15.75" customHeight="1">
      <c r="B1244" s="163"/>
      <c r="C1244" s="163"/>
    </row>
    <row r="1245" ht="15.75" customHeight="1">
      <c r="B1245" s="163"/>
      <c r="C1245" s="163"/>
    </row>
    <row r="1246" ht="15.75" customHeight="1">
      <c r="B1246" s="163"/>
      <c r="C1246" s="163"/>
    </row>
    <row r="1247" ht="15.75" customHeight="1">
      <c r="B1247" s="163"/>
      <c r="C1247" s="163"/>
    </row>
    <row r="1248" ht="15.75" customHeight="1">
      <c r="B1248" s="163"/>
      <c r="C1248" s="163"/>
    </row>
    <row r="1249" ht="15.75" customHeight="1">
      <c r="B1249" s="163"/>
      <c r="C1249" s="163"/>
    </row>
    <row r="1250" ht="15.75" customHeight="1">
      <c r="B1250" s="163"/>
      <c r="C1250" s="163"/>
    </row>
    <row r="1251" ht="15.75" customHeight="1">
      <c r="B1251" s="163"/>
      <c r="C1251" s="163"/>
    </row>
    <row r="1252" ht="15.75" customHeight="1">
      <c r="B1252" s="163"/>
      <c r="C1252" s="163"/>
    </row>
    <row r="1253" ht="15.75" customHeight="1">
      <c r="B1253" s="163"/>
      <c r="C1253" s="163"/>
    </row>
    <row r="1254" ht="15.75" customHeight="1">
      <c r="B1254" s="163"/>
      <c r="C1254" s="163"/>
    </row>
    <row r="1255" ht="15.75" customHeight="1">
      <c r="B1255" s="163"/>
      <c r="C1255" s="163"/>
    </row>
    <row r="1256" ht="15.75" customHeight="1">
      <c r="B1256" s="163"/>
      <c r="C1256" s="163"/>
    </row>
    <row r="1257" ht="15.75" customHeight="1">
      <c r="B1257" s="163"/>
      <c r="C1257" s="163"/>
    </row>
    <row r="1258" ht="15.75" customHeight="1">
      <c r="B1258" s="163"/>
      <c r="C1258" s="163"/>
    </row>
    <row r="1259" ht="15.75" customHeight="1">
      <c r="B1259" s="163"/>
      <c r="C1259" s="163"/>
    </row>
    <row r="1260" ht="15.75" customHeight="1">
      <c r="B1260" s="163"/>
      <c r="C1260" s="163"/>
    </row>
    <row r="1261" ht="15.75" customHeight="1">
      <c r="B1261" s="163"/>
      <c r="C1261" s="163"/>
    </row>
    <row r="1262" ht="15.75" customHeight="1">
      <c r="B1262" s="163"/>
      <c r="C1262" s="163"/>
    </row>
    <row r="1263" ht="15.75" customHeight="1">
      <c r="B1263" s="163"/>
      <c r="C1263" s="163"/>
    </row>
    <row r="1264" ht="15.75" customHeight="1">
      <c r="B1264" s="163"/>
      <c r="C1264" s="163"/>
    </row>
    <row r="1265" ht="15.75" customHeight="1">
      <c r="B1265" s="163"/>
      <c r="C1265" s="163"/>
    </row>
    <row r="1266" ht="15.75" customHeight="1">
      <c r="B1266" s="163"/>
      <c r="C1266" s="163"/>
    </row>
    <row r="1267" ht="15.75" customHeight="1">
      <c r="B1267" s="163"/>
      <c r="C1267" s="163"/>
    </row>
    <row r="1268" ht="15.75" customHeight="1">
      <c r="B1268" s="163"/>
      <c r="C1268" s="163"/>
    </row>
    <row r="1269" ht="15.75" customHeight="1">
      <c r="B1269" s="163"/>
      <c r="C1269" s="163"/>
    </row>
    <row r="1270" ht="15.75" customHeight="1">
      <c r="B1270" s="163"/>
      <c r="C1270" s="163"/>
    </row>
    <row r="1271" ht="15.75" customHeight="1">
      <c r="B1271" s="163"/>
      <c r="C1271" s="163"/>
    </row>
    <row r="1272" ht="15.75" customHeight="1">
      <c r="B1272" s="163"/>
      <c r="C1272" s="163"/>
    </row>
    <row r="1273" ht="15.75" customHeight="1">
      <c r="B1273" s="163"/>
      <c r="C1273" s="163"/>
    </row>
    <row r="1274" ht="15.75" customHeight="1">
      <c r="B1274" s="163"/>
      <c r="C1274" s="163"/>
    </row>
    <row r="1275" ht="15.75" customHeight="1">
      <c r="B1275" s="163"/>
      <c r="C1275" s="163"/>
    </row>
    <row r="1276" ht="15.75" customHeight="1">
      <c r="B1276" s="163"/>
      <c r="C1276" s="163"/>
    </row>
    <row r="1277" ht="15.75" customHeight="1">
      <c r="B1277" s="163"/>
      <c r="C1277" s="163"/>
    </row>
    <row r="1278" ht="15.75" customHeight="1">
      <c r="B1278" s="163"/>
      <c r="C1278" s="163"/>
    </row>
    <row r="1279" ht="15.75" customHeight="1">
      <c r="B1279" s="163"/>
      <c r="C1279" s="163"/>
    </row>
    <row r="1280" ht="15.75" customHeight="1">
      <c r="B1280" s="163"/>
      <c r="C1280" s="163"/>
    </row>
    <row r="1281" ht="15.75" customHeight="1">
      <c r="B1281" s="163"/>
      <c r="C1281" s="163"/>
    </row>
    <row r="1282" ht="15.75" customHeight="1">
      <c r="B1282" s="163"/>
      <c r="C1282" s="163"/>
    </row>
    <row r="1283" ht="15.75" customHeight="1">
      <c r="B1283" s="163"/>
      <c r="C1283" s="163"/>
    </row>
    <row r="1284" ht="15.75" customHeight="1">
      <c r="B1284" s="163"/>
      <c r="C1284" s="163"/>
    </row>
    <row r="1285" ht="15.75" customHeight="1">
      <c r="B1285" s="163"/>
      <c r="C1285" s="163"/>
    </row>
    <row r="1286" ht="15.75" customHeight="1">
      <c r="B1286" s="163"/>
      <c r="C1286" s="163"/>
    </row>
    <row r="1287" ht="15.75" customHeight="1">
      <c r="B1287" s="163"/>
      <c r="C1287" s="163"/>
    </row>
    <row r="1288" ht="15.75" customHeight="1">
      <c r="B1288" s="163"/>
      <c r="C1288" s="163"/>
    </row>
    <row r="1289" ht="15.75" customHeight="1">
      <c r="B1289" s="163"/>
      <c r="C1289" s="163"/>
    </row>
    <row r="1290" ht="15.75" customHeight="1">
      <c r="B1290" s="163"/>
      <c r="C1290" s="163"/>
    </row>
    <row r="1291" ht="15.75" customHeight="1">
      <c r="B1291" s="163"/>
      <c r="C1291" s="163"/>
    </row>
    <row r="1292" ht="15.75" customHeight="1">
      <c r="B1292" s="163"/>
      <c r="C1292" s="163"/>
    </row>
    <row r="1293" ht="15.75" customHeight="1">
      <c r="B1293" s="163"/>
      <c r="C1293" s="163"/>
    </row>
    <row r="1294" ht="15.75" customHeight="1">
      <c r="B1294" s="163"/>
      <c r="C1294" s="163"/>
    </row>
    <row r="1295" ht="15.75" customHeight="1">
      <c r="B1295" s="163"/>
      <c r="C1295" s="163"/>
    </row>
    <row r="1296" ht="15.75" customHeight="1">
      <c r="B1296" s="163"/>
      <c r="C1296" s="163"/>
    </row>
    <row r="1297" ht="15.75" customHeight="1">
      <c r="B1297" s="163"/>
      <c r="C1297" s="163"/>
    </row>
    <row r="1298" ht="15.75" customHeight="1">
      <c r="B1298" s="163"/>
      <c r="C1298" s="163"/>
    </row>
    <row r="1299" ht="15.75" customHeight="1">
      <c r="B1299" s="163"/>
      <c r="C1299" s="163"/>
    </row>
    <row r="1300" ht="15.75" customHeight="1">
      <c r="B1300" s="163"/>
      <c r="C1300" s="163"/>
    </row>
    <row r="1301" ht="15.75" customHeight="1">
      <c r="B1301" s="163"/>
      <c r="C1301" s="163"/>
    </row>
    <row r="1302" ht="15.75" customHeight="1">
      <c r="B1302" s="163"/>
      <c r="C1302" s="163"/>
    </row>
    <row r="1303" ht="15.75" customHeight="1">
      <c r="B1303" s="163"/>
      <c r="C1303" s="163"/>
    </row>
    <row r="1304" ht="15.75" customHeight="1">
      <c r="B1304" s="163"/>
      <c r="C1304" s="163"/>
    </row>
    <row r="1305" ht="15.75" customHeight="1">
      <c r="B1305" s="163"/>
      <c r="C1305" s="163"/>
    </row>
    <row r="1306" ht="15.75" customHeight="1">
      <c r="B1306" s="163"/>
      <c r="C1306" s="163"/>
    </row>
    <row r="1307" ht="15.75" customHeight="1">
      <c r="B1307" s="163"/>
      <c r="C1307" s="163"/>
    </row>
    <row r="1308" ht="15.75" customHeight="1">
      <c r="B1308" s="163"/>
      <c r="C1308" s="163"/>
    </row>
    <row r="1309" ht="15.75" customHeight="1">
      <c r="B1309" s="163"/>
      <c r="C1309" s="163"/>
    </row>
    <row r="1310" ht="15.75" customHeight="1">
      <c r="B1310" s="163"/>
      <c r="C1310" s="163"/>
    </row>
    <row r="1311" ht="15.75" customHeight="1">
      <c r="B1311" s="163"/>
      <c r="C1311" s="163"/>
    </row>
    <row r="1312" ht="15.75" customHeight="1">
      <c r="B1312" s="163"/>
      <c r="C1312" s="163"/>
    </row>
    <row r="1313" ht="15.75" customHeight="1">
      <c r="B1313" s="163"/>
      <c r="C1313" s="163"/>
    </row>
    <row r="1314" ht="15.75" customHeight="1">
      <c r="B1314" s="163"/>
      <c r="C1314" s="163"/>
    </row>
    <row r="1315" ht="15.75" customHeight="1">
      <c r="B1315" s="163"/>
      <c r="C1315" s="163"/>
    </row>
    <row r="1316" ht="15.75" customHeight="1">
      <c r="B1316" s="163"/>
      <c r="C1316" s="163"/>
    </row>
    <row r="1317" ht="15.75" customHeight="1">
      <c r="B1317" s="163"/>
      <c r="C1317" s="163"/>
    </row>
    <row r="1318" ht="15.75" customHeight="1">
      <c r="B1318" s="163"/>
      <c r="C1318" s="163"/>
    </row>
    <row r="1319" ht="15.75" customHeight="1">
      <c r="B1319" s="163"/>
      <c r="C1319" s="163"/>
    </row>
    <row r="1320" ht="15.75" customHeight="1">
      <c r="B1320" s="163"/>
      <c r="C1320" s="163"/>
    </row>
    <row r="1321" ht="15.75" customHeight="1">
      <c r="B1321" s="163"/>
      <c r="C1321" s="163"/>
    </row>
    <row r="1322" ht="15.75" customHeight="1">
      <c r="B1322" s="163"/>
      <c r="C1322" s="163"/>
    </row>
    <row r="1323" ht="15.75" customHeight="1">
      <c r="B1323" s="163"/>
      <c r="C1323" s="163"/>
    </row>
    <row r="1324" ht="15.75" customHeight="1">
      <c r="B1324" s="163"/>
      <c r="C1324" s="163"/>
    </row>
    <row r="1325" ht="15.75" customHeight="1">
      <c r="B1325" s="163"/>
      <c r="C1325" s="163"/>
    </row>
    <row r="1326" ht="15.75" customHeight="1">
      <c r="B1326" s="163"/>
      <c r="C1326" s="163"/>
    </row>
    <row r="1327" ht="15.75" customHeight="1">
      <c r="B1327" s="163"/>
      <c r="C1327" s="163"/>
    </row>
    <row r="1328" ht="15.75" customHeight="1">
      <c r="B1328" s="163"/>
      <c r="C1328" s="163"/>
    </row>
    <row r="1329" ht="15.75" customHeight="1">
      <c r="B1329" s="163"/>
      <c r="C1329" s="163"/>
    </row>
    <row r="1330" ht="15.75" customHeight="1">
      <c r="B1330" s="163"/>
      <c r="C1330" s="163"/>
    </row>
    <row r="1331" ht="15.75" customHeight="1">
      <c r="B1331" s="163"/>
      <c r="C1331" s="163"/>
    </row>
    <row r="1332" ht="15.75" customHeight="1">
      <c r="B1332" s="163"/>
      <c r="C1332" s="163"/>
    </row>
    <row r="1333" ht="15.75" customHeight="1">
      <c r="B1333" s="163"/>
      <c r="C1333" s="163"/>
    </row>
    <row r="1334" ht="15.75" customHeight="1">
      <c r="B1334" s="163"/>
      <c r="C1334" s="163"/>
    </row>
    <row r="1335" ht="15.75" customHeight="1">
      <c r="B1335" s="163"/>
      <c r="C1335" s="163"/>
    </row>
    <row r="1336" ht="15.75" customHeight="1">
      <c r="B1336" s="163"/>
      <c r="C1336" s="163"/>
    </row>
    <row r="1337" ht="15.75" customHeight="1">
      <c r="B1337" s="163"/>
      <c r="C1337" s="163"/>
    </row>
    <row r="1338" ht="15.75" customHeight="1">
      <c r="B1338" s="163"/>
      <c r="C1338" s="163"/>
    </row>
    <row r="1339" ht="15.75" customHeight="1">
      <c r="B1339" s="163"/>
      <c r="C1339" s="163"/>
    </row>
    <row r="1340" ht="15.75" customHeight="1">
      <c r="B1340" s="163"/>
      <c r="C1340" s="163"/>
    </row>
    <row r="1341" ht="15.75" customHeight="1">
      <c r="B1341" s="163"/>
      <c r="C1341" s="163"/>
    </row>
    <row r="1342" ht="15.75" customHeight="1">
      <c r="B1342" s="163"/>
      <c r="C1342" s="163"/>
    </row>
    <row r="1343" ht="15.75" customHeight="1">
      <c r="B1343" s="163"/>
      <c r="C1343" s="163"/>
    </row>
    <row r="1344" ht="15.75" customHeight="1">
      <c r="B1344" s="163"/>
      <c r="C1344" s="163"/>
    </row>
    <row r="1345" ht="15.75" customHeight="1">
      <c r="B1345" s="163"/>
      <c r="C1345" s="163"/>
    </row>
    <row r="1346" ht="15.75" customHeight="1">
      <c r="B1346" s="163"/>
      <c r="C1346" s="163"/>
    </row>
    <row r="1347" ht="15.75" customHeight="1">
      <c r="B1347" s="163"/>
      <c r="C1347" s="163"/>
    </row>
    <row r="1348" ht="15.75" customHeight="1">
      <c r="B1348" s="163"/>
      <c r="C1348" s="163"/>
    </row>
    <row r="1349" ht="15.75" customHeight="1">
      <c r="B1349" s="163"/>
      <c r="C1349" s="163"/>
    </row>
    <row r="1350" ht="15.75" customHeight="1">
      <c r="B1350" s="163"/>
      <c r="C1350" s="163"/>
    </row>
    <row r="1351" ht="15.75" customHeight="1">
      <c r="B1351" s="163"/>
      <c r="C1351" s="163"/>
    </row>
    <row r="1352" ht="15.75" customHeight="1">
      <c r="B1352" s="163"/>
      <c r="C1352" s="163"/>
    </row>
    <row r="1353" ht="15.75" customHeight="1">
      <c r="B1353" s="163"/>
      <c r="C1353" s="163"/>
    </row>
    <row r="1354" ht="15.75" customHeight="1">
      <c r="B1354" s="163"/>
      <c r="C1354" s="163"/>
    </row>
    <row r="1355" ht="15.75" customHeight="1">
      <c r="B1355" s="163"/>
      <c r="C1355" s="163"/>
    </row>
    <row r="1356" ht="15.75" customHeight="1">
      <c r="B1356" s="163"/>
      <c r="C1356" s="163"/>
    </row>
    <row r="1357" ht="15.75" customHeight="1">
      <c r="B1357" s="163"/>
      <c r="C1357" s="163"/>
    </row>
    <row r="1358" ht="15.75" customHeight="1">
      <c r="B1358" s="163"/>
      <c r="C1358" s="163"/>
    </row>
    <row r="1359" ht="15.75" customHeight="1">
      <c r="B1359" s="163"/>
      <c r="C1359" s="163"/>
    </row>
    <row r="1360" ht="15.75" customHeight="1">
      <c r="B1360" s="163"/>
      <c r="C1360" s="163"/>
    </row>
    <row r="1361" ht="15.75" customHeight="1">
      <c r="B1361" s="163"/>
      <c r="C1361" s="163"/>
    </row>
    <row r="1362" ht="15.75" customHeight="1">
      <c r="B1362" s="163"/>
      <c r="C1362" s="163"/>
    </row>
    <row r="1363" ht="15.75" customHeight="1">
      <c r="B1363" s="163"/>
      <c r="C1363" s="163"/>
    </row>
    <row r="1364" ht="15.75" customHeight="1">
      <c r="B1364" s="163"/>
      <c r="C1364" s="163"/>
    </row>
    <row r="1365" ht="15.75" customHeight="1">
      <c r="B1365" s="163"/>
      <c r="C1365" s="163"/>
    </row>
    <row r="1366" ht="15.75" customHeight="1">
      <c r="B1366" s="163"/>
      <c r="C1366" s="163"/>
    </row>
    <row r="1367" ht="15.75" customHeight="1">
      <c r="B1367" s="163"/>
      <c r="C1367" s="163"/>
    </row>
    <row r="1368" ht="15.75" customHeight="1">
      <c r="B1368" s="163"/>
      <c r="C1368" s="163"/>
    </row>
    <row r="1369" ht="15.75" customHeight="1">
      <c r="B1369" s="163"/>
      <c r="C1369" s="163"/>
    </row>
    <row r="1370" ht="15.75" customHeight="1">
      <c r="B1370" s="163"/>
      <c r="C1370" s="163"/>
    </row>
    <row r="1371" ht="15.75" customHeight="1">
      <c r="B1371" s="163"/>
      <c r="C1371" s="163"/>
    </row>
    <row r="1372" ht="15.75" customHeight="1">
      <c r="B1372" s="163"/>
      <c r="C1372" s="163"/>
    </row>
    <row r="1373" ht="15.75" customHeight="1">
      <c r="B1373" s="163"/>
      <c r="C1373" s="163"/>
    </row>
    <row r="1374" ht="15.75" customHeight="1">
      <c r="B1374" s="163"/>
      <c r="C1374" s="163"/>
    </row>
    <row r="1375" ht="15.75" customHeight="1">
      <c r="B1375" s="163"/>
      <c r="C1375" s="163"/>
    </row>
    <row r="1376" ht="15.75" customHeight="1">
      <c r="B1376" s="163"/>
      <c r="C1376" s="163"/>
    </row>
    <row r="1377" ht="15.75" customHeight="1">
      <c r="B1377" s="163"/>
      <c r="C1377" s="163"/>
    </row>
    <row r="1378" ht="15.75" customHeight="1">
      <c r="B1378" s="163"/>
      <c r="C1378" s="163"/>
    </row>
    <row r="1379" ht="15.75" customHeight="1">
      <c r="B1379" s="163"/>
      <c r="C1379" s="163"/>
    </row>
    <row r="1380" ht="15.75" customHeight="1">
      <c r="B1380" s="163"/>
      <c r="C1380" s="163"/>
    </row>
    <row r="1381" ht="15.75" customHeight="1">
      <c r="B1381" s="163"/>
      <c r="C1381" s="163"/>
    </row>
    <row r="1382" ht="15.75" customHeight="1">
      <c r="B1382" s="163"/>
      <c r="C1382" s="163"/>
    </row>
    <row r="1383" ht="15.75" customHeight="1">
      <c r="B1383" s="163"/>
      <c r="C1383" s="163"/>
    </row>
    <row r="1384" ht="15.75" customHeight="1">
      <c r="B1384" s="163"/>
      <c r="C1384" s="163"/>
    </row>
    <row r="1385" ht="15.75" customHeight="1">
      <c r="B1385" s="163"/>
      <c r="C1385" s="163"/>
    </row>
    <row r="1386" ht="15.75" customHeight="1">
      <c r="B1386" s="163"/>
      <c r="C1386" s="163"/>
    </row>
    <row r="1387" ht="15.75" customHeight="1">
      <c r="B1387" s="163"/>
      <c r="C1387" s="163"/>
    </row>
    <row r="1388" ht="15.75" customHeight="1">
      <c r="B1388" s="163"/>
      <c r="C1388" s="163"/>
    </row>
    <row r="1389" ht="15.75" customHeight="1">
      <c r="B1389" s="163"/>
      <c r="C1389" s="163"/>
    </row>
    <row r="1390" ht="15.75" customHeight="1">
      <c r="B1390" s="163"/>
      <c r="C1390" s="163"/>
    </row>
    <row r="1391" ht="15.75" customHeight="1">
      <c r="B1391" s="163"/>
      <c r="C1391" s="163"/>
    </row>
    <row r="1392" ht="15.75" customHeight="1">
      <c r="B1392" s="163"/>
      <c r="C1392" s="163"/>
    </row>
    <row r="1393" ht="15.75" customHeight="1">
      <c r="B1393" s="163"/>
      <c r="C1393" s="163"/>
    </row>
    <row r="1394" ht="15.75" customHeight="1">
      <c r="B1394" s="163"/>
      <c r="C1394" s="163"/>
    </row>
    <row r="1395" ht="15.75" customHeight="1">
      <c r="B1395" s="163"/>
      <c r="C1395" s="163"/>
    </row>
    <row r="1396" ht="15.75" customHeight="1">
      <c r="B1396" s="163"/>
      <c r="C1396" s="163"/>
    </row>
    <row r="1397" ht="15.75" customHeight="1">
      <c r="B1397" s="163"/>
      <c r="C1397" s="163"/>
    </row>
    <row r="1398" ht="15.75" customHeight="1">
      <c r="B1398" s="163"/>
      <c r="C1398" s="163"/>
    </row>
    <row r="1399" ht="15.75" customHeight="1">
      <c r="B1399" s="163"/>
      <c r="C1399" s="163"/>
    </row>
    <row r="1400" ht="15.75" customHeight="1">
      <c r="B1400" s="163"/>
      <c r="C1400" s="163"/>
    </row>
    <row r="1401" ht="15.75" customHeight="1">
      <c r="B1401" s="163"/>
      <c r="C1401" s="163"/>
    </row>
    <row r="1402" ht="15.75" customHeight="1">
      <c r="B1402" s="163"/>
      <c r="C1402" s="163"/>
    </row>
    <row r="1403" ht="15.75" customHeight="1">
      <c r="B1403" s="163"/>
      <c r="C1403" s="163"/>
    </row>
    <row r="1404" ht="15.75" customHeight="1">
      <c r="B1404" s="163"/>
      <c r="C1404" s="163"/>
    </row>
    <row r="1405" ht="15.75" customHeight="1">
      <c r="B1405" s="163"/>
      <c r="C1405" s="163"/>
    </row>
    <row r="1406" ht="15.75" customHeight="1">
      <c r="B1406" s="163"/>
      <c r="C1406" s="163"/>
    </row>
    <row r="1407" ht="15.75" customHeight="1">
      <c r="B1407" s="163"/>
      <c r="C1407" s="163"/>
    </row>
    <row r="1408" ht="15.75" customHeight="1">
      <c r="B1408" s="163"/>
      <c r="C1408" s="163"/>
    </row>
    <row r="1409" ht="15.75" customHeight="1">
      <c r="B1409" s="163"/>
      <c r="C1409" s="163"/>
    </row>
    <row r="1410" ht="15.75" customHeight="1">
      <c r="B1410" s="163"/>
      <c r="C1410" s="163"/>
    </row>
    <row r="1411" ht="15.75" customHeight="1">
      <c r="B1411" s="163"/>
      <c r="C1411" s="163"/>
    </row>
    <row r="1412" ht="15.75" customHeight="1">
      <c r="B1412" s="163"/>
      <c r="C1412" s="163"/>
    </row>
    <row r="1413" ht="15.75" customHeight="1">
      <c r="B1413" s="163"/>
      <c r="C1413" s="163"/>
    </row>
    <row r="1414" ht="15.75" customHeight="1">
      <c r="B1414" s="163"/>
      <c r="C1414" s="163"/>
    </row>
    <row r="1415" ht="15.75" customHeight="1">
      <c r="B1415" s="163"/>
      <c r="C1415" s="163"/>
    </row>
    <row r="1416" ht="15.75" customHeight="1">
      <c r="B1416" s="163"/>
      <c r="C1416" s="163"/>
    </row>
    <row r="1417" ht="15.75" customHeight="1">
      <c r="B1417" s="163"/>
      <c r="C1417" s="163"/>
    </row>
    <row r="1418" ht="15.75" customHeight="1">
      <c r="B1418" s="163"/>
      <c r="C1418" s="163"/>
    </row>
    <row r="1419" ht="15.75" customHeight="1">
      <c r="B1419" s="163"/>
      <c r="C1419" s="163"/>
    </row>
    <row r="1420" ht="15.75" customHeight="1">
      <c r="B1420" s="163"/>
      <c r="C1420" s="163"/>
    </row>
    <row r="1421" ht="15.75" customHeight="1">
      <c r="B1421" s="163"/>
      <c r="C1421" s="163"/>
    </row>
    <row r="1422" ht="15.75" customHeight="1">
      <c r="B1422" s="163"/>
      <c r="C1422" s="163"/>
    </row>
    <row r="1423" ht="15.75" customHeight="1">
      <c r="B1423" s="163"/>
      <c r="C1423" s="163"/>
    </row>
    <row r="1424" ht="15.75" customHeight="1">
      <c r="B1424" s="163"/>
      <c r="C1424" s="163"/>
    </row>
    <row r="1425" ht="15.75" customHeight="1">
      <c r="B1425" s="163"/>
      <c r="C1425" s="163"/>
    </row>
    <row r="1426" ht="15.75" customHeight="1">
      <c r="B1426" s="163"/>
      <c r="C1426" s="163"/>
    </row>
    <row r="1427" ht="15.75" customHeight="1">
      <c r="B1427" s="163"/>
      <c r="C1427" s="163"/>
    </row>
    <row r="1428" ht="15.75" customHeight="1">
      <c r="B1428" s="163"/>
      <c r="C1428" s="163"/>
    </row>
    <row r="1429" ht="15.75" customHeight="1">
      <c r="B1429" s="163"/>
      <c r="C1429" s="163"/>
    </row>
    <row r="1430" ht="15.75" customHeight="1">
      <c r="B1430" s="163"/>
      <c r="C1430" s="163"/>
    </row>
    <row r="1431" ht="15.75" customHeight="1">
      <c r="B1431" s="163"/>
      <c r="C1431" s="163"/>
    </row>
    <row r="1432" ht="15.75" customHeight="1">
      <c r="B1432" s="163"/>
      <c r="C1432" s="163"/>
    </row>
    <row r="1433" ht="15.75" customHeight="1">
      <c r="B1433" s="163"/>
      <c r="C1433" s="163"/>
    </row>
    <row r="1434" ht="15.75" customHeight="1">
      <c r="B1434" s="163"/>
      <c r="C1434" s="163"/>
    </row>
    <row r="1435" ht="15.75" customHeight="1">
      <c r="B1435" s="163"/>
      <c r="C1435" s="163"/>
    </row>
    <row r="1436" ht="15.75" customHeight="1">
      <c r="B1436" s="163"/>
      <c r="C1436" s="163"/>
    </row>
    <row r="1437" ht="15.75" customHeight="1">
      <c r="B1437" s="163"/>
      <c r="C1437" s="163"/>
    </row>
    <row r="1438" ht="15.75" customHeight="1">
      <c r="B1438" s="163"/>
      <c r="C1438" s="163"/>
    </row>
    <row r="1439" ht="15.75" customHeight="1">
      <c r="B1439" s="163"/>
      <c r="C1439" s="163"/>
    </row>
    <row r="1440" ht="15.75" customHeight="1">
      <c r="B1440" s="163"/>
      <c r="C1440" s="163"/>
    </row>
    <row r="1441" ht="15.75" customHeight="1">
      <c r="B1441" s="163"/>
      <c r="C1441" s="163"/>
    </row>
    <row r="1442" ht="15.75" customHeight="1">
      <c r="B1442" s="163"/>
      <c r="C1442" s="163"/>
    </row>
    <row r="1443" ht="15.75" customHeight="1">
      <c r="B1443" s="163"/>
      <c r="C1443" s="163"/>
    </row>
    <row r="1444" ht="15.75" customHeight="1">
      <c r="B1444" s="163"/>
      <c r="C1444" s="163"/>
    </row>
    <row r="1445" ht="15.75" customHeight="1">
      <c r="B1445" s="163"/>
      <c r="C1445" s="163"/>
    </row>
    <row r="1446" ht="15.75" customHeight="1">
      <c r="B1446" s="163"/>
      <c r="C1446" s="163"/>
    </row>
    <row r="1447" ht="15.75" customHeight="1">
      <c r="B1447" s="163"/>
      <c r="C1447" s="163"/>
    </row>
    <row r="1448" ht="15.75" customHeight="1">
      <c r="B1448" s="163"/>
      <c r="C1448" s="163"/>
    </row>
    <row r="1449" ht="15.75" customHeight="1">
      <c r="B1449" s="163"/>
      <c r="C1449" s="163"/>
    </row>
    <row r="1450" ht="15.75" customHeight="1">
      <c r="B1450" s="163"/>
      <c r="C1450" s="163"/>
    </row>
    <row r="1451" ht="15.75" customHeight="1">
      <c r="B1451" s="163"/>
      <c r="C1451" s="163"/>
    </row>
    <row r="1452" ht="15.75" customHeight="1">
      <c r="B1452" s="163"/>
      <c r="C1452" s="163"/>
    </row>
    <row r="1453" ht="15.75" customHeight="1">
      <c r="B1453" s="163"/>
      <c r="C1453" s="163"/>
    </row>
    <row r="1454" ht="15.75" customHeight="1">
      <c r="B1454" s="163"/>
      <c r="C1454" s="163"/>
    </row>
    <row r="1455" ht="15.75" customHeight="1">
      <c r="B1455" s="163"/>
      <c r="C1455" s="163"/>
    </row>
    <row r="1456" ht="15.75" customHeight="1">
      <c r="B1456" s="163"/>
      <c r="C1456" s="163"/>
    </row>
    <row r="1457" ht="15.75" customHeight="1">
      <c r="B1457" s="163"/>
      <c r="C1457" s="163"/>
    </row>
    <row r="1458" ht="15.75" customHeight="1">
      <c r="B1458" s="163"/>
      <c r="C1458" s="163"/>
    </row>
    <row r="1459" ht="15.75" customHeight="1">
      <c r="B1459" s="163"/>
      <c r="C1459" s="163"/>
    </row>
    <row r="1460" ht="15.75" customHeight="1">
      <c r="B1460" s="163"/>
      <c r="C1460" s="163"/>
    </row>
    <row r="1461" ht="15.75" customHeight="1">
      <c r="B1461" s="163"/>
      <c r="C1461" s="163"/>
    </row>
    <row r="1462" ht="15.75" customHeight="1">
      <c r="B1462" s="163"/>
      <c r="C1462" s="163"/>
    </row>
    <row r="1463" ht="15.75" customHeight="1">
      <c r="B1463" s="163"/>
      <c r="C1463" s="163"/>
    </row>
    <row r="1464" ht="15.75" customHeight="1">
      <c r="B1464" s="163"/>
      <c r="C1464" s="163"/>
    </row>
    <row r="1465" ht="15.75" customHeight="1">
      <c r="B1465" s="163"/>
      <c r="C1465" s="163"/>
    </row>
    <row r="1466" ht="15.75" customHeight="1">
      <c r="B1466" s="163"/>
      <c r="C1466" s="163"/>
    </row>
    <row r="1467" ht="15.75" customHeight="1">
      <c r="B1467" s="163"/>
      <c r="C1467" s="163"/>
    </row>
    <row r="1468" ht="15.75" customHeight="1">
      <c r="B1468" s="163"/>
      <c r="C1468" s="163"/>
    </row>
    <row r="1469" ht="15.75" customHeight="1">
      <c r="B1469" s="163"/>
      <c r="C1469" s="163"/>
    </row>
    <row r="1470" ht="15.75" customHeight="1">
      <c r="B1470" s="163"/>
      <c r="C1470" s="163"/>
    </row>
    <row r="1471" ht="15.75" customHeight="1">
      <c r="B1471" s="163"/>
      <c r="C1471" s="163"/>
    </row>
    <row r="1472" ht="15.75" customHeight="1">
      <c r="B1472" s="163"/>
      <c r="C1472" s="163"/>
    </row>
    <row r="1473" ht="15.75" customHeight="1">
      <c r="B1473" s="163"/>
      <c r="C1473" s="163"/>
    </row>
    <row r="1474" ht="15.75" customHeight="1">
      <c r="B1474" s="163"/>
      <c r="C1474" s="163"/>
    </row>
    <row r="1475" ht="15.75" customHeight="1">
      <c r="B1475" s="163"/>
      <c r="C1475" s="163"/>
    </row>
    <row r="1476" ht="15.75" customHeight="1">
      <c r="B1476" s="163"/>
      <c r="C1476" s="163"/>
    </row>
    <row r="1477" ht="15.75" customHeight="1">
      <c r="B1477" s="163"/>
      <c r="C1477" s="163"/>
    </row>
    <row r="1478" ht="15.75" customHeight="1">
      <c r="B1478" s="163"/>
      <c r="C1478" s="163"/>
    </row>
    <row r="1479" ht="15.75" customHeight="1">
      <c r="B1479" s="163"/>
      <c r="C1479" s="163"/>
    </row>
    <row r="1480" ht="15.75" customHeight="1">
      <c r="B1480" s="163"/>
      <c r="C1480" s="163"/>
    </row>
    <row r="1481" ht="15.75" customHeight="1">
      <c r="B1481" s="163"/>
      <c r="C1481" s="163"/>
    </row>
    <row r="1482" ht="15.75" customHeight="1">
      <c r="B1482" s="163"/>
      <c r="C1482" s="163"/>
    </row>
    <row r="1483" ht="15.75" customHeight="1">
      <c r="B1483" s="163"/>
      <c r="C1483" s="163"/>
    </row>
    <row r="1484" ht="15.75" customHeight="1">
      <c r="B1484" s="163"/>
      <c r="C1484" s="163"/>
    </row>
    <row r="1485" ht="15.75" customHeight="1">
      <c r="B1485" s="163"/>
      <c r="C1485" s="163"/>
    </row>
    <row r="1486" ht="15.75" customHeight="1">
      <c r="B1486" s="163"/>
      <c r="C1486" s="163"/>
    </row>
    <row r="1487" ht="15.75" customHeight="1">
      <c r="B1487" s="163"/>
      <c r="C1487" s="163"/>
    </row>
    <row r="1488" ht="15.75" customHeight="1">
      <c r="B1488" s="163"/>
      <c r="C1488" s="163"/>
    </row>
    <row r="1489" ht="15.75" customHeight="1">
      <c r="B1489" s="163"/>
      <c r="C1489" s="163"/>
    </row>
    <row r="1490" ht="15.75" customHeight="1">
      <c r="B1490" s="163"/>
      <c r="C1490" s="163"/>
    </row>
    <row r="1491" ht="15.75" customHeight="1">
      <c r="B1491" s="163"/>
      <c r="C1491" s="163"/>
    </row>
    <row r="1492" ht="15.75" customHeight="1">
      <c r="B1492" s="163"/>
      <c r="C1492" s="163"/>
    </row>
    <row r="1493" ht="15.75" customHeight="1">
      <c r="B1493" s="163"/>
      <c r="C1493" s="163"/>
    </row>
    <row r="1494" ht="15.75" customHeight="1">
      <c r="B1494" s="163"/>
      <c r="C1494" s="163"/>
    </row>
    <row r="1495" ht="15.75" customHeight="1">
      <c r="B1495" s="163"/>
      <c r="C1495" s="163"/>
    </row>
    <row r="1496" ht="15.75" customHeight="1">
      <c r="B1496" s="163"/>
      <c r="C1496" s="163"/>
    </row>
    <row r="1497" ht="15.75" customHeight="1">
      <c r="B1497" s="163"/>
      <c r="C1497" s="163"/>
    </row>
    <row r="1498" ht="15.75" customHeight="1">
      <c r="B1498" s="163"/>
      <c r="C1498" s="163"/>
    </row>
    <row r="1499" ht="15.75" customHeight="1">
      <c r="B1499" s="163"/>
      <c r="C1499" s="163"/>
    </row>
    <row r="1500" ht="15.75" customHeight="1">
      <c r="B1500" s="163"/>
      <c r="C1500" s="163"/>
    </row>
    <row r="1501" ht="15.75" customHeight="1">
      <c r="B1501" s="163"/>
      <c r="C1501" s="163"/>
    </row>
    <row r="1502" ht="15.75" customHeight="1">
      <c r="B1502" s="163"/>
      <c r="C1502" s="163"/>
    </row>
    <row r="1503" ht="15.75" customHeight="1">
      <c r="B1503" s="163"/>
      <c r="C1503" s="163"/>
    </row>
    <row r="1504" ht="15.75" customHeight="1">
      <c r="B1504" s="163"/>
      <c r="C1504" s="163"/>
    </row>
    <row r="1505" ht="15.75" customHeight="1">
      <c r="B1505" s="163"/>
      <c r="C1505" s="163"/>
    </row>
    <row r="1506" ht="15.75" customHeight="1">
      <c r="B1506" s="163"/>
      <c r="C1506" s="163"/>
    </row>
    <row r="1507" ht="15.75" customHeight="1">
      <c r="B1507" s="163"/>
      <c r="C1507" s="163"/>
    </row>
    <row r="1508" ht="15.75" customHeight="1">
      <c r="B1508" s="163"/>
      <c r="C1508" s="163"/>
    </row>
    <row r="1509" ht="15.75" customHeight="1">
      <c r="B1509" s="163"/>
      <c r="C1509" s="163"/>
    </row>
    <row r="1510" ht="15.75" customHeight="1">
      <c r="B1510" s="163"/>
      <c r="C1510" s="163"/>
    </row>
    <row r="1511" ht="15.75" customHeight="1">
      <c r="B1511" s="163"/>
      <c r="C1511" s="163"/>
    </row>
    <row r="1512" ht="15.75" customHeight="1">
      <c r="B1512" s="163"/>
      <c r="C1512" s="163"/>
    </row>
    <row r="1513" ht="15.75" customHeight="1">
      <c r="B1513" s="163"/>
      <c r="C1513" s="163"/>
    </row>
    <row r="1514" ht="15.75" customHeight="1">
      <c r="B1514" s="163"/>
      <c r="C1514" s="163"/>
    </row>
    <row r="1515" ht="15.75" customHeight="1">
      <c r="B1515" s="163"/>
      <c r="C1515" s="163"/>
    </row>
    <row r="1516" ht="15.75" customHeight="1">
      <c r="B1516" s="163"/>
      <c r="C1516" s="163"/>
    </row>
    <row r="1517" ht="15.75" customHeight="1">
      <c r="B1517" s="163"/>
      <c r="C1517" s="163"/>
    </row>
    <row r="1518" ht="15.75" customHeight="1">
      <c r="B1518" s="163"/>
      <c r="C1518" s="163"/>
    </row>
    <row r="1519" ht="15.75" customHeight="1">
      <c r="B1519" s="163"/>
      <c r="C1519" s="163"/>
    </row>
    <row r="1520" ht="15.75" customHeight="1">
      <c r="B1520" s="163"/>
      <c r="C1520" s="163"/>
    </row>
    <row r="1521" ht="15.75" customHeight="1">
      <c r="B1521" s="163"/>
      <c r="C1521" s="163"/>
    </row>
    <row r="1522" ht="15.75" customHeight="1">
      <c r="B1522" s="163"/>
      <c r="C1522" s="163"/>
    </row>
    <row r="1523" ht="15.75" customHeight="1">
      <c r="B1523" s="163"/>
      <c r="C1523" s="163"/>
    </row>
    <row r="1524" ht="15.75" customHeight="1">
      <c r="B1524" s="163"/>
      <c r="C1524" s="163"/>
    </row>
    <row r="1525" ht="15.75" customHeight="1">
      <c r="B1525" s="163"/>
      <c r="C1525" s="163"/>
    </row>
    <row r="1526" ht="15.75" customHeight="1">
      <c r="B1526" s="163"/>
      <c r="C1526" s="163"/>
    </row>
    <row r="1527" ht="15.75" customHeight="1">
      <c r="B1527" s="163"/>
      <c r="C1527" s="163"/>
    </row>
    <row r="1528" ht="15.75" customHeight="1">
      <c r="B1528" s="163"/>
      <c r="C1528" s="163"/>
    </row>
    <row r="1529" ht="15.75" customHeight="1">
      <c r="B1529" s="163"/>
      <c r="C1529" s="163"/>
    </row>
    <row r="1530" ht="15.75" customHeight="1">
      <c r="B1530" s="163"/>
      <c r="C1530" s="163"/>
    </row>
    <row r="1531" ht="15.75" customHeight="1">
      <c r="B1531" s="163"/>
      <c r="C1531" s="163"/>
    </row>
    <row r="1532" ht="15.75" customHeight="1">
      <c r="B1532" s="163"/>
      <c r="C1532" s="163"/>
    </row>
    <row r="1533" ht="15.75" customHeight="1">
      <c r="B1533" s="163"/>
      <c r="C1533" s="163"/>
    </row>
    <row r="1534" ht="15.75" customHeight="1">
      <c r="B1534" s="163"/>
      <c r="C1534" s="163"/>
    </row>
    <row r="1535" ht="15.75" customHeight="1">
      <c r="B1535" s="163"/>
      <c r="C1535" s="163"/>
    </row>
    <row r="1536" ht="15.75" customHeight="1">
      <c r="B1536" s="163"/>
      <c r="C1536" s="163"/>
    </row>
    <row r="1537" ht="15.75" customHeight="1">
      <c r="B1537" s="163"/>
      <c r="C1537" s="163"/>
    </row>
    <row r="1538" ht="15.75" customHeight="1">
      <c r="B1538" s="163"/>
      <c r="C1538" s="163"/>
    </row>
    <row r="1539" ht="15.75" customHeight="1">
      <c r="B1539" s="163"/>
      <c r="C1539" s="163"/>
    </row>
    <row r="1540" ht="15.75" customHeight="1">
      <c r="B1540" s="163"/>
      <c r="C1540" s="163"/>
    </row>
    <row r="1541" ht="15.75" customHeight="1">
      <c r="B1541" s="163"/>
      <c r="C1541" s="163"/>
    </row>
    <row r="1542" ht="15.75" customHeight="1">
      <c r="B1542" s="163"/>
      <c r="C1542" s="163"/>
    </row>
    <row r="1543" ht="15.75" customHeight="1">
      <c r="B1543" s="163"/>
      <c r="C1543" s="163"/>
    </row>
    <row r="1544" ht="15.75" customHeight="1">
      <c r="B1544" s="163"/>
      <c r="C1544" s="163"/>
    </row>
    <row r="1545" ht="15.75" customHeight="1">
      <c r="B1545" s="163"/>
      <c r="C1545" s="163"/>
    </row>
    <row r="1546" ht="15.75" customHeight="1">
      <c r="B1546" s="163"/>
      <c r="C1546" s="163"/>
    </row>
    <row r="1547" ht="15.75" customHeight="1">
      <c r="B1547" s="163"/>
      <c r="C1547" s="163"/>
    </row>
    <row r="1548" ht="15.75" customHeight="1">
      <c r="B1548" s="163"/>
      <c r="C1548" s="163"/>
    </row>
    <row r="1549" ht="15.75" customHeight="1">
      <c r="B1549" s="163"/>
      <c r="C1549" s="163"/>
    </row>
    <row r="1550" ht="15.75" customHeight="1">
      <c r="B1550" s="163"/>
      <c r="C1550" s="163"/>
    </row>
    <row r="1551" ht="15.75" customHeight="1">
      <c r="B1551" s="163"/>
      <c r="C1551" s="163"/>
    </row>
    <row r="1552" ht="15.75" customHeight="1">
      <c r="B1552" s="163"/>
      <c r="C1552" s="163"/>
    </row>
    <row r="1553" ht="15.75" customHeight="1">
      <c r="B1553" s="163"/>
      <c r="C1553" s="163"/>
    </row>
    <row r="1554" ht="15.75" customHeight="1">
      <c r="B1554" s="163"/>
      <c r="C1554" s="163"/>
    </row>
    <row r="1555" ht="15.75" customHeight="1">
      <c r="B1555" s="163"/>
      <c r="C1555" s="163"/>
    </row>
    <row r="1556" ht="15.75" customHeight="1">
      <c r="B1556" s="163"/>
      <c r="C1556" s="163"/>
    </row>
    <row r="1557" ht="15.75" customHeight="1">
      <c r="B1557" s="163"/>
      <c r="C1557" s="163"/>
    </row>
    <row r="1558" ht="15.75" customHeight="1">
      <c r="B1558" s="163"/>
      <c r="C1558" s="163"/>
    </row>
    <row r="1559" ht="15.75" customHeight="1">
      <c r="B1559" s="163"/>
      <c r="C1559" s="163"/>
    </row>
    <row r="1560" ht="15.75" customHeight="1">
      <c r="B1560" s="163"/>
      <c r="C1560" s="163"/>
    </row>
    <row r="1561" ht="15.75" customHeight="1">
      <c r="B1561" s="163"/>
      <c r="C1561" s="163"/>
    </row>
    <row r="1562" ht="15.75" customHeight="1">
      <c r="B1562" s="163"/>
      <c r="C1562" s="163"/>
    </row>
    <row r="1563" ht="15.75" customHeight="1">
      <c r="B1563" s="163"/>
      <c r="C1563" s="163"/>
    </row>
    <row r="1564" ht="15.75" customHeight="1">
      <c r="B1564" s="163"/>
      <c r="C1564" s="163"/>
    </row>
    <row r="1565" ht="15.75" customHeight="1">
      <c r="B1565" s="163"/>
      <c r="C1565" s="163"/>
    </row>
    <row r="1566" ht="15.75" customHeight="1">
      <c r="B1566" s="163"/>
      <c r="C1566" s="163"/>
    </row>
    <row r="1567" ht="15.75" customHeight="1">
      <c r="B1567" s="163"/>
      <c r="C1567" s="163"/>
    </row>
    <row r="1568" ht="15.75" customHeight="1">
      <c r="B1568" s="163"/>
      <c r="C1568" s="163"/>
    </row>
    <row r="1569" ht="15.75" customHeight="1">
      <c r="B1569" s="163"/>
      <c r="C1569" s="163"/>
    </row>
    <row r="1570" ht="15.75" customHeight="1">
      <c r="B1570" s="163"/>
      <c r="C1570" s="163"/>
    </row>
    <row r="1571" ht="15.75" customHeight="1">
      <c r="B1571" s="163"/>
      <c r="C1571" s="163"/>
    </row>
    <row r="1572" ht="15.75" customHeight="1">
      <c r="B1572" s="163"/>
      <c r="C1572" s="163"/>
    </row>
    <row r="1573" ht="15.75" customHeight="1">
      <c r="B1573" s="163"/>
      <c r="C1573" s="163"/>
    </row>
    <row r="1574" ht="15.75" customHeight="1">
      <c r="B1574" s="163"/>
      <c r="C1574" s="163"/>
    </row>
    <row r="1575" ht="15.75" customHeight="1">
      <c r="B1575" s="163"/>
      <c r="C1575" s="163"/>
    </row>
    <row r="1576" ht="15.75" customHeight="1">
      <c r="B1576" s="163"/>
      <c r="C1576" s="163"/>
    </row>
    <row r="1577" ht="15.75" customHeight="1">
      <c r="B1577" s="163"/>
      <c r="C1577" s="163"/>
    </row>
    <row r="1578" ht="15.75" customHeight="1">
      <c r="B1578" s="163"/>
      <c r="C1578" s="163"/>
    </row>
    <row r="1579" ht="15.75" customHeight="1">
      <c r="B1579" s="163"/>
      <c r="C1579" s="163"/>
    </row>
    <row r="1580" ht="15.75" customHeight="1">
      <c r="B1580" s="163"/>
      <c r="C1580" s="163"/>
    </row>
    <row r="1581" ht="15.75" customHeight="1">
      <c r="B1581" s="163"/>
      <c r="C1581" s="163"/>
    </row>
    <row r="1582" ht="15.75" customHeight="1">
      <c r="B1582" s="163"/>
      <c r="C1582" s="163"/>
    </row>
    <row r="1583" ht="15.75" customHeight="1">
      <c r="B1583" s="163"/>
      <c r="C1583" s="163"/>
    </row>
    <row r="1584" ht="15.75" customHeight="1">
      <c r="B1584" s="163"/>
      <c r="C1584" s="163"/>
    </row>
    <row r="1585" ht="15.75" customHeight="1">
      <c r="B1585" s="163"/>
      <c r="C1585" s="163"/>
    </row>
    <row r="1586" ht="15.75" customHeight="1">
      <c r="B1586" s="163"/>
      <c r="C1586" s="163"/>
    </row>
    <row r="1587" ht="15.75" customHeight="1">
      <c r="B1587" s="163"/>
      <c r="C1587" s="163"/>
    </row>
    <row r="1588" ht="15.75" customHeight="1">
      <c r="B1588" s="163"/>
      <c r="C1588" s="163"/>
    </row>
    <row r="1589" ht="15.75" customHeight="1">
      <c r="B1589" s="163"/>
      <c r="C1589" s="163"/>
    </row>
    <row r="1590" ht="15.75" customHeight="1">
      <c r="B1590" s="163"/>
      <c r="C1590" s="163"/>
    </row>
    <row r="1591" ht="15.75" customHeight="1">
      <c r="B1591" s="163"/>
      <c r="C1591" s="163"/>
    </row>
    <row r="1592" ht="15.75" customHeight="1">
      <c r="B1592" s="163"/>
      <c r="C1592" s="163"/>
    </row>
    <row r="1593" ht="15.75" customHeight="1">
      <c r="B1593" s="163"/>
      <c r="C1593" s="163"/>
    </row>
    <row r="1594" ht="15.75" customHeight="1">
      <c r="B1594" s="163"/>
      <c r="C1594" s="163"/>
    </row>
    <row r="1595" ht="15.75" customHeight="1">
      <c r="B1595" s="163"/>
      <c r="C1595" s="163"/>
    </row>
    <row r="1596" ht="15.75" customHeight="1">
      <c r="B1596" s="163"/>
      <c r="C1596" s="163"/>
    </row>
    <row r="1597" ht="15.75" customHeight="1">
      <c r="B1597" s="163"/>
      <c r="C1597" s="163"/>
    </row>
    <row r="1598" ht="15.75" customHeight="1">
      <c r="B1598" s="163"/>
      <c r="C1598" s="163"/>
    </row>
    <row r="1599" ht="15.75" customHeight="1">
      <c r="B1599" s="163"/>
      <c r="C1599" s="163"/>
    </row>
    <row r="1600" ht="15.75" customHeight="1">
      <c r="B1600" s="163"/>
      <c r="C1600" s="163"/>
    </row>
    <row r="1601" ht="15.75" customHeight="1">
      <c r="B1601" s="163"/>
      <c r="C1601" s="163"/>
    </row>
    <row r="1602" ht="15.75" customHeight="1">
      <c r="B1602" s="163"/>
      <c r="C1602" s="163"/>
    </row>
    <row r="1603" ht="15.75" customHeight="1">
      <c r="B1603" s="163"/>
      <c r="C1603" s="163"/>
    </row>
    <row r="1604" ht="15.75" customHeight="1">
      <c r="B1604" s="163"/>
      <c r="C1604" s="163"/>
    </row>
    <row r="1605" ht="15.75" customHeight="1">
      <c r="B1605" s="163"/>
      <c r="C1605" s="163"/>
    </row>
    <row r="1606" ht="15.75" customHeight="1">
      <c r="B1606" s="163"/>
      <c r="C1606" s="163"/>
    </row>
    <row r="1607" ht="15.75" customHeight="1">
      <c r="B1607" s="163"/>
      <c r="C1607" s="163"/>
    </row>
    <row r="1608" ht="15.75" customHeight="1">
      <c r="B1608" s="163"/>
      <c r="C1608" s="163"/>
    </row>
    <row r="1609" ht="15.75" customHeight="1">
      <c r="B1609" s="163"/>
      <c r="C1609" s="163"/>
    </row>
    <row r="1610" ht="15.75" customHeight="1">
      <c r="B1610" s="163"/>
      <c r="C1610" s="163"/>
    </row>
    <row r="1611" ht="15.75" customHeight="1">
      <c r="B1611" s="163"/>
      <c r="C1611" s="163"/>
    </row>
    <row r="1612" ht="15.75" customHeight="1">
      <c r="B1612" s="163"/>
      <c r="C1612" s="163"/>
    </row>
    <row r="1613" ht="15.75" customHeight="1">
      <c r="B1613" s="163"/>
      <c r="C1613" s="163"/>
    </row>
    <row r="1614" ht="15.75" customHeight="1">
      <c r="B1614" s="163"/>
      <c r="C1614" s="163"/>
    </row>
    <row r="1615" ht="15.75" customHeight="1">
      <c r="B1615" s="163"/>
      <c r="C1615" s="163"/>
    </row>
    <row r="1616" ht="15.75" customHeight="1">
      <c r="B1616" s="163"/>
      <c r="C1616" s="163"/>
    </row>
    <row r="1617" ht="15.75" customHeight="1">
      <c r="B1617" s="163"/>
      <c r="C1617" s="163"/>
    </row>
    <row r="1618" ht="15.75" customHeight="1">
      <c r="B1618" s="163"/>
      <c r="C1618" s="163"/>
    </row>
    <row r="1619" ht="15.75" customHeight="1">
      <c r="B1619" s="163"/>
      <c r="C1619" s="163"/>
    </row>
    <row r="1620" ht="15.75" customHeight="1">
      <c r="B1620" s="163"/>
      <c r="C1620" s="163"/>
    </row>
    <row r="1621" ht="15.75" customHeight="1">
      <c r="B1621" s="163"/>
      <c r="C1621" s="163"/>
    </row>
    <row r="1622" ht="15.75" customHeight="1">
      <c r="B1622" s="163"/>
      <c r="C1622" s="163"/>
    </row>
    <row r="1623" ht="15.75" customHeight="1">
      <c r="B1623" s="163"/>
      <c r="C1623" s="163"/>
    </row>
    <row r="1624" ht="15.75" customHeight="1">
      <c r="B1624" s="163"/>
      <c r="C1624" s="163"/>
    </row>
    <row r="1625" ht="15.75" customHeight="1">
      <c r="B1625" s="163"/>
      <c r="C1625" s="163"/>
    </row>
    <row r="1626" ht="15.75" customHeight="1">
      <c r="B1626" s="163"/>
      <c r="C1626" s="163"/>
    </row>
    <row r="1627" ht="15.75" customHeight="1">
      <c r="B1627" s="163"/>
      <c r="C1627" s="163"/>
    </row>
    <row r="1628" ht="15.75" customHeight="1">
      <c r="B1628" s="163"/>
      <c r="C1628" s="163"/>
    </row>
    <row r="1629" ht="15.75" customHeight="1">
      <c r="B1629" s="163"/>
      <c r="C1629" s="163"/>
    </row>
    <row r="1630" ht="15.75" customHeight="1">
      <c r="B1630" s="163"/>
      <c r="C1630" s="163"/>
    </row>
    <row r="1631" ht="15.75" customHeight="1">
      <c r="B1631" s="163"/>
      <c r="C1631" s="163"/>
    </row>
    <row r="1632" ht="15.75" customHeight="1">
      <c r="B1632" s="163"/>
      <c r="C1632" s="163"/>
    </row>
    <row r="1633" ht="15.75" customHeight="1">
      <c r="B1633" s="163"/>
      <c r="C1633" s="163"/>
    </row>
    <row r="1634" ht="15.75" customHeight="1">
      <c r="B1634" s="163"/>
      <c r="C1634" s="163"/>
    </row>
    <row r="1635" ht="15.75" customHeight="1">
      <c r="B1635" s="163"/>
      <c r="C1635" s="163"/>
    </row>
    <row r="1636" ht="15.75" customHeight="1">
      <c r="B1636" s="163"/>
      <c r="C1636" s="163"/>
    </row>
    <row r="1637" ht="15.75" customHeight="1">
      <c r="B1637" s="163"/>
      <c r="C1637" s="163"/>
    </row>
    <row r="1638" ht="15.75" customHeight="1">
      <c r="B1638" s="163"/>
      <c r="C1638" s="163"/>
    </row>
    <row r="1639" ht="15.75" customHeight="1">
      <c r="B1639" s="163"/>
      <c r="C1639" s="163"/>
    </row>
    <row r="1640" ht="15.75" customHeight="1">
      <c r="B1640" s="163"/>
      <c r="C1640" s="163"/>
    </row>
    <row r="1641" ht="15.75" customHeight="1">
      <c r="B1641" s="163"/>
      <c r="C1641" s="163"/>
    </row>
    <row r="1642" ht="15.75" customHeight="1">
      <c r="B1642" s="163"/>
      <c r="C1642" s="163"/>
    </row>
    <row r="1643" ht="15.75" customHeight="1">
      <c r="B1643" s="163"/>
      <c r="C1643" s="163"/>
    </row>
    <row r="1644" ht="15.75" customHeight="1">
      <c r="B1644" s="163"/>
      <c r="C1644" s="163"/>
    </row>
    <row r="1645" ht="15.75" customHeight="1">
      <c r="B1645" s="163"/>
      <c r="C1645" s="163"/>
    </row>
    <row r="1646" ht="15.75" customHeight="1">
      <c r="B1646" s="163"/>
      <c r="C1646" s="163"/>
    </row>
    <row r="1647" ht="15.75" customHeight="1">
      <c r="B1647" s="163"/>
      <c r="C1647" s="163"/>
    </row>
    <row r="1648" ht="15.75" customHeight="1">
      <c r="B1648" s="163"/>
      <c r="C1648" s="163"/>
    </row>
    <row r="1649" ht="15.75" customHeight="1">
      <c r="B1649" s="163"/>
      <c r="C1649" s="163"/>
    </row>
    <row r="1650" ht="15.75" customHeight="1">
      <c r="B1650" s="163"/>
      <c r="C1650" s="163"/>
    </row>
    <row r="1651" ht="15.75" customHeight="1">
      <c r="B1651" s="163"/>
      <c r="C1651" s="163"/>
    </row>
    <row r="1652" ht="15.75" customHeight="1">
      <c r="B1652" s="163"/>
      <c r="C1652" s="163"/>
    </row>
    <row r="1653" ht="15.75" customHeight="1">
      <c r="B1653" s="163"/>
      <c r="C1653" s="163"/>
    </row>
    <row r="1654" ht="15.75" customHeight="1">
      <c r="B1654" s="163"/>
      <c r="C1654" s="163"/>
    </row>
    <row r="1655" ht="15.75" customHeight="1">
      <c r="B1655" s="163"/>
      <c r="C1655" s="163"/>
    </row>
    <row r="1656" ht="15.75" customHeight="1">
      <c r="B1656" s="163"/>
      <c r="C1656" s="163"/>
    </row>
    <row r="1657" ht="15.75" customHeight="1">
      <c r="B1657" s="163"/>
      <c r="C1657" s="163"/>
    </row>
    <row r="1658" ht="15.75" customHeight="1">
      <c r="B1658" s="163"/>
      <c r="C1658" s="163"/>
    </row>
    <row r="1659" ht="15.75" customHeight="1">
      <c r="B1659" s="163"/>
      <c r="C1659" s="163"/>
    </row>
    <row r="1660" ht="15.75" customHeight="1">
      <c r="B1660" s="163"/>
      <c r="C1660" s="163"/>
    </row>
    <row r="1661" ht="15.75" customHeight="1">
      <c r="B1661" s="163"/>
      <c r="C1661" s="163"/>
    </row>
    <row r="1662" ht="15.75" customHeight="1">
      <c r="B1662" s="163"/>
      <c r="C1662" s="163"/>
    </row>
    <row r="1663" ht="15.75" customHeight="1">
      <c r="B1663" s="163"/>
      <c r="C1663" s="163"/>
    </row>
    <row r="1664" ht="15.75" customHeight="1">
      <c r="B1664" s="163"/>
      <c r="C1664" s="163"/>
    </row>
    <row r="1665" ht="15.75" customHeight="1">
      <c r="B1665" s="163"/>
      <c r="C1665" s="163"/>
    </row>
    <row r="1666" ht="15.75" customHeight="1">
      <c r="B1666" s="163"/>
      <c r="C1666" s="163"/>
    </row>
    <row r="1667" ht="15.75" customHeight="1">
      <c r="B1667" s="163"/>
      <c r="C1667" s="163"/>
    </row>
    <row r="1668" ht="15.75" customHeight="1">
      <c r="B1668" s="163"/>
      <c r="C1668" s="163"/>
    </row>
    <row r="1669" ht="15.75" customHeight="1">
      <c r="B1669" s="163"/>
      <c r="C1669" s="163"/>
    </row>
    <row r="1670" ht="15.75" customHeight="1">
      <c r="B1670" s="163"/>
      <c r="C1670" s="163"/>
    </row>
    <row r="1671" ht="15.75" customHeight="1">
      <c r="B1671" s="163"/>
      <c r="C1671" s="163"/>
    </row>
    <row r="1672" ht="15.75" customHeight="1">
      <c r="B1672" s="163"/>
      <c r="C1672" s="163"/>
    </row>
    <row r="1673" ht="15.75" customHeight="1">
      <c r="B1673" s="163"/>
      <c r="C1673" s="163"/>
    </row>
    <row r="1674" ht="15.75" customHeight="1">
      <c r="B1674" s="163"/>
      <c r="C1674" s="163"/>
    </row>
    <row r="1675" ht="15.75" customHeight="1">
      <c r="B1675" s="163"/>
      <c r="C1675" s="163"/>
    </row>
    <row r="1676" ht="15.75" customHeight="1">
      <c r="B1676" s="163"/>
      <c r="C1676" s="163"/>
    </row>
    <row r="1677" ht="15.75" customHeight="1">
      <c r="B1677" s="163"/>
      <c r="C1677" s="163"/>
    </row>
    <row r="1678" ht="15.75" customHeight="1">
      <c r="B1678" s="163"/>
      <c r="C1678" s="163"/>
    </row>
    <row r="1679" ht="15.75" customHeight="1">
      <c r="B1679" s="163"/>
      <c r="C1679" s="163"/>
    </row>
    <row r="1680" ht="15.75" customHeight="1">
      <c r="B1680" s="163"/>
      <c r="C1680" s="163"/>
    </row>
    <row r="1681" ht="15.75" customHeight="1">
      <c r="B1681" s="163"/>
      <c r="C1681" s="163"/>
    </row>
    <row r="1682" ht="15.75" customHeight="1">
      <c r="B1682" s="163"/>
      <c r="C1682" s="163"/>
    </row>
    <row r="1683" ht="15.75" customHeight="1">
      <c r="B1683" s="163"/>
      <c r="C1683" s="163"/>
    </row>
    <row r="1684" ht="15.75" customHeight="1">
      <c r="B1684" s="163"/>
      <c r="C1684" s="163"/>
    </row>
    <row r="1685" ht="15.75" customHeight="1">
      <c r="B1685" s="163"/>
      <c r="C1685" s="163"/>
    </row>
    <row r="1686" ht="15.75" customHeight="1">
      <c r="B1686" s="163"/>
      <c r="C1686" s="163"/>
    </row>
    <row r="1687" ht="15.75" customHeight="1">
      <c r="B1687" s="163"/>
      <c r="C1687" s="163"/>
    </row>
    <row r="1688" ht="15.75" customHeight="1">
      <c r="B1688" s="163"/>
      <c r="C1688" s="163"/>
    </row>
    <row r="1689" ht="15.75" customHeight="1">
      <c r="B1689" s="163"/>
      <c r="C1689" s="163"/>
    </row>
    <row r="1690" ht="15.75" customHeight="1">
      <c r="B1690" s="163"/>
      <c r="C1690" s="163"/>
    </row>
    <row r="1691" ht="15.75" customHeight="1">
      <c r="B1691" s="163"/>
      <c r="C1691" s="163"/>
    </row>
    <row r="1692" ht="15.75" customHeight="1">
      <c r="B1692" s="163"/>
      <c r="C1692" s="163"/>
    </row>
    <row r="1693" ht="15.75" customHeight="1">
      <c r="B1693" s="163"/>
      <c r="C1693" s="163"/>
    </row>
    <row r="1694" ht="15.75" customHeight="1">
      <c r="B1694" s="163"/>
      <c r="C1694" s="163"/>
    </row>
    <row r="1695" ht="15.75" customHeight="1">
      <c r="B1695" s="163"/>
      <c r="C1695" s="163"/>
    </row>
    <row r="1696" ht="15.75" customHeight="1">
      <c r="B1696" s="163"/>
      <c r="C1696" s="163"/>
    </row>
    <row r="1697" ht="15.75" customHeight="1">
      <c r="B1697" s="163"/>
      <c r="C1697" s="163"/>
    </row>
    <row r="1698" ht="15.75" customHeight="1">
      <c r="B1698" s="163"/>
      <c r="C1698" s="163"/>
    </row>
    <row r="1699" ht="15.75" customHeight="1">
      <c r="B1699" s="163"/>
      <c r="C1699" s="163"/>
    </row>
    <row r="1700" ht="15.75" customHeight="1">
      <c r="B1700" s="163"/>
      <c r="C1700" s="163"/>
    </row>
    <row r="1701" ht="15.75" customHeight="1">
      <c r="B1701" s="163"/>
      <c r="C1701" s="163"/>
    </row>
    <row r="1702" ht="15.75" customHeight="1">
      <c r="B1702" s="163"/>
      <c r="C1702" s="163"/>
    </row>
    <row r="1703" ht="15.75" customHeight="1">
      <c r="B1703" s="163"/>
      <c r="C1703" s="163"/>
    </row>
    <row r="1704" ht="15.75" customHeight="1">
      <c r="B1704" s="163"/>
      <c r="C1704" s="163"/>
    </row>
    <row r="1705" ht="15.75" customHeight="1">
      <c r="B1705" s="163"/>
      <c r="C1705" s="163"/>
    </row>
    <row r="1706" ht="15.75" customHeight="1">
      <c r="B1706" s="163"/>
      <c r="C1706" s="163"/>
    </row>
    <row r="1707" ht="15.75" customHeight="1">
      <c r="B1707" s="163"/>
      <c r="C1707" s="163"/>
    </row>
    <row r="1708" ht="15.75" customHeight="1">
      <c r="B1708" s="163"/>
      <c r="C1708" s="163"/>
    </row>
    <row r="1709" ht="15.75" customHeight="1">
      <c r="B1709" s="163"/>
      <c r="C1709" s="163"/>
    </row>
    <row r="1710" ht="15.75" customHeight="1">
      <c r="B1710" s="163"/>
      <c r="C1710" s="163"/>
    </row>
    <row r="1711" ht="15.75" customHeight="1">
      <c r="B1711" s="163"/>
      <c r="C1711" s="163"/>
    </row>
    <row r="1712" ht="15.75" customHeight="1">
      <c r="B1712" s="163"/>
      <c r="C1712" s="163"/>
    </row>
    <row r="1713" ht="15.75" customHeight="1">
      <c r="B1713" s="163"/>
      <c r="C1713" s="163"/>
    </row>
    <row r="1714" ht="15.75" customHeight="1">
      <c r="B1714" s="163"/>
      <c r="C1714" s="163"/>
    </row>
    <row r="1715" ht="15.75" customHeight="1">
      <c r="B1715" s="163"/>
      <c r="C1715" s="163"/>
    </row>
    <row r="1716" ht="15.75" customHeight="1">
      <c r="B1716" s="163"/>
      <c r="C1716" s="163"/>
    </row>
    <row r="1717" ht="15.75" customHeight="1">
      <c r="B1717" s="163"/>
      <c r="C1717" s="163"/>
    </row>
    <row r="1718" ht="15.75" customHeight="1">
      <c r="B1718" s="163"/>
      <c r="C1718" s="163"/>
    </row>
    <row r="1719" ht="15.75" customHeight="1">
      <c r="B1719" s="163"/>
      <c r="C1719" s="163"/>
    </row>
    <row r="1720" ht="15.75" customHeight="1">
      <c r="B1720" s="163"/>
      <c r="C1720" s="163"/>
    </row>
    <row r="1721" ht="15.75" customHeight="1">
      <c r="B1721" s="163"/>
      <c r="C1721" s="163"/>
    </row>
    <row r="1722" ht="15.75" customHeight="1">
      <c r="B1722" s="163"/>
      <c r="C1722" s="163"/>
    </row>
    <row r="1723" ht="15.75" customHeight="1">
      <c r="B1723" s="163"/>
      <c r="C1723" s="163"/>
    </row>
    <row r="1724" ht="15.75" customHeight="1">
      <c r="B1724" s="163"/>
      <c r="C1724" s="163"/>
    </row>
    <row r="1725" ht="15.75" customHeight="1">
      <c r="B1725" s="163"/>
      <c r="C1725" s="163"/>
    </row>
    <row r="1726" ht="15.75" customHeight="1">
      <c r="B1726" s="163"/>
      <c r="C1726" s="163"/>
    </row>
    <row r="1727" ht="15.75" customHeight="1">
      <c r="B1727" s="163"/>
      <c r="C1727" s="163"/>
    </row>
    <row r="1728" ht="15.75" customHeight="1">
      <c r="B1728" s="163"/>
      <c r="C1728" s="163"/>
    </row>
    <row r="1729" ht="15.75" customHeight="1">
      <c r="B1729" s="163"/>
      <c r="C1729" s="163"/>
    </row>
    <row r="1730" ht="15.75" customHeight="1">
      <c r="B1730" s="163"/>
      <c r="C1730" s="163"/>
    </row>
    <row r="1731" ht="15.75" customHeight="1">
      <c r="B1731" s="163"/>
      <c r="C1731" s="163"/>
    </row>
    <row r="1732" ht="15.75" customHeight="1">
      <c r="B1732" s="163"/>
      <c r="C1732" s="163"/>
    </row>
    <row r="1733" ht="15.75" customHeight="1">
      <c r="B1733" s="163"/>
      <c r="C1733" s="163"/>
    </row>
    <row r="1734" ht="15.75" customHeight="1">
      <c r="B1734" s="163"/>
      <c r="C1734" s="163"/>
    </row>
    <row r="1735" ht="15.75" customHeight="1">
      <c r="B1735" s="163"/>
      <c r="C1735" s="163"/>
    </row>
    <row r="1736" ht="15.75" customHeight="1">
      <c r="B1736" s="163"/>
      <c r="C1736" s="163"/>
    </row>
    <row r="1737" ht="15.75" customHeight="1">
      <c r="B1737" s="163"/>
      <c r="C1737" s="163"/>
    </row>
    <row r="1738" ht="15.75" customHeight="1">
      <c r="B1738" s="163"/>
      <c r="C1738" s="163"/>
    </row>
    <row r="1739" ht="15.75" customHeight="1">
      <c r="B1739" s="163"/>
      <c r="C1739" s="163"/>
    </row>
    <row r="1740" ht="15.75" customHeight="1">
      <c r="B1740" s="163"/>
      <c r="C1740" s="163"/>
    </row>
    <row r="1741" ht="15.75" customHeight="1">
      <c r="B1741" s="163"/>
      <c r="C1741" s="163"/>
    </row>
    <row r="1742" ht="15.75" customHeight="1">
      <c r="B1742" s="163"/>
      <c r="C1742" s="163"/>
    </row>
    <row r="1743" ht="15.75" customHeight="1">
      <c r="B1743" s="163"/>
      <c r="C1743" s="163"/>
    </row>
    <row r="1744" ht="15.75" customHeight="1">
      <c r="B1744" s="163"/>
      <c r="C1744" s="163"/>
    </row>
    <row r="1745" ht="15.75" customHeight="1">
      <c r="B1745" s="163"/>
      <c r="C1745" s="163"/>
    </row>
    <row r="1746" ht="15.75" customHeight="1">
      <c r="B1746" s="163"/>
      <c r="C1746" s="163"/>
    </row>
    <row r="1747" ht="15.75" customHeight="1">
      <c r="B1747" s="163"/>
      <c r="C1747" s="163"/>
    </row>
    <row r="1748" ht="15.75" customHeight="1">
      <c r="B1748" s="163"/>
      <c r="C1748" s="163"/>
    </row>
    <row r="1749" ht="15.75" customHeight="1">
      <c r="B1749" s="163"/>
      <c r="C1749" s="163"/>
    </row>
    <row r="1750" ht="15.75" customHeight="1">
      <c r="B1750" s="163"/>
      <c r="C1750" s="163"/>
    </row>
    <row r="1751" ht="15.75" customHeight="1">
      <c r="B1751" s="163"/>
      <c r="C1751" s="163"/>
    </row>
    <row r="1752" ht="15.75" customHeight="1">
      <c r="B1752" s="163"/>
      <c r="C1752" s="163"/>
    </row>
    <row r="1753" ht="15.75" customHeight="1">
      <c r="B1753" s="163"/>
      <c r="C1753" s="163"/>
    </row>
    <row r="1754" ht="15.75" customHeight="1">
      <c r="B1754" s="163"/>
      <c r="C1754" s="163"/>
    </row>
    <row r="1755" ht="15.75" customHeight="1">
      <c r="B1755" s="163"/>
      <c r="C1755" s="163"/>
    </row>
    <row r="1756" ht="15.75" customHeight="1">
      <c r="B1756" s="163"/>
      <c r="C1756" s="163"/>
    </row>
    <row r="1757" ht="15.75" customHeight="1">
      <c r="B1757" s="163"/>
      <c r="C1757" s="163"/>
    </row>
    <row r="1758" ht="15.75" customHeight="1">
      <c r="B1758" s="163"/>
      <c r="C1758" s="163"/>
    </row>
    <row r="1759" ht="15.75" customHeight="1">
      <c r="B1759" s="163"/>
      <c r="C1759" s="163"/>
    </row>
    <row r="1760" ht="15.75" customHeight="1">
      <c r="B1760" s="163"/>
      <c r="C1760" s="163"/>
    </row>
    <row r="1761" ht="15.75" customHeight="1">
      <c r="B1761" s="163"/>
      <c r="C1761" s="163"/>
    </row>
    <row r="1762" ht="15.75" customHeight="1">
      <c r="B1762" s="163"/>
      <c r="C1762" s="163"/>
    </row>
    <row r="1763" ht="15.75" customHeight="1">
      <c r="B1763" s="163"/>
      <c r="C1763" s="163"/>
    </row>
    <row r="1764" ht="15.75" customHeight="1">
      <c r="B1764" s="163"/>
      <c r="C1764" s="163"/>
    </row>
    <row r="1765" ht="15.75" customHeight="1">
      <c r="B1765" s="163"/>
      <c r="C1765" s="163"/>
    </row>
    <row r="1766" ht="15.75" customHeight="1">
      <c r="B1766" s="163"/>
      <c r="C1766" s="163"/>
    </row>
    <row r="1767" ht="15.75" customHeight="1">
      <c r="B1767" s="163"/>
      <c r="C1767" s="163"/>
    </row>
    <row r="1768" ht="15.75" customHeight="1">
      <c r="B1768" s="163"/>
      <c r="C1768" s="163"/>
    </row>
    <row r="1769" ht="15.75" customHeight="1">
      <c r="B1769" s="163"/>
      <c r="C1769" s="163"/>
    </row>
    <row r="1770" ht="15.75" customHeight="1">
      <c r="B1770" s="163"/>
      <c r="C1770" s="163"/>
    </row>
    <row r="1771" ht="15.75" customHeight="1">
      <c r="B1771" s="163"/>
      <c r="C1771" s="163"/>
    </row>
    <row r="1772" ht="15.75" customHeight="1">
      <c r="B1772" s="163"/>
      <c r="C1772" s="163"/>
    </row>
    <row r="1773" ht="15.75" customHeight="1">
      <c r="B1773" s="163"/>
      <c r="C1773" s="163"/>
    </row>
    <row r="1774" ht="15.75" customHeight="1">
      <c r="B1774" s="163"/>
      <c r="C1774" s="163"/>
    </row>
    <row r="1775" ht="15.75" customHeight="1">
      <c r="B1775" s="163"/>
      <c r="C1775" s="163"/>
    </row>
    <row r="1776" ht="15.75" customHeight="1">
      <c r="B1776" s="163"/>
      <c r="C1776" s="163"/>
    </row>
    <row r="1777" ht="15.75" customHeight="1">
      <c r="B1777" s="163"/>
      <c r="C1777" s="163"/>
    </row>
    <row r="1778" ht="15.75" customHeight="1">
      <c r="B1778" s="163"/>
      <c r="C1778" s="163"/>
    </row>
    <row r="1779" ht="15.75" customHeight="1">
      <c r="B1779" s="163"/>
      <c r="C1779" s="163"/>
    </row>
    <row r="1780" ht="15.75" customHeight="1">
      <c r="B1780" s="163"/>
      <c r="C1780" s="163"/>
    </row>
    <row r="1781" ht="15.75" customHeight="1">
      <c r="B1781" s="163"/>
      <c r="C1781" s="163"/>
    </row>
    <row r="1782" ht="15.75" customHeight="1">
      <c r="B1782" s="163"/>
      <c r="C1782" s="163"/>
    </row>
    <row r="1783" ht="15.75" customHeight="1">
      <c r="B1783" s="163"/>
      <c r="C1783" s="163"/>
    </row>
    <row r="1784" ht="15.75" customHeight="1">
      <c r="B1784" s="163"/>
      <c r="C1784" s="163"/>
    </row>
    <row r="1785" ht="15.75" customHeight="1">
      <c r="B1785" s="163"/>
      <c r="C1785" s="163"/>
    </row>
    <row r="1786" ht="15.75" customHeight="1">
      <c r="B1786" s="163"/>
      <c r="C1786" s="163"/>
    </row>
    <row r="1787" ht="15.75" customHeight="1">
      <c r="B1787" s="163"/>
      <c r="C1787" s="163"/>
    </row>
    <row r="1788" ht="15.75" customHeight="1">
      <c r="B1788" s="163"/>
      <c r="C1788" s="163"/>
    </row>
    <row r="1789" ht="15.75" customHeight="1">
      <c r="B1789" s="163"/>
      <c r="C1789" s="163"/>
    </row>
    <row r="1790" ht="15.75" customHeight="1">
      <c r="B1790" s="163"/>
      <c r="C1790" s="163"/>
    </row>
    <row r="1791" ht="15.75" customHeight="1">
      <c r="B1791" s="163"/>
      <c r="C1791" s="163"/>
    </row>
    <row r="1792" ht="15.75" customHeight="1">
      <c r="B1792" s="163"/>
      <c r="C1792" s="163"/>
    </row>
    <row r="1793" ht="15.75" customHeight="1">
      <c r="B1793" s="163"/>
      <c r="C1793" s="163"/>
    </row>
    <row r="1794" ht="15.75" customHeight="1">
      <c r="B1794" s="163"/>
      <c r="C1794" s="163"/>
    </row>
    <row r="1795" ht="15.75" customHeight="1">
      <c r="B1795" s="163"/>
      <c r="C1795" s="163"/>
    </row>
    <row r="1796" ht="15.75" customHeight="1">
      <c r="B1796" s="163"/>
      <c r="C1796" s="163"/>
    </row>
    <row r="1797" ht="15.75" customHeight="1">
      <c r="B1797" s="163"/>
      <c r="C1797" s="163"/>
    </row>
    <row r="1798" ht="15.75" customHeight="1">
      <c r="B1798" s="163"/>
      <c r="C1798" s="163"/>
    </row>
    <row r="1799" ht="15.75" customHeight="1">
      <c r="B1799" s="163"/>
      <c r="C1799" s="163"/>
    </row>
    <row r="1800" ht="15.75" customHeight="1">
      <c r="B1800" s="163"/>
      <c r="C1800" s="163"/>
    </row>
    <row r="1801" ht="15.75" customHeight="1">
      <c r="B1801" s="163"/>
      <c r="C1801" s="163"/>
    </row>
    <row r="1802" ht="15.75" customHeight="1">
      <c r="B1802" s="163"/>
      <c r="C1802" s="163"/>
    </row>
    <row r="1803" ht="15.75" customHeight="1">
      <c r="B1803" s="163"/>
      <c r="C1803" s="163"/>
    </row>
    <row r="1804" ht="15.75" customHeight="1">
      <c r="B1804" s="163"/>
      <c r="C1804" s="163"/>
    </row>
    <row r="1805" ht="15.75" customHeight="1">
      <c r="B1805" s="163"/>
      <c r="C1805" s="163"/>
    </row>
    <row r="1806" ht="15.75" customHeight="1">
      <c r="B1806" s="163"/>
      <c r="C1806" s="163"/>
    </row>
    <row r="1807" ht="15.75" customHeight="1">
      <c r="B1807" s="163"/>
      <c r="C1807" s="163"/>
    </row>
    <row r="1808" ht="15.75" customHeight="1">
      <c r="B1808" s="163"/>
      <c r="C1808" s="163"/>
    </row>
    <row r="1809" ht="15.75" customHeight="1">
      <c r="B1809" s="163"/>
      <c r="C1809" s="163"/>
    </row>
    <row r="1810" ht="15.75" customHeight="1">
      <c r="B1810" s="163"/>
      <c r="C1810" s="163"/>
    </row>
    <row r="1811" ht="15.75" customHeight="1">
      <c r="B1811" s="163"/>
      <c r="C1811" s="163"/>
    </row>
    <row r="1812" ht="15.75" customHeight="1">
      <c r="B1812" s="163"/>
      <c r="C1812" s="163"/>
    </row>
    <row r="1813" ht="15.75" customHeight="1">
      <c r="B1813" s="163"/>
      <c r="C1813" s="163"/>
    </row>
    <row r="1814" ht="15.75" customHeight="1">
      <c r="B1814" s="163"/>
      <c r="C1814" s="163"/>
    </row>
    <row r="1815" ht="15.75" customHeight="1">
      <c r="B1815" s="163"/>
      <c r="C1815" s="163"/>
    </row>
    <row r="1816" ht="15.75" customHeight="1">
      <c r="B1816" s="163"/>
      <c r="C1816" s="163"/>
    </row>
    <row r="1817" ht="15.75" customHeight="1">
      <c r="B1817" s="163"/>
      <c r="C1817" s="163"/>
    </row>
    <row r="1818" ht="15.75" customHeight="1">
      <c r="B1818" s="163"/>
      <c r="C1818" s="163"/>
    </row>
    <row r="1819" ht="15.75" customHeight="1">
      <c r="B1819" s="163"/>
      <c r="C1819" s="163"/>
    </row>
    <row r="1820" ht="15.75" customHeight="1">
      <c r="B1820" s="163"/>
      <c r="C1820" s="163"/>
    </row>
    <row r="1821" ht="15.75" customHeight="1">
      <c r="B1821" s="163"/>
      <c r="C1821" s="163"/>
    </row>
    <row r="1822" ht="15.75" customHeight="1">
      <c r="B1822" s="163"/>
      <c r="C1822" s="163"/>
    </row>
    <row r="1823" ht="15.75" customHeight="1">
      <c r="B1823" s="163"/>
      <c r="C1823" s="163"/>
    </row>
    <row r="1824" ht="15.75" customHeight="1">
      <c r="B1824" s="163"/>
      <c r="C1824" s="163"/>
    </row>
    <row r="1825" ht="15.75" customHeight="1">
      <c r="B1825" s="163"/>
      <c r="C1825" s="163"/>
    </row>
    <row r="1826" ht="15.75" customHeight="1">
      <c r="B1826" s="163"/>
      <c r="C1826" s="163"/>
    </row>
    <row r="1827" ht="15.75" customHeight="1">
      <c r="B1827" s="163"/>
      <c r="C1827" s="163"/>
    </row>
    <row r="1828" ht="15.75" customHeight="1">
      <c r="B1828" s="163"/>
      <c r="C1828" s="163"/>
    </row>
    <row r="1829" ht="15.75" customHeight="1">
      <c r="B1829" s="163"/>
      <c r="C1829" s="163"/>
    </row>
    <row r="1830" ht="15.75" customHeight="1">
      <c r="B1830" s="163"/>
      <c r="C1830" s="163"/>
    </row>
    <row r="1831" ht="15.75" customHeight="1">
      <c r="B1831" s="163"/>
      <c r="C1831" s="163"/>
    </row>
    <row r="1832" ht="15.75" customHeight="1">
      <c r="B1832" s="163"/>
      <c r="C1832" s="163"/>
    </row>
    <row r="1833" ht="15.75" customHeight="1">
      <c r="B1833" s="163"/>
      <c r="C1833" s="163"/>
    </row>
    <row r="1834" ht="15.75" customHeight="1">
      <c r="B1834" s="163"/>
      <c r="C1834" s="163"/>
    </row>
    <row r="1835" ht="15.75" customHeight="1">
      <c r="B1835" s="163"/>
      <c r="C1835" s="163"/>
    </row>
    <row r="1836" ht="15.75" customHeight="1">
      <c r="B1836" s="163"/>
      <c r="C1836" s="163"/>
    </row>
    <row r="1837" ht="15.75" customHeight="1">
      <c r="B1837" s="163"/>
      <c r="C1837" s="163"/>
    </row>
    <row r="1838" ht="15.75" customHeight="1">
      <c r="B1838" s="163"/>
      <c r="C1838" s="163"/>
    </row>
    <row r="1839" ht="15.75" customHeight="1">
      <c r="B1839" s="163"/>
      <c r="C1839" s="163"/>
    </row>
    <row r="1840" ht="15.75" customHeight="1">
      <c r="B1840" s="163"/>
      <c r="C1840" s="163"/>
    </row>
    <row r="1841" ht="15.75" customHeight="1">
      <c r="B1841" s="163"/>
      <c r="C1841" s="163"/>
    </row>
    <row r="1842" ht="15.75" customHeight="1">
      <c r="B1842" s="163"/>
      <c r="C1842" s="163"/>
    </row>
    <row r="1843" ht="15.75" customHeight="1">
      <c r="B1843" s="163"/>
      <c r="C1843" s="163"/>
    </row>
    <row r="1844" ht="15.75" customHeight="1">
      <c r="B1844" s="163"/>
      <c r="C1844" s="163"/>
    </row>
    <row r="1845" ht="15.75" customHeight="1">
      <c r="B1845" s="163"/>
      <c r="C1845" s="163"/>
    </row>
    <row r="1846" ht="15.75" customHeight="1">
      <c r="B1846" s="163"/>
      <c r="C1846" s="163"/>
    </row>
    <row r="1847" ht="15.75" customHeight="1">
      <c r="B1847" s="163"/>
      <c r="C1847" s="163"/>
    </row>
    <row r="1848" ht="15.75" customHeight="1">
      <c r="B1848" s="163"/>
      <c r="C1848" s="163"/>
    </row>
    <row r="1849" ht="15.75" customHeight="1">
      <c r="B1849" s="163"/>
      <c r="C1849" s="163"/>
    </row>
    <row r="1850" ht="15.75" customHeight="1">
      <c r="B1850" s="163"/>
      <c r="C1850" s="163"/>
    </row>
    <row r="1851" ht="15.75" customHeight="1">
      <c r="B1851" s="163"/>
      <c r="C1851" s="163"/>
    </row>
    <row r="1852" ht="15.75" customHeight="1">
      <c r="B1852" s="163"/>
      <c r="C1852" s="163"/>
    </row>
    <row r="1853" ht="15.75" customHeight="1">
      <c r="B1853" s="163"/>
      <c r="C1853" s="163"/>
    </row>
    <row r="1854" ht="15.75" customHeight="1">
      <c r="B1854" s="163"/>
      <c r="C1854" s="163"/>
    </row>
    <row r="1855" ht="15.75" customHeight="1">
      <c r="B1855" s="163"/>
      <c r="C1855" s="163"/>
    </row>
    <row r="1856" ht="15.75" customHeight="1">
      <c r="B1856" s="163"/>
      <c r="C1856" s="163"/>
    </row>
    <row r="1857" ht="15.75" customHeight="1">
      <c r="B1857" s="163"/>
      <c r="C1857" s="163"/>
    </row>
    <row r="1858" ht="15.75" customHeight="1">
      <c r="B1858" s="163"/>
      <c r="C1858" s="163"/>
    </row>
    <row r="1859" ht="15.75" customHeight="1">
      <c r="B1859" s="163"/>
      <c r="C1859" s="163"/>
    </row>
    <row r="1860" ht="15.75" customHeight="1">
      <c r="B1860" s="163"/>
      <c r="C1860" s="163"/>
    </row>
    <row r="1861" ht="15.75" customHeight="1">
      <c r="B1861" s="163"/>
      <c r="C1861" s="163"/>
    </row>
    <row r="1862" ht="15.75" customHeight="1">
      <c r="B1862" s="163"/>
      <c r="C1862" s="163"/>
    </row>
    <row r="1863" ht="15.75" customHeight="1">
      <c r="B1863" s="163"/>
      <c r="C1863" s="163"/>
    </row>
    <row r="1864" ht="15.75" customHeight="1">
      <c r="B1864" s="163"/>
      <c r="C1864" s="163"/>
    </row>
    <row r="1865" ht="15.75" customHeight="1">
      <c r="B1865" s="163"/>
      <c r="C1865" s="163"/>
    </row>
    <row r="1866" ht="15.75" customHeight="1">
      <c r="B1866" s="163"/>
      <c r="C1866" s="163"/>
    </row>
    <row r="1867" ht="15.75" customHeight="1">
      <c r="B1867" s="163"/>
      <c r="C1867" s="163"/>
    </row>
    <row r="1868" ht="15.75" customHeight="1">
      <c r="B1868" s="163"/>
      <c r="C1868" s="163"/>
    </row>
    <row r="1869" ht="15.75" customHeight="1">
      <c r="B1869" s="163"/>
      <c r="C1869" s="163"/>
    </row>
    <row r="1870" ht="15.75" customHeight="1">
      <c r="B1870" s="163"/>
      <c r="C1870" s="163"/>
    </row>
    <row r="1871" ht="15.75" customHeight="1">
      <c r="B1871" s="163"/>
      <c r="C1871" s="163"/>
    </row>
    <row r="1872" ht="15.75" customHeight="1">
      <c r="B1872" s="163"/>
      <c r="C1872" s="163"/>
    </row>
    <row r="1873" ht="15.75" customHeight="1">
      <c r="B1873" s="163"/>
      <c r="C1873" s="163"/>
    </row>
    <row r="1874" ht="15.75" customHeight="1">
      <c r="B1874" s="163"/>
      <c r="C1874" s="163"/>
    </row>
    <row r="1875" ht="15.75" customHeight="1">
      <c r="B1875" s="163"/>
      <c r="C1875" s="163"/>
    </row>
    <row r="1876" ht="15.75" customHeight="1">
      <c r="B1876" s="163"/>
      <c r="C1876" s="163"/>
    </row>
    <row r="1877" ht="15.75" customHeight="1">
      <c r="B1877" s="163"/>
      <c r="C1877" s="163"/>
    </row>
    <row r="1878" ht="15.75" customHeight="1">
      <c r="B1878" s="163"/>
      <c r="C1878" s="163"/>
    </row>
    <row r="1879" ht="15.75" customHeight="1">
      <c r="B1879" s="163"/>
      <c r="C1879" s="163"/>
    </row>
    <row r="1880" ht="15.75" customHeight="1">
      <c r="B1880" s="163"/>
      <c r="C1880" s="163"/>
    </row>
    <row r="1881" ht="15.75" customHeight="1">
      <c r="B1881" s="163"/>
      <c r="C1881" s="163"/>
    </row>
    <row r="1882" ht="15.75" customHeight="1">
      <c r="B1882" s="163"/>
      <c r="C1882" s="163"/>
    </row>
    <row r="1883" ht="15.75" customHeight="1">
      <c r="B1883" s="163"/>
      <c r="C1883" s="163"/>
    </row>
    <row r="1884" ht="15.75" customHeight="1">
      <c r="B1884" s="163"/>
      <c r="C1884" s="163"/>
    </row>
    <row r="1885" ht="15.75" customHeight="1">
      <c r="B1885" s="163"/>
      <c r="C1885" s="163"/>
    </row>
    <row r="1886" ht="15.75" customHeight="1">
      <c r="B1886" s="163"/>
      <c r="C1886" s="163"/>
    </row>
    <row r="1887" ht="15.75" customHeight="1">
      <c r="B1887" s="163"/>
      <c r="C1887" s="163"/>
    </row>
    <row r="1888" ht="15.75" customHeight="1">
      <c r="B1888" s="163"/>
      <c r="C1888" s="163"/>
    </row>
    <row r="1889" ht="15.75" customHeight="1">
      <c r="B1889" s="163"/>
      <c r="C1889" s="163"/>
    </row>
    <row r="1890" ht="15.75" customHeight="1">
      <c r="B1890" s="163"/>
      <c r="C1890" s="163"/>
    </row>
    <row r="1891" ht="15.75" customHeight="1">
      <c r="B1891" s="163"/>
      <c r="C1891" s="163"/>
    </row>
    <row r="1892" ht="15.75" customHeight="1">
      <c r="B1892" s="163"/>
      <c r="C1892" s="163"/>
    </row>
    <row r="1893" ht="15.75" customHeight="1">
      <c r="B1893" s="163"/>
      <c r="C1893" s="163"/>
    </row>
    <row r="1894" ht="15.75" customHeight="1">
      <c r="B1894" s="163"/>
      <c r="C1894" s="163"/>
    </row>
    <row r="1895" ht="15.75" customHeight="1">
      <c r="B1895" s="163"/>
      <c r="C1895" s="163"/>
    </row>
    <row r="1896" ht="15.75" customHeight="1">
      <c r="B1896" s="163"/>
      <c r="C1896" s="163"/>
    </row>
    <row r="1897" ht="15.75" customHeight="1">
      <c r="B1897" s="163"/>
      <c r="C1897" s="163"/>
    </row>
    <row r="1898" ht="15.75" customHeight="1">
      <c r="B1898" s="163"/>
      <c r="C1898" s="163"/>
    </row>
    <row r="1899" ht="15.75" customHeight="1">
      <c r="B1899" s="163"/>
      <c r="C1899" s="163"/>
    </row>
    <row r="1900" ht="15.75" customHeight="1">
      <c r="B1900" s="163"/>
      <c r="C1900" s="163"/>
    </row>
    <row r="1901" ht="15.75" customHeight="1">
      <c r="B1901" s="163"/>
      <c r="C1901" s="163"/>
    </row>
    <row r="1902" ht="15.75" customHeight="1">
      <c r="B1902" s="163"/>
      <c r="C1902" s="163"/>
    </row>
    <row r="1903" ht="15.75" customHeight="1">
      <c r="B1903" s="163"/>
      <c r="C1903" s="163"/>
    </row>
    <row r="1904" ht="15.75" customHeight="1">
      <c r="B1904" s="163"/>
      <c r="C1904" s="163"/>
    </row>
    <row r="1905" ht="15.75" customHeight="1">
      <c r="B1905" s="163"/>
      <c r="C1905" s="163"/>
    </row>
    <row r="1906" ht="15.75" customHeight="1">
      <c r="B1906" s="163"/>
      <c r="C1906" s="163"/>
    </row>
    <row r="1907" ht="15.75" customHeight="1">
      <c r="B1907" s="163"/>
      <c r="C1907" s="163"/>
    </row>
    <row r="1908" ht="15.75" customHeight="1">
      <c r="B1908" s="163"/>
      <c r="C1908" s="163"/>
    </row>
    <row r="1909" ht="15.75" customHeight="1">
      <c r="B1909" s="163"/>
      <c r="C1909" s="163"/>
    </row>
    <row r="1910" ht="15.75" customHeight="1">
      <c r="B1910" s="163"/>
      <c r="C1910" s="163"/>
    </row>
    <row r="1911" ht="15.75" customHeight="1">
      <c r="B1911" s="163"/>
      <c r="C1911" s="163"/>
    </row>
    <row r="1912" ht="15.75" customHeight="1">
      <c r="B1912" s="163"/>
      <c r="C1912" s="163"/>
    </row>
    <row r="1913" ht="15.75" customHeight="1">
      <c r="B1913" s="163"/>
      <c r="C1913" s="163"/>
    </row>
    <row r="1914" ht="15.75" customHeight="1">
      <c r="B1914" s="163"/>
      <c r="C1914" s="163"/>
    </row>
    <row r="1915" ht="15.75" customHeight="1">
      <c r="B1915" s="163"/>
      <c r="C1915" s="163"/>
    </row>
    <row r="1916" ht="15.75" customHeight="1">
      <c r="B1916" s="163"/>
      <c r="C1916" s="163"/>
    </row>
    <row r="1917" ht="15.75" customHeight="1">
      <c r="B1917" s="163"/>
      <c r="C1917" s="163"/>
    </row>
    <row r="1918" ht="15.75" customHeight="1">
      <c r="B1918" s="163"/>
      <c r="C1918" s="163"/>
    </row>
    <row r="1919" ht="15.75" customHeight="1">
      <c r="B1919" s="163"/>
      <c r="C1919" s="163"/>
    </row>
    <row r="1920" ht="15.75" customHeight="1">
      <c r="B1920" s="163"/>
      <c r="C1920" s="163"/>
    </row>
    <row r="1921" ht="15.75" customHeight="1">
      <c r="B1921" s="163"/>
      <c r="C1921" s="163"/>
    </row>
    <row r="1922" ht="15.75" customHeight="1">
      <c r="B1922" s="163"/>
      <c r="C1922" s="163"/>
    </row>
    <row r="1923" ht="15.75" customHeight="1">
      <c r="B1923" s="163"/>
      <c r="C1923" s="163"/>
    </row>
    <row r="1924" ht="15.75" customHeight="1">
      <c r="B1924" s="163"/>
      <c r="C1924" s="163"/>
    </row>
    <row r="1925" ht="15.75" customHeight="1">
      <c r="B1925" s="163"/>
      <c r="C1925" s="163"/>
    </row>
    <row r="1926" ht="15.75" customHeight="1">
      <c r="B1926" s="163"/>
      <c r="C1926" s="163"/>
    </row>
    <row r="1927" ht="15.75" customHeight="1">
      <c r="B1927" s="163"/>
      <c r="C1927" s="163"/>
    </row>
    <row r="1928" ht="15.75" customHeight="1">
      <c r="B1928" s="163"/>
      <c r="C1928" s="163"/>
    </row>
    <row r="1929" ht="15.75" customHeight="1">
      <c r="B1929" s="163"/>
      <c r="C1929" s="163"/>
    </row>
    <row r="1930" ht="15.75" customHeight="1">
      <c r="B1930" s="163"/>
      <c r="C1930" s="163"/>
    </row>
    <row r="1931" ht="15.75" customHeight="1">
      <c r="B1931" s="163"/>
      <c r="C1931" s="163"/>
    </row>
    <row r="1932" ht="15.75" customHeight="1">
      <c r="B1932" s="163"/>
      <c r="C1932" s="163"/>
    </row>
    <row r="1933" ht="15.75" customHeight="1">
      <c r="B1933" s="163"/>
      <c r="C1933" s="163"/>
    </row>
    <row r="1934" ht="15.75" customHeight="1">
      <c r="B1934" s="163"/>
      <c r="C1934" s="163"/>
    </row>
    <row r="1935" ht="15.75" customHeight="1">
      <c r="B1935" s="163"/>
      <c r="C1935" s="163"/>
    </row>
    <row r="1936" ht="15.75" customHeight="1">
      <c r="B1936" s="163"/>
      <c r="C1936" s="163"/>
    </row>
    <row r="1937" ht="15.75" customHeight="1">
      <c r="B1937" s="163"/>
      <c r="C1937" s="163"/>
    </row>
    <row r="1938" ht="15.75" customHeight="1">
      <c r="B1938" s="163"/>
      <c r="C1938" s="163"/>
    </row>
    <row r="1939" ht="15.75" customHeight="1">
      <c r="B1939" s="163"/>
      <c r="C1939" s="163"/>
    </row>
    <row r="1940" ht="15.75" customHeight="1">
      <c r="B1940" s="163"/>
      <c r="C1940" s="163"/>
    </row>
    <row r="1941" ht="15.75" customHeight="1">
      <c r="B1941" s="163"/>
      <c r="C1941" s="163"/>
    </row>
    <row r="1942" ht="15.75" customHeight="1">
      <c r="B1942" s="163"/>
      <c r="C1942" s="163"/>
    </row>
    <row r="1943" ht="15.75" customHeight="1">
      <c r="B1943" s="163"/>
      <c r="C1943" s="163"/>
    </row>
    <row r="1944" ht="15.75" customHeight="1">
      <c r="B1944" s="163"/>
      <c r="C1944" s="163"/>
    </row>
    <row r="1945" ht="15.75" customHeight="1">
      <c r="B1945" s="163"/>
      <c r="C1945" s="163"/>
    </row>
    <row r="1946" ht="15.75" customHeight="1">
      <c r="B1946" s="163"/>
      <c r="C1946" s="163"/>
    </row>
    <row r="1947" ht="15.75" customHeight="1">
      <c r="B1947" s="163"/>
      <c r="C1947" s="163"/>
    </row>
    <row r="1948" ht="15.75" customHeight="1">
      <c r="B1948" s="163"/>
      <c r="C1948" s="163"/>
    </row>
    <row r="1949" ht="15.75" customHeight="1">
      <c r="B1949" s="163"/>
      <c r="C1949" s="163"/>
    </row>
    <row r="1950" ht="15.75" customHeight="1">
      <c r="B1950" s="163"/>
      <c r="C1950" s="163"/>
    </row>
    <row r="1951" ht="15.75" customHeight="1">
      <c r="B1951" s="163"/>
      <c r="C1951" s="163"/>
    </row>
    <row r="1952" ht="15.75" customHeight="1">
      <c r="B1952" s="163"/>
      <c r="C1952" s="163"/>
    </row>
    <row r="1953" ht="15.75" customHeight="1">
      <c r="B1953" s="163"/>
      <c r="C1953" s="163"/>
    </row>
    <row r="1954" ht="15.75" customHeight="1">
      <c r="B1954" s="163"/>
      <c r="C1954" s="163"/>
    </row>
    <row r="1955" ht="15.75" customHeight="1">
      <c r="B1955" s="163"/>
      <c r="C1955" s="163"/>
    </row>
    <row r="1956" ht="15.75" customHeight="1">
      <c r="B1956" s="163"/>
      <c r="C1956" s="163"/>
    </row>
    <row r="1957" ht="15.75" customHeight="1">
      <c r="B1957" s="163"/>
      <c r="C1957" s="163"/>
    </row>
    <row r="1958" ht="15.75" customHeight="1">
      <c r="B1958" s="163"/>
      <c r="C1958" s="163"/>
    </row>
    <row r="1959" ht="15.75" customHeight="1">
      <c r="B1959" s="163"/>
      <c r="C1959" s="163"/>
    </row>
    <row r="1960" ht="15.75" customHeight="1">
      <c r="B1960" s="163"/>
      <c r="C1960" s="163"/>
    </row>
    <row r="1961" ht="15.75" customHeight="1">
      <c r="B1961" s="163"/>
      <c r="C1961" s="163"/>
    </row>
    <row r="1962" ht="15.75" customHeight="1">
      <c r="B1962" s="163"/>
      <c r="C1962" s="163"/>
    </row>
    <row r="1963" ht="15.75" customHeight="1">
      <c r="B1963" s="163"/>
      <c r="C1963" s="163"/>
    </row>
    <row r="1964" ht="15.75" customHeight="1">
      <c r="B1964" s="163"/>
      <c r="C1964" s="163"/>
    </row>
    <row r="1965" ht="15.75" customHeight="1">
      <c r="B1965" s="163"/>
      <c r="C1965" s="163"/>
    </row>
    <row r="1966" ht="15.75" customHeight="1">
      <c r="B1966" s="163"/>
      <c r="C1966" s="163"/>
    </row>
    <row r="1967" ht="15.75" customHeight="1">
      <c r="B1967" s="163"/>
      <c r="C1967" s="163"/>
    </row>
    <row r="1968" ht="15.75" customHeight="1">
      <c r="B1968" s="163"/>
      <c r="C1968" s="163"/>
    </row>
    <row r="1969" ht="15.75" customHeight="1">
      <c r="B1969" s="163"/>
      <c r="C1969" s="163"/>
    </row>
    <row r="1970" ht="15.75" customHeight="1">
      <c r="B1970" s="163"/>
      <c r="C1970" s="163"/>
    </row>
    <row r="1971" ht="15.75" customHeight="1">
      <c r="B1971" s="163"/>
      <c r="C1971" s="163"/>
    </row>
    <row r="1972" ht="15.75" customHeight="1">
      <c r="B1972" s="163"/>
      <c r="C1972" s="163"/>
    </row>
    <row r="1973" ht="15.75" customHeight="1">
      <c r="B1973" s="163"/>
      <c r="C1973" s="163"/>
    </row>
    <row r="1974" ht="15.75" customHeight="1">
      <c r="B1974" s="163"/>
      <c r="C1974" s="163"/>
    </row>
    <row r="1975" ht="15.75" customHeight="1">
      <c r="B1975" s="163"/>
      <c r="C1975" s="163"/>
    </row>
    <row r="1976" ht="15.75" customHeight="1">
      <c r="B1976" s="163"/>
      <c r="C1976" s="163"/>
    </row>
    <row r="1977" ht="15.75" customHeight="1">
      <c r="B1977" s="163"/>
      <c r="C1977" s="163"/>
    </row>
    <row r="1978" ht="15.75" customHeight="1">
      <c r="B1978" s="163"/>
      <c r="C1978" s="163"/>
    </row>
    <row r="1979" ht="15.75" customHeight="1">
      <c r="B1979" s="163"/>
      <c r="C1979" s="163"/>
    </row>
    <row r="1980" ht="15.75" customHeight="1">
      <c r="B1980" s="163"/>
      <c r="C1980" s="163"/>
    </row>
    <row r="1981" ht="15.75" customHeight="1">
      <c r="B1981" s="163"/>
      <c r="C1981" s="163"/>
    </row>
    <row r="1982" ht="15.75" customHeight="1">
      <c r="B1982" s="163"/>
      <c r="C1982" s="163"/>
    </row>
    <row r="1983" ht="15.75" customHeight="1">
      <c r="B1983" s="163"/>
      <c r="C1983" s="163"/>
    </row>
    <row r="1984" ht="15.75" customHeight="1">
      <c r="B1984" s="163"/>
      <c r="C1984" s="163"/>
    </row>
    <row r="1985" ht="15.75" customHeight="1">
      <c r="B1985" s="163"/>
      <c r="C1985" s="163"/>
    </row>
    <row r="1986" ht="15.75" customHeight="1">
      <c r="B1986" s="163"/>
      <c r="C1986" s="163"/>
    </row>
    <row r="1987" ht="15.75" customHeight="1">
      <c r="B1987" s="163"/>
      <c r="C1987" s="163"/>
    </row>
    <row r="1988" ht="15.75" customHeight="1">
      <c r="B1988" s="163"/>
      <c r="C1988" s="163"/>
    </row>
    <row r="1989" ht="15.75" customHeight="1">
      <c r="B1989" s="163"/>
      <c r="C1989" s="163"/>
    </row>
    <row r="1990" ht="15.75" customHeight="1">
      <c r="B1990" s="163"/>
      <c r="C1990" s="163"/>
    </row>
    <row r="1991" ht="15.75" customHeight="1">
      <c r="B1991" s="163"/>
      <c r="C1991" s="163"/>
    </row>
    <row r="1992" ht="15.75" customHeight="1">
      <c r="B1992" s="163"/>
      <c r="C1992" s="163"/>
    </row>
    <row r="1993" ht="15.75" customHeight="1">
      <c r="B1993" s="163"/>
      <c r="C1993" s="163"/>
    </row>
    <row r="1994" ht="15.75" customHeight="1">
      <c r="B1994" s="163"/>
      <c r="C1994" s="163"/>
    </row>
    <row r="1995" ht="15.75" customHeight="1">
      <c r="B1995" s="163"/>
      <c r="C1995" s="163"/>
    </row>
    <row r="1996" ht="15.75" customHeight="1">
      <c r="B1996" s="163"/>
      <c r="C1996" s="163"/>
    </row>
    <row r="1997" ht="15.75" customHeight="1">
      <c r="B1997" s="163"/>
      <c r="C1997" s="163"/>
    </row>
    <row r="1998" ht="15.75" customHeight="1">
      <c r="B1998" s="163"/>
      <c r="C1998" s="163"/>
    </row>
    <row r="1999" ht="15.75" customHeight="1">
      <c r="B1999" s="163"/>
      <c r="C1999" s="163"/>
    </row>
    <row r="2000" ht="15.75" customHeight="1">
      <c r="B2000" s="163"/>
      <c r="C2000" s="163"/>
    </row>
    <row r="2001" ht="15.75" customHeight="1">
      <c r="B2001" s="163"/>
      <c r="C2001" s="163"/>
    </row>
    <row r="2002" ht="15.75" customHeight="1">
      <c r="B2002" s="163"/>
      <c r="C2002" s="163"/>
    </row>
    <row r="2003" ht="15.75" customHeight="1">
      <c r="B2003" s="163"/>
      <c r="C2003" s="163"/>
    </row>
    <row r="2004" ht="15.75" customHeight="1">
      <c r="B2004" s="163"/>
      <c r="C2004" s="163"/>
    </row>
    <row r="2005" ht="15.75" customHeight="1">
      <c r="B2005" s="163"/>
      <c r="C2005" s="163"/>
    </row>
    <row r="2006" ht="15.75" customHeight="1">
      <c r="B2006" s="163"/>
      <c r="C2006" s="163"/>
    </row>
    <row r="2007" ht="15.75" customHeight="1">
      <c r="B2007" s="163"/>
      <c r="C2007" s="163"/>
    </row>
    <row r="2008" ht="15.75" customHeight="1">
      <c r="B2008" s="163"/>
      <c r="C2008" s="163"/>
    </row>
    <row r="2009" ht="15.75" customHeight="1">
      <c r="B2009" s="163"/>
      <c r="C2009" s="163"/>
    </row>
    <row r="2010" ht="15.75" customHeight="1">
      <c r="B2010" s="163"/>
      <c r="C2010" s="163"/>
    </row>
    <row r="2011" ht="15.75" customHeight="1">
      <c r="B2011" s="163"/>
      <c r="C2011" s="163"/>
    </row>
    <row r="2012" ht="15.75" customHeight="1">
      <c r="B2012" s="163"/>
      <c r="C2012" s="163"/>
    </row>
    <row r="2013" ht="15.75" customHeight="1">
      <c r="B2013" s="163"/>
      <c r="C2013" s="163"/>
    </row>
    <row r="2014" ht="15.75" customHeight="1">
      <c r="B2014" s="163"/>
      <c r="C2014" s="163"/>
    </row>
    <row r="2015" ht="15.75" customHeight="1">
      <c r="B2015" s="163"/>
      <c r="C2015" s="16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63"/>
    <col customWidth="1" min="2" max="6" width="12.63"/>
    <col customWidth="1" min="7" max="7" width="35.13"/>
    <col customWidth="1" min="8" max="8" width="7.13"/>
    <col customWidth="1" min="9" max="9" width="44.25"/>
  </cols>
  <sheetData>
    <row r="1" ht="15.75" customHeight="1">
      <c r="A1" s="95" t="s">
        <v>379</v>
      </c>
      <c r="B1" s="14" t="s">
        <v>380</v>
      </c>
      <c r="C1" s="14" t="s">
        <v>381</v>
      </c>
      <c r="D1" s="14" t="s">
        <v>347</v>
      </c>
      <c r="E1" s="14" t="s">
        <v>382</v>
      </c>
      <c r="F1" s="14" t="s">
        <v>383</v>
      </c>
      <c r="G1" s="14" t="s">
        <v>384</v>
      </c>
      <c r="H1" s="179"/>
    </row>
    <row r="2" ht="25.5" customHeight="1">
      <c r="A2" s="180" t="s">
        <v>385</v>
      </c>
    </row>
    <row r="3" ht="25.5" customHeight="1">
      <c r="A3" s="181" t="s">
        <v>386</v>
      </c>
      <c r="B3" s="182"/>
      <c r="C3" s="182"/>
      <c r="D3" s="183" t="str">
        <f>A32</f>
        <v>Tunica Sencilla</v>
      </c>
      <c r="E3" s="182" t="s">
        <v>387</v>
      </c>
      <c r="F3" s="182" t="str">
        <f>Loots!E2&amp;", "</f>
        <v>Cultista, </v>
      </c>
      <c r="G3" s="184" t="str">
        <f t="shared" ref="G3:G26" si="1">H3&amp;", "&amp;I3</f>
        <v>1-10, Ropas rotas y arma pequeña + 1 pieza de oro</v>
      </c>
      <c r="H3" s="185" t="s">
        <v>388</v>
      </c>
      <c r="I3" s="186" t="s">
        <v>389</v>
      </c>
    </row>
    <row r="4" ht="25.5" customHeight="1">
      <c r="A4" s="187"/>
      <c r="G4" s="188" t="str">
        <f t="shared" si="1"/>
        <v>11-15, Arma y alguna pieza de ropa entera + 3 piezas de oro</v>
      </c>
      <c r="H4" s="189" t="s">
        <v>390</v>
      </c>
      <c r="I4" s="190" t="s">
        <v>391</v>
      </c>
    </row>
    <row r="5" ht="25.5" customHeight="1">
      <c r="A5" s="187"/>
      <c r="G5" s="188" t="str">
        <f t="shared" si="1"/>
        <v>16-19, El equipo exacto + 11 piezas de oro</v>
      </c>
      <c r="H5" s="189" t="s">
        <v>392</v>
      </c>
      <c r="I5" s="190" t="s">
        <v>393</v>
      </c>
    </row>
    <row r="6" ht="25.5" customHeight="1">
      <c r="A6" s="191"/>
      <c r="B6" s="192"/>
      <c r="C6" s="192"/>
      <c r="D6" s="192"/>
      <c r="E6" s="192"/>
      <c r="F6" s="192"/>
      <c r="G6" s="193" t="str">
        <f t="shared" si="1"/>
        <v>20, Equipo del cultista +1 y 15 piezas de oro</v>
      </c>
      <c r="H6" s="194" t="s">
        <v>394</v>
      </c>
      <c r="I6" s="195" t="s">
        <v>395</v>
      </c>
    </row>
    <row r="7" ht="15.75" customHeight="1">
      <c r="A7" s="181" t="s">
        <v>396</v>
      </c>
      <c r="B7" s="182"/>
      <c r="C7" s="182"/>
      <c r="D7" s="183"/>
      <c r="E7" s="182" t="s">
        <v>397</v>
      </c>
      <c r="F7" s="182" t="str">
        <f>Loots!E3&amp;", "</f>
        <v>Venides, </v>
      </c>
      <c r="G7" s="184" t="str">
        <f t="shared" si="1"/>
        <v>1-10, Ropas rotas y arma pequeña + 1 pieza de plata</v>
      </c>
      <c r="H7" s="185" t="s">
        <v>388</v>
      </c>
      <c r="I7" s="186" t="s">
        <v>398</v>
      </c>
    </row>
    <row r="8" ht="15.0" customHeight="1">
      <c r="A8" s="187"/>
      <c r="G8" s="188" t="str">
        <f t="shared" si="1"/>
        <v>11-15, Arma y alguna pieza de ropa entera + 30 piezas de plata</v>
      </c>
      <c r="H8" s="189" t="s">
        <v>390</v>
      </c>
      <c r="I8" s="190" t="s">
        <v>399</v>
      </c>
      <c r="P8" s="196"/>
      <c r="Q8" s="196"/>
      <c r="R8" s="196"/>
      <c r="T8" s="196"/>
    </row>
    <row r="9" ht="15.75" customHeight="1">
      <c r="A9" s="187"/>
      <c r="G9" s="188" t="str">
        <f t="shared" si="1"/>
        <v>16-19, El equipo exacto + 45 piezas de plata</v>
      </c>
      <c r="H9" s="189" t="s">
        <v>392</v>
      </c>
      <c r="I9" s="190" t="s">
        <v>400</v>
      </c>
      <c r="O9" s="196"/>
      <c r="P9" s="196"/>
      <c r="Q9" s="196"/>
      <c r="R9" s="197"/>
      <c r="S9" s="196"/>
      <c r="T9" s="196"/>
    </row>
    <row r="10" ht="15.75" customHeight="1">
      <c r="A10" s="191"/>
      <c r="B10" s="192"/>
      <c r="C10" s="192"/>
      <c r="D10" s="192"/>
      <c r="E10" s="192"/>
      <c r="F10" s="192"/>
      <c r="G10" s="193" t="str">
        <f t="shared" si="1"/>
        <v>20, Equipo del cultista +1 y 1 pieza de oro</v>
      </c>
      <c r="H10" s="194" t="s">
        <v>394</v>
      </c>
      <c r="I10" s="195" t="s">
        <v>401</v>
      </c>
      <c r="O10" s="196"/>
      <c r="P10" s="196"/>
      <c r="Q10" s="196"/>
      <c r="R10" s="196"/>
      <c r="S10" s="196"/>
      <c r="T10" s="196"/>
    </row>
    <row r="11" ht="15.75" customHeight="1">
      <c r="A11" s="181" t="s">
        <v>402</v>
      </c>
      <c r="B11" s="182"/>
      <c r="C11" s="182"/>
      <c r="D11" s="183"/>
      <c r="E11" s="182" t="s">
        <v>403</v>
      </c>
      <c r="F11" s="182" t="str">
        <f>Loots!E5&amp;", "</f>
        <v>Edul, </v>
      </c>
      <c r="G11" s="184" t="str">
        <f t="shared" si="1"/>
        <v>1-10, Ropas rotas y arma pequeña + 1 pieza de plata</v>
      </c>
      <c r="H11" s="185" t="s">
        <v>388</v>
      </c>
      <c r="I11" s="186" t="s">
        <v>398</v>
      </c>
      <c r="O11" s="196"/>
      <c r="P11" s="196"/>
      <c r="Q11" s="196"/>
      <c r="R11" s="196"/>
      <c r="S11" s="196"/>
      <c r="T11" s="196"/>
    </row>
    <row r="12" ht="15.75" customHeight="1">
      <c r="A12" s="187"/>
      <c r="G12" s="188" t="str">
        <f t="shared" si="1"/>
        <v>11-15, Arma y alguna pieza de ropa entera + 30 piezas de plata</v>
      </c>
      <c r="H12" s="189" t="s">
        <v>390</v>
      </c>
      <c r="I12" s="190" t="s">
        <v>399</v>
      </c>
      <c r="O12" s="196"/>
      <c r="P12" s="196"/>
      <c r="Q12" s="196"/>
      <c r="R12" s="196"/>
      <c r="S12" s="196"/>
      <c r="T12" s="196"/>
    </row>
    <row r="13" ht="15.75" customHeight="1">
      <c r="A13" s="187"/>
      <c r="G13" s="188" t="str">
        <f t="shared" si="1"/>
        <v>16-19, El equipo exacto + 45 piezas de plata</v>
      </c>
      <c r="H13" s="189" t="s">
        <v>392</v>
      </c>
      <c r="I13" s="190" t="s">
        <v>400</v>
      </c>
    </row>
    <row r="14" ht="15.75" customHeight="1">
      <c r="A14" s="191"/>
      <c r="B14" s="192"/>
      <c r="C14" s="192"/>
      <c r="D14" s="192"/>
      <c r="E14" s="192"/>
      <c r="F14" s="192"/>
      <c r="G14" s="193" t="str">
        <f t="shared" si="1"/>
        <v>20, Equipo del cultista y 1 pieza de oro</v>
      </c>
      <c r="H14" s="194" t="s">
        <v>394</v>
      </c>
      <c r="I14" s="195" t="s">
        <v>404</v>
      </c>
    </row>
    <row r="15" ht="15.75" customHeight="1">
      <c r="A15" s="181" t="s">
        <v>405</v>
      </c>
      <c r="B15" s="182"/>
      <c r="C15" s="182"/>
      <c r="D15" s="183"/>
      <c r="E15" s="182" t="s">
        <v>403</v>
      </c>
      <c r="F15" s="182" t="str">
        <f>Loots!E6&amp;", "</f>
        <v>Venira, </v>
      </c>
      <c r="G15" s="184" t="str">
        <f t="shared" si="1"/>
        <v>1-10, Ropas rotas y arma pequeña + 1 pieza de plata</v>
      </c>
      <c r="H15" s="185" t="s">
        <v>388</v>
      </c>
      <c r="I15" s="186" t="s">
        <v>398</v>
      </c>
    </row>
    <row r="16" ht="15.75" customHeight="1">
      <c r="A16" s="187"/>
      <c r="G16" s="188" t="str">
        <f t="shared" si="1"/>
        <v>11-15, Arma y alguna pieza de ropa entera + 30 piezas de plata</v>
      </c>
      <c r="H16" s="189" t="s">
        <v>390</v>
      </c>
      <c r="I16" s="190" t="s">
        <v>399</v>
      </c>
    </row>
    <row r="17" ht="15.75" customHeight="1">
      <c r="A17" s="187"/>
      <c r="G17" s="188" t="str">
        <f t="shared" si="1"/>
        <v>16-19, El equipo exacto + 45 piezas de plata</v>
      </c>
      <c r="H17" s="189" t="s">
        <v>392</v>
      </c>
      <c r="I17" s="190" t="s">
        <v>400</v>
      </c>
    </row>
    <row r="18" ht="15.75" customHeight="1">
      <c r="A18" s="191"/>
      <c r="B18" s="192"/>
      <c r="C18" s="192"/>
      <c r="D18" s="192"/>
      <c r="E18" s="192"/>
      <c r="F18" s="192"/>
      <c r="G18" s="193" t="str">
        <f t="shared" si="1"/>
        <v>20, Equipo del cultista y 1 pieza de oro</v>
      </c>
      <c r="H18" s="194" t="s">
        <v>394</v>
      </c>
      <c r="I18" s="195" t="s">
        <v>404</v>
      </c>
    </row>
    <row r="19" ht="15.75" customHeight="1">
      <c r="A19" s="181" t="s">
        <v>406</v>
      </c>
      <c r="B19" s="182"/>
      <c r="C19" s="182"/>
      <c r="D19" s="183"/>
      <c r="E19" s="182" t="s">
        <v>387</v>
      </c>
      <c r="F19" s="182" t="str">
        <f>Loots!E7&amp;", "</f>
        <v>Sandes, </v>
      </c>
      <c r="G19" s="184" t="str">
        <f t="shared" si="1"/>
        <v>1-10, Ropas rotas y arma pequeña + 15 pieza de oro</v>
      </c>
      <c r="H19" s="185" t="s">
        <v>388</v>
      </c>
      <c r="I19" s="186" t="s">
        <v>407</v>
      </c>
    </row>
    <row r="20" ht="15.75" customHeight="1">
      <c r="A20" s="187"/>
      <c r="G20" s="188" t="str">
        <f t="shared" si="1"/>
        <v>11-15, Arma y alguna pieza de ropa entera + 50 piezas de oro</v>
      </c>
      <c r="H20" s="189" t="s">
        <v>390</v>
      </c>
      <c r="I20" s="190" t="s">
        <v>408</v>
      </c>
    </row>
    <row r="21" ht="15.75" customHeight="1">
      <c r="A21" s="187"/>
      <c r="G21" s="188" t="str">
        <f t="shared" si="1"/>
        <v>16-19, El equipo exacto + 50 piezas de oro</v>
      </c>
      <c r="H21" s="189" t="s">
        <v>392</v>
      </c>
      <c r="I21" s="190" t="s">
        <v>409</v>
      </c>
    </row>
    <row r="22" ht="15.75" customHeight="1">
      <c r="A22" s="191"/>
      <c r="B22" s="192"/>
      <c r="C22" s="192"/>
      <c r="D22" s="192"/>
      <c r="E22" s="192"/>
      <c r="F22" s="192"/>
      <c r="G22" s="193" t="str">
        <f t="shared" si="1"/>
        <v>20, Equipo del cultista +1 y 100 piezas de oro</v>
      </c>
      <c r="H22" s="194" t="s">
        <v>394</v>
      </c>
      <c r="I22" s="195" t="s">
        <v>410</v>
      </c>
    </row>
    <row r="23" ht="15.75" customHeight="1">
      <c r="A23" s="181" t="s">
        <v>411</v>
      </c>
      <c r="B23" s="182"/>
      <c r="C23" s="182"/>
      <c r="D23" s="198" t="str">
        <f>A28</f>
        <v>Armadura Sencilla</v>
      </c>
      <c r="E23" s="182" t="s">
        <v>397</v>
      </c>
      <c r="F23" s="182" t="str">
        <f>Loots!E19&amp;", "</f>
        <v>, </v>
      </c>
      <c r="G23" s="184" t="str">
        <f t="shared" si="1"/>
        <v>1-10, Ropas rotas y arma pequeña + 1 pieza de plata</v>
      </c>
      <c r="H23" s="185" t="s">
        <v>388</v>
      </c>
      <c r="I23" s="186" t="s">
        <v>398</v>
      </c>
    </row>
    <row r="24" ht="15.75" customHeight="1">
      <c r="A24" s="187"/>
      <c r="G24" s="188" t="str">
        <f t="shared" si="1"/>
        <v>11-15, Arma y alguna pieza de ropa entera + 12 piezas de plata</v>
      </c>
      <c r="H24" s="189" t="s">
        <v>390</v>
      </c>
      <c r="I24" s="190" t="s">
        <v>412</v>
      </c>
    </row>
    <row r="25" ht="15.75" customHeight="1">
      <c r="A25" s="187"/>
      <c r="G25" s="188" t="str">
        <f t="shared" si="1"/>
        <v>16-19, El equipo exacto + 32 piezas de plata</v>
      </c>
      <c r="H25" s="189" t="s">
        <v>392</v>
      </c>
      <c r="I25" s="190" t="s">
        <v>413</v>
      </c>
    </row>
    <row r="26" ht="15.75" customHeight="1">
      <c r="A26" s="191"/>
      <c r="B26" s="192"/>
      <c r="C26" s="192"/>
      <c r="D26" s="192"/>
      <c r="E26" s="192"/>
      <c r="F26" s="192"/>
      <c r="G26" s="193" t="str">
        <f t="shared" si="1"/>
        <v>20, Equipo del cultista +1 y 1 pieza de oro</v>
      </c>
      <c r="H26" s="194" t="s">
        <v>394</v>
      </c>
      <c r="I26" s="195" t="s">
        <v>401</v>
      </c>
    </row>
    <row r="27" ht="15.75" customHeight="1">
      <c r="A27" s="199" t="s">
        <v>414</v>
      </c>
      <c r="B27" s="200"/>
      <c r="C27" s="200"/>
      <c r="D27" s="200"/>
      <c r="E27" s="200"/>
      <c r="F27" s="200"/>
      <c r="G27" s="200"/>
      <c r="H27" s="200"/>
      <c r="I27" s="200"/>
      <c r="J27" s="200"/>
      <c r="K27" s="200"/>
      <c r="L27" s="200"/>
    </row>
    <row r="28" ht="15.75" customHeight="1">
      <c r="A28" s="181" t="s">
        <v>415</v>
      </c>
      <c r="B28" s="201" t="s">
        <v>416</v>
      </c>
      <c r="C28" s="182"/>
      <c r="D28" s="183"/>
      <c r="E28" s="182"/>
      <c r="F28" s="182" t="str">
        <f>Loots!E23&amp;", "</f>
        <v>, </v>
      </c>
      <c r="G28" s="184" t="str">
        <f t="shared" ref="G28:G35" si="2">H28&amp;", "&amp;I28</f>
        <v>, </v>
      </c>
      <c r="H28" s="179"/>
    </row>
    <row r="29" ht="15.75" customHeight="1">
      <c r="A29" s="187"/>
      <c r="G29" s="188" t="str">
        <f t="shared" si="2"/>
        <v>, </v>
      </c>
      <c r="H29" s="179"/>
    </row>
    <row r="30" ht="15.75" customHeight="1">
      <c r="A30" s="187"/>
      <c r="G30" s="188" t="str">
        <f t="shared" si="2"/>
        <v>, </v>
      </c>
      <c r="H30" s="179"/>
    </row>
    <row r="31" ht="15.75" customHeight="1">
      <c r="A31" s="191"/>
      <c r="B31" s="192"/>
      <c r="C31" s="192"/>
      <c r="D31" s="192"/>
      <c r="E31" s="192"/>
      <c r="F31" s="192"/>
      <c r="G31" s="193" t="str">
        <f t="shared" si="2"/>
        <v>, </v>
      </c>
      <c r="H31" s="179"/>
    </row>
    <row r="32" ht="15.75" customHeight="1">
      <c r="A32" s="181" t="s">
        <v>417</v>
      </c>
      <c r="B32" s="201" t="s">
        <v>418</v>
      </c>
      <c r="C32" s="182"/>
      <c r="D32" s="183"/>
      <c r="E32" s="182"/>
      <c r="F32" s="182" t="str">
        <f>Loots!E27&amp;", "</f>
        <v>, </v>
      </c>
      <c r="G32" s="184" t="str">
        <f t="shared" si="2"/>
        <v>, </v>
      </c>
      <c r="H32" s="179"/>
    </row>
    <row r="33" ht="15.75" customHeight="1">
      <c r="A33" s="187"/>
      <c r="G33" s="188" t="str">
        <f t="shared" si="2"/>
        <v>, </v>
      </c>
      <c r="H33" s="179"/>
    </row>
    <row r="34" ht="15.75" customHeight="1">
      <c r="A34" s="187"/>
      <c r="G34" s="188" t="str">
        <f t="shared" si="2"/>
        <v>, </v>
      </c>
      <c r="H34" s="179"/>
    </row>
    <row r="35" ht="15.75" customHeight="1">
      <c r="A35" s="191"/>
      <c r="B35" s="192"/>
      <c r="C35" s="192"/>
      <c r="D35" s="192"/>
      <c r="E35" s="192"/>
      <c r="F35" s="192"/>
      <c r="G35" s="193" t="str">
        <f t="shared" si="2"/>
        <v>, </v>
      </c>
      <c r="H35" s="179"/>
    </row>
    <row r="36" ht="15.75" customHeight="1">
      <c r="A36" s="95"/>
      <c r="H36" s="179"/>
    </row>
    <row r="37" ht="15.75" customHeight="1">
      <c r="A37" s="95"/>
      <c r="H37" s="179"/>
    </row>
    <row r="38" ht="15.75" customHeight="1">
      <c r="A38" s="95"/>
      <c r="H38" s="179"/>
    </row>
    <row r="39" ht="15.75" customHeight="1">
      <c r="A39" s="95"/>
      <c r="H39" s="179"/>
    </row>
    <row r="40" ht="15.75" customHeight="1">
      <c r="A40" s="95"/>
      <c r="H40" s="179"/>
    </row>
    <row r="41" ht="15.75" customHeight="1">
      <c r="A41" s="95"/>
      <c r="H41" s="179"/>
    </row>
    <row r="42" ht="15.75" customHeight="1">
      <c r="A42" s="95"/>
      <c r="H42" s="179"/>
    </row>
    <row r="43" ht="15.75" customHeight="1">
      <c r="A43" s="95"/>
      <c r="H43" s="179"/>
    </row>
    <row r="44" ht="15.75" customHeight="1">
      <c r="A44" s="95"/>
      <c r="H44" s="179"/>
    </row>
    <row r="45" ht="15.75" customHeight="1">
      <c r="A45" s="95"/>
      <c r="H45" s="179"/>
    </row>
    <row r="46" ht="15.75" customHeight="1">
      <c r="A46" s="95"/>
      <c r="H46" s="179"/>
    </row>
    <row r="47" ht="15.75" customHeight="1">
      <c r="A47" s="95"/>
      <c r="H47" s="179"/>
    </row>
    <row r="48" ht="15.75" customHeight="1">
      <c r="A48" s="95"/>
      <c r="H48" s="179"/>
    </row>
    <row r="49" ht="15.75" customHeight="1">
      <c r="A49" s="95"/>
      <c r="H49" s="179"/>
    </row>
    <row r="50" ht="15.75" customHeight="1">
      <c r="A50" s="95"/>
      <c r="H50" s="179"/>
    </row>
    <row r="51" ht="15.75" customHeight="1">
      <c r="A51" s="95"/>
      <c r="H51" s="179"/>
    </row>
    <row r="52" ht="15.75" customHeight="1">
      <c r="A52" s="95"/>
      <c r="H52" s="179"/>
    </row>
    <row r="53" ht="15.75" customHeight="1">
      <c r="A53" s="95"/>
      <c r="H53" s="179"/>
    </row>
    <row r="54" ht="15.75" customHeight="1">
      <c r="A54" s="95"/>
      <c r="H54" s="179"/>
    </row>
    <row r="55" ht="15.75" customHeight="1">
      <c r="A55" s="95"/>
      <c r="H55" s="179"/>
    </row>
    <row r="56" ht="15.75" customHeight="1">
      <c r="A56" s="95"/>
      <c r="H56" s="179"/>
    </row>
    <row r="57" ht="15.75" customHeight="1">
      <c r="A57" s="95"/>
      <c r="H57" s="179"/>
    </row>
    <row r="58" ht="15.75" customHeight="1">
      <c r="A58" s="95"/>
      <c r="H58" s="179"/>
    </row>
    <row r="59" ht="15.75" customHeight="1">
      <c r="A59" s="95"/>
      <c r="H59" s="179"/>
    </row>
    <row r="60" ht="15.75" customHeight="1">
      <c r="A60" s="95"/>
      <c r="H60" s="179"/>
    </row>
    <row r="61" ht="15.75" customHeight="1">
      <c r="A61" s="95"/>
      <c r="H61" s="179"/>
    </row>
    <row r="62" ht="15.75" customHeight="1">
      <c r="A62" s="95"/>
      <c r="H62" s="179"/>
    </row>
    <row r="63" ht="15.75" customHeight="1">
      <c r="A63" s="95"/>
      <c r="H63" s="179"/>
    </row>
    <row r="64" ht="15.75" customHeight="1">
      <c r="A64" s="95"/>
      <c r="H64" s="179"/>
    </row>
    <row r="65" ht="15.75" customHeight="1">
      <c r="A65" s="95"/>
      <c r="H65" s="179"/>
    </row>
    <row r="66" ht="15.75" customHeight="1">
      <c r="A66" s="95"/>
      <c r="H66" s="179"/>
    </row>
    <row r="67" ht="15.75" customHeight="1">
      <c r="A67" s="95"/>
      <c r="H67" s="179"/>
    </row>
    <row r="68" ht="15.75" customHeight="1">
      <c r="A68" s="95"/>
      <c r="H68" s="179"/>
    </row>
    <row r="69" ht="15.75" customHeight="1">
      <c r="A69" s="95"/>
      <c r="H69" s="179"/>
    </row>
    <row r="70" ht="15.75" customHeight="1">
      <c r="A70" s="95"/>
      <c r="H70" s="179"/>
    </row>
    <row r="71" ht="15.75" customHeight="1">
      <c r="A71" s="95"/>
      <c r="H71" s="179"/>
    </row>
    <row r="72" ht="15.75" customHeight="1">
      <c r="A72" s="95"/>
      <c r="H72" s="179"/>
    </row>
    <row r="73" ht="15.75" customHeight="1">
      <c r="A73" s="95"/>
      <c r="H73" s="179"/>
    </row>
    <row r="74" ht="15.75" customHeight="1">
      <c r="A74" s="95"/>
      <c r="H74" s="179"/>
    </row>
    <row r="75" ht="15.75" customHeight="1">
      <c r="A75" s="95"/>
      <c r="H75" s="179"/>
    </row>
    <row r="76" ht="15.75" customHeight="1">
      <c r="A76" s="95"/>
      <c r="H76" s="179"/>
    </row>
    <row r="77" ht="15.75" customHeight="1">
      <c r="A77" s="95"/>
      <c r="H77" s="179"/>
    </row>
    <row r="78" ht="15.75" customHeight="1">
      <c r="A78" s="95"/>
      <c r="H78" s="179"/>
    </row>
    <row r="79" ht="15.75" customHeight="1">
      <c r="A79" s="95"/>
      <c r="H79" s="179"/>
    </row>
    <row r="80" ht="15.75" customHeight="1">
      <c r="A80" s="95"/>
      <c r="H80" s="179"/>
    </row>
    <row r="81" ht="15.75" customHeight="1">
      <c r="A81" s="95"/>
      <c r="H81" s="179"/>
    </row>
    <row r="82" ht="15.75" customHeight="1">
      <c r="A82" s="95"/>
      <c r="H82" s="179"/>
    </row>
    <row r="83" ht="15.75" customHeight="1">
      <c r="A83" s="95"/>
      <c r="H83" s="179"/>
    </row>
    <row r="84" ht="15.75" customHeight="1">
      <c r="A84" s="95"/>
      <c r="H84" s="179"/>
    </row>
    <row r="85" ht="15.75" customHeight="1">
      <c r="A85" s="95"/>
      <c r="H85" s="179"/>
    </row>
    <row r="86" ht="15.75" customHeight="1">
      <c r="A86" s="95"/>
      <c r="H86" s="179"/>
    </row>
    <row r="87" ht="15.75" customHeight="1">
      <c r="A87" s="95"/>
      <c r="H87" s="179"/>
    </row>
    <row r="88" ht="15.75" customHeight="1">
      <c r="A88" s="95"/>
      <c r="H88" s="179"/>
    </row>
    <row r="89" ht="15.75" customHeight="1">
      <c r="A89" s="95"/>
      <c r="H89" s="179"/>
    </row>
    <row r="90" ht="15.75" customHeight="1">
      <c r="A90" s="95"/>
      <c r="H90" s="179"/>
    </row>
    <row r="91" ht="15.75" customHeight="1">
      <c r="A91" s="95"/>
      <c r="H91" s="179"/>
    </row>
    <row r="92" ht="15.75" customHeight="1">
      <c r="A92" s="95"/>
      <c r="H92" s="179"/>
    </row>
    <row r="93" ht="15.75" customHeight="1">
      <c r="A93" s="95"/>
      <c r="H93" s="179"/>
    </row>
    <row r="94" ht="15.75" customHeight="1">
      <c r="A94" s="95"/>
      <c r="H94" s="179"/>
    </row>
    <row r="95" ht="15.75" customHeight="1">
      <c r="A95" s="95"/>
      <c r="H95" s="179"/>
    </row>
    <row r="96" ht="15.75" customHeight="1">
      <c r="A96" s="95"/>
      <c r="H96" s="179"/>
    </row>
    <row r="97" ht="15.75" customHeight="1">
      <c r="A97" s="95"/>
      <c r="H97" s="179"/>
    </row>
    <row r="98" ht="15.75" customHeight="1">
      <c r="A98" s="95"/>
      <c r="H98" s="179"/>
    </row>
    <row r="99" ht="15.75" customHeight="1">
      <c r="A99" s="95"/>
      <c r="H99" s="179"/>
    </row>
    <row r="100" ht="15.75" customHeight="1">
      <c r="A100" s="95"/>
      <c r="H100" s="179"/>
    </row>
    <row r="101" ht="15.75" customHeight="1">
      <c r="A101" s="95"/>
      <c r="H101" s="179"/>
    </row>
    <row r="102" ht="15.75" customHeight="1">
      <c r="A102" s="95"/>
      <c r="H102" s="179"/>
    </row>
    <row r="103" ht="15.75" customHeight="1">
      <c r="A103" s="95"/>
      <c r="H103" s="179"/>
    </row>
    <row r="104" ht="15.75" customHeight="1">
      <c r="A104" s="95"/>
      <c r="H104" s="179"/>
    </row>
    <row r="105" ht="15.75" customHeight="1">
      <c r="A105" s="95"/>
      <c r="H105" s="179"/>
    </row>
    <row r="106" ht="15.75" customHeight="1">
      <c r="A106" s="95"/>
      <c r="H106" s="179"/>
    </row>
    <row r="107" ht="15.75" customHeight="1">
      <c r="A107" s="95"/>
      <c r="H107" s="179"/>
    </row>
    <row r="108" ht="15.75" customHeight="1">
      <c r="A108" s="95"/>
      <c r="H108" s="179"/>
    </row>
    <row r="109" ht="15.75" customHeight="1">
      <c r="A109" s="95"/>
      <c r="H109" s="179"/>
    </row>
    <row r="110" ht="15.75" customHeight="1">
      <c r="A110" s="95"/>
      <c r="H110" s="179"/>
    </row>
    <row r="111" ht="15.75" customHeight="1">
      <c r="A111" s="95"/>
      <c r="H111" s="179"/>
    </row>
    <row r="112" ht="15.75" customHeight="1">
      <c r="A112" s="95"/>
      <c r="H112" s="179"/>
    </row>
    <row r="113" ht="15.75" customHeight="1">
      <c r="A113" s="95"/>
      <c r="H113" s="179"/>
    </row>
    <row r="114" ht="15.75" customHeight="1">
      <c r="A114" s="95"/>
      <c r="H114" s="179"/>
    </row>
    <row r="115" ht="15.75" customHeight="1">
      <c r="A115" s="95"/>
      <c r="H115" s="179"/>
    </row>
    <row r="116" ht="15.75" customHeight="1">
      <c r="A116" s="95"/>
      <c r="H116" s="179"/>
    </row>
    <row r="117" ht="15.75" customHeight="1">
      <c r="A117" s="95"/>
      <c r="H117" s="179"/>
    </row>
    <row r="118" ht="15.75" customHeight="1">
      <c r="A118" s="95"/>
      <c r="H118" s="179"/>
    </row>
    <row r="119" ht="15.75" customHeight="1">
      <c r="A119" s="95"/>
      <c r="H119" s="179"/>
    </row>
    <row r="120" ht="15.75" customHeight="1">
      <c r="A120" s="95"/>
      <c r="H120" s="179"/>
    </row>
    <row r="121" ht="15.75" customHeight="1">
      <c r="A121" s="95"/>
      <c r="H121" s="179"/>
    </row>
    <row r="122" ht="15.75" customHeight="1">
      <c r="A122" s="95"/>
      <c r="H122" s="179"/>
    </row>
    <row r="123" ht="15.75" customHeight="1">
      <c r="A123" s="95"/>
      <c r="H123" s="179"/>
    </row>
    <row r="124" ht="15.75" customHeight="1">
      <c r="A124" s="95"/>
      <c r="H124" s="179"/>
    </row>
    <row r="125" ht="15.75" customHeight="1">
      <c r="A125" s="95"/>
      <c r="H125" s="179"/>
    </row>
    <row r="126" ht="15.75" customHeight="1">
      <c r="A126" s="95"/>
      <c r="H126" s="179"/>
    </row>
    <row r="127" ht="15.75" customHeight="1">
      <c r="A127" s="95"/>
      <c r="H127" s="179"/>
    </row>
    <row r="128" ht="15.75" customHeight="1">
      <c r="A128" s="95"/>
      <c r="H128" s="179"/>
    </row>
    <row r="129" ht="15.75" customHeight="1">
      <c r="A129" s="95"/>
      <c r="H129" s="179"/>
    </row>
    <row r="130" ht="15.75" customHeight="1">
      <c r="A130" s="95"/>
      <c r="H130" s="179"/>
    </row>
    <row r="131" ht="15.75" customHeight="1">
      <c r="A131" s="95"/>
      <c r="H131" s="179"/>
    </row>
    <row r="132" ht="15.75" customHeight="1">
      <c r="A132" s="95"/>
      <c r="H132" s="179"/>
    </row>
    <row r="133" ht="15.75" customHeight="1">
      <c r="A133" s="95"/>
      <c r="H133" s="179"/>
    </row>
    <row r="134" ht="15.75" customHeight="1">
      <c r="A134" s="95"/>
      <c r="H134" s="179"/>
    </row>
    <row r="135" ht="15.75" customHeight="1">
      <c r="A135" s="95"/>
      <c r="H135" s="179"/>
    </row>
    <row r="136" ht="15.75" customHeight="1">
      <c r="A136" s="95"/>
      <c r="H136" s="179"/>
    </row>
    <row r="137" ht="15.75" customHeight="1">
      <c r="A137" s="95"/>
      <c r="H137" s="179"/>
    </row>
    <row r="138" ht="15.75" customHeight="1">
      <c r="A138" s="95"/>
      <c r="H138" s="179"/>
    </row>
    <row r="139" ht="15.75" customHeight="1">
      <c r="A139" s="95"/>
      <c r="H139" s="179"/>
    </row>
    <row r="140" ht="15.75" customHeight="1">
      <c r="A140" s="95"/>
      <c r="H140" s="179"/>
    </row>
    <row r="141" ht="15.75" customHeight="1">
      <c r="A141" s="95"/>
      <c r="H141" s="179"/>
    </row>
    <row r="142" ht="15.75" customHeight="1">
      <c r="A142" s="95"/>
      <c r="H142" s="179"/>
    </row>
    <row r="143" ht="15.75" customHeight="1">
      <c r="A143" s="95"/>
      <c r="H143" s="179"/>
    </row>
    <row r="144" ht="15.75" customHeight="1">
      <c r="A144" s="95"/>
      <c r="H144" s="179"/>
    </row>
    <row r="145" ht="15.75" customHeight="1">
      <c r="A145" s="95"/>
      <c r="H145" s="179"/>
    </row>
    <row r="146" ht="15.75" customHeight="1">
      <c r="A146" s="95"/>
      <c r="H146" s="179"/>
    </row>
    <row r="147" ht="15.75" customHeight="1">
      <c r="A147" s="95"/>
      <c r="H147" s="179"/>
    </row>
    <row r="148" ht="15.75" customHeight="1">
      <c r="A148" s="95"/>
      <c r="H148" s="179"/>
    </row>
    <row r="149" ht="15.75" customHeight="1">
      <c r="A149" s="95"/>
      <c r="H149" s="179"/>
    </row>
    <row r="150" ht="15.75" customHeight="1">
      <c r="A150" s="95"/>
      <c r="H150" s="179"/>
    </row>
    <row r="151" ht="15.75" customHeight="1">
      <c r="A151" s="95"/>
      <c r="H151" s="179"/>
    </row>
    <row r="152" ht="15.75" customHeight="1">
      <c r="A152" s="95"/>
      <c r="H152" s="179"/>
    </row>
    <row r="153" ht="15.75" customHeight="1">
      <c r="A153" s="95"/>
      <c r="H153" s="179"/>
    </row>
    <row r="154" ht="15.75" customHeight="1">
      <c r="A154" s="95"/>
      <c r="H154" s="179"/>
    </row>
    <row r="155" ht="15.75" customHeight="1">
      <c r="A155" s="95"/>
      <c r="H155" s="179"/>
    </row>
    <row r="156" ht="15.75" customHeight="1">
      <c r="A156" s="95"/>
      <c r="H156" s="179"/>
    </row>
    <row r="157" ht="15.75" customHeight="1">
      <c r="A157" s="95"/>
      <c r="H157" s="179"/>
    </row>
    <row r="158" ht="15.75" customHeight="1">
      <c r="A158" s="95"/>
      <c r="H158" s="179"/>
    </row>
    <row r="159" ht="15.75" customHeight="1">
      <c r="A159" s="95"/>
      <c r="H159" s="179"/>
    </row>
    <row r="160" ht="15.75" customHeight="1">
      <c r="A160" s="95"/>
      <c r="H160" s="179"/>
    </row>
    <row r="161" ht="15.75" customHeight="1">
      <c r="A161" s="95"/>
      <c r="H161" s="179"/>
    </row>
    <row r="162" ht="15.75" customHeight="1">
      <c r="A162" s="95"/>
      <c r="H162" s="179"/>
    </row>
    <row r="163" ht="15.75" customHeight="1">
      <c r="A163" s="95"/>
      <c r="H163" s="179"/>
    </row>
    <row r="164" ht="15.75" customHeight="1">
      <c r="A164" s="95"/>
      <c r="H164" s="179"/>
    </row>
    <row r="165" ht="15.75" customHeight="1">
      <c r="A165" s="95"/>
      <c r="H165" s="179"/>
    </row>
    <row r="166" ht="15.75" customHeight="1">
      <c r="A166" s="95"/>
      <c r="H166" s="179"/>
    </row>
    <row r="167" ht="15.75" customHeight="1">
      <c r="A167" s="95"/>
      <c r="H167" s="179"/>
    </row>
    <row r="168" ht="15.75" customHeight="1">
      <c r="A168" s="95"/>
      <c r="H168" s="179"/>
    </row>
    <row r="169" ht="15.75" customHeight="1">
      <c r="A169" s="95"/>
      <c r="H169" s="179"/>
    </row>
    <row r="170" ht="15.75" customHeight="1">
      <c r="A170" s="95"/>
      <c r="H170" s="179"/>
    </row>
    <row r="171" ht="15.75" customHeight="1">
      <c r="A171" s="95"/>
      <c r="H171" s="179"/>
    </row>
    <row r="172" ht="15.75" customHeight="1">
      <c r="A172" s="95"/>
      <c r="H172" s="179"/>
    </row>
    <row r="173" ht="15.75" customHeight="1">
      <c r="A173" s="95"/>
      <c r="H173" s="179"/>
    </row>
    <row r="174" ht="15.75" customHeight="1">
      <c r="A174" s="95"/>
      <c r="H174" s="179"/>
    </row>
    <row r="175" ht="15.75" customHeight="1">
      <c r="A175" s="95"/>
      <c r="H175" s="179"/>
    </row>
    <row r="176" ht="15.75" customHeight="1">
      <c r="A176" s="95"/>
      <c r="H176" s="179"/>
    </row>
    <row r="177" ht="15.75" customHeight="1">
      <c r="A177" s="95"/>
      <c r="H177" s="179"/>
    </row>
    <row r="178" ht="15.75" customHeight="1">
      <c r="A178" s="95"/>
      <c r="H178" s="179"/>
    </row>
    <row r="179" ht="15.75" customHeight="1">
      <c r="A179" s="95"/>
      <c r="H179" s="179"/>
    </row>
    <row r="180" ht="15.75" customHeight="1">
      <c r="A180" s="95"/>
      <c r="H180" s="179"/>
    </row>
    <row r="181" ht="15.75" customHeight="1">
      <c r="A181" s="95"/>
      <c r="H181" s="179"/>
    </row>
    <row r="182" ht="15.75" customHeight="1">
      <c r="A182" s="95"/>
      <c r="H182" s="179"/>
    </row>
    <row r="183" ht="15.75" customHeight="1">
      <c r="A183" s="95"/>
      <c r="H183" s="179"/>
    </row>
    <row r="184" ht="15.75" customHeight="1">
      <c r="A184" s="95"/>
      <c r="H184" s="179"/>
    </row>
    <row r="185" ht="15.75" customHeight="1">
      <c r="A185" s="95"/>
      <c r="H185" s="179"/>
    </row>
    <row r="186" ht="15.75" customHeight="1">
      <c r="A186" s="95"/>
      <c r="H186" s="179"/>
    </row>
    <row r="187" ht="15.75" customHeight="1">
      <c r="A187" s="95"/>
      <c r="H187" s="179"/>
    </row>
    <row r="188" ht="15.75" customHeight="1">
      <c r="A188" s="95"/>
      <c r="H188" s="179"/>
    </row>
    <row r="189" ht="15.75" customHeight="1">
      <c r="A189" s="95"/>
      <c r="H189" s="179"/>
    </row>
    <row r="190" ht="15.75" customHeight="1">
      <c r="A190" s="95"/>
      <c r="H190" s="179"/>
    </row>
    <row r="191" ht="15.75" customHeight="1">
      <c r="A191" s="95"/>
      <c r="H191" s="179"/>
    </row>
    <row r="192" ht="15.75" customHeight="1">
      <c r="A192" s="95"/>
      <c r="H192" s="179"/>
    </row>
    <row r="193" ht="15.75" customHeight="1">
      <c r="A193" s="95"/>
      <c r="H193" s="179"/>
    </row>
    <row r="194" ht="15.75" customHeight="1">
      <c r="A194" s="95"/>
      <c r="H194" s="179"/>
    </row>
    <row r="195" ht="15.75" customHeight="1">
      <c r="A195" s="95"/>
      <c r="H195" s="179"/>
    </row>
    <row r="196" ht="15.75" customHeight="1">
      <c r="A196" s="95"/>
      <c r="H196" s="179"/>
    </row>
    <row r="197" ht="15.75" customHeight="1">
      <c r="A197" s="95"/>
      <c r="H197" s="179"/>
    </row>
    <row r="198" ht="15.75" customHeight="1">
      <c r="A198" s="95"/>
      <c r="H198" s="179"/>
    </row>
    <row r="199" ht="15.75" customHeight="1">
      <c r="A199" s="95"/>
      <c r="H199" s="179"/>
    </row>
    <row r="200" ht="15.75" customHeight="1">
      <c r="A200" s="95"/>
      <c r="H200" s="179"/>
    </row>
    <row r="201" ht="15.75" customHeight="1">
      <c r="A201" s="95"/>
      <c r="H201" s="179"/>
    </row>
    <row r="202" ht="15.75" customHeight="1">
      <c r="A202" s="95"/>
      <c r="H202" s="179"/>
    </row>
    <row r="203" ht="15.75" customHeight="1">
      <c r="A203" s="95"/>
      <c r="H203" s="179"/>
    </row>
    <row r="204" ht="15.75" customHeight="1">
      <c r="A204" s="95"/>
      <c r="H204" s="179"/>
    </row>
    <row r="205" ht="15.75" customHeight="1">
      <c r="A205" s="95"/>
      <c r="H205" s="179"/>
    </row>
    <row r="206" ht="15.75" customHeight="1">
      <c r="A206" s="95"/>
      <c r="H206" s="179"/>
    </row>
    <row r="207" ht="15.75" customHeight="1">
      <c r="A207" s="95"/>
      <c r="H207" s="179"/>
    </row>
    <row r="208" ht="15.75" customHeight="1">
      <c r="A208" s="95"/>
      <c r="H208" s="179"/>
    </row>
    <row r="209" ht="15.75" customHeight="1">
      <c r="A209" s="95"/>
      <c r="H209" s="179"/>
    </row>
    <row r="210" ht="15.75" customHeight="1">
      <c r="A210" s="95"/>
      <c r="H210" s="179"/>
    </row>
    <row r="211" ht="15.75" customHeight="1">
      <c r="A211" s="95"/>
      <c r="H211" s="179"/>
    </row>
    <row r="212" ht="15.75" customHeight="1">
      <c r="A212" s="95"/>
      <c r="H212" s="179"/>
    </row>
    <row r="213" ht="15.75" customHeight="1">
      <c r="A213" s="95"/>
      <c r="H213" s="179"/>
    </row>
    <row r="214" ht="15.75" customHeight="1">
      <c r="A214" s="95"/>
      <c r="H214" s="179"/>
    </row>
    <row r="215" ht="15.75" customHeight="1">
      <c r="A215" s="95"/>
      <c r="H215" s="179"/>
    </row>
    <row r="216" ht="15.75" customHeight="1">
      <c r="A216" s="95"/>
      <c r="H216" s="179"/>
    </row>
    <row r="217" ht="15.75" customHeight="1">
      <c r="A217" s="95"/>
      <c r="H217" s="179"/>
    </row>
    <row r="218" ht="15.75" customHeight="1">
      <c r="A218" s="95"/>
      <c r="H218" s="179"/>
    </row>
    <row r="219" ht="15.75" customHeight="1">
      <c r="A219" s="95"/>
      <c r="H219" s="179"/>
    </row>
    <row r="220" ht="15.75" customHeight="1">
      <c r="A220" s="95"/>
      <c r="H220" s="179"/>
    </row>
    <row r="221" ht="15.75" customHeight="1">
      <c r="A221" s="95"/>
      <c r="H221" s="179"/>
    </row>
    <row r="222" ht="15.75" customHeight="1">
      <c r="A222" s="95"/>
      <c r="H222" s="179"/>
    </row>
    <row r="223" ht="15.75" customHeight="1">
      <c r="A223" s="95"/>
      <c r="H223" s="179"/>
    </row>
    <row r="224" ht="15.75" customHeight="1">
      <c r="A224" s="95"/>
      <c r="H224" s="179"/>
    </row>
    <row r="225" ht="15.75" customHeight="1">
      <c r="A225" s="95"/>
      <c r="H225" s="179"/>
    </row>
    <row r="226" ht="15.75" customHeight="1">
      <c r="A226" s="95"/>
      <c r="H226" s="179"/>
    </row>
    <row r="227" ht="15.75" customHeight="1">
      <c r="A227" s="95"/>
      <c r="H227" s="179"/>
    </row>
    <row r="228" ht="15.75" customHeight="1">
      <c r="A228" s="95"/>
      <c r="H228" s="179"/>
    </row>
    <row r="229" ht="15.75" customHeight="1">
      <c r="A229" s="95"/>
      <c r="H229" s="179"/>
    </row>
    <row r="230" ht="15.75" customHeight="1">
      <c r="A230" s="95"/>
      <c r="H230" s="179"/>
    </row>
    <row r="231" ht="15.75" customHeight="1">
      <c r="A231" s="95"/>
      <c r="H231" s="179"/>
    </row>
    <row r="232" ht="15.75" customHeight="1">
      <c r="A232" s="95"/>
      <c r="H232" s="179"/>
    </row>
    <row r="233" ht="15.75" customHeight="1">
      <c r="A233" s="95"/>
      <c r="H233" s="179"/>
    </row>
    <row r="234" ht="15.75" customHeight="1">
      <c r="A234" s="95"/>
      <c r="H234" s="179"/>
    </row>
    <row r="235" ht="15.75" customHeight="1">
      <c r="A235" s="95"/>
      <c r="H235" s="179"/>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2:L2"/>
    <mergeCell ref="A3:A6"/>
    <mergeCell ref="B3:B6"/>
    <mergeCell ref="C3:C6"/>
    <mergeCell ref="D3:D6"/>
    <mergeCell ref="E3:E6"/>
    <mergeCell ref="F3:F6"/>
    <mergeCell ref="D11:D14"/>
    <mergeCell ref="E11:E14"/>
    <mergeCell ref="D15:D18"/>
    <mergeCell ref="E15:E18"/>
    <mergeCell ref="F15:F18"/>
    <mergeCell ref="D19:D22"/>
    <mergeCell ref="E19:E22"/>
    <mergeCell ref="F19:F22"/>
    <mergeCell ref="A7:A10"/>
    <mergeCell ref="B7:B10"/>
    <mergeCell ref="C7:C10"/>
    <mergeCell ref="D7:D10"/>
    <mergeCell ref="E7:E10"/>
    <mergeCell ref="F7:F10"/>
    <mergeCell ref="A11:A14"/>
    <mergeCell ref="F11:F14"/>
    <mergeCell ref="A19:A22"/>
    <mergeCell ref="A23:A26"/>
    <mergeCell ref="B23:B26"/>
    <mergeCell ref="C23:C26"/>
    <mergeCell ref="D23:D26"/>
    <mergeCell ref="E23:E26"/>
    <mergeCell ref="F23:F26"/>
    <mergeCell ref="A27:L27"/>
    <mergeCell ref="B11:B14"/>
    <mergeCell ref="C11:C14"/>
    <mergeCell ref="A15:A18"/>
    <mergeCell ref="B15:B18"/>
    <mergeCell ref="C15:C18"/>
    <mergeCell ref="B19:B22"/>
    <mergeCell ref="C19:C22"/>
    <mergeCell ref="B32:B35"/>
    <mergeCell ref="C32:C35"/>
    <mergeCell ref="D32:D35"/>
    <mergeCell ref="E32:E35"/>
    <mergeCell ref="A28:A31"/>
    <mergeCell ref="B28:B31"/>
    <mergeCell ref="C28:C31"/>
    <mergeCell ref="D28:D31"/>
    <mergeCell ref="E28:E31"/>
    <mergeCell ref="F28:F31"/>
    <mergeCell ref="A32:A35"/>
    <mergeCell ref="F32:F3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2" width="12.63"/>
    <col customWidth="1" min="3" max="3" width="6.38"/>
    <col customWidth="1" min="4" max="4" width="18.38"/>
    <col customWidth="1" min="5" max="6" width="12.63"/>
  </cols>
  <sheetData>
    <row r="1" ht="15.75" customHeight="1">
      <c r="A1" s="202"/>
      <c r="B1" s="202"/>
      <c r="C1" s="14"/>
      <c r="D1" s="14"/>
      <c r="E1" s="14"/>
      <c r="F1" s="14"/>
      <c r="G1" s="14"/>
      <c r="H1" s="14"/>
      <c r="I1" s="14"/>
      <c r="J1" s="14"/>
      <c r="K1" s="14"/>
      <c r="L1" s="14"/>
      <c r="M1" s="14"/>
      <c r="N1" s="14"/>
      <c r="O1" s="14"/>
      <c r="P1" s="14"/>
      <c r="Q1" s="14"/>
      <c r="R1" s="14"/>
      <c r="S1" s="14"/>
      <c r="T1" s="14"/>
    </row>
    <row r="2" ht="15.75" customHeight="1">
      <c r="A2" s="202"/>
      <c r="B2" s="203" t="s">
        <v>419</v>
      </c>
      <c r="C2" s="204" t="s">
        <v>420</v>
      </c>
      <c r="D2" s="200"/>
      <c r="E2" s="200"/>
      <c r="F2" s="200"/>
      <c r="G2" s="200"/>
      <c r="H2" s="200"/>
      <c r="I2" s="200"/>
      <c r="J2" s="200"/>
      <c r="K2" s="200"/>
      <c r="L2" s="200"/>
      <c r="M2" s="200"/>
      <c r="N2" s="200"/>
      <c r="O2" s="200"/>
      <c r="P2" s="200"/>
      <c r="Q2" s="200"/>
      <c r="R2" s="200"/>
      <c r="S2" s="200"/>
      <c r="T2" s="205"/>
    </row>
    <row r="3" ht="49.5" customHeight="1">
      <c r="A3" s="202"/>
      <c r="B3" s="203" t="s">
        <v>347</v>
      </c>
      <c r="C3" s="206" t="s">
        <v>421</v>
      </c>
      <c r="D3" s="200"/>
      <c r="E3" s="200"/>
      <c r="F3" s="200"/>
      <c r="G3" s="200"/>
      <c r="H3" s="200"/>
      <c r="I3" s="200"/>
      <c r="J3" s="200"/>
      <c r="K3" s="200"/>
      <c r="L3" s="200"/>
      <c r="M3" s="200"/>
      <c r="N3" s="200"/>
      <c r="O3" s="200"/>
      <c r="P3" s="200"/>
      <c r="Q3" s="200"/>
      <c r="R3" s="200"/>
      <c r="S3" s="200"/>
      <c r="T3" s="205"/>
    </row>
    <row r="4" ht="15.75" customHeight="1">
      <c r="A4" s="202"/>
      <c r="B4" s="203" t="s">
        <v>300</v>
      </c>
      <c r="C4" s="204">
        <v>757.0</v>
      </c>
      <c r="D4" s="207" t="s">
        <v>370</v>
      </c>
      <c r="E4" s="208" t="s">
        <v>332</v>
      </c>
      <c r="F4" s="207"/>
      <c r="G4" s="208" t="s">
        <v>338</v>
      </c>
      <c r="H4" s="207">
        <f>(Enemigos!C2*Enemigos!B2)+(Enemigos!B3*Enemigos!C3)+Enemigos!C7</f>
        <v>1675</v>
      </c>
      <c r="I4" s="208" t="s">
        <v>422</v>
      </c>
      <c r="J4" s="207" t="s">
        <v>423</v>
      </c>
      <c r="K4" s="204"/>
      <c r="L4" s="204"/>
      <c r="M4" s="204"/>
      <c r="N4" s="204"/>
      <c r="O4" s="204"/>
      <c r="P4" s="204"/>
      <c r="Q4" s="204"/>
      <c r="R4" s="204"/>
      <c r="S4" s="204"/>
      <c r="T4" s="207"/>
    </row>
    <row r="5" ht="15.75" customHeight="1">
      <c r="A5" s="202"/>
      <c r="B5" s="203" t="s">
        <v>424</v>
      </c>
      <c r="C5" s="204" t="s">
        <v>425</v>
      </c>
      <c r="D5" s="200"/>
      <c r="E5" s="200"/>
      <c r="F5" s="200"/>
      <c r="G5" s="200"/>
      <c r="H5" s="200"/>
      <c r="I5" s="200"/>
      <c r="J5" s="200"/>
      <c r="K5" s="200"/>
      <c r="L5" s="200"/>
      <c r="M5" s="200"/>
      <c r="N5" s="200"/>
      <c r="O5" s="200"/>
      <c r="P5" s="200"/>
      <c r="Q5" s="200"/>
      <c r="R5" s="200"/>
      <c r="S5" s="200"/>
      <c r="T5" s="205"/>
    </row>
    <row r="6" ht="15.75" customHeight="1">
      <c r="A6" s="202"/>
      <c r="B6" s="203" t="s">
        <v>426</v>
      </c>
      <c r="C6" s="204" t="s">
        <v>427</v>
      </c>
      <c r="D6" s="200"/>
      <c r="E6" s="200"/>
      <c r="F6" s="200"/>
      <c r="G6" s="200"/>
      <c r="H6" s="200"/>
      <c r="I6" s="200"/>
      <c r="J6" s="200"/>
      <c r="K6" s="200"/>
      <c r="L6" s="200"/>
      <c r="M6" s="200"/>
      <c r="N6" s="200"/>
      <c r="O6" s="200"/>
      <c r="P6" s="200"/>
      <c r="Q6" s="200"/>
      <c r="R6" s="200"/>
      <c r="S6" s="200"/>
      <c r="T6" s="205"/>
    </row>
    <row r="7" ht="15.75" customHeight="1">
      <c r="A7" s="202"/>
      <c r="B7" s="203" t="s">
        <v>428</v>
      </c>
      <c r="C7" s="204" t="s">
        <v>429</v>
      </c>
      <c r="D7" s="200"/>
      <c r="E7" s="200"/>
      <c r="F7" s="200"/>
      <c r="G7" s="200"/>
      <c r="H7" s="200"/>
      <c r="I7" s="200"/>
      <c r="J7" s="200"/>
      <c r="K7" s="200"/>
      <c r="L7" s="200"/>
      <c r="M7" s="200"/>
      <c r="N7" s="200"/>
      <c r="O7" s="200"/>
      <c r="P7" s="200"/>
      <c r="Q7" s="200"/>
      <c r="R7" s="200"/>
      <c r="S7" s="200"/>
      <c r="T7" s="205"/>
    </row>
    <row r="8" ht="15.75" customHeight="1">
      <c r="A8" s="202"/>
      <c r="B8" s="202"/>
    </row>
    <row r="9" ht="15.75" customHeight="1">
      <c r="A9" s="202"/>
      <c r="B9" s="202"/>
    </row>
    <row r="10" ht="15.75" customHeight="1">
      <c r="A10" s="202"/>
      <c r="B10" s="202"/>
    </row>
    <row r="11" ht="15.75" customHeight="1">
      <c r="A11" s="202"/>
      <c r="B11" s="202"/>
    </row>
    <row r="12" ht="15.75" customHeight="1">
      <c r="A12" s="202"/>
      <c r="B12" s="202"/>
    </row>
    <row r="13" ht="15.75" customHeight="1">
      <c r="A13" s="202"/>
      <c r="B13" s="202"/>
    </row>
    <row r="14" ht="15.75" customHeight="1">
      <c r="A14" s="202"/>
      <c r="B14" s="202"/>
    </row>
    <row r="15" ht="15.75" customHeight="1">
      <c r="A15" s="202"/>
      <c r="B15" s="202"/>
    </row>
    <row r="16" ht="15.75" customHeight="1">
      <c r="A16" s="202"/>
      <c r="B16" s="202"/>
    </row>
    <row r="17" ht="15.75" customHeight="1">
      <c r="A17" s="202"/>
      <c r="B17" s="202"/>
    </row>
    <row r="18" ht="15.75" customHeight="1">
      <c r="A18" s="202"/>
      <c r="B18" s="202"/>
    </row>
    <row r="19" ht="15.75" customHeight="1">
      <c r="A19" s="202"/>
      <c r="B19" s="202"/>
    </row>
    <row r="20" ht="15.75" customHeight="1">
      <c r="A20" s="202"/>
      <c r="B20" s="202"/>
    </row>
    <row r="21" ht="15.75" customHeight="1">
      <c r="A21" s="202"/>
      <c r="B21" s="202"/>
    </row>
    <row r="22" ht="15.75" customHeight="1">
      <c r="A22" s="202"/>
      <c r="B22" s="202"/>
    </row>
    <row r="23" ht="15.75" customHeight="1">
      <c r="A23" s="202"/>
      <c r="B23" s="202"/>
    </row>
    <row r="24" ht="15.75" customHeight="1">
      <c r="A24" s="202"/>
      <c r="B24" s="202"/>
    </row>
    <row r="25" ht="15.75" customHeight="1">
      <c r="A25" s="202"/>
      <c r="B25" s="202"/>
    </row>
    <row r="26" ht="15.75" customHeight="1">
      <c r="A26" s="202"/>
      <c r="B26" s="202"/>
    </row>
    <row r="27" ht="15.75" customHeight="1">
      <c r="A27" s="202"/>
      <c r="B27" s="202"/>
    </row>
    <row r="28" ht="15.75" customHeight="1">
      <c r="A28" s="202"/>
      <c r="B28" s="202"/>
    </row>
    <row r="29" ht="15.75" customHeight="1">
      <c r="A29" s="202"/>
      <c r="B29" s="202"/>
    </row>
    <row r="30" ht="15.75" customHeight="1">
      <c r="A30" s="202"/>
      <c r="B30" s="202"/>
    </row>
    <row r="31" ht="15.75" customHeight="1">
      <c r="A31" s="202"/>
      <c r="B31" s="202"/>
    </row>
    <row r="32" ht="15.75" customHeight="1">
      <c r="A32" s="202"/>
      <c r="B32" s="202"/>
    </row>
    <row r="33" ht="15.75" customHeight="1">
      <c r="A33" s="202"/>
      <c r="B33" s="202"/>
    </row>
    <row r="34" ht="15.75" customHeight="1">
      <c r="A34" s="202"/>
      <c r="B34" s="202"/>
    </row>
    <row r="35" ht="15.75" customHeight="1">
      <c r="A35" s="202"/>
      <c r="B35" s="202"/>
    </row>
    <row r="36" ht="15.75" customHeight="1">
      <c r="A36" s="202"/>
      <c r="B36" s="202"/>
    </row>
    <row r="37" ht="15.75" customHeight="1">
      <c r="A37" s="202"/>
      <c r="B37" s="202"/>
    </row>
    <row r="38" ht="15.75" customHeight="1">
      <c r="A38" s="202"/>
      <c r="B38" s="202"/>
    </row>
    <row r="39" ht="15.75" customHeight="1">
      <c r="A39" s="202"/>
      <c r="B39" s="202"/>
    </row>
    <row r="40" ht="15.75" customHeight="1">
      <c r="A40" s="202"/>
      <c r="B40" s="202"/>
    </row>
    <row r="41" ht="15.75" customHeight="1">
      <c r="A41" s="202"/>
      <c r="B41" s="202"/>
    </row>
    <row r="42" ht="15.75" customHeight="1">
      <c r="A42" s="202"/>
      <c r="B42" s="202"/>
    </row>
    <row r="43" ht="15.75" customHeight="1">
      <c r="A43" s="202"/>
      <c r="B43" s="202"/>
    </row>
    <row r="44" ht="15.75" customHeight="1">
      <c r="A44" s="202"/>
      <c r="B44" s="202"/>
    </row>
    <row r="45" ht="15.75" customHeight="1">
      <c r="A45" s="202"/>
      <c r="B45" s="202"/>
    </row>
    <row r="46" ht="15.75" customHeight="1">
      <c r="A46" s="202"/>
      <c r="B46" s="202"/>
    </row>
    <row r="47" ht="15.75" customHeight="1">
      <c r="A47" s="202"/>
      <c r="B47" s="202"/>
    </row>
    <row r="48" ht="15.75" customHeight="1">
      <c r="A48" s="202"/>
      <c r="B48" s="202"/>
    </row>
    <row r="49" ht="15.75" customHeight="1">
      <c r="A49" s="202"/>
      <c r="B49" s="202"/>
    </row>
    <row r="50" ht="15.75" customHeight="1">
      <c r="A50" s="202"/>
      <c r="B50" s="202"/>
    </row>
    <row r="51" ht="15.75" customHeight="1">
      <c r="A51" s="202"/>
      <c r="B51" s="202"/>
    </row>
    <row r="52" ht="15.75" customHeight="1">
      <c r="A52" s="202"/>
      <c r="B52" s="202"/>
    </row>
    <row r="53" ht="15.75" customHeight="1">
      <c r="A53" s="202"/>
      <c r="B53" s="202"/>
    </row>
    <row r="54" ht="15.75" customHeight="1">
      <c r="A54" s="202"/>
      <c r="B54" s="202"/>
    </row>
    <row r="55" ht="15.75" customHeight="1">
      <c r="A55" s="202"/>
      <c r="B55" s="202"/>
    </row>
    <row r="56" ht="15.75" customHeight="1">
      <c r="A56" s="202"/>
      <c r="B56" s="202"/>
    </row>
    <row r="57" ht="15.75" customHeight="1">
      <c r="A57" s="202"/>
      <c r="B57" s="202"/>
    </row>
    <row r="58" ht="15.75" customHeight="1">
      <c r="A58" s="202"/>
      <c r="B58" s="202"/>
    </row>
    <row r="59" ht="15.75" customHeight="1">
      <c r="A59" s="202"/>
      <c r="B59" s="202"/>
    </row>
    <row r="60" ht="15.75" customHeight="1">
      <c r="A60" s="202"/>
      <c r="B60" s="202"/>
    </row>
    <row r="61" ht="15.75" customHeight="1">
      <c r="A61" s="202"/>
      <c r="B61" s="202"/>
    </row>
    <row r="62" ht="15.75" customHeight="1">
      <c r="A62" s="202"/>
      <c r="B62" s="202"/>
    </row>
    <row r="63" ht="15.75" customHeight="1">
      <c r="A63" s="202"/>
      <c r="B63" s="202"/>
    </row>
    <row r="64" ht="15.75" customHeight="1">
      <c r="A64" s="202"/>
      <c r="B64" s="202"/>
    </row>
    <row r="65" ht="15.75" customHeight="1">
      <c r="A65" s="202"/>
      <c r="B65" s="202"/>
    </row>
    <row r="66" ht="15.75" customHeight="1">
      <c r="A66" s="202"/>
      <c r="B66" s="202"/>
    </row>
    <row r="67" ht="15.75" customHeight="1">
      <c r="A67" s="202"/>
      <c r="B67" s="202"/>
    </row>
    <row r="68" ht="15.75" customHeight="1">
      <c r="A68" s="202"/>
      <c r="B68" s="202"/>
    </row>
    <row r="69" ht="15.75" customHeight="1">
      <c r="A69" s="202"/>
      <c r="B69" s="202"/>
    </row>
    <row r="70" ht="15.75" customHeight="1">
      <c r="A70" s="202"/>
      <c r="B70" s="202"/>
    </row>
    <row r="71" ht="15.75" customHeight="1">
      <c r="A71" s="202"/>
      <c r="B71" s="202"/>
    </row>
    <row r="72" ht="15.75" customHeight="1">
      <c r="A72" s="202"/>
      <c r="B72" s="202"/>
    </row>
    <row r="73" ht="15.75" customHeight="1">
      <c r="A73" s="202"/>
      <c r="B73" s="202"/>
    </row>
    <row r="74" ht="15.75" customHeight="1">
      <c r="A74" s="202"/>
      <c r="B74" s="202"/>
    </row>
    <row r="75" ht="15.75" customHeight="1">
      <c r="A75" s="202"/>
      <c r="B75" s="202"/>
    </row>
    <row r="76" ht="15.75" customHeight="1">
      <c r="A76" s="202"/>
      <c r="B76" s="202"/>
    </row>
    <row r="77" ht="15.75" customHeight="1">
      <c r="A77" s="202"/>
      <c r="B77" s="202"/>
    </row>
    <row r="78" ht="15.75" customHeight="1">
      <c r="A78" s="202"/>
      <c r="B78" s="202"/>
    </row>
    <row r="79" ht="15.75" customHeight="1">
      <c r="A79" s="202"/>
      <c r="B79" s="202"/>
    </row>
    <row r="80" ht="15.75" customHeight="1">
      <c r="A80" s="202"/>
      <c r="B80" s="202"/>
    </row>
    <row r="81" ht="15.75" customHeight="1">
      <c r="A81" s="202"/>
      <c r="B81" s="202"/>
    </row>
    <row r="82" ht="15.75" customHeight="1">
      <c r="A82" s="202"/>
      <c r="B82" s="202"/>
    </row>
    <row r="83" ht="15.75" customHeight="1">
      <c r="A83" s="202"/>
      <c r="B83" s="202"/>
    </row>
    <row r="84" ht="15.75" customHeight="1">
      <c r="A84" s="202"/>
      <c r="B84" s="202"/>
    </row>
    <row r="85" ht="15.75" customHeight="1">
      <c r="A85" s="202"/>
      <c r="B85" s="202"/>
    </row>
    <row r="86" ht="15.75" customHeight="1">
      <c r="A86" s="202"/>
      <c r="B86" s="202"/>
    </row>
    <row r="87" ht="15.75" customHeight="1">
      <c r="A87" s="202"/>
      <c r="B87" s="202"/>
    </row>
    <row r="88" ht="15.75" customHeight="1">
      <c r="A88" s="202"/>
      <c r="B88" s="202"/>
    </row>
    <row r="89" ht="15.75" customHeight="1">
      <c r="A89" s="202"/>
      <c r="B89" s="202"/>
    </row>
    <row r="90" ht="15.75" customHeight="1">
      <c r="A90" s="202"/>
      <c r="B90" s="202"/>
    </row>
    <row r="91" ht="15.75" customHeight="1">
      <c r="A91" s="202"/>
      <c r="B91" s="202"/>
    </row>
    <row r="92" ht="15.75" customHeight="1">
      <c r="A92" s="202"/>
      <c r="B92" s="202"/>
    </row>
    <row r="93" ht="15.75" customHeight="1">
      <c r="A93" s="202"/>
      <c r="B93" s="202"/>
    </row>
    <row r="94" ht="15.75" customHeight="1">
      <c r="A94" s="202"/>
      <c r="B94" s="202"/>
    </row>
    <row r="95" ht="15.75" customHeight="1">
      <c r="A95" s="202"/>
      <c r="B95" s="202"/>
    </row>
    <row r="96" ht="15.75" customHeight="1">
      <c r="A96" s="202"/>
      <c r="B96" s="202"/>
    </row>
    <row r="97" ht="15.75" customHeight="1">
      <c r="A97" s="202"/>
      <c r="B97" s="202"/>
    </row>
    <row r="98" ht="15.75" customHeight="1">
      <c r="A98" s="202"/>
      <c r="B98" s="202"/>
    </row>
    <row r="99" ht="15.75" customHeight="1">
      <c r="A99" s="202"/>
      <c r="B99" s="202"/>
    </row>
    <row r="100" ht="15.75" customHeight="1">
      <c r="A100" s="202"/>
      <c r="B100" s="202"/>
    </row>
    <row r="101" ht="15.75" customHeight="1">
      <c r="A101" s="202"/>
      <c r="B101" s="202"/>
    </row>
    <row r="102" ht="15.75" customHeight="1">
      <c r="A102" s="202"/>
      <c r="B102" s="202"/>
    </row>
    <row r="103" ht="15.75" customHeight="1">
      <c r="A103" s="202"/>
      <c r="B103" s="202"/>
    </row>
    <row r="104" ht="15.75" customHeight="1">
      <c r="A104" s="202"/>
      <c r="B104" s="202"/>
    </row>
    <row r="105" ht="15.75" customHeight="1">
      <c r="A105" s="202"/>
      <c r="B105" s="202"/>
    </row>
    <row r="106" ht="15.75" customHeight="1">
      <c r="A106" s="202"/>
      <c r="B106" s="202"/>
    </row>
    <row r="107" ht="15.75" customHeight="1">
      <c r="A107" s="202"/>
      <c r="B107" s="202"/>
    </row>
    <row r="108" ht="15.75" customHeight="1">
      <c r="A108" s="202"/>
      <c r="B108" s="202"/>
    </row>
    <row r="109" ht="15.75" customHeight="1">
      <c r="A109" s="202"/>
      <c r="B109" s="202"/>
    </row>
    <row r="110" ht="15.75" customHeight="1">
      <c r="A110" s="202"/>
      <c r="B110" s="202"/>
    </row>
    <row r="111" ht="15.75" customHeight="1">
      <c r="A111" s="202"/>
      <c r="B111" s="202"/>
    </row>
    <row r="112" ht="15.75" customHeight="1">
      <c r="A112" s="202"/>
      <c r="B112" s="202"/>
    </row>
    <row r="113" ht="15.75" customHeight="1">
      <c r="A113" s="202"/>
      <c r="B113" s="202"/>
    </row>
    <row r="114" ht="15.75" customHeight="1">
      <c r="A114" s="202"/>
      <c r="B114" s="202"/>
    </row>
    <row r="115" ht="15.75" customHeight="1">
      <c r="A115" s="202"/>
      <c r="B115" s="202"/>
    </row>
    <row r="116" ht="15.75" customHeight="1">
      <c r="A116" s="202"/>
      <c r="B116" s="202"/>
    </row>
    <row r="117" ht="15.75" customHeight="1">
      <c r="A117" s="202"/>
      <c r="B117" s="202"/>
    </row>
    <row r="118" ht="15.75" customHeight="1">
      <c r="A118" s="202"/>
      <c r="B118" s="202"/>
    </row>
    <row r="119" ht="15.75" customHeight="1">
      <c r="A119" s="202"/>
      <c r="B119" s="202"/>
    </row>
    <row r="120" ht="15.75" customHeight="1">
      <c r="A120" s="202"/>
      <c r="B120" s="202"/>
    </row>
    <row r="121" ht="15.75" customHeight="1">
      <c r="A121" s="202"/>
      <c r="B121" s="202"/>
    </row>
    <row r="122" ht="15.75" customHeight="1">
      <c r="A122" s="202"/>
      <c r="B122" s="202"/>
    </row>
    <row r="123" ht="15.75" customHeight="1">
      <c r="A123" s="202"/>
      <c r="B123" s="202"/>
    </row>
    <row r="124" ht="15.75" customHeight="1">
      <c r="A124" s="202"/>
      <c r="B124" s="202"/>
    </row>
    <row r="125" ht="15.75" customHeight="1">
      <c r="A125" s="202"/>
      <c r="B125" s="202"/>
    </row>
    <row r="126" ht="15.75" customHeight="1">
      <c r="A126" s="202"/>
      <c r="B126" s="202"/>
    </row>
    <row r="127" ht="15.75" customHeight="1">
      <c r="A127" s="202"/>
      <c r="B127" s="202"/>
    </row>
    <row r="128" ht="15.75" customHeight="1">
      <c r="A128" s="202"/>
      <c r="B128" s="202"/>
    </row>
    <row r="129" ht="15.75" customHeight="1">
      <c r="A129" s="202"/>
      <c r="B129" s="202"/>
    </row>
    <row r="130" ht="15.75" customHeight="1">
      <c r="A130" s="202"/>
      <c r="B130" s="202"/>
    </row>
    <row r="131" ht="15.75" customHeight="1">
      <c r="A131" s="202"/>
      <c r="B131" s="202"/>
    </row>
    <row r="132" ht="15.75" customHeight="1">
      <c r="A132" s="202"/>
      <c r="B132" s="202"/>
    </row>
    <row r="133" ht="15.75" customHeight="1">
      <c r="A133" s="202"/>
      <c r="B133" s="202"/>
    </row>
    <row r="134" ht="15.75" customHeight="1">
      <c r="A134" s="202"/>
      <c r="B134" s="202"/>
    </row>
    <row r="135" ht="15.75" customHeight="1">
      <c r="A135" s="202"/>
      <c r="B135" s="202"/>
    </row>
    <row r="136" ht="15.75" customHeight="1">
      <c r="A136" s="202"/>
      <c r="B136" s="202"/>
    </row>
    <row r="137" ht="15.75" customHeight="1">
      <c r="A137" s="202"/>
      <c r="B137" s="202"/>
    </row>
    <row r="138" ht="15.75" customHeight="1">
      <c r="A138" s="202"/>
      <c r="B138" s="202"/>
    </row>
    <row r="139" ht="15.75" customHeight="1">
      <c r="A139" s="202"/>
      <c r="B139" s="202"/>
    </row>
    <row r="140" ht="15.75" customHeight="1">
      <c r="A140" s="202"/>
      <c r="B140" s="202"/>
    </row>
    <row r="141" ht="15.75" customHeight="1">
      <c r="A141" s="202"/>
      <c r="B141" s="202"/>
    </row>
    <row r="142" ht="15.75" customHeight="1">
      <c r="A142" s="202"/>
      <c r="B142" s="202"/>
    </row>
    <row r="143" ht="15.75" customHeight="1">
      <c r="A143" s="202"/>
      <c r="B143" s="202"/>
    </row>
    <row r="144" ht="15.75" customHeight="1">
      <c r="A144" s="202"/>
      <c r="B144" s="202"/>
    </row>
    <row r="145" ht="15.75" customHeight="1">
      <c r="A145" s="202"/>
      <c r="B145" s="202"/>
    </row>
    <row r="146" ht="15.75" customHeight="1">
      <c r="A146" s="202"/>
      <c r="B146" s="202"/>
    </row>
    <row r="147" ht="15.75" customHeight="1">
      <c r="A147" s="202"/>
      <c r="B147" s="202"/>
    </row>
    <row r="148" ht="15.75" customHeight="1">
      <c r="A148" s="202"/>
      <c r="B148" s="202"/>
    </row>
    <row r="149" ht="15.75" customHeight="1">
      <c r="A149" s="202"/>
      <c r="B149" s="202"/>
    </row>
    <row r="150" ht="15.75" customHeight="1">
      <c r="A150" s="202"/>
      <c r="B150" s="202"/>
    </row>
    <row r="151" ht="15.75" customHeight="1">
      <c r="A151" s="202"/>
      <c r="B151" s="202"/>
    </row>
    <row r="152" ht="15.75" customHeight="1">
      <c r="A152" s="202"/>
      <c r="B152" s="202"/>
    </row>
    <row r="153" ht="15.75" customHeight="1">
      <c r="A153" s="202"/>
      <c r="B153" s="202"/>
    </row>
    <row r="154" ht="15.75" customHeight="1">
      <c r="A154" s="202"/>
      <c r="B154" s="202"/>
    </row>
    <row r="155" ht="15.75" customHeight="1">
      <c r="A155" s="202"/>
      <c r="B155" s="202"/>
    </row>
    <row r="156" ht="15.75" customHeight="1">
      <c r="A156" s="202"/>
      <c r="B156" s="202"/>
    </row>
    <row r="157" ht="15.75" customHeight="1">
      <c r="A157" s="202"/>
      <c r="B157" s="202"/>
    </row>
    <row r="158" ht="15.75" customHeight="1">
      <c r="A158" s="202"/>
      <c r="B158" s="202"/>
    </row>
    <row r="159" ht="15.75" customHeight="1">
      <c r="A159" s="202"/>
      <c r="B159" s="202"/>
    </row>
    <row r="160" ht="15.75" customHeight="1">
      <c r="A160" s="202"/>
      <c r="B160" s="202"/>
    </row>
    <row r="161" ht="15.75" customHeight="1">
      <c r="A161" s="202"/>
      <c r="B161" s="202"/>
    </row>
    <row r="162" ht="15.75" customHeight="1">
      <c r="A162" s="202"/>
      <c r="B162" s="202"/>
    </row>
    <row r="163" ht="15.75" customHeight="1">
      <c r="A163" s="202"/>
      <c r="B163" s="202"/>
    </row>
    <row r="164" ht="15.75" customHeight="1">
      <c r="A164" s="202"/>
      <c r="B164" s="202"/>
    </row>
    <row r="165" ht="15.75" customHeight="1">
      <c r="A165" s="202"/>
      <c r="B165" s="202"/>
    </row>
    <row r="166" ht="15.75" customHeight="1">
      <c r="A166" s="202"/>
      <c r="B166" s="202"/>
    </row>
    <row r="167" ht="15.75" customHeight="1">
      <c r="A167" s="202"/>
      <c r="B167" s="202"/>
    </row>
    <row r="168" ht="15.75" customHeight="1">
      <c r="A168" s="202"/>
      <c r="B168" s="202"/>
    </row>
    <row r="169" ht="15.75" customHeight="1">
      <c r="A169" s="202"/>
      <c r="B169" s="202"/>
    </row>
    <row r="170" ht="15.75" customHeight="1">
      <c r="A170" s="202"/>
      <c r="B170" s="202"/>
    </row>
    <row r="171" ht="15.75" customHeight="1">
      <c r="A171" s="202"/>
      <c r="B171" s="202"/>
    </row>
    <row r="172" ht="15.75" customHeight="1">
      <c r="A172" s="202"/>
      <c r="B172" s="202"/>
    </row>
    <row r="173" ht="15.75" customHeight="1">
      <c r="A173" s="202"/>
      <c r="B173" s="202"/>
    </row>
    <row r="174" ht="15.75" customHeight="1">
      <c r="A174" s="202"/>
      <c r="B174" s="202"/>
    </row>
    <row r="175" ht="15.75" customHeight="1">
      <c r="A175" s="202"/>
      <c r="B175" s="202"/>
    </row>
    <row r="176" ht="15.75" customHeight="1">
      <c r="A176" s="202"/>
      <c r="B176" s="202"/>
    </row>
    <row r="177" ht="15.75" customHeight="1">
      <c r="A177" s="202"/>
      <c r="B177" s="202"/>
    </row>
    <row r="178" ht="15.75" customHeight="1">
      <c r="A178" s="202"/>
      <c r="B178" s="202"/>
    </row>
    <row r="179" ht="15.75" customHeight="1">
      <c r="A179" s="202"/>
      <c r="B179" s="202"/>
    </row>
    <row r="180" ht="15.75" customHeight="1">
      <c r="A180" s="202"/>
      <c r="B180" s="202"/>
    </row>
    <row r="181" ht="15.75" customHeight="1">
      <c r="A181" s="202"/>
      <c r="B181" s="202"/>
    </row>
    <row r="182" ht="15.75" customHeight="1">
      <c r="A182" s="202"/>
      <c r="B182" s="202"/>
    </row>
    <row r="183" ht="15.75" customHeight="1">
      <c r="A183" s="202"/>
      <c r="B183" s="202"/>
    </row>
    <row r="184" ht="15.75" customHeight="1">
      <c r="A184" s="202"/>
      <c r="B184" s="202"/>
    </row>
    <row r="185" ht="15.75" customHeight="1">
      <c r="A185" s="202"/>
      <c r="B185" s="202"/>
    </row>
    <row r="186" ht="15.75" customHeight="1">
      <c r="A186" s="202"/>
      <c r="B186" s="202"/>
    </row>
    <row r="187" ht="15.75" customHeight="1">
      <c r="A187" s="202"/>
      <c r="B187" s="202"/>
    </row>
    <row r="188" ht="15.75" customHeight="1">
      <c r="A188" s="202"/>
      <c r="B188" s="202"/>
    </row>
    <row r="189" ht="15.75" customHeight="1">
      <c r="A189" s="202"/>
      <c r="B189" s="202"/>
    </row>
    <row r="190" ht="15.75" customHeight="1">
      <c r="A190" s="202"/>
      <c r="B190" s="202"/>
    </row>
    <row r="191" ht="15.75" customHeight="1">
      <c r="A191" s="202"/>
      <c r="B191" s="202"/>
    </row>
    <row r="192" ht="15.75" customHeight="1">
      <c r="A192" s="202"/>
      <c r="B192" s="202"/>
    </row>
    <row r="193" ht="15.75" customHeight="1">
      <c r="A193" s="202"/>
      <c r="B193" s="202"/>
    </row>
    <row r="194" ht="15.75" customHeight="1">
      <c r="A194" s="202"/>
      <c r="B194" s="202"/>
    </row>
    <row r="195" ht="15.75" customHeight="1">
      <c r="A195" s="202"/>
      <c r="B195" s="202"/>
    </row>
    <row r="196" ht="15.75" customHeight="1">
      <c r="A196" s="202"/>
      <c r="B196" s="202"/>
    </row>
    <row r="197" ht="15.75" customHeight="1">
      <c r="A197" s="202"/>
      <c r="B197" s="202"/>
    </row>
    <row r="198" ht="15.75" customHeight="1">
      <c r="A198" s="202"/>
      <c r="B198" s="202"/>
    </row>
    <row r="199" ht="15.75" customHeight="1">
      <c r="A199" s="202"/>
      <c r="B199" s="202"/>
    </row>
    <row r="200" ht="15.75" customHeight="1">
      <c r="A200" s="202"/>
      <c r="B200" s="202"/>
    </row>
    <row r="201" ht="15.75" customHeight="1">
      <c r="A201" s="202"/>
      <c r="B201" s="202"/>
    </row>
    <row r="202" ht="15.75" customHeight="1">
      <c r="A202" s="202"/>
      <c r="B202" s="202"/>
    </row>
    <row r="203" ht="15.75" customHeight="1">
      <c r="A203" s="202"/>
      <c r="B203" s="202"/>
    </row>
    <row r="204" ht="15.75" customHeight="1">
      <c r="A204" s="202"/>
      <c r="B204" s="202"/>
    </row>
    <row r="205" ht="15.75" customHeight="1">
      <c r="A205" s="202"/>
      <c r="B205" s="202"/>
    </row>
    <row r="206" ht="15.75" customHeight="1">
      <c r="A206" s="202"/>
      <c r="B206" s="202"/>
    </row>
    <row r="207" ht="15.75" customHeight="1">
      <c r="A207" s="202"/>
      <c r="B207" s="202"/>
    </row>
    <row r="208" ht="15.75" customHeight="1">
      <c r="A208" s="202"/>
      <c r="B208" s="202"/>
    </row>
    <row r="209" ht="15.75" customHeight="1">
      <c r="A209" s="202"/>
      <c r="B209" s="202"/>
    </row>
    <row r="210" ht="15.75" customHeight="1">
      <c r="A210" s="202"/>
      <c r="B210" s="202"/>
    </row>
    <row r="211" ht="15.75" customHeight="1">
      <c r="A211" s="202"/>
      <c r="B211" s="202"/>
    </row>
    <row r="212" ht="15.75" customHeight="1">
      <c r="A212" s="202"/>
      <c r="B212" s="202"/>
    </row>
    <row r="213" ht="15.75" customHeight="1">
      <c r="A213" s="202"/>
      <c r="B213" s="202"/>
    </row>
    <row r="214" ht="15.75" customHeight="1">
      <c r="A214" s="202"/>
      <c r="B214" s="202"/>
    </row>
    <row r="215" ht="15.75" customHeight="1">
      <c r="A215" s="202"/>
      <c r="B215" s="202"/>
    </row>
    <row r="216" ht="15.75" customHeight="1">
      <c r="A216" s="202"/>
      <c r="B216" s="202"/>
    </row>
    <row r="217" ht="15.75" customHeight="1">
      <c r="A217" s="202"/>
      <c r="B217" s="202"/>
    </row>
    <row r="218" ht="15.75" customHeight="1">
      <c r="A218" s="202"/>
      <c r="B218" s="202"/>
    </row>
    <row r="219" ht="15.75" customHeight="1">
      <c r="A219" s="202"/>
      <c r="B219" s="202"/>
    </row>
    <row r="220" ht="15.75" customHeight="1">
      <c r="A220" s="202"/>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T2"/>
    <mergeCell ref="C3:T3"/>
    <mergeCell ref="C5:T5"/>
    <mergeCell ref="C6:T6"/>
    <mergeCell ref="C7:T7"/>
  </mergeCells>
  <dataValidations>
    <dataValidation type="list" allowBlank="1" showErrorMessage="1" sqref="J4">
      <formula1>"0,1,2,3,4,5,""+5"""</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2.63"/>
    <col customWidth="1" min="2" max="2" width="15.13"/>
    <col customWidth="1" min="3" max="3" width="6.38"/>
    <col customWidth="1" min="4" max="4" width="18.38"/>
    <col customWidth="1" min="5" max="6" width="12.63"/>
  </cols>
  <sheetData>
    <row r="1" ht="15.75" customHeight="1">
      <c r="A1" s="202"/>
      <c r="B1" s="203" t="s">
        <v>419</v>
      </c>
      <c r="C1" s="204" t="s">
        <v>430</v>
      </c>
      <c r="D1" s="200"/>
      <c r="E1" s="200"/>
      <c r="F1" s="200"/>
      <c r="G1" s="200"/>
      <c r="H1" s="200"/>
      <c r="I1" s="200"/>
      <c r="J1" s="200"/>
      <c r="K1" s="200"/>
      <c r="L1" s="200"/>
      <c r="M1" s="200"/>
      <c r="N1" s="200"/>
      <c r="O1" s="200"/>
      <c r="P1" s="200"/>
      <c r="Q1" s="200"/>
      <c r="R1" s="200"/>
      <c r="S1" s="200"/>
      <c r="T1" s="205"/>
    </row>
    <row r="2" ht="15.75" customHeight="1">
      <c r="A2" s="202"/>
      <c r="B2" s="209" t="s">
        <v>431</v>
      </c>
      <c r="C2" s="206"/>
      <c r="D2" s="200"/>
      <c r="E2" s="200"/>
      <c r="F2" s="200"/>
      <c r="G2" s="200"/>
      <c r="H2" s="200"/>
      <c r="I2" s="200"/>
      <c r="J2" s="200"/>
      <c r="K2" s="200"/>
      <c r="L2" s="200"/>
      <c r="M2" s="200"/>
      <c r="N2" s="200"/>
      <c r="O2" s="200"/>
      <c r="P2" s="200"/>
      <c r="Q2" s="200"/>
      <c r="R2" s="200"/>
      <c r="S2" s="200"/>
      <c r="T2" s="205"/>
    </row>
    <row r="3" ht="49.5" customHeight="1">
      <c r="A3" s="202"/>
      <c r="B3" s="209" t="s">
        <v>432</v>
      </c>
      <c r="C3" s="206" t="s">
        <v>433</v>
      </c>
      <c r="D3" s="200"/>
      <c r="E3" s="200"/>
      <c r="F3" s="200"/>
      <c r="G3" s="200"/>
      <c r="H3" s="200"/>
      <c r="I3" s="200"/>
      <c r="J3" s="200"/>
      <c r="K3" s="200"/>
      <c r="L3" s="200"/>
      <c r="M3" s="200"/>
      <c r="N3" s="200"/>
      <c r="O3" s="200"/>
      <c r="P3" s="200"/>
      <c r="Q3" s="200"/>
      <c r="R3" s="200"/>
      <c r="S3" s="200"/>
      <c r="T3" s="205"/>
    </row>
    <row r="4" ht="15.75" customHeight="1">
      <c r="A4" s="202"/>
      <c r="B4" s="203" t="s">
        <v>300</v>
      </c>
      <c r="C4" s="204">
        <v>864.0</v>
      </c>
      <c r="D4" s="207" t="s">
        <v>370</v>
      </c>
      <c r="E4" s="208" t="s">
        <v>332</v>
      </c>
      <c r="F4" s="207"/>
      <c r="G4" s="208" t="s">
        <v>338</v>
      </c>
      <c r="H4" s="207"/>
      <c r="I4" s="208" t="s">
        <v>422</v>
      </c>
      <c r="J4" s="207">
        <v>3.0</v>
      </c>
      <c r="K4" s="204"/>
      <c r="L4" s="204"/>
      <c r="M4" s="204"/>
      <c r="N4" s="204"/>
      <c r="O4" s="204"/>
      <c r="P4" s="204"/>
      <c r="Q4" s="204"/>
      <c r="R4" s="204"/>
      <c r="S4" s="204"/>
      <c r="T4" s="207"/>
    </row>
    <row r="5" ht="15.75" customHeight="1">
      <c r="A5" s="202"/>
      <c r="B5" s="203" t="s">
        <v>424</v>
      </c>
      <c r="C5" s="204"/>
      <c r="D5" s="200"/>
      <c r="E5" s="200"/>
      <c r="F5" s="200"/>
      <c r="G5" s="200"/>
      <c r="H5" s="200"/>
      <c r="I5" s="200"/>
      <c r="J5" s="200"/>
      <c r="K5" s="200"/>
      <c r="L5" s="200"/>
      <c r="M5" s="200"/>
      <c r="N5" s="200"/>
      <c r="O5" s="200"/>
      <c r="P5" s="200"/>
      <c r="Q5" s="200"/>
      <c r="R5" s="200"/>
      <c r="S5" s="200"/>
      <c r="T5" s="205"/>
    </row>
    <row r="6" ht="15.75" customHeight="1">
      <c r="A6" s="202"/>
      <c r="B6" s="203" t="s">
        <v>434</v>
      </c>
      <c r="C6" s="204"/>
      <c r="D6" s="200"/>
      <c r="E6" s="200"/>
      <c r="F6" s="200"/>
      <c r="G6" s="200"/>
      <c r="H6" s="200"/>
      <c r="I6" s="200"/>
      <c r="J6" s="200"/>
      <c r="K6" s="200"/>
      <c r="L6" s="200"/>
      <c r="M6" s="200"/>
      <c r="N6" s="200"/>
      <c r="O6" s="200"/>
      <c r="P6" s="200"/>
      <c r="Q6" s="200"/>
      <c r="R6" s="200"/>
      <c r="S6" s="200"/>
      <c r="T6" s="205"/>
    </row>
    <row r="7" ht="15.75" customHeight="1">
      <c r="A7" s="202"/>
      <c r="B7" s="203" t="s">
        <v>428</v>
      </c>
      <c r="C7" s="204"/>
      <c r="D7" s="200"/>
      <c r="E7" s="200"/>
      <c r="F7" s="200"/>
      <c r="G7" s="200"/>
      <c r="H7" s="200"/>
      <c r="I7" s="200"/>
      <c r="J7" s="200"/>
      <c r="K7" s="200"/>
      <c r="L7" s="200"/>
      <c r="M7" s="200"/>
      <c r="N7" s="200"/>
      <c r="O7" s="200"/>
      <c r="P7" s="200"/>
      <c r="Q7" s="200"/>
      <c r="R7" s="200"/>
      <c r="S7" s="200"/>
      <c r="T7" s="205"/>
    </row>
    <row r="8" ht="15.75" customHeight="1">
      <c r="A8" s="202"/>
    </row>
    <row r="9" ht="15.75" customHeight="1">
      <c r="A9" s="202"/>
      <c r="B9" s="202"/>
    </row>
    <row r="10" ht="15.75" customHeight="1">
      <c r="A10" s="202"/>
      <c r="B10" s="202"/>
    </row>
    <row r="11" ht="15.75" customHeight="1">
      <c r="A11" s="202"/>
      <c r="B11" s="202"/>
    </row>
    <row r="12" ht="15.75" customHeight="1">
      <c r="A12" s="202"/>
      <c r="B12" s="202"/>
    </row>
    <row r="13" ht="15.75" customHeight="1">
      <c r="A13" s="202"/>
      <c r="B13" s="202"/>
    </row>
    <row r="14" ht="15.75" customHeight="1">
      <c r="A14" s="202"/>
      <c r="B14" s="202"/>
    </row>
    <row r="15" ht="15.75" customHeight="1">
      <c r="A15" s="202"/>
      <c r="B15" s="202"/>
    </row>
    <row r="16" ht="15.75" customHeight="1">
      <c r="A16" s="202"/>
      <c r="B16" s="202"/>
    </row>
    <row r="17" ht="15.75" customHeight="1">
      <c r="A17" s="202"/>
      <c r="B17" s="202"/>
    </row>
    <row r="18" ht="15.75" customHeight="1">
      <c r="A18" s="202"/>
      <c r="B18" s="202"/>
    </row>
    <row r="19" ht="15.75" customHeight="1">
      <c r="A19" s="202"/>
      <c r="B19" s="202"/>
    </row>
    <row r="20" ht="15.75" customHeight="1">
      <c r="A20" s="202"/>
      <c r="B20" s="202"/>
    </row>
    <row r="21" ht="15.75" customHeight="1">
      <c r="A21" s="202"/>
      <c r="B21" s="202"/>
    </row>
    <row r="22" ht="15.75" customHeight="1">
      <c r="A22" s="202"/>
      <c r="B22" s="202"/>
    </row>
    <row r="23" ht="15.75" customHeight="1">
      <c r="A23" s="202"/>
      <c r="B23" s="202"/>
    </row>
    <row r="24" ht="15.75" customHeight="1">
      <c r="A24" s="202"/>
      <c r="B24" s="202"/>
    </row>
    <row r="25" ht="15.75" customHeight="1">
      <c r="A25" s="202"/>
      <c r="B25" s="202"/>
    </row>
    <row r="26" ht="15.75" customHeight="1">
      <c r="A26" s="202"/>
      <c r="B26" s="202"/>
    </row>
    <row r="27" ht="15.75" customHeight="1">
      <c r="A27" s="202"/>
      <c r="B27" s="202"/>
    </row>
    <row r="28" ht="15.75" customHeight="1">
      <c r="A28" s="202"/>
      <c r="B28" s="202"/>
    </row>
    <row r="29" ht="15.75" customHeight="1">
      <c r="A29" s="202"/>
      <c r="B29" s="202"/>
    </row>
    <row r="30" ht="15.75" customHeight="1">
      <c r="A30" s="202"/>
      <c r="B30" s="202"/>
    </row>
    <row r="31" ht="15.75" customHeight="1">
      <c r="A31" s="202"/>
      <c r="B31" s="202"/>
    </row>
    <row r="32" ht="15.75" customHeight="1">
      <c r="A32" s="202"/>
      <c r="B32" s="202"/>
    </row>
    <row r="33" ht="15.75" customHeight="1">
      <c r="A33" s="202"/>
      <c r="B33" s="202"/>
    </row>
    <row r="34" ht="15.75" customHeight="1">
      <c r="A34" s="202"/>
      <c r="B34" s="202"/>
    </row>
    <row r="35" ht="15.75" customHeight="1">
      <c r="A35" s="202"/>
      <c r="B35" s="202"/>
    </row>
    <row r="36" ht="15.75" customHeight="1">
      <c r="A36" s="202"/>
      <c r="B36" s="202"/>
    </row>
    <row r="37" ht="15.75" customHeight="1">
      <c r="A37" s="202"/>
      <c r="B37" s="202"/>
    </row>
    <row r="38" ht="15.75" customHeight="1">
      <c r="A38" s="202"/>
      <c r="B38" s="202"/>
    </row>
    <row r="39" ht="15.75" customHeight="1">
      <c r="A39" s="202"/>
      <c r="B39" s="202"/>
    </row>
    <row r="40" ht="15.75" customHeight="1">
      <c r="A40" s="202"/>
      <c r="B40" s="202"/>
    </row>
    <row r="41" ht="15.75" customHeight="1">
      <c r="A41" s="202"/>
      <c r="B41" s="202"/>
    </row>
    <row r="42" ht="15.75" customHeight="1">
      <c r="A42" s="202"/>
      <c r="B42" s="202"/>
    </row>
    <row r="43" ht="15.75" customHeight="1">
      <c r="A43" s="202"/>
      <c r="B43" s="202"/>
    </row>
    <row r="44" ht="15.75" customHeight="1">
      <c r="A44" s="202"/>
      <c r="B44" s="202"/>
    </row>
    <row r="45" ht="15.75" customHeight="1">
      <c r="A45" s="202"/>
      <c r="B45" s="202"/>
    </row>
    <row r="46" ht="15.75" customHeight="1">
      <c r="A46" s="202"/>
      <c r="B46" s="202"/>
    </row>
    <row r="47" ht="15.75" customHeight="1">
      <c r="A47" s="202"/>
      <c r="B47" s="202"/>
    </row>
    <row r="48" ht="15.75" customHeight="1">
      <c r="A48" s="202"/>
      <c r="B48" s="202"/>
    </row>
    <row r="49" ht="15.75" customHeight="1">
      <c r="A49" s="202"/>
      <c r="B49" s="202"/>
    </row>
    <row r="50" ht="15.75" customHeight="1">
      <c r="A50" s="202"/>
      <c r="B50" s="202"/>
    </row>
    <row r="51" ht="15.75" customHeight="1">
      <c r="A51" s="202"/>
      <c r="B51" s="202"/>
    </row>
    <row r="52" ht="15.75" customHeight="1">
      <c r="A52" s="202"/>
      <c r="B52" s="202"/>
    </row>
    <row r="53" ht="15.75" customHeight="1">
      <c r="A53" s="202"/>
      <c r="B53" s="202"/>
    </row>
    <row r="54" ht="15.75" customHeight="1">
      <c r="A54" s="202"/>
      <c r="B54" s="202"/>
    </row>
    <row r="55" ht="15.75" customHeight="1">
      <c r="A55" s="202"/>
      <c r="B55" s="202"/>
    </row>
    <row r="56" ht="15.75" customHeight="1">
      <c r="A56" s="202"/>
      <c r="B56" s="202"/>
    </row>
    <row r="57" ht="15.75" customHeight="1">
      <c r="A57" s="202"/>
      <c r="B57" s="202"/>
    </row>
    <row r="58" ht="15.75" customHeight="1">
      <c r="A58" s="202"/>
      <c r="B58" s="202"/>
    </row>
    <row r="59" ht="15.75" customHeight="1">
      <c r="A59" s="202"/>
      <c r="B59" s="202"/>
    </row>
    <row r="60" ht="15.75" customHeight="1">
      <c r="A60" s="202"/>
      <c r="B60" s="202"/>
    </row>
    <row r="61" ht="15.75" customHeight="1">
      <c r="A61" s="202"/>
      <c r="B61" s="202"/>
    </row>
    <row r="62" ht="15.75" customHeight="1">
      <c r="A62" s="202"/>
      <c r="B62" s="202"/>
    </row>
    <row r="63" ht="15.75" customHeight="1">
      <c r="A63" s="202"/>
      <c r="B63" s="202"/>
    </row>
    <row r="64" ht="15.75" customHeight="1">
      <c r="A64" s="202"/>
      <c r="B64" s="202"/>
    </row>
    <row r="65" ht="15.75" customHeight="1">
      <c r="A65" s="202"/>
      <c r="B65" s="202"/>
    </row>
    <row r="66" ht="15.75" customHeight="1">
      <c r="A66" s="202"/>
      <c r="B66" s="202"/>
    </row>
    <row r="67" ht="15.75" customHeight="1">
      <c r="A67" s="202"/>
      <c r="B67" s="202"/>
    </row>
    <row r="68" ht="15.75" customHeight="1">
      <c r="A68" s="202"/>
      <c r="B68" s="202"/>
    </row>
    <row r="69" ht="15.75" customHeight="1">
      <c r="A69" s="202"/>
      <c r="B69" s="202"/>
    </row>
    <row r="70" ht="15.75" customHeight="1">
      <c r="A70" s="202"/>
      <c r="B70" s="202"/>
    </row>
    <row r="71" ht="15.75" customHeight="1">
      <c r="A71" s="202"/>
      <c r="B71" s="202"/>
    </row>
    <row r="72" ht="15.75" customHeight="1">
      <c r="A72" s="202"/>
      <c r="B72" s="202"/>
    </row>
    <row r="73" ht="15.75" customHeight="1">
      <c r="A73" s="202"/>
      <c r="B73" s="202"/>
    </row>
    <row r="74" ht="15.75" customHeight="1">
      <c r="A74" s="202"/>
      <c r="B74" s="202"/>
    </row>
    <row r="75" ht="15.75" customHeight="1">
      <c r="A75" s="202"/>
      <c r="B75" s="202"/>
    </row>
    <row r="76" ht="15.75" customHeight="1">
      <c r="A76" s="202"/>
      <c r="B76" s="202"/>
    </row>
    <row r="77" ht="15.75" customHeight="1">
      <c r="A77" s="202"/>
      <c r="B77" s="202"/>
    </row>
    <row r="78" ht="15.75" customHeight="1">
      <c r="A78" s="202"/>
      <c r="B78" s="202"/>
    </row>
    <row r="79" ht="15.75" customHeight="1">
      <c r="A79" s="202"/>
      <c r="B79" s="202"/>
    </row>
    <row r="80" ht="15.75" customHeight="1">
      <c r="A80" s="202"/>
      <c r="B80" s="202"/>
    </row>
    <row r="81" ht="15.75" customHeight="1">
      <c r="A81" s="202"/>
      <c r="B81" s="202"/>
    </row>
    <row r="82" ht="15.75" customHeight="1">
      <c r="A82" s="202"/>
      <c r="B82" s="202"/>
    </row>
    <row r="83" ht="15.75" customHeight="1">
      <c r="A83" s="202"/>
      <c r="B83" s="202"/>
    </row>
    <row r="84" ht="15.75" customHeight="1">
      <c r="A84" s="202"/>
      <c r="B84" s="202"/>
    </row>
    <row r="85" ht="15.75" customHeight="1">
      <c r="A85" s="202"/>
      <c r="B85" s="202"/>
    </row>
    <row r="86" ht="15.75" customHeight="1">
      <c r="A86" s="202"/>
      <c r="B86" s="202"/>
    </row>
    <row r="87" ht="15.75" customHeight="1">
      <c r="A87" s="202"/>
      <c r="B87" s="202"/>
    </row>
    <row r="88" ht="15.75" customHeight="1">
      <c r="A88" s="202"/>
      <c r="B88" s="202"/>
    </row>
    <row r="89" ht="15.75" customHeight="1">
      <c r="A89" s="202"/>
      <c r="B89" s="202"/>
    </row>
    <row r="90" ht="15.75" customHeight="1">
      <c r="A90" s="202"/>
      <c r="B90" s="202"/>
    </row>
    <row r="91" ht="15.75" customHeight="1">
      <c r="A91" s="202"/>
      <c r="B91" s="202"/>
    </row>
    <row r="92" ht="15.75" customHeight="1">
      <c r="A92" s="202"/>
      <c r="B92" s="202"/>
    </row>
    <row r="93" ht="15.75" customHeight="1">
      <c r="A93" s="202"/>
      <c r="B93" s="202"/>
    </row>
    <row r="94" ht="15.75" customHeight="1">
      <c r="A94" s="202"/>
      <c r="B94" s="202"/>
    </row>
    <row r="95" ht="15.75" customHeight="1">
      <c r="A95" s="202"/>
      <c r="B95" s="202"/>
    </row>
    <row r="96" ht="15.75" customHeight="1">
      <c r="A96" s="202"/>
      <c r="B96" s="202"/>
    </row>
    <row r="97" ht="15.75" customHeight="1">
      <c r="A97" s="202"/>
      <c r="B97" s="202"/>
    </row>
    <row r="98" ht="15.75" customHeight="1">
      <c r="A98" s="202"/>
      <c r="B98" s="202"/>
    </row>
    <row r="99" ht="15.75" customHeight="1">
      <c r="A99" s="202"/>
      <c r="B99" s="202"/>
    </row>
    <row r="100" ht="15.75" customHeight="1">
      <c r="A100" s="202"/>
      <c r="B100" s="202"/>
    </row>
    <row r="101" ht="15.75" customHeight="1">
      <c r="A101" s="202"/>
      <c r="B101" s="202"/>
    </row>
    <row r="102" ht="15.75" customHeight="1">
      <c r="A102" s="202"/>
      <c r="B102" s="202"/>
    </row>
    <row r="103" ht="15.75" customHeight="1">
      <c r="A103" s="202"/>
      <c r="B103" s="202"/>
    </row>
    <row r="104" ht="15.75" customHeight="1">
      <c r="A104" s="202"/>
      <c r="B104" s="202"/>
    </row>
    <row r="105" ht="15.75" customHeight="1">
      <c r="A105" s="202"/>
      <c r="B105" s="202"/>
    </row>
    <row r="106" ht="15.75" customHeight="1">
      <c r="A106" s="202"/>
      <c r="B106" s="202"/>
    </row>
    <row r="107" ht="15.75" customHeight="1">
      <c r="A107" s="202"/>
      <c r="B107" s="202"/>
    </row>
    <row r="108" ht="15.75" customHeight="1">
      <c r="A108" s="202"/>
      <c r="B108" s="202"/>
    </row>
    <row r="109" ht="15.75" customHeight="1">
      <c r="A109" s="202"/>
      <c r="B109" s="202"/>
    </row>
    <row r="110" ht="15.75" customHeight="1">
      <c r="A110" s="202"/>
      <c r="B110" s="202"/>
    </row>
    <row r="111" ht="15.75" customHeight="1">
      <c r="A111" s="202"/>
      <c r="B111" s="202"/>
    </row>
    <row r="112" ht="15.75" customHeight="1">
      <c r="A112" s="202"/>
      <c r="B112" s="202"/>
    </row>
    <row r="113" ht="15.75" customHeight="1">
      <c r="A113" s="202"/>
      <c r="B113" s="202"/>
    </row>
    <row r="114" ht="15.75" customHeight="1">
      <c r="A114" s="202"/>
      <c r="B114" s="202"/>
    </row>
    <row r="115" ht="15.75" customHeight="1">
      <c r="A115" s="202"/>
      <c r="B115" s="202"/>
    </row>
    <row r="116" ht="15.75" customHeight="1">
      <c r="A116" s="202"/>
      <c r="B116" s="202"/>
    </row>
    <row r="117" ht="15.75" customHeight="1">
      <c r="A117" s="202"/>
      <c r="B117" s="202"/>
    </row>
    <row r="118" ht="15.75" customHeight="1">
      <c r="A118" s="202"/>
      <c r="B118" s="202"/>
    </row>
    <row r="119" ht="15.75" customHeight="1">
      <c r="A119" s="202"/>
      <c r="B119" s="202"/>
    </row>
    <row r="120" ht="15.75" customHeight="1">
      <c r="A120" s="202"/>
      <c r="B120" s="202"/>
    </row>
    <row r="121" ht="15.75" customHeight="1">
      <c r="A121" s="202"/>
      <c r="B121" s="202"/>
    </row>
    <row r="122" ht="15.75" customHeight="1">
      <c r="A122" s="202"/>
      <c r="B122" s="202"/>
    </row>
    <row r="123" ht="15.75" customHeight="1">
      <c r="A123" s="202"/>
      <c r="B123" s="202"/>
    </row>
    <row r="124" ht="15.75" customHeight="1">
      <c r="A124" s="202"/>
      <c r="B124" s="202"/>
    </row>
    <row r="125" ht="15.75" customHeight="1">
      <c r="A125" s="202"/>
      <c r="B125" s="202"/>
    </row>
    <row r="126" ht="15.75" customHeight="1">
      <c r="A126" s="202"/>
      <c r="B126" s="202"/>
    </row>
    <row r="127" ht="15.75" customHeight="1">
      <c r="A127" s="202"/>
      <c r="B127" s="202"/>
    </row>
    <row r="128" ht="15.75" customHeight="1">
      <c r="A128" s="202"/>
      <c r="B128" s="202"/>
    </row>
    <row r="129" ht="15.75" customHeight="1">
      <c r="A129" s="202"/>
      <c r="B129" s="202"/>
    </row>
    <row r="130" ht="15.75" customHeight="1">
      <c r="A130" s="202"/>
      <c r="B130" s="202"/>
    </row>
    <row r="131" ht="15.75" customHeight="1">
      <c r="A131" s="202"/>
      <c r="B131" s="202"/>
    </row>
    <row r="132" ht="15.75" customHeight="1">
      <c r="A132" s="202"/>
      <c r="B132" s="202"/>
    </row>
    <row r="133" ht="15.75" customHeight="1">
      <c r="A133" s="202"/>
      <c r="B133" s="202"/>
    </row>
    <row r="134" ht="15.75" customHeight="1">
      <c r="A134" s="202"/>
      <c r="B134" s="202"/>
    </row>
    <row r="135" ht="15.75" customHeight="1">
      <c r="A135" s="202"/>
      <c r="B135" s="202"/>
    </row>
    <row r="136" ht="15.75" customHeight="1">
      <c r="A136" s="202"/>
      <c r="B136" s="202"/>
    </row>
    <row r="137" ht="15.75" customHeight="1">
      <c r="A137" s="202"/>
      <c r="B137" s="202"/>
    </row>
    <row r="138" ht="15.75" customHeight="1">
      <c r="A138" s="202"/>
      <c r="B138" s="202"/>
    </row>
    <row r="139" ht="15.75" customHeight="1">
      <c r="A139" s="202"/>
      <c r="B139" s="202"/>
    </row>
    <row r="140" ht="15.75" customHeight="1">
      <c r="A140" s="202"/>
      <c r="B140" s="202"/>
    </row>
    <row r="141" ht="15.75" customHeight="1">
      <c r="A141" s="202"/>
      <c r="B141" s="202"/>
    </row>
    <row r="142" ht="15.75" customHeight="1">
      <c r="A142" s="202"/>
      <c r="B142" s="202"/>
    </row>
    <row r="143" ht="15.75" customHeight="1">
      <c r="A143" s="202"/>
      <c r="B143" s="202"/>
    </row>
    <row r="144" ht="15.75" customHeight="1">
      <c r="A144" s="202"/>
      <c r="B144" s="202"/>
    </row>
    <row r="145" ht="15.75" customHeight="1">
      <c r="A145" s="202"/>
      <c r="B145" s="202"/>
    </row>
    <row r="146" ht="15.75" customHeight="1">
      <c r="A146" s="202"/>
      <c r="B146" s="202"/>
    </row>
    <row r="147" ht="15.75" customHeight="1">
      <c r="A147" s="202"/>
      <c r="B147" s="202"/>
    </row>
    <row r="148" ht="15.75" customHeight="1">
      <c r="A148" s="202"/>
      <c r="B148" s="202"/>
    </row>
    <row r="149" ht="15.75" customHeight="1">
      <c r="A149" s="202"/>
      <c r="B149" s="202"/>
    </row>
    <row r="150" ht="15.75" customHeight="1">
      <c r="A150" s="202"/>
      <c r="B150" s="202"/>
    </row>
    <row r="151" ht="15.75" customHeight="1">
      <c r="A151" s="202"/>
      <c r="B151" s="202"/>
    </row>
    <row r="152" ht="15.75" customHeight="1">
      <c r="A152" s="202"/>
      <c r="B152" s="202"/>
    </row>
    <row r="153" ht="15.75" customHeight="1">
      <c r="A153" s="202"/>
      <c r="B153" s="202"/>
    </row>
    <row r="154" ht="15.75" customHeight="1">
      <c r="A154" s="202"/>
      <c r="B154" s="202"/>
    </row>
    <row r="155" ht="15.75" customHeight="1">
      <c r="A155" s="202"/>
      <c r="B155" s="202"/>
    </row>
    <row r="156" ht="15.75" customHeight="1">
      <c r="A156" s="202"/>
      <c r="B156" s="202"/>
    </row>
    <row r="157" ht="15.75" customHeight="1">
      <c r="A157" s="202"/>
      <c r="B157" s="202"/>
    </row>
    <row r="158" ht="15.75" customHeight="1">
      <c r="A158" s="202"/>
      <c r="B158" s="202"/>
    </row>
    <row r="159" ht="15.75" customHeight="1">
      <c r="A159" s="202"/>
      <c r="B159" s="202"/>
    </row>
    <row r="160" ht="15.75" customHeight="1">
      <c r="A160" s="202"/>
      <c r="B160" s="202"/>
    </row>
    <row r="161" ht="15.75" customHeight="1">
      <c r="A161" s="202"/>
      <c r="B161" s="202"/>
    </row>
    <row r="162" ht="15.75" customHeight="1">
      <c r="A162" s="202"/>
      <c r="B162" s="202"/>
    </row>
    <row r="163" ht="15.75" customHeight="1">
      <c r="A163" s="202"/>
      <c r="B163" s="202"/>
    </row>
    <row r="164" ht="15.75" customHeight="1">
      <c r="A164" s="202"/>
      <c r="B164" s="202"/>
    </row>
    <row r="165" ht="15.75" customHeight="1">
      <c r="A165" s="202"/>
      <c r="B165" s="202"/>
    </row>
    <row r="166" ht="15.75" customHeight="1">
      <c r="A166" s="202"/>
      <c r="B166" s="202"/>
    </row>
    <row r="167" ht="15.75" customHeight="1">
      <c r="A167" s="202"/>
      <c r="B167" s="202"/>
    </row>
    <row r="168" ht="15.75" customHeight="1">
      <c r="A168" s="202"/>
      <c r="B168" s="202"/>
    </row>
    <row r="169" ht="15.75" customHeight="1">
      <c r="A169" s="202"/>
      <c r="B169" s="202"/>
    </row>
    <row r="170" ht="15.75" customHeight="1">
      <c r="A170" s="202"/>
      <c r="B170" s="202"/>
    </row>
    <row r="171" ht="15.75" customHeight="1">
      <c r="A171" s="202"/>
      <c r="B171" s="202"/>
    </row>
    <row r="172" ht="15.75" customHeight="1">
      <c r="A172" s="202"/>
      <c r="B172" s="202"/>
    </row>
    <row r="173" ht="15.75" customHeight="1">
      <c r="A173" s="202"/>
      <c r="B173" s="202"/>
    </row>
    <row r="174" ht="15.75" customHeight="1">
      <c r="A174" s="202"/>
      <c r="B174" s="202"/>
    </row>
    <row r="175" ht="15.75" customHeight="1">
      <c r="A175" s="202"/>
      <c r="B175" s="202"/>
    </row>
    <row r="176" ht="15.75" customHeight="1">
      <c r="A176" s="202"/>
      <c r="B176" s="202"/>
    </row>
    <row r="177" ht="15.75" customHeight="1">
      <c r="A177" s="202"/>
      <c r="B177" s="202"/>
    </row>
    <row r="178" ht="15.75" customHeight="1">
      <c r="A178" s="202"/>
      <c r="B178" s="202"/>
    </row>
    <row r="179" ht="15.75" customHeight="1">
      <c r="A179" s="202"/>
      <c r="B179" s="202"/>
    </row>
    <row r="180" ht="15.75" customHeight="1">
      <c r="A180" s="202"/>
      <c r="B180" s="202"/>
    </row>
    <row r="181" ht="15.75" customHeight="1">
      <c r="A181" s="202"/>
      <c r="B181" s="202"/>
    </row>
    <row r="182" ht="15.75" customHeight="1">
      <c r="A182" s="202"/>
      <c r="B182" s="202"/>
    </row>
    <row r="183" ht="15.75" customHeight="1">
      <c r="A183" s="202"/>
      <c r="B183" s="202"/>
    </row>
    <row r="184" ht="15.75" customHeight="1">
      <c r="A184" s="202"/>
      <c r="B184" s="202"/>
    </row>
    <row r="185" ht="15.75" customHeight="1">
      <c r="A185" s="202"/>
      <c r="B185" s="202"/>
    </row>
    <row r="186" ht="15.75" customHeight="1">
      <c r="A186" s="202"/>
      <c r="B186" s="202"/>
    </row>
    <row r="187" ht="15.75" customHeight="1">
      <c r="A187" s="202"/>
      <c r="B187" s="202"/>
    </row>
    <row r="188" ht="15.75" customHeight="1">
      <c r="A188" s="202"/>
      <c r="B188" s="202"/>
    </row>
    <row r="189" ht="15.75" customHeight="1">
      <c r="A189" s="202"/>
      <c r="B189" s="202"/>
    </row>
    <row r="190" ht="15.75" customHeight="1">
      <c r="A190" s="202"/>
      <c r="B190" s="202"/>
    </row>
    <row r="191" ht="15.75" customHeight="1">
      <c r="A191" s="202"/>
      <c r="B191" s="202"/>
    </row>
    <row r="192" ht="15.75" customHeight="1">
      <c r="A192" s="202"/>
      <c r="B192" s="202"/>
    </row>
    <row r="193" ht="15.75" customHeight="1">
      <c r="A193" s="202"/>
      <c r="B193" s="202"/>
    </row>
    <row r="194" ht="15.75" customHeight="1">
      <c r="A194" s="202"/>
      <c r="B194" s="202"/>
    </row>
    <row r="195" ht="15.75" customHeight="1">
      <c r="A195" s="202"/>
      <c r="B195" s="202"/>
    </row>
    <row r="196" ht="15.75" customHeight="1">
      <c r="A196" s="202"/>
      <c r="B196" s="202"/>
    </row>
    <row r="197" ht="15.75" customHeight="1">
      <c r="A197" s="202"/>
      <c r="B197" s="202"/>
    </row>
    <row r="198" ht="15.75" customHeight="1">
      <c r="A198" s="202"/>
      <c r="B198" s="202"/>
    </row>
    <row r="199" ht="15.75" customHeight="1">
      <c r="A199" s="202"/>
      <c r="B199" s="202"/>
    </row>
    <row r="200" ht="15.75" customHeight="1">
      <c r="A200" s="202"/>
      <c r="B200" s="202"/>
    </row>
    <row r="201" ht="15.75" customHeight="1">
      <c r="A201" s="202"/>
      <c r="B201" s="202"/>
    </row>
    <row r="202" ht="15.75" customHeight="1">
      <c r="A202" s="202"/>
      <c r="B202" s="202"/>
    </row>
    <row r="203" ht="15.75" customHeight="1">
      <c r="A203" s="202"/>
      <c r="B203" s="202"/>
    </row>
    <row r="204" ht="15.75" customHeight="1">
      <c r="A204" s="202"/>
      <c r="B204" s="202"/>
    </row>
    <row r="205" ht="15.75" customHeight="1">
      <c r="A205" s="202"/>
      <c r="B205" s="202"/>
    </row>
    <row r="206" ht="15.75" customHeight="1">
      <c r="A206" s="202"/>
      <c r="B206" s="202"/>
    </row>
    <row r="207" ht="15.75" customHeight="1">
      <c r="A207" s="202"/>
      <c r="B207" s="202"/>
    </row>
    <row r="208" ht="15.75" customHeight="1">
      <c r="A208" s="202"/>
      <c r="B208" s="202"/>
    </row>
    <row r="209" ht="15.75" customHeight="1">
      <c r="A209" s="202"/>
      <c r="B209" s="202"/>
    </row>
    <row r="210" ht="15.75" customHeight="1">
      <c r="A210" s="202"/>
      <c r="B210" s="202"/>
    </row>
    <row r="211" ht="15.75" customHeight="1">
      <c r="A211" s="202"/>
      <c r="B211" s="202"/>
    </row>
    <row r="212" ht="15.75" customHeight="1">
      <c r="A212" s="202"/>
      <c r="B212" s="202"/>
    </row>
    <row r="213" ht="15.75" customHeight="1">
      <c r="A213" s="202"/>
      <c r="B213" s="202"/>
    </row>
    <row r="214" ht="15.75" customHeight="1">
      <c r="A214" s="202"/>
      <c r="B214" s="202"/>
    </row>
    <row r="215" ht="15.75" customHeight="1">
      <c r="A215" s="202"/>
      <c r="B215" s="202"/>
    </row>
    <row r="216" ht="15.75" customHeight="1">
      <c r="A216" s="202"/>
      <c r="B216" s="202"/>
    </row>
    <row r="217" ht="15.75" customHeight="1">
      <c r="A217" s="202"/>
      <c r="B217" s="202"/>
    </row>
    <row r="218" ht="15.75" customHeight="1">
      <c r="A218" s="202"/>
      <c r="B218" s="202"/>
    </row>
    <row r="219" ht="15.75" customHeight="1">
      <c r="A219" s="202"/>
      <c r="B219" s="202"/>
    </row>
    <row r="220" ht="15.75" customHeight="1">
      <c r="A220" s="202"/>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T1"/>
    <mergeCell ref="C2:T2"/>
    <mergeCell ref="C3:T3"/>
    <mergeCell ref="C5:T5"/>
    <mergeCell ref="C6:T6"/>
    <mergeCell ref="C7:T7"/>
  </mergeCells>
  <dataValidations>
    <dataValidation type="list" allowBlank="1" showErrorMessage="1" sqref="J4">
      <formula1>"0,1,2,3,4,5,=5"</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2" width="12.63"/>
    <col customWidth="1" min="3" max="3" width="9.88"/>
    <col customWidth="1" min="4" max="4" width="18.38"/>
    <col customWidth="1" min="5" max="6" width="12.63"/>
  </cols>
  <sheetData>
    <row r="1" ht="15.75" customHeight="1">
      <c r="A1" s="202"/>
      <c r="B1" s="202"/>
      <c r="C1" s="14"/>
      <c r="D1" s="14"/>
      <c r="E1" s="14"/>
      <c r="F1" s="14"/>
      <c r="G1" s="14"/>
      <c r="H1" s="14"/>
      <c r="I1" s="14"/>
      <c r="J1" s="14"/>
      <c r="K1" s="14"/>
      <c r="L1" s="14"/>
      <c r="M1" s="14"/>
      <c r="N1" s="14"/>
      <c r="O1" s="14"/>
      <c r="P1" s="14"/>
      <c r="Q1" s="14"/>
      <c r="R1" s="14"/>
      <c r="S1" s="14"/>
      <c r="T1" s="14"/>
    </row>
    <row r="2" ht="15.75" customHeight="1">
      <c r="A2" s="202"/>
      <c r="C2" s="203" t="s">
        <v>419</v>
      </c>
      <c r="D2" s="204" t="s">
        <v>435</v>
      </c>
      <c r="E2" s="200"/>
      <c r="F2" s="200"/>
      <c r="G2" s="200"/>
      <c r="H2" s="200"/>
      <c r="I2" s="200"/>
      <c r="J2" s="200"/>
      <c r="K2" s="200"/>
      <c r="L2" s="200"/>
      <c r="M2" s="200"/>
      <c r="N2" s="200"/>
      <c r="O2" s="200"/>
      <c r="P2" s="200"/>
      <c r="Q2" s="200"/>
      <c r="R2" s="200"/>
      <c r="S2" s="200"/>
      <c r="T2" s="200"/>
      <c r="U2" s="205"/>
    </row>
    <row r="3" ht="49.5" customHeight="1">
      <c r="A3" s="202"/>
      <c r="C3" s="203" t="s">
        <v>347</v>
      </c>
      <c r="D3" s="206" t="s">
        <v>436</v>
      </c>
      <c r="E3" s="200"/>
      <c r="F3" s="200"/>
      <c r="G3" s="200"/>
      <c r="H3" s="200"/>
      <c r="I3" s="200"/>
      <c r="J3" s="200"/>
      <c r="K3" s="200"/>
      <c r="L3" s="200"/>
      <c r="M3" s="200"/>
      <c r="N3" s="200"/>
      <c r="O3" s="200"/>
      <c r="P3" s="200"/>
      <c r="Q3" s="200"/>
      <c r="R3" s="200"/>
      <c r="S3" s="200"/>
      <c r="T3" s="200"/>
      <c r="U3" s="205"/>
    </row>
    <row r="4" ht="15.75" customHeight="1">
      <c r="A4" s="202"/>
      <c r="C4" s="203" t="s">
        <v>300</v>
      </c>
      <c r="D4" s="204">
        <v>757.0</v>
      </c>
      <c r="E4" s="207" t="s">
        <v>370</v>
      </c>
      <c r="F4" s="208" t="s">
        <v>332</v>
      </c>
      <c r="G4" s="207"/>
      <c r="H4" s="208" t="s">
        <v>338</v>
      </c>
      <c r="I4" s="207"/>
      <c r="J4" s="208" t="s">
        <v>422</v>
      </c>
      <c r="K4" s="207">
        <v>3.0</v>
      </c>
      <c r="L4" s="204"/>
      <c r="M4" s="204"/>
      <c r="N4" s="204"/>
      <c r="O4" s="204"/>
      <c r="P4" s="204"/>
      <c r="Q4" s="204"/>
      <c r="R4" s="204"/>
      <c r="S4" s="204"/>
      <c r="T4" s="204"/>
      <c r="U4" s="207"/>
    </row>
    <row r="5" ht="15.75" customHeight="1">
      <c r="A5" s="202"/>
      <c r="C5" s="203" t="s">
        <v>424</v>
      </c>
      <c r="D5" s="204" t="s">
        <v>437</v>
      </c>
      <c r="E5" s="200"/>
      <c r="F5" s="200"/>
      <c r="G5" s="200"/>
      <c r="H5" s="200"/>
      <c r="I5" s="200"/>
      <c r="J5" s="200"/>
      <c r="K5" s="200"/>
      <c r="L5" s="200"/>
      <c r="M5" s="200"/>
      <c r="N5" s="200"/>
      <c r="O5" s="200"/>
      <c r="P5" s="200"/>
      <c r="Q5" s="200"/>
      <c r="R5" s="200"/>
      <c r="S5" s="200"/>
      <c r="T5" s="200"/>
      <c r="U5" s="205"/>
    </row>
    <row r="6" ht="15.75" customHeight="1">
      <c r="A6" s="202"/>
      <c r="C6" s="203" t="s">
        <v>426</v>
      </c>
      <c r="D6" s="204" t="s">
        <v>438</v>
      </c>
      <c r="E6" s="200"/>
      <c r="F6" s="200"/>
      <c r="G6" s="200"/>
      <c r="H6" s="200"/>
      <c r="I6" s="200"/>
      <c r="J6" s="200"/>
      <c r="K6" s="200"/>
      <c r="L6" s="200"/>
      <c r="M6" s="200"/>
      <c r="N6" s="200"/>
      <c r="O6" s="200"/>
      <c r="P6" s="200"/>
      <c r="Q6" s="200"/>
      <c r="R6" s="200"/>
      <c r="S6" s="200"/>
      <c r="T6" s="200"/>
      <c r="U6" s="205"/>
    </row>
    <row r="7" ht="15.75" customHeight="1">
      <c r="A7" s="202"/>
      <c r="C7" s="203" t="s">
        <v>428</v>
      </c>
      <c r="D7" s="204" t="s">
        <v>429</v>
      </c>
      <c r="E7" s="200"/>
      <c r="F7" s="200"/>
      <c r="G7" s="200"/>
      <c r="H7" s="200"/>
      <c r="I7" s="200"/>
      <c r="J7" s="200"/>
      <c r="K7" s="200"/>
      <c r="L7" s="200"/>
      <c r="M7" s="200"/>
      <c r="N7" s="200"/>
      <c r="O7" s="200"/>
      <c r="P7" s="200"/>
      <c r="Q7" s="200"/>
      <c r="R7" s="200"/>
      <c r="S7" s="200"/>
      <c r="T7" s="200"/>
      <c r="U7" s="205"/>
    </row>
    <row r="8" ht="15.75" customHeight="1">
      <c r="A8" s="202"/>
      <c r="B8" s="202"/>
    </row>
    <row r="9" ht="15.75" customHeight="1">
      <c r="A9" s="202"/>
      <c r="B9" s="202"/>
    </row>
    <row r="10" ht="15.75" customHeight="1">
      <c r="A10" s="202"/>
      <c r="B10" s="202"/>
    </row>
    <row r="11" ht="15.75" customHeight="1">
      <c r="A11" s="202"/>
      <c r="B11" s="202"/>
    </row>
    <row r="12" ht="15.75" customHeight="1">
      <c r="A12" s="202"/>
      <c r="B12" s="202"/>
    </row>
    <row r="13" ht="15.75" customHeight="1">
      <c r="A13" s="202"/>
      <c r="B13" s="202"/>
    </row>
    <row r="14" ht="15.75" customHeight="1">
      <c r="A14" s="202"/>
      <c r="B14" s="202"/>
    </row>
    <row r="15" ht="15.75" customHeight="1">
      <c r="A15" s="202"/>
      <c r="B15" s="202"/>
    </row>
    <row r="16" ht="15.75" customHeight="1">
      <c r="A16" s="202"/>
      <c r="B16" s="202"/>
    </row>
    <row r="17" ht="15.75" customHeight="1">
      <c r="A17" s="202"/>
      <c r="B17" s="202"/>
    </row>
    <row r="18" ht="15.75" customHeight="1">
      <c r="A18" s="202"/>
      <c r="B18" s="202"/>
    </row>
    <row r="19" ht="15.75" customHeight="1">
      <c r="A19" s="202"/>
      <c r="B19" s="202"/>
    </row>
    <row r="20" ht="15.75" customHeight="1">
      <c r="A20" s="202"/>
      <c r="B20" s="202"/>
    </row>
    <row r="21" ht="15.75" customHeight="1">
      <c r="A21" s="202"/>
      <c r="B21" s="202"/>
    </row>
    <row r="22" ht="15.75" customHeight="1">
      <c r="A22" s="202"/>
      <c r="B22" s="202"/>
    </row>
    <row r="23" ht="15.75" customHeight="1">
      <c r="A23" s="202"/>
      <c r="B23" s="202"/>
    </row>
    <row r="24" ht="15.75" customHeight="1">
      <c r="A24" s="202"/>
      <c r="B24" s="202"/>
    </row>
    <row r="25" ht="15.75" customHeight="1">
      <c r="A25" s="202"/>
      <c r="B25" s="202"/>
    </row>
    <row r="26" ht="15.75" customHeight="1">
      <c r="A26" s="202"/>
      <c r="B26" s="202"/>
    </row>
    <row r="27" ht="15.75" customHeight="1">
      <c r="A27" s="202"/>
      <c r="B27" s="202"/>
    </row>
    <row r="28" ht="15.75" customHeight="1">
      <c r="A28" s="202"/>
      <c r="B28" s="202"/>
    </row>
    <row r="29" ht="15.75" customHeight="1">
      <c r="A29" s="202"/>
      <c r="B29" s="202"/>
    </row>
    <row r="30" ht="15.75" customHeight="1">
      <c r="A30" s="202"/>
      <c r="B30" s="202"/>
    </row>
    <row r="31" ht="15.75" customHeight="1">
      <c r="A31" s="202"/>
      <c r="B31" s="202"/>
    </row>
    <row r="32" ht="15.75" customHeight="1">
      <c r="A32" s="202"/>
      <c r="B32" s="202"/>
    </row>
    <row r="33" ht="15.75" customHeight="1">
      <c r="A33" s="202"/>
      <c r="B33" s="202"/>
    </row>
    <row r="34" ht="15.75" customHeight="1">
      <c r="A34" s="202"/>
      <c r="B34" s="202"/>
    </row>
    <row r="35" ht="15.75" customHeight="1">
      <c r="A35" s="202"/>
      <c r="B35" s="202"/>
    </row>
    <row r="36" ht="15.75" customHeight="1">
      <c r="A36" s="202"/>
      <c r="B36" s="202"/>
    </row>
    <row r="37" ht="15.75" customHeight="1">
      <c r="A37" s="202"/>
      <c r="B37" s="202"/>
    </row>
    <row r="38" ht="15.75" customHeight="1">
      <c r="A38" s="202"/>
      <c r="B38" s="202"/>
    </row>
    <row r="39" ht="15.75" customHeight="1">
      <c r="A39" s="202"/>
      <c r="B39" s="202"/>
    </row>
    <row r="40" ht="15.75" customHeight="1">
      <c r="A40" s="202"/>
      <c r="B40" s="202"/>
    </row>
    <row r="41" ht="15.75" customHeight="1">
      <c r="A41" s="202"/>
      <c r="B41" s="202"/>
    </row>
    <row r="42" ht="15.75" customHeight="1">
      <c r="A42" s="202"/>
      <c r="B42" s="202"/>
    </row>
    <row r="43" ht="15.75" customHeight="1">
      <c r="A43" s="202"/>
      <c r="B43" s="202"/>
    </row>
    <row r="44" ht="15.75" customHeight="1">
      <c r="A44" s="202"/>
      <c r="B44" s="202"/>
    </row>
    <row r="45" ht="15.75" customHeight="1">
      <c r="A45" s="202"/>
      <c r="B45" s="202"/>
    </row>
    <row r="46" ht="15.75" customHeight="1">
      <c r="A46" s="202"/>
      <c r="B46" s="202"/>
    </row>
    <row r="47" ht="15.75" customHeight="1">
      <c r="A47" s="202"/>
      <c r="B47" s="202"/>
    </row>
    <row r="48" ht="15.75" customHeight="1">
      <c r="A48" s="202"/>
      <c r="B48" s="202"/>
    </row>
    <row r="49" ht="15.75" customHeight="1">
      <c r="A49" s="202"/>
      <c r="B49" s="202"/>
    </row>
    <row r="50" ht="15.75" customHeight="1">
      <c r="A50" s="202"/>
      <c r="B50" s="202"/>
    </row>
    <row r="51" ht="15.75" customHeight="1">
      <c r="A51" s="202"/>
      <c r="B51" s="202"/>
    </row>
    <row r="52" ht="15.75" customHeight="1">
      <c r="A52" s="202"/>
      <c r="B52" s="202"/>
    </row>
    <row r="53" ht="15.75" customHeight="1">
      <c r="A53" s="202"/>
      <c r="B53" s="202"/>
    </row>
    <row r="54" ht="15.75" customHeight="1">
      <c r="A54" s="202"/>
      <c r="B54" s="202"/>
    </row>
    <row r="55" ht="15.75" customHeight="1">
      <c r="A55" s="202"/>
      <c r="B55" s="202"/>
    </row>
    <row r="56" ht="15.75" customHeight="1">
      <c r="A56" s="202"/>
      <c r="B56" s="202"/>
    </row>
    <row r="57" ht="15.75" customHeight="1">
      <c r="A57" s="202"/>
      <c r="B57" s="202"/>
    </row>
    <row r="58" ht="15.75" customHeight="1">
      <c r="A58" s="202"/>
      <c r="B58" s="202"/>
    </row>
    <row r="59" ht="15.75" customHeight="1">
      <c r="A59" s="202"/>
      <c r="B59" s="202"/>
    </row>
    <row r="60" ht="15.75" customHeight="1">
      <c r="A60" s="202"/>
      <c r="B60" s="202"/>
    </row>
    <row r="61" ht="15.75" customHeight="1">
      <c r="A61" s="202"/>
      <c r="B61" s="202"/>
    </row>
    <row r="62" ht="15.75" customHeight="1">
      <c r="A62" s="202"/>
      <c r="B62" s="202"/>
    </row>
    <row r="63" ht="15.75" customHeight="1">
      <c r="A63" s="202"/>
      <c r="B63" s="202"/>
    </row>
    <row r="64" ht="15.75" customHeight="1">
      <c r="A64" s="202"/>
      <c r="B64" s="202"/>
    </row>
    <row r="65" ht="15.75" customHeight="1">
      <c r="A65" s="202"/>
      <c r="B65" s="202"/>
    </row>
    <row r="66" ht="15.75" customHeight="1">
      <c r="A66" s="202"/>
      <c r="B66" s="202"/>
    </row>
    <row r="67" ht="15.75" customHeight="1">
      <c r="A67" s="202"/>
      <c r="B67" s="202"/>
    </row>
    <row r="68" ht="15.75" customHeight="1">
      <c r="A68" s="202"/>
      <c r="B68" s="202"/>
    </row>
    <row r="69" ht="15.75" customHeight="1">
      <c r="A69" s="202"/>
      <c r="B69" s="202"/>
    </row>
    <row r="70" ht="15.75" customHeight="1">
      <c r="A70" s="202"/>
      <c r="B70" s="202"/>
    </row>
    <row r="71" ht="15.75" customHeight="1">
      <c r="A71" s="202"/>
      <c r="B71" s="202"/>
    </row>
    <row r="72" ht="15.75" customHeight="1">
      <c r="A72" s="202"/>
      <c r="B72" s="202"/>
    </row>
    <row r="73" ht="15.75" customHeight="1">
      <c r="A73" s="202"/>
      <c r="B73" s="202"/>
    </row>
    <row r="74" ht="15.75" customHeight="1">
      <c r="A74" s="202"/>
      <c r="B74" s="202"/>
    </row>
    <row r="75" ht="15.75" customHeight="1">
      <c r="A75" s="202"/>
      <c r="B75" s="202"/>
    </row>
    <row r="76" ht="15.75" customHeight="1">
      <c r="A76" s="202"/>
      <c r="B76" s="202"/>
    </row>
    <row r="77" ht="15.75" customHeight="1">
      <c r="A77" s="202"/>
      <c r="B77" s="202"/>
    </row>
    <row r="78" ht="15.75" customHeight="1">
      <c r="A78" s="202"/>
      <c r="B78" s="202"/>
    </row>
    <row r="79" ht="15.75" customHeight="1">
      <c r="A79" s="202"/>
      <c r="B79" s="202"/>
    </row>
    <row r="80" ht="15.75" customHeight="1">
      <c r="A80" s="202"/>
      <c r="B80" s="202"/>
    </row>
    <row r="81" ht="15.75" customHeight="1">
      <c r="A81" s="202"/>
      <c r="B81" s="202"/>
    </row>
    <row r="82" ht="15.75" customHeight="1">
      <c r="A82" s="202"/>
      <c r="B82" s="202"/>
    </row>
    <row r="83" ht="15.75" customHeight="1">
      <c r="A83" s="202"/>
      <c r="B83" s="202"/>
    </row>
    <row r="84" ht="15.75" customHeight="1">
      <c r="A84" s="202"/>
      <c r="B84" s="202"/>
    </row>
    <row r="85" ht="15.75" customHeight="1">
      <c r="A85" s="202"/>
      <c r="B85" s="202"/>
    </row>
    <row r="86" ht="15.75" customHeight="1">
      <c r="A86" s="202"/>
      <c r="B86" s="202"/>
    </row>
    <row r="87" ht="15.75" customHeight="1">
      <c r="A87" s="202"/>
      <c r="B87" s="202"/>
    </row>
    <row r="88" ht="15.75" customHeight="1">
      <c r="A88" s="202"/>
      <c r="B88" s="202"/>
    </row>
    <row r="89" ht="15.75" customHeight="1">
      <c r="A89" s="202"/>
      <c r="B89" s="202"/>
    </row>
    <row r="90" ht="15.75" customHeight="1">
      <c r="A90" s="202"/>
      <c r="B90" s="202"/>
    </row>
    <row r="91" ht="15.75" customHeight="1">
      <c r="A91" s="202"/>
      <c r="B91" s="202"/>
    </row>
    <row r="92" ht="15.75" customHeight="1">
      <c r="A92" s="202"/>
      <c r="B92" s="202"/>
    </row>
    <row r="93" ht="15.75" customHeight="1">
      <c r="A93" s="202"/>
      <c r="B93" s="202"/>
    </row>
    <row r="94" ht="15.75" customHeight="1">
      <c r="A94" s="202"/>
      <c r="B94" s="202"/>
    </row>
    <row r="95" ht="15.75" customHeight="1">
      <c r="A95" s="202"/>
      <c r="B95" s="202"/>
    </row>
    <row r="96" ht="15.75" customHeight="1">
      <c r="A96" s="202"/>
      <c r="B96" s="202"/>
    </row>
    <row r="97" ht="15.75" customHeight="1">
      <c r="A97" s="202"/>
      <c r="B97" s="202"/>
    </row>
    <row r="98" ht="15.75" customHeight="1">
      <c r="A98" s="202"/>
      <c r="B98" s="202"/>
    </row>
    <row r="99" ht="15.75" customHeight="1">
      <c r="A99" s="202"/>
      <c r="B99" s="202"/>
    </row>
    <row r="100" ht="15.75" customHeight="1">
      <c r="A100" s="202"/>
      <c r="B100" s="202"/>
    </row>
    <row r="101" ht="15.75" customHeight="1">
      <c r="A101" s="202"/>
      <c r="B101" s="202"/>
    </row>
    <row r="102" ht="15.75" customHeight="1">
      <c r="A102" s="202"/>
      <c r="B102" s="202"/>
    </row>
    <row r="103" ht="15.75" customHeight="1">
      <c r="A103" s="202"/>
      <c r="B103" s="202"/>
    </row>
    <row r="104" ht="15.75" customHeight="1">
      <c r="A104" s="202"/>
      <c r="B104" s="202"/>
    </row>
    <row r="105" ht="15.75" customHeight="1">
      <c r="A105" s="202"/>
      <c r="B105" s="202"/>
    </row>
    <row r="106" ht="15.75" customHeight="1">
      <c r="A106" s="202"/>
      <c r="B106" s="202"/>
    </row>
    <row r="107" ht="15.75" customHeight="1">
      <c r="A107" s="202"/>
      <c r="B107" s="202"/>
    </row>
    <row r="108" ht="15.75" customHeight="1">
      <c r="A108" s="202"/>
      <c r="B108" s="202"/>
    </row>
    <row r="109" ht="15.75" customHeight="1">
      <c r="A109" s="202"/>
      <c r="B109" s="202"/>
    </row>
    <row r="110" ht="15.75" customHeight="1">
      <c r="A110" s="202"/>
      <c r="B110" s="202"/>
    </row>
    <row r="111" ht="15.75" customHeight="1">
      <c r="A111" s="202"/>
      <c r="B111" s="202"/>
    </row>
    <row r="112" ht="15.75" customHeight="1">
      <c r="A112" s="202"/>
      <c r="B112" s="202"/>
    </row>
    <row r="113" ht="15.75" customHeight="1">
      <c r="A113" s="202"/>
      <c r="B113" s="202"/>
    </row>
    <row r="114" ht="15.75" customHeight="1">
      <c r="A114" s="202"/>
      <c r="B114" s="202"/>
    </row>
    <row r="115" ht="15.75" customHeight="1">
      <c r="A115" s="202"/>
      <c r="B115" s="202"/>
    </row>
    <row r="116" ht="15.75" customHeight="1">
      <c r="A116" s="202"/>
      <c r="B116" s="202"/>
    </row>
    <row r="117" ht="15.75" customHeight="1">
      <c r="A117" s="202"/>
      <c r="B117" s="202"/>
    </row>
    <row r="118" ht="15.75" customHeight="1">
      <c r="A118" s="202"/>
      <c r="B118" s="202"/>
    </row>
    <row r="119" ht="15.75" customHeight="1">
      <c r="A119" s="202"/>
      <c r="B119" s="202"/>
    </row>
    <row r="120" ht="15.75" customHeight="1">
      <c r="A120" s="202"/>
      <c r="B120" s="202"/>
    </row>
    <row r="121" ht="15.75" customHeight="1">
      <c r="A121" s="202"/>
      <c r="B121" s="202"/>
    </row>
    <row r="122" ht="15.75" customHeight="1">
      <c r="A122" s="202"/>
      <c r="B122" s="202"/>
    </row>
    <row r="123" ht="15.75" customHeight="1">
      <c r="A123" s="202"/>
      <c r="B123" s="202"/>
    </row>
    <row r="124" ht="15.75" customHeight="1">
      <c r="A124" s="202"/>
      <c r="B124" s="202"/>
    </row>
    <row r="125" ht="15.75" customHeight="1">
      <c r="A125" s="202"/>
      <c r="B125" s="202"/>
    </row>
    <row r="126" ht="15.75" customHeight="1">
      <c r="A126" s="202"/>
      <c r="B126" s="202"/>
    </row>
    <row r="127" ht="15.75" customHeight="1">
      <c r="A127" s="202"/>
      <c r="B127" s="202"/>
    </row>
    <row r="128" ht="15.75" customHeight="1">
      <c r="A128" s="202"/>
      <c r="B128" s="202"/>
    </row>
    <row r="129" ht="15.75" customHeight="1">
      <c r="A129" s="202"/>
      <c r="B129" s="202"/>
    </row>
    <row r="130" ht="15.75" customHeight="1">
      <c r="A130" s="202"/>
      <c r="B130" s="202"/>
    </row>
    <row r="131" ht="15.75" customHeight="1">
      <c r="A131" s="202"/>
      <c r="B131" s="202"/>
    </row>
    <row r="132" ht="15.75" customHeight="1">
      <c r="A132" s="202"/>
      <c r="B132" s="202"/>
    </row>
    <row r="133" ht="15.75" customHeight="1">
      <c r="A133" s="202"/>
      <c r="B133" s="202"/>
    </row>
    <row r="134" ht="15.75" customHeight="1">
      <c r="A134" s="202"/>
      <c r="B134" s="202"/>
    </row>
    <row r="135" ht="15.75" customHeight="1">
      <c r="A135" s="202"/>
      <c r="B135" s="202"/>
    </row>
    <row r="136" ht="15.75" customHeight="1">
      <c r="A136" s="202"/>
      <c r="B136" s="202"/>
    </row>
    <row r="137" ht="15.75" customHeight="1">
      <c r="A137" s="202"/>
      <c r="B137" s="202"/>
    </row>
    <row r="138" ht="15.75" customHeight="1">
      <c r="A138" s="202"/>
      <c r="B138" s="202"/>
    </row>
    <row r="139" ht="15.75" customHeight="1">
      <c r="A139" s="202"/>
      <c r="B139" s="202"/>
    </row>
    <row r="140" ht="15.75" customHeight="1">
      <c r="A140" s="202"/>
      <c r="B140" s="202"/>
    </row>
    <row r="141" ht="15.75" customHeight="1">
      <c r="A141" s="202"/>
      <c r="B141" s="202"/>
    </row>
    <row r="142" ht="15.75" customHeight="1">
      <c r="A142" s="202"/>
      <c r="B142" s="202"/>
    </row>
    <row r="143" ht="15.75" customHeight="1">
      <c r="A143" s="202"/>
      <c r="B143" s="202"/>
    </row>
    <row r="144" ht="15.75" customHeight="1">
      <c r="A144" s="202"/>
      <c r="B144" s="202"/>
    </row>
    <row r="145" ht="15.75" customHeight="1">
      <c r="A145" s="202"/>
      <c r="B145" s="202"/>
    </row>
    <row r="146" ht="15.75" customHeight="1">
      <c r="A146" s="202"/>
      <c r="B146" s="202"/>
    </row>
    <row r="147" ht="15.75" customHeight="1">
      <c r="A147" s="202"/>
      <c r="B147" s="202"/>
    </row>
    <row r="148" ht="15.75" customHeight="1">
      <c r="A148" s="202"/>
      <c r="B148" s="202"/>
    </row>
    <row r="149" ht="15.75" customHeight="1">
      <c r="A149" s="202"/>
      <c r="B149" s="202"/>
    </row>
    <row r="150" ht="15.75" customHeight="1">
      <c r="A150" s="202"/>
      <c r="B150" s="202"/>
    </row>
    <row r="151" ht="15.75" customHeight="1">
      <c r="A151" s="202"/>
      <c r="B151" s="202"/>
    </row>
    <row r="152" ht="15.75" customHeight="1">
      <c r="A152" s="202"/>
      <c r="B152" s="202"/>
    </row>
    <row r="153" ht="15.75" customHeight="1">
      <c r="A153" s="202"/>
      <c r="B153" s="202"/>
    </row>
    <row r="154" ht="15.75" customHeight="1">
      <c r="A154" s="202"/>
      <c r="B154" s="202"/>
    </row>
    <row r="155" ht="15.75" customHeight="1">
      <c r="A155" s="202"/>
      <c r="B155" s="202"/>
    </row>
    <row r="156" ht="15.75" customHeight="1">
      <c r="A156" s="202"/>
      <c r="B156" s="202"/>
    </row>
    <row r="157" ht="15.75" customHeight="1">
      <c r="A157" s="202"/>
      <c r="B157" s="202"/>
    </row>
    <row r="158" ht="15.75" customHeight="1">
      <c r="A158" s="202"/>
      <c r="B158" s="202"/>
    </row>
    <row r="159" ht="15.75" customHeight="1">
      <c r="A159" s="202"/>
      <c r="B159" s="202"/>
    </row>
    <row r="160" ht="15.75" customHeight="1">
      <c r="A160" s="202"/>
      <c r="B160" s="202"/>
    </row>
    <row r="161" ht="15.75" customHeight="1">
      <c r="A161" s="202"/>
      <c r="B161" s="202"/>
    </row>
    <row r="162" ht="15.75" customHeight="1">
      <c r="A162" s="202"/>
      <c r="B162" s="202"/>
    </row>
    <row r="163" ht="15.75" customHeight="1">
      <c r="A163" s="202"/>
      <c r="B163" s="202"/>
    </row>
    <row r="164" ht="15.75" customHeight="1">
      <c r="A164" s="202"/>
      <c r="B164" s="202"/>
    </row>
    <row r="165" ht="15.75" customHeight="1">
      <c r="A165" s="202"/>
      <c r="B165" s="202"/>
    </row>
    <row r="166" ht="15.75" customHeight="1">
      <c r="A166" s="202"/>
      <c r="B166" s="202"/>
    </row>
    <row r="167" ht="15.75" customHeight="1">
      <c r="A167" s="202"/>
      <c r="B167" s="202"/>
    </row>
    <row r="168" ht="15.75" customHeight="1">
      <c r="A168" s="202"/>
      <c r="B168" s="202"/>
    </row>
    <row r="169" ht="15.75" customHeight="1">
      <c r="A169" s="202"/>
      <c r="B169" s="202"/>
    </row>
    <row r="170" ht="15.75" customHeight="1">
      <c r="A170" s="202"/>
      <c r="B170" s="202"/>
    </row>
    <row r="171" ht="15.75" customHeight="1">
      <c r="A171" s="202"/>
      <c r="B171" s="202"/>
    </row>
    <row r="172" ht="15.75" customHeight="1">
      <c r="A172" s="202"/>
      <c r="B172" s="202"/>
    </row>
    <row r="173" ht="15.75" customHeight="1">
      <c r="A173" s="202"/>
      <c r="B173" s="202"/>
    </row>
    <row r="174" ht="15.75" customHeight="1">
      <c r="A174" s="202"/>
      <c r="B174" s="202"/>
    </row>
    <row r="175" ht="15.75" customHeight="1">
      <c r="A175" s="202"/>
      <c r="B175" s="202"/>
    </row>
    <row r="176" ht="15.75" customHeight="1">
      <c r="A176" s="202"/>
      <c r="B176" s="202"/>
    </row>
    <row r="177" ht="15.75" customHeight="1">
      <c r="A177" s="202"/>
      <c r="B177" s="202"/>
    </row>
    <row r="178" ht="15.75" customHeight="1">
      <c r="A178" s="202"/>
      <c r="B178" s="202"/>
    </row>
    <row r="179" ht="15.75" customHeight="1">
      <c r="A179" s="202"/>
      <c r="B179" s="202"/>
    </row>
    <row r="180" ht="15.75" customHeight="1">
      <c r="A180" s="202"/>
      <c r="B180" s="202"/>
    </row>
    <row r="181" ht="15.75" customHeight="1">
      <c r="A181" s="202"/>
      <c r="B181" s="202"/>
    </row>
    <row r="182" ht="15.75" customHeight="1">
      <c r="A182" s="202"/>
      <c r="B182" s="202"/>
    </row>
    <row r="183" ht="15.75" customHeight="1">
      <c r="A183" s="202"/>
      <c r="B183" s="202"/>
    </row>
    <row r="184" ht="15.75" customHeight="1">
      <c r="A184" s="202"/>
      <c r="B184" s="202"/>
    </row>
    <row r="185" ht="15.75" customHeight="1">
      <c r="A185" s="202"/>
      <c r="B185" s="202"/>
    </row>
    <row r="186" ht="15.75" customHeight="1">
      <c r="A186" s="202"/>
      <c r="B186" s="202"/>
    </row>
    <row r="187" ht="15.75" customHeight="1">
      <c r="A187" s="202"/>
      <c r="B187" s="202"/>
    </row>
    <row r="188" ht="15.75" customHeight="1">
      <c r="A188" s="202"/>
      <c r="B188" s="202"/>
    </row>
    <row r="189" ht="15.75" customHeight="1">
      <c r="A189" s="202"/>
      <c r="B189" s="202"/>
    </row>
    <row r="190" ht="15.75" customHeight="1">
      <c r="A190" s="202"/>
      <c r="B190" s="202"/>
    </row>
    <row r="191" ht="15.75" customHeight="1">
      <c r="A191" s="202"/>
      <c r="B191" s="202"/>
    </row>
    <row r="192" ht="15.75" customHeight="1">
      <c r="A192" s="202"/>
      <c r="B192" s="202"/>
    </row>
    <row r="193" ht="15.75" customHeight="1">
      <c r="A193" s="202"/>
      <c r="B193" s="202"/>
    </row>
    <row r="194" ht="15.75" customHeight="1">
      <c r="A194" s="202"/>
      <c r="B194" s="202"/>
    </row>
    <row r="195" ht="15.75" customHeight="1">
      <c r="A195" s="202"/>
      <c r="B195" s="202"/>
    </row>
    <row r="196" ht="15.75" customHeight="1">
      <c r="A196" s="202"/>
      <c r="B196" s="202"/>
    </row>
    <row r="197" ht="15.75" customHeight="1">
      <c r="A197" s="202"/>
      <c r="B197" s="202"/>
    </row>
    <row r="198" ht="15.75" customHeight="1">
      <c r="A198" s="202"/>
      <c r="B198" s="202"/>
    </row>
    <row r="199" ht="15.75" customHeight="1">
      <c r="A199" s="202"/>
      <c r="B199" s="202"/>
    </row>
    <row r="200" ht="15.75" customHeight="1">
      <c r="A200" s="202"/>
      <c r="B200" s="202"/>
    </row>
    <row r="201" ht="15.75" customHeight="1">
      <c r="A201" s="202"/>
      <c r="B201" s="202"/>
    </row>
    <row r="202" ht="15.75" customHeight="1">
      <c r="A202" s="202"/>
      <c r="B202" s="202"/>
    </row>
    <row r="203" ht="15.75" customHeight="1">
      <c r="A203" s="202"/>
      <c r="B203" s="202"/>
    </row>
    <row r="204" ht="15.75" customHeight="1">
      <c r="A204" s="202"/>
      <c r="B204" s="202"/>
    </row>
    <row r="205" ht="15.75" customHeight="1">
      <c r="A205" s="202"/>
      <c r="B205" s="202"/>
    </row>
    <row r="206" ht="15.75" customHeight="1">
      <c r="A206" s="202"/>
      <c r="B206" s="202"/>
    </row>
    <row r="207" ht="15.75" customHeight="1">
      <c r="A207" s="202"/>
      <c r="B207" s="202"/>
    </row>
    <row r="208" ht="15.75" customHeight="1">
      <c r="A208" s="202"/>
      <c r="B208" s="202"/>
    </row>
    <row r="209" ht="15.75" customHeight="1">
      <c r="A209" s="202"/>
      <c r="B209" s="202"/>
    </row>
    <row r="210" ht="15.75" customHeight="1">
      <c r="A210" s="202"/>
      <c r="B210" s="202"/>
    </row>
    <row r="211" ht="15.75" customHeight="1">
      <c r="A211" s="202"/>
      <c r="B211" s="202"/>
    </row>
    <row r="212" ht="15.75" customHeight="1">
      <c r="A212" s="202"/>
      <c r="B212" s="202"/>
    </row>
    <row r="213" ht="15.75" customHeight="1">
      <c r="A213" s="202"/>
      <c r="B213" s="202"/>
    </row>
    <row r="214" ht="15.75" customHeight="1">
      <c r="A214" s="202"/>
      <c r="B214" s="202"/>
    </row>
    <row r="215" ht="15.75" customHeight="1">
      <c r="A215" s="202"/>
      <c r="B215" s="202"/>
    </row>
    <row r="216" ht="15.75" customHeight="1">
      <c r="A216" s="202"/>
      <c r="B216" s="202"/>
    </row>
    <row r="217" ht="15.75" customHeight="1">
      <c r="A217" s="202"/>
      <c r="B217" s="202"/>
    </row>
    <row r="218" ht="15.75" customHeight="1">
      <c r="A218" s="202"/>
      <c r="B218" s="202"/>
    </row>
    <row r="219" ht="15.75" customHeight="1">
      <c r="A219" s="202"/>
      <c r="B219" s="202"/>
    </row>
    <row r="220" ht="15.75" customHeight="1">
      <c r="A220" s="202"/>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U2"/>
    <mergeCell ref="D3:U3"/>
    <mergeCell ref="D5:U5"/>
    <mergeCell ref="D6:U6"/>
    <mergeCell ref="D7:U7"/>
  </mergeCells>
  <dataValidations>
    <dataValidation type="list" allowBlank="1" showErrorMessage="1" sqref="K4">
      <formula1>"0,1,2,3,4,5,=5"</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2.63"/>
    <col customWidth="1" min="2" max="2" width="15.0"/>
    <col customWidth="1" min="3" max="3" width="6.38"/>
    <col customWidth="1" min="4" max="4" width="18.38"/>
    <col customWidth="1" min="5" max="6" width="12.63"/>
  </cols>
  <sheetData>
    <row r="1" ht="15.75" customHeight="1">
      <c r="A1" s="202"/>
      <c r="B1" s="203" t="s">
        <v>419</v>
      </c>
      <c r="C1" s="204" t="s">
        <v>439</v>
      </c>
      <c r="D1" s="200"/>
      <c r="E1" s="200"/>
      <c r="F1" s="200"/>
      <c r="G1" s="200"/>
      <c r="H1" s="200"/>
      <c r="I1" s="200"/>
      <c r="J1" s="200"/>
      <c r="K1" s="200"/>
      <c r="L1" s="200"/>
      <c r="M1" s="200"/>
      <c r="N1" s="200"/>
      <c r="O1" s="200"/>
      <c r="P1" s="200"/>
      <c r="Q1" s="200"/>
      <c r="R1" s="200"/>
      <c r="S1" s="200"/>
      <c r="T1" s="205"/>
    </row>
    <row r="2" ht="15.75" customHeight="1">
      <c r="A2" s="202"/>
      <c r="B2" s="209" t="s">
        <v>431</v>
      </c>
      <c r="C2" s="206" t="s">
        <v>440</v>
      </c>
      <c r="D2" s="200"/>
      <c r="E2" s="200"/>
      <c r="F2" s="200"/>
      <c r="G2" s="200"/>
      <c r="H2" s="200"/>
      <c r="I2" s="200"/>
      <c r="J2" s="200"/>
      <c r="K2" s="200"/>
      <c r="L2" s="200"/>
      <c r="M2" s="200"/>
      <c r="N2" s="200"/>
      <c r="O2" s="200"/>
      <c r="P2" s="200"/>
      <c r="Q2" s="200"/>
      <c r="R2" s="200"/>
      <c r="S2" s="200"/>
      <c r="T2" s="205"/>
    </row>
    <row r="3" ht="49.5" customHeight="1">
      <c r="A3" s="202"/>
      <c r="B3" s="209" t="s">
        <v>432</v>
      </c>
      <c r="C3" s="206" t="s">
        <v>441</v>
      </c>
      <c r="D3" s="200"/>
      <c r="E3" s="200"/>
      <c r="F3" s="200"/>
      <c r="G3" s="200"/>
      <c r="H3" s="200"/>
      <c r="I3" s="200"/>
      <c r="J3" s="200"/>
      <c r="K3" s="200"/>
      <c r="L3" s="200"/>
      <c r="M3" s="200"/>
      <c r="N3" s="200"/>
      <c r="O3" s="200"/>
      <c r="P3" s="200"/>
      <c r="Q3" s="200"/>
      <c r="R3" s="200"/>
      <c r="S3" s="200"/>
      <c r="T3" s="205"/>
    </row>
    <row r="4" ht="49.5" customHeight="1">
      <c r="A4" s="202"/>
      <c r="B4" s="203" t="s">
        <v>300</v>
      </c>
      <c r="C4" s="204" t="s">
        <v>266</v>
      </c>
      <c r="D4" s="207" t="s">
        <v>370</v>
      </c>
      <c r="E4" s="208" t="s">
        <v>332</v>
      </c>
      <c r="F4" s="207"/>
      <c r="G4" s="208" t="s">
        <v>338</v>
      </c>
      <c r="H4" s="207"/>
      <c r="I4" s="208" t="s">
        <v>422</v>
      </c>
      <c r="J4" s="207">
        <v>3.0</v>
      </c>
      <c r="K4" s="204"/>
      <c r="L4" s="204"/>
      <c r="M4" s="204"/>
      <c r="N4" s="204"/>
      <c r="O4" s="204"/>
      <c r="P4" s="204"/>
      <c r="Q4" s="204"/>
      <c r="R4" s="204"/>
      <c r="S4" s="204"/>
      <c r="T4" s="207"/>
    </row>
    <row r="5" ht="15.75" customHeight="1">
      <c r="A5" s="202"/>
      <c r="B5" s="203" t="s">
        <v>424</v>
      </c>
      <c r="C5" s="204" t="s">
        <v>442</v>
      </c>
      <c r="D5" s="200"/>
      <c r="E5" s="200"/>
      <c r="F5" s="200"/>
      <c r="G5" s="200"/>
      <c r="H5" s="200"/>
      <c r="I5" s="200"/>
      <c r="J5" s="200"/>
      <c r="K5" s="200"/>
      <c r="L5" s="200"/>
      <c r="M5" s="200"/>
      <c r="N5" s="200"/>
      <c r="O5" s="200"/>
      <c r="P5" s="200"/>
      <c r="Q5" s="200"/>
      <c r="R5" s="200"/>
      <c r="S5" s="200"/>
      <c r="T5" s="205"/>
    </row>
    <row r="6" ht="15.75" customHeight="1">
      <c r="A6" s="202"/>
      <c r="B6" s="203" t="s">
        <v>426</v>
      </c>
      <c r="C6" s="204" t="s">
        <v>443</v>
      </c>
      <c r="D6" s="200"/>
      <c r="E6" s="200"/>
      <c r="F6" s="200"/>
      <c r="G6" s="200"/>
      <c r="H6" s="200"/>
      <c r="I6" s="200"/>
      <c r="J6" s="200"/>
      <c r="K6" s="200"/>
      <c r="L6" s="200"/>
      <c r="M6" s="200"/>
      <c r="N6" s="200"/>
      <c r="O6" s="200"/>
      <c r="P6" s="200"/>
      <c r="Q6" s="200"/>
      <c r="R6" s="200"/>
      <c r="S6" s="200"/>
      <c r="T6" s="205"/>
    </row>
    <row r="7" ht="15.75" customHeight="1">
      <c r="A7" s="202"/>
      <c r="B7" s="203" t="s">
        <v>428</v>
      </c>
      <c r="C7" s="204" t="s">
        <v>444</v>
      </c>
      <c r="D7" s="200"/>
      <c r="E7" s="200"/>
      <c r="F7" s="200"/>
      <c r="G7" s="200"/>
      <c r="H7" s="200"/>
      <c r="I7" s="200"/>
      <c r="J7" s="200"/>
      <c r="K7" s="200"/>
      <c r="L7" s="200"/>
      <c r="M7" s="200"/>
      <c r="N7" s="200"/>
      <c r="O7" s="200"/>
      <c r="P7" s="200"/>
      <c r="Q7" s="200"/>
      <c r="R7" s="200"/>
      <c r="S7" s="200"/>
      <c r="T7" s="205"/>
    </row>
    <row r="8" ht="15.75" customHeight="1">
      <c r="A8" s="202"/>
      <c r="B8" s="202"/>
    </row>
    <row r="9" ht="15.75" customHeight="1">
      <c r="A9" s="202"/>
      <c r="B9" s="202"/>
    </row>
    <row r="10" ht="15.75" customHeight="1">
      <c r="A10" s="202"/>
      <c r="B10" s="202"/>
    </row>
    <row r="11" ht="15.75" customHeight="1">
      <c r="A11" s="202"/>
      <c r="B11" s="202"/>
    </row>
    <row r="12" ht="15.75" customHeight="1">
      <c r="A12" s="202"/>
      <c r="B12" s="202"/>
    </row>
    <row r="13" ht="15.75" customHeight="1">
      <c r="A13" s="202"/>
      <c r="B13" s="202"/>
    </row>
    <row r="14" ht="15.75" customHeight="1">
      <c r="A14" s="202"/>
      <c r="B14" s="202"/>
    </row>
    <row r="15" ht="15.75" customHeight="1">
      <c r="A15" s="202"/>
      <c r="B15" s="202"/>
    </row>
    <row r="16" ht="15.75" customHeight="1">
      <c r="A16" s="202"/>
      <c r="B16" s="202"/>
    </row>
    <row r="17" ht="15.75" customHeight="1">
      <c r="A17" s="202"/>
      <c r="B17" s="202"/>
    </row>
    <row r="18" ht="15.75" customHeight="1">
      <c r="A18" s="202"/>
      <c r="B18" s="202"/>
    </row>
    <row r="19" ht="15.75" customHeight="1">
      <c r="A19" s="202"/>
      <c r="B19" s="202"/>
    </row>
    <row r="20" ht="15.75" customHeight="1">
      <c r="A20" s="202"/>
      <c r="B20" s="202"/>
    </row>
    <row r="21" ht="15.75" customHeight="1">
      <c r="A21" s="202"/>
      <c r="B21" s="202"/>
    </row>
    <row r="22" ht="15.75" customHeight="1">
      <c r="A22" s="202"/>
      <c r="B22" s="202"/>
    </row>
    <row r="23" ht="15.75" customHeight="1">
      <c r="A23" s="202"/>
      <c r="B23" s="202"/>
    </row>
    <row r="24" ht="15.75" customHeight="1">
      <c r="A24" s="202"/>
      <c r="B24" s="202"/>
    </row>
    <row r="25" ht="15.75" customHeight="1">
      <c r="A25" s="202"/>
      <c r="B25" s="202"/>
    </row>
    <row r="26" ht="15.75" customHeight="1">
      <c r="A26" s="202"/>
      <c r="B26" s="202"/>
    </row>
    <row r="27" ht="15.75" customHeight="1">
      <c r="A27" s="202"/>
      <c r="B27" s="202"/>
    </row>
    <row r="28" ht="15.75" customHeight="1">
      <c r="A28" s="202"/>
      <c r="B28" s="202"/>
    </row>
    <row r="29" ht="15.75" customHeight="1">
      <c r="A29" s="202"/>
      <c r="B29" s="202"/>
    </row>
    <row r="30" ht="15.75" customHeight="1">
      <c r="A30" s="202"/>
      <c r="B30" s="202"/>
    </row>
    <row r="31" ht="15.75" customHeight="1">
      <c r="A31" s="202"/>
      <c r="B31" s="202"/>
    </row>
    <row r="32" ht="15.75" customHeight="1">
      <c r="A32" s="202"/>
      <c r="B32" s="202"/>
    </row>
    <row r="33" ht="15.75" customHeight="1">
      <c r="A33" s="202"/>
      <c r="B33" s="202"/>
    </row>
    <row r="34" ht="15.75" customHeight="1">
      <c r="A34" s="202"/>
      <c r="B34" s="202"/>
    </row>
    <row r="35" ht="15.75" customHeight="1">
      <c r="A35" s="202"/>
      <c r="B35" s="202"/>
    </row>
    <row r="36" ht="15.75" customHeight="1">
      <c r="A36" s="202"/>
      <c r="B36" s="202"/>
    </row>
    <row r="37" ht="15.75" customHeight="1">
      <c r="A37" s="202"/>
      <c r="B37" s="202"/>
    </row>
    <row r="38" ht="15.75" customHeight="1">
      <c r="A38" s="202"/>
      <c r="B38" s="202"/>
    </row>
    <row r="39" ht="15.75" customHeight="1">
      <c r="A39" s="202"/>
      <c r="B39" s="202"/>
    </row>
    <row r="40" ht="15.75" customHeight="1">
      <c r="A40" s="202"/>
      <c r="B40" s="202"/>
    </row>
    <row r="41" ht="15.75" customHeight="1">
      <c r="A41" s="202"/>
      <c r="B41" s="202"/>
    </row>
    <row r="42" ht="15.75" customHeight="1">
      <c r="A42" s="202"/>
      <c r="B42" s="202"/>
    </row>
    <row r="43" ht="15.75" customHeight="1">
      <c r="A43" s="202"/>
      <c r="B43" s="202"/>
    </row>
    <row r="44" ht="15.75" customHeight="1">
      <c r="A44" s="202"/>
      <c r="B44" s="202"/>
    </row>
    <row r="45" ht="15.75" customHeight="1">
      <c r="A45" s="202"/>
      <c r="B45" s="202"/>
    </row>
    <row r="46" ht="15.75" customHeight="1">
      <c r="A46" s="202"/>
      <c r="B46" s="202"/>
    </row>
    <row r="47" ht="15.75" customHeight="1">
      <c r="A47" s="202"/>
      <c r="B47" s="202"/>
    </row>
    <row r="48" ht="15.75" customHeight="1">
      <c r="A48" s="202"/>
      <c r="B48" s="202"/>
    </row>
    <row r="49" ht="15.75" customHeight="1">
      <c r="A49" s="202"/>
      <c r="B49" s="202"/>
    </row>
    <row r="50" ht="15.75" customHeight="1">
      <c r="A50" s="202"/>
      <c r="B50" s="202"/>
    </row>
    <row r="51" ht="15.75" customHeight="1">
      <c r="A51" s="202"/>
      <c r="B51" s="202"/>
    </row>
    <row r="52" ht="15.75" customHeight="1">
      <c r="A52" s="202"/>
      <c r="B52" s="202"/>
    </row>
    <row r="53" ht="15.75" customHeight="1">
      <c r="A53" s="202"/>
      <c r="B53" s="202"/>
    </row>
    <row r="54" ht="15.75" customHeight="1">
      <c r="A54" s="202"/>
      <c r="B54" s="202"/>
    </row>
    <row r="55" ht="15.75" customHeight="1">
      <c r="A55" s="202"/>
      <c r="B55" s="202"/>
    </row>
    <row r="56" ht="15.75" customHeight="1">
      <c r="A56" s="202"/>
      <c r="B56" s="202"/>
    </row>
    <row r="57" ht="15.75" customHeight="1">
      <c r="A57" s="202"/>
      <c r="B57" s="202"/>
    </row>
    <row r="58" ht="15.75" customHeight="1">
      <c r="A58" s="202"/>
      <c r="B58" s="202"/>
    </row>
    <row r="59" ht="15.75" customHeight="1">
      <c r="A59" s="202"/>
      <c r="B59" s="202"/>
    </row>
    <row r="60" ht="15.75" customHeight="1">
      <c r="A60" s="202"/>
      <c r="B60" s="202"/>
    </row>
    <row r="61" ht="15.75" customHeight="1">
      <c r="A61" s="202"/>
      <c r="B61" s="202"/>
    </row>
    <row r="62" ht="15.75" customHeight="1">
      <c r="A62" s="202"/>
      <c r="B62" s="202"/>
    </row>
    <row r="63" ht="15.75" customHeight="1">
      <c r="A63" s="202"/>
      <c r="B63" s="202"/>
    </row>
    <row r="64" ht="15.75" customHeight="1">
      <c r="A64" s="202"/>
      <c r="B64" s="202"/>
    </row>
    <row r="65" ht="15.75" customHeight="1">
      <c r="A65" s="202"/>
      <c r="B65" s="202"/>
    </row>
    <row r="66" ht="15.75" customHeight="1">
      <c r="A66" s="202"/>
      <c r="B66" s="202"/>
    </row>
    <row r="67" ht="15.75" customHeight="1">
      <c r="A67" s="202"/>
      <c r="B67" s="202"/>
    </row>
    <row r="68" ht="15.75" customHeight="1">
      <c r="A68" s="202"/>
      <c r="B68" s="202"/>
    </row>
    <row r="69" ht="15.75" customHeight="1">
      <c r="A69" s="202"/>
      <c r="B69" s="202"/>
    </row>
    <row r="70" ht="15.75" customHeight="1">
      <c r="A70" s="202"/>
      <c r="B70" s="202"/>
    </row>
    <row r="71" ht="15.75" customHeight="1">
      <c r="A71" s="202"/>
      <c r="B71" s="202"/>
    </row>
    <row r="72" ht="15.75" customHeight="1">
      <c r="A72" s="202"/>
      <c r="B72" s="202"/>
    </row>
    <row r="73" ht="15.75" customHeight="1">
      <c r="A73" s="202"/>
      <c r="B73" s="202"/>
    </row>
    <row r="74" ht="15.75" customHeight="1">
      <c r="A74" s="202"/>
      <c r="B74" s="202"/>
    </row>
    <row r="75" ht="15.75" customHeight="1">
      <c r="A75" s="202"/>
      <c r="B75" s="202"/>
    </row>
    <row r="76" ht="15.75" customHeight="1">
      <c r="A76" s="202"/>
      <c r="B76" s="202"/>
    </row>
    <row r="77" ht="15.75" customHeight="1">
      <c r="A77" s="202"/>
      <c r="B77" s="202"/>
    </row>
    <row r="78" ht="15.75" customHeight="1">
      <c r="A78" s="202"/>
      <c r="B78" s="202"/>
    </row>
    <row r="79" ht="15.75" customHeight="1">
      <c r="A79" s="202"/>
      <c r="B79" s="202"/>
    </row>
    <row r="80" ht="15.75" customHeight="1">
      <c r="A80" s="202"/>
      <c r="B80" s="202"/>
    </row>
    <row r="81" ht="15.75" customHeight="1">
      <c r="A81" s="202"/>
      <c r="B81" s="202"/>
    </row>
    <row r="82" ht="15.75" customHeight="1">
      <c r="A82" s="202"/>
      <c r="B82" s="202"/>
    </row>
    <row r="83" ht="15.75" customHeight="1">
      <c r="A83" s="202"/>
      <c r="B83" s="202"/>
    </row>
    <row r="84" ht="15.75" customHeight="1">
      <c r="A84" s="202"/>
      <c r="B84" s="202"/>
    </row>
    <row r="85" ht="15.75" customHeight="1">
      <c r="A85" s="202"/>
      <c r="B85" s="202"/>
    </row>
    <row r="86" ht="15.75" customHeight="1">
      <c r="A86" s="202"/>
      <c r="B86" s="202"/>
    </row>
    <row r="87" ht="15.75" customHeight="1">
      <c r="A87" s="202"/>
      <c r="B87" s="202"/>
    </row>
    <row r="88" ht="15.75" customHeight="1">
      <c r="A88" s="202"/>
      <c r="B88" s="202"/>
    </row>
    <row r="89" ht="15.75" customHeight="1">
      <c r="A89" s="202"/>
      <c r="B89" s="202"/>
    </row>
    <row r="90" ht="15.75" customHeight="1">
      <c r="A90" s="202"/>
      <c r="B90" s="202"/>
    </row>
    <row r="91" ht="15.75" customHeight="1">
      <c r="A91" s="202"/>
      <c r="B91" s="202"/>
    </row>
    <row r="92" ht="15.75" customHeight="1">
      <c r="A92" s="202"/>
      <c r="B92" s="202"/>
    </row>
    <row r="93" ht="15.75" customHeight="1">
      <c r="A93" s="202"/>
      <c r="B93" s="202"/>
    </row>
    <row r="94" ht="15.75" customHeight="1">
      <c r="A94" s="202"/>
      <c r="B94" s="202"/>
    </row>
    <row r="95" ht="15.75" customHeight="1">
      <c r="A95" s="202"/>
      <c r="B95" s="202"/>
    </row>
    <row r="96" ht="15.75" customHeight="1">
      <c r="A96" s="202"/>
      <c r="B96" s="202"/>
    </row>
    <row r="97" ht="15.75" customHeight="1">
      <c r="A97" s="202"/>
      <c r="B97" s="202"/>
    </row>
    <row r="98" ht="15.75" customHeight="1">
      <c r="A98" s="202"/>
      <c r="B98" s="202"/>
    </row>
    <row r="99" ht="15.75" customHeight="1">
      <c r="A99" s="202"/>
      <c r="B99" s="202"/>
    </row>
    <row r="100" ht="15.75" customHeight="1">
      <c r="A100" s="202"/>
      <c r="B100" s="202"/>
    </row>
    <row r="101" ht="15.75" customHeight="1">
      <c r="A101" s="202"/>
      <c r="B101" s="202"/>
    </row>
    <row r="102" ht="15.75" customHeight="1">
      <c r="A102" s="202"/>
      <c r="B102" s="202"/>
    </row>
    <row r="103" ht="15.75" customHeight="1">
      <c r="A103" s="202"/>
      <c r="B103" s="202"/>
    </row>
    <row r="104" ht="15.75" customHeight="1">
      <c r="A104" s="202"/>
      <c r="B104" s="202"/>
    </row>
    <row r="105" ht="15.75" customHeight="1">
      <c r="A105" s="202"/>
      <c r="B105" s="202"/>
    </row>
    <row r="106" ht="15.75" customHeight="1">
      <c r="A106" s="202"/>
      <c r="B106" s="202"/>
    </row>
    <row r="107" ht="15.75" customHeight="1">
      <c r="A107" s="202"/>
      <c r="B107" s="202"/>
    </row>
    <row r="108" ht="15.75" customHeight="1">
      <c r="A108" s="202"/>
      <c r="B108" s="202"/>
    </row>
    <row r="109" ht="15.75" customHeight="1">
      <c r="A109" s="202"/>
      <c r="B109" s="202"/>
    </row>
    <row r="110" ht="15.75" customHeight="1">
      <c r="A110" s="202"/>
      <c r="B110" s="202"/>
    </row>
    <row r="111" ht="15.75" customHeight="1">
      <c r="A111" s="202"/>
      <c r="B111" s="202"/>
    </row>
    <row r="112" ht="15.75" customHeight="1">
      <c r="A112" s="202"/>
      <c r="B112" s="202"/>
    </row>
    <row r="113" ht="15.75" customHeight="1">
      <c r="A113" s="202"/>
      <c r="B113" s="202"/>
    </row>
    <row r="114" ht="15.75" customHeight="1">
      <c r="A114" s="202"/>
      <c r="B114" s="202"/>
    </row>
    <row r="115" ht="15.75" customHeight="1">
      <c r="A115" s="202"/>
      <c r="B115" s="202"/>
    </row>
    <row r="116" ht="15.75" customHeight="1">
      <c r="A116" s="202"/>
      <c r="B116" s="202"/>
    </row>
    <row r="117" ht="15.75" customHeight="1">
      <c r="A117" s="202"/>
      <c r="B117" s="202"/>
    </row>
    <row r="118" ht="15.75" customHeight="1">
      <c r="A118" s="202"/>
      <c r="B118" s="202"/>
    </row>
    <row r="119" ht="15.75" customHeight="1">
      <c r="A119" s="202"/>
      <c r="B119" s="202"/>
    </row>
    <row r="120" ht="15.75" customHeight="1">
      <c r="A120" s="202"/>
      <c r="B120" s="202"/>
    </row>
    <row r="121" ht="15.75" customHeight="1">
      <c r="A121" s="202"/>
      <c r="B121" s="202"/>
    </row>
    <row r="122" ht="15.75" customHeight="1">
      <c r="A122" s="202"/>
      <c r="B122" s="202"/>
    </row>
    <row r="123" ht="15.75" customHeight="1">
      <c r="A123" s="202"/>
      <c r="B123" s="202"/>
    </row>
    <row r="124" ht="15.75" customHeight="1">
      <c r="A124" s="202"/>
      <c r="B124" s="202"/>
    </row>
    <row r="125" ht="15.75" customHeight="1">
      <c r="A125" s="202"/>
      <c r="B125" s="202"/>
    </row>
    <row r="126" ht="15.75" customHeight="1">
      <c r="A126" s="202"/>
      <c r="B126" s="202"/>
    </row>
    <row r="127" ht="15.75" customHeight="1">
      <c r="A127" s="202"/>
      <c r="B127" s="202"/>
    </row>
    <row r="128" ht="15.75" customHeight="1">
      <c r="A128" s="202"/>
      <c r="B128" s="202"/>
    </row>
    <row r="129" ht="15.75" customHeight="1">
      <c r="A129" s="202"/>
      <c r="B129" s="202"/>
    </row>
    <row r="130" ht="15.75" customHeight="1">
      <c r="A130" s="202"/>
      <c r="B130" s="202"/>
    </row>
    <row r="131" ht="15.75" customHeight="1">
      <c r="A131" s="202"/>
      <c r="B131" s="202"/>
    </row>
    <row r="132" ht="15.75" customHeight="1">
      <c r="A132" s="202"/>
      <c r="B132" s="202"/>
    </row>
    <row r="133" ht="15.75" customHeight="1">
      <c r="A133" s="202"/>
      <c r="B133" s="202"/>
    </row>
    <row r="134" ht="15.75" customHeight="1">
      <c r="A134" s="202"/>
      <c r="B134" s="202"/>
    </row>
    <row r="135" ht="15.75" customHeight="1">
      <c r="A135" s="202"/>
      <c r="B135" s="202"/>
    </row>
    <row r="136" ht="15.75" customHeight="1">
      <c r="A136" s="202"/>
      <c r="B136" s="202"/>
    </row>
    <row r="137" ht="15.75" customHeight="1">
      <c r="A137" s="202"/>
      <c r="B137" s="202"/>
    </row>
    <row r="138" ht="15.75" customHeight="1">
      <c r="A138" s="202"/>
      <c r="B138" s="202"/>
    </row>
    <row r="139" ht="15.75" customHeight="1">
      <c r="A139" s="202"/>
      <c r="B139" s="202"/>
    </row>
    <row r="140" ht="15.75" customHeight="1">
      <c r="A140" s="202"/>
      <c r="B140" s="202"/>
    </row>
    <row r="141" ht="15.75" customHeight="1">
      <c r="A141" s="202"/>
      <c r="B141" s="202"/>
    </row>
    <row r="142" ht="15.75" customHeight="1">
      <c r="A142" s="202"/>
      <c r="B142" s="202"/>
    </row>
    <row r="143" ht="15.75" customHeight="1">
      <c r="A143" s="202"/>
      <c r="B143" s="202"/>
    </row>
    <row r="144" ht="15.75" customHeight="1">
      <c r="A144" s="202"/>
      <c r="B144" s="202"/>
    </row>
    <row r="145" ht="15.75" customHeight="1">
      <c r="A145" s="202"/>
      <c r="B145" s="202"/>
    </row>
    <row r="146" ht="15.75" customHeight="1">
      <c r="A146" s="202"/>
      <c r="B146" s="202"/>
    </row>
    <row r="147" ht="15.75" customHeight="1">
      <c r="A147" s="202"/>
      <c r="B147" s="202"/>
    </row>
    <row r="148" ht="15.75" customHeight="1">
      <c r="A148" s="202"/>
      <c r="B148" s="202"/>
    </row>
    <row r="149" ht="15.75" customHeight="1">
      <c r="A149" s="202"/>
      <c r="B149" s="202"/>
    </row>
    <row r="150" ht="15.75" customHeight="1">
      <c r="A150" s="202"/>
      <c r="B150" s="202"/>
    </row>
    <row r="151" ht="15.75" customHeight="1">
      <c r="A151" s="202"/>
      <c r="B151" s="202"/>
    </row>
    <row r="152" ht="15.75" customHeight="1">
      <c r="A152" s="202"/>
      <c r="B152" s="202"/>
    </row>
    <row r="153" ht="15.75" customHeight="1">
      <c r="A153" s="202"/>
      <c r="B153" s="202"/>
    </row>
    <row r="154" ht="15.75" customHeight="1">
      <c r="A154" s="202"/>
      <c r="B154" s="202"/>
    </row>
    <row r="155" ht="15.75" customHeight="1">
      <c r="A155" s="202"/>
      <c r="B155" s="202"/>
    </row>
    <row r="156" ht="15.75" customHeight="1">
      <c r="A156" s="202"/>
      <c r="B156" s="202"/>
    </row>
    <row r="157" ht="15.75" customHeight="1">
      <c r="A157" s="202"/>
      <c r="B157" s="202"/>
    </row>
    <row r="158" ht="15.75" customHeight="1">
      <c r="A158" s="202"/>
      <c r="B158" s="202"/>
    </row>
    <row r="159" ht="15.75" customHeight="1">
      <c r="A159" s="202"/>
      <c r="B159" s="202"/>
    </row>
    <row r="160" ht="15.75" customHeight="1">
      <c r="A160" s="202"/>
      <c r="B160" s="202"/>
    </row>
    <row r="161" ht="15.75" customHeight="1">
      <c r="A161" s="202"/>
      <c r="B161" s="202"/>
    </row>
    <row r="162" ht="15.75" customHeight="1">
      <c r="A162" s="202"/>
      <c r="B162" s="202"/>
    </row>
    <row r="163" ht="15.75" customHeight="1">
      <c r="A163" s="202"/>
      <c r="B163" s="202"/>
    </row>
    <row r="164" ht="15.75" customHeight="1">
      <c r="A164" s="202"/>
      <c r="B164" s="202"/>
    </row>
    <row r="165" ht="15.75" customHeight="1">
      <c r="A165" s="202"/>
      <c r="B165" s="202"/>
    </row>
    <row r="166" ht="15.75" customHeight="1">
      <c r="A166" s="202"/>
      <c r="B166" s="202"/>
    </row>
    <row r="167" ht="15.75" customHeight="1">
      <c r="A167" s="202"/>
      <c r="B167" s="202"/>
    </row>
    <row r="168" ht="15.75" customHeight="1">
      <c r="A168" s="202"/>
      <c r="B168" s="202"/>
    </row>
    <row r="169" ht="15.75" customHeight="1">
      <c r="A169" s="202"/>
      <c r="B169" s="202"/>
    </row>
    <row r="170" ht="15.75" customHeight="1">
      <c r="A170" s="202"/>
      <c r="B170" s="202"/>
    </row>
    <row r="171" ht="15.75" customHeight="1">
      <c r="A171" s="202"/>
      <c r="B171" s="202"/>
    </row>
    <row r="172" ht="15.75" customHeight="1">
      <c r="A172" s="202"/>
      <c r="B172" s="202"/>
    </row>
    <row r="173" ht="15.75" customHeight="1">
      <c r="A173" s="202"/>
      <c r="B173" s="202"/>
    </row>
    <row r="174" ht="15.75" customHeight="1">
      <c r="A174" s="202"/>
      <c r="B174" s="202"/>
    </row>
    <row r="175" ht="15.75" customHeight="1">
      <c r="A175" s="202"/>
      <c r="B175" s="202"/>
    </row>
    <row r="176" ht="15.75" customHeight="1">
      <c r="A176" s="202"/>
      <c r="B176" s="202"/>
    </row>
    <row r="177" ht="15.75" customHeight="1">
      <c r="A177" s="202"/>
      <c r="B177" s="202"/>
    </row>
    <row r="178" ht="15.75" customHeight="1">
      <c r="A178" s="202"/>
      <c r="B178" s="202"/>
    </row>
    <row r="179" ht="15.75" customHeight="1">
      <c r="A179" s="202"/>
      <c r="B179" s="202"/>
    </row>
    <row r="180" ht="15.75" customHeight="1">
      <c r="A180" s="202"/>
      <c r="B180" s="202"/>
    </row>
    <row r="181" ht="15.75" customHeight="1">
      <c r="A181" s="202"/>
      <c r="B181" s="202"/>
    </row>
    <row r="182" ht="15.75" customHeight="1">
      <c r="A182" s="202"/>
      <c r="B182" s="202"/>
    </row>
    <row r="183" ht="15.75" customHeight="1">
      <c r="A183" s="202"/>
      <c r="B183" s="202"/>
    </row>
    <row r="184" ht="15.75" customHeight="1">
      <c r="A184" s="202"/>
      <c r="B184" s="202"/>
    </row>
    <row r="185" ht="15.75" customHeight="1">
      <c r="A185" s="202"/>
      <c r="B185" s="202"/>
    </row>
    <row r="186" ht="15.75" customHeight="1">
      <c r="A186" s="202"/>
      <c r="B186" s="202"/>
    </row>
    <row r="187" ht="15.75" customHeight="1">
      <c r="A187" s="202"/>
      <c r="B187" s="202"/>
    </row>
    <row r="188" ht="15.75" customHeight="1">
      <c r="A188" s="202"/>
      <c r="B188" s="202"/>
    </row>
    <row r="189" ht="15.75" customHeight="1">
      <c r="A189" s="202"/>
      <c r="B189" s="202"/>
    </row>
    <row r="190" ht="15.75" customHeight="1">
      <c r="A190" s="202"/>
      <c r="B190" s="202"/>
    </row>
    <row r="191" ht="15.75" customHeight="1">
      <c r="A191" s="202"/>
      <c r="B191" s="202"/>
    </row>
    <row r="192" ht="15.75" customHeight="1">
      <c r="A192" s="202"/>
      <c r="B192" s="202"/>
    </row>
    <row r="193" ht="15.75" customHeight="1">
      <c r="A193" s="202"/>
      <c r="B193" s="202"/>
    </row>
    <row r="194" ht="15.75" customHeight="1">
      <c r="A194" s="202"/>
      <c r="B194" s="202"/>
    </row>
    <row r="195" ht="15.75" customHeight="1">
      <c r="A195" s="202"/>
      <c r="B195" s="202"/>
    </row>
    <row r="196" ht="15.75" customHeight="1">
      <c r="A196" s="202"/>
      <c r="B196" s="202"/>
    </row>
    <row r="197" ht="15.75" customHeight="1">
      <c r="A197" s="202"/>
      <c r="B197" s="202"/>
    </row>
    <row r="198" ht="15.75" customHeight="1">
      <c r="A198" s="202"/>
      <c r="B198" s="202"/>
    </row>
    <row r="199" ht="15.75" customHeight="1">
      <c r="A199" s="202"/>
      <c r="B199" s="202"/>
    </row>
    <row r="200" ht="15.75" customHeight="1">
      <c r="A200" s="202"/>
      <c r="B200" s="202"/>
    </row>
    <row r="201" ht="15.75" customHeight="1">
      <c r="A201" s="202"/>
      <c r="B201" s="202"/>
    </row>
    <row r="202" ht="15.75" customHeight="1">
      <c r="A202" s="202"/>
      <c r="B202" s="202"/>
    </row>
    <row r="203" ht="15.75" customHeight="1">
      <c r="A203" s="202"/>
      <c r="B203" s="202"/>
    </row>
    <row r="204" ht="15.75" customHeight="1">
      <c r="A204" s="202"/>
      <c r="B204" s="202"/>
    </row>
    <row r="205" ht="15.75" customHeight="1">
      <c r="A205" s="202"/>
      <c r="B205" s="202"/>
    </row>
    <row r="206" ht="15.75" customHeight="1">
      <c r="A206" s="202"/>
      <c r="B206" s="202"/>
    </row>
    <row r="207" ht="15.75" customHeight="1">
      <c r="A207" s="202"/>
      <c r="B207" s="202"/>
    </row>
    <row r="208" ht="15.75" customHeight="1">
      <c r="A208" s="202"/>
      <c r="B208" s="202"/>
    </row>
    <row r="209" ht="15.75" customHeight="1">
      <c r="A209" s="202"/>
      <c r="B209" s="202"/>
    </row>
    <row r="210" ht="15.75" customHeight="1">
      <c r="A210" s="202"/>
      <c r="B210" s="202"/>
    </row>
    <row r="211" ht="15.75" customHeight="1">
      <c r="A211" s="202"/>
      <c r="B211" s="202"/>
    </row>
    <row r="212" ht="15.75" customHeight="1">
      <c r="A212" s="202"/>
      <c r="B212" s="202"/>
    </row>
    <row r="213" ht="15.75" customHeight="1">
      <c r="A213" s="202"/>
      <c r="B213" s="202"/>
    </row>
    <row r="214" ht="15.75" customHeight="1">
      <c r="A214" s="202"/>
      <c r="B214" s="202"/>
    </row>
    <row r="215" ht="15.75" customHeight="1">
      <c r="A215" s="202"/>
      <c r="B215" s="202"/>
    </row>
    <row r="216" ht="15.75" customHeight="1">
      <c r="A216" s="202"/>
      <c r="B216" s="202"/>
    </row>
    <row r="217" ht="15.75" customHeight="1">
      <c r="A217" s="202"/>
      <c r="B217" s="202"/>
    </row>
    <row r="218" ht="15.75" customHeight="1">
      <c r="A218" s="202"/>
      <c r="B218" s="202"/>
    </row>
    <row r="219" ht="15.75" customHeight="1">
      <c r="A219" s="202"/>
      <c r="B219" s="202"/>
    </row>
    <row r="220" ht="15.75" customHeight="1">
      <c r="A220" s="202"/>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T1"/>
    <mergeCell ref="C2:T2"/>
    <mergeCell ref="C3:T3"/>
    <mergeCell ref="C5:T5"/>
    <mergeCell ref="C6:T6"/>
    <mergeCell ref="C7:T7"/>
  </mergeCells>
  <dataValidations>
    <dataValidation type="list" allowBlank="1" showErrorMessage="1" sqref="J4">
      <formula1>"0,1,2,3,4,5,=5"</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2.63"/>
    <col customWidth="1" min="2" max="2" width="15.13"/>
    <col customWidth="1" min="3" max="3" width="6.38"/>
    <col customWidth="1" min="4" max="4" width="18.38"/>
    <col customWidth="1" min="5" max="6" width="12.63"/>
  </cols>
  <sheetData>
    <row r="1" ht="15.75" customHeight="1">
      <c r="A1" s="202"/>
      <c r="B1" s="203" t="s">
        <v>419</v>
      </c>
      <c r="C1" s="204" t="s">
        <v>445</v>
      </c>
      <c r="D1" s="200"/>
      <c r="E1" s="200"/>
      <c r="F1" s="200"/>
      <c r="G1" s="200"/>
      <c r="H1" s="200"/>
      <c r="I1" s="200"/>
      <c r="J1" s="200"/>
      <c r="K1" s="200"/>
      <c r="L1" s="200"/>
      <c r="M1" s="200"/>
      <c r="N1" s="200"/>
      <c r="O1" s="200"/>
      <c r="P1" s="200"/>
      <c r="Q1" s="200"/>
      <c r="R1" s="200"/>
      <c r="S1" s="200"/>
      <c r="T1" s="205"/>
    </row>
    <row r="2" ht="15.75" customHeight="1">
      <c r="A2" s="202"/>
      <c r="B2" s="209" t="s">
        <v>446</v>
      </c>
      <c r="C2" s="206" t="s">
        <v>447</v>
      </c>
      <c r="D2" s="200"/>
      <c r="E2" s="200"/>
      <c r="F2" s="200"/>
      <c r="G2" s="200"/>
      <c r="H2" s="200"/>
      <c r="I2" s="200"/>
      <c r="J2" s="200"/>
      <c r="K2" s="200"/>
      <c r="L2" s="200"/>
      <c r="M2" s="200"/>
      <c r="N2" s="200"/>
      <c r="O2" s="200"/>
      <c r="P2" s="200"/>
      <c r="Q2" s="200"/>
      <c r="R2" s="200"/>
      <c r="S2" s="200"/>
      <c r="T2" s="205"/>
    </row>
    <row r="3" ht="15.0" customHeight="1">
      <c r="A3" s="202"/>
      <c r="B3" s="209" t="s">
        <v>432</v>
      </c>
      <c r="C3" s="206" t="s">
        <v>448</v>
      </c>
      <c r="D3" s="200"/>
      <c r="E3" s="200"/>
      <c r="F3" s="200"/>
      <c r="G3" s="200"/>
      <c r="H3" s="200"/>
      <c r="I3" s="200"/>
      <c r="J3" s="200"/>
      <c r="K3" s="200"/>
      <c r="L3" s="200"/>
      <c r="M3" s="200"/>
      <c r="N3" s="200"/>
      <c r="O3" s="200"/>
      <c r="P3" s="200"/>
      <c r="Q3" s="200"/>
      <c r="R3" s="200"/>
      <c r="S3" s="200"/>
      <c r="T3" s="205"/>
    </row>
    <row r="4" ht="15.75" customHeight="1">
      <c r="A4" s="202"/>
      <c r="B4" s="203" t="s">
        <v>300</v>
      </c>
      <c r="C4" s="204" t="s">
        <v>266</v>
      </c>
      <c r="D4" s="207" t="s">
        <v>370</v>
      </c>
      <c r="E4" s="208" t="s">
        <v>332</v>
      </c>
      <c r="F4" s="207"/>
      <c r="G4" s="208" t="s">
        <v>338</v>
      </c>
      <c r="H4" s="207"/>
      <c r="I4" s="208" t="s">
        <v>422</v>
      </c>
      <c r="J4" s="207">
        <v>2.0</v>
      </c>
      <c r="K4" s="204"/>
      <c r="L4" s="204"/>
      <c r="M4" s="204"/>
      <c r="N4" s="204"/>
      <c r="O4" s="204"/>
      <c r="P4" s="204"/>
      <c r="Q4" s="204"/>
      <c r="R4" s="204"/>
      <c r="S4" s="204"/>
      <c r="T4" s="207"/>
    </row>
    <row r="5" ht="15.75" customHeight="1">
      <c r="A5" s="202"/>
      <c r="B5" s="203" t="s">
        <v>424</v>
      </c>
      <c r="C5" s="204" t="s">
        <v>449</v>
      </c>
      <c r="D5" s="200"/>
      <c r="E5" s="200"/>
      <c r="F5" s="200"/>
      <c r="G5" s="200"/>
      <c r="H5" s="200"/>
      <c r="I5" s="200"/>
      <c r="J5" s="200"/>
      <c r="K5" s="200"/>
      <c r="L5" s="200"/>
      <c r="M5" s="200"/>
      <c r="N5" s="200"/>
      <c r="O5" s="200"/>
      <c r="P5" s="200"/>
      <c r="Q5" s="200"/>
      <c r="R5" s="200"/>
      <c r="S5" s="200"/>
      <c r="T5" s="205"/>
    </row>
    <row r="6" ht="15.75" customHeight="1">
      <c r="A6" s="202"/>
      <c r="B6" s="203" t="s">
        <v>426</v>
      </c>
      <c r="C6" s="204" t="s">
        <v>450</v>
      </c>
      <c r="D6" s="200"/>
      <c r="E6" s="200"/>
      <c r="F6" s="200"/>
      <c r="G6" s="200"/>
      <c r="H6" s="200"/>
      <c r="I6" s="200"/>
      <c r="J6" s="200"/>
      <c r="K6" s="200"/>
      <c r="L6" s="200"/>
      <c r="M6" s="200"/>
      <c r="N6" s="200"/>
      <c r="O6" s="200"/>
      <c r="P6" s="200"/>
      <c r="Q6" s="200"/>
      <c r="R6" s="200"/>
      <c r="S6" s="200"/>
      <c r="T6" s="205"/>
    </row>
    <row r="7" ht="15.75" customHeight="1">
      <c r="A7" s="202"/>
      <c r="B7" s="203" t="s">
        <v>428</v>
      </c>
      <c r="C7" s="204" t="s">
        <v>451</v>
      </c>
      <c r="D7" s="200"/>
      <c r="E7" s="200"/>
      <c r="F7" s="200"/>
      <c r="G7" s="200"/>
      <c r="H7" s="200"/>
      <c r="I7" s="200"/>
      <c r="J7" s="200"/>
      <c r="K7" s="200"/>
      <c r="L7" s="200"/>
      <c r="M7" s="200"/>
      <c r="N7" s="200"/>
      <c r="O7" s="200"/>
      <c r="P7" s="200"/>
      <c r="Q7" s="200"/>
      <c r="R7" s="200"/>
      <c r="S7" s="200"/>
      <c r="T7" s="205"/>
    </row>
    <row r="8" ht="15.75" customHeight="1">
      <c r="A8" s="202"/>
    </row>
    <row r="9" ht="15.75" customHeight="1">
      <c r="A9" s="202"/>
      <c r="B9" s="202"/>
    </row>
    <row r="10" ht="15.75" customHeight="1">
      <c r="A10" s="202"/>
      <c r="B10" s="202"/>
    </row>
    <row r="11" ht="15.75" customHeight="1">
      <c r="A11" s="202"/>
      <c r="B11" s="202"/>
    </row>
    <row r="12" ht="15.75" customHeight="1">
      <c r="A12" s="202"/>
      <c r="B12" s="202"/>
    </row>
    <row r="13" ht="15.75" customHeight="1">
      <c r="A13" s="202"/>
      <c r="B13" s="202"/>
    </row>
    <row r="14" ht="15.75" customHeight="1">
      <c r="A14" s="202"/>
      <c r="B14" s="202"/>
    </row>
    <row r="15" ht="15.75" customHeight="1">
      <c r="A15" s="202"/>
      <c r="B15" s="202"/>
    </row>
    <row r="16" ht="15.75" customHeight="1">
      <c r="A16" s="202"/>
      <c r="B16" s="202"/>
    </row>
    <row r="17" ht="15.75" customHeight="1">
      <c r="A17" s="202"/>
      <c r="B17" s="202"/>
    </row>
    <row r="18" ht="15.75" customHeight="1">
      <c r="A18" s="202"/>
      <c r="B18" s="202"/>
    </row>
    <row r="19" ht="15.75" customHeight="1">
      <c r="A19" s="202"/>
      <c r="B19" s="202"/>
    </row>
    <row r="20" ht="15.75" customHeight="1">
      <c r="A20" s="202"/>
      <c r="B20" s="202"/>
    </row>
    <row r="21" ht="15.75" customHeight="1">
      <c r="A21" s="202"/>
      <c r="B21" s="202"/>
    </row>
    <row r="22" ht="15.75" customHeight="1">
      <c r="A22" s="202"/>
      <c r="B22" s="202"/>
    </row>
    <row r="23" ht="15.75" customHeight="1">
      <c r="A23" s="202"/>
      <c r="B23" s="202"/>
    </row>
    <row r="24" ht="15.75" customHeight="1">
      <c r="A24" s="202"/>
      <c r="B24" s="202"/>
    </row>
    <row r="25" ht="15.75" customHeight="1">
      <c r="A25" s="202"/>
      <c r="B25" s="202"/>
    </row>
    <row r="26" ht="15.75" customHeight="1">
      <c r="A26" s="202"/>
      <c r="B26" s="202"/>
    </row>
    <row r="27" ht="15.75" customHeight="1">
      <c r="A27" s="202"/>
      <c r="B27" s="202"/>
    </row>
    <row r="28" ht="15.75" customHeight="1">
      <c r="A28" s="202"/>
      <c r="B28" s="202"/>
    </row>
    <row r="29" ht="15.75" customHeight="1">
      <c r="A29" s="202"/>
      <c r="B29" s="202"/>
    </row>
    <row r="30" ht="15.75" customHeight="1">
      <c r="A30" s="202"/>
      <c r="B30" s="202"/>
    </row>
    <row r="31" ht="15.75" customHeight="1">
      <c r="A31" s="202"/>
      <c r="B31" s="202"/>
    </row>
    <row r="32" ht="15.75" customHeight="1">
      <c r="A32" s="202"/>
      <c r="B32" s="202"/>
    </row>
    <row r="33" ht="15.75" customHeight="1">
      <c r="A33" s="202"/>
      <c r="B33" s="202"/>
    </row>
    <row r="34" ht="15.75" customHeight="1">
      <c r="A34" s="202"/>
      <c r="B34" s="202"/>
    </row>
    <row r="35" ht="15.75" customHeight="1">
      <c r="A35" s="202"/>
      <c r="B35" s="202"/>
    </row>
    <row r="36" ht="15.75" customHeight="1">
      <c r="A36" s="202"/>
      <c r="B36" s="202"/>
    </row>
    <row r="37" ht="15.75" customHeight="1">
      <c r="A37" s="202"/>
      <c r="B37" s="202"/>
    </row>
    <row r="38" ht="15.75" customHeight="1">
      <c r="A38" s="202"/>
      <c r="B38" s="202"/>
    </row>
    <row r="39" ht="15.75" customHeight="1">
      <c r="A39" s="202"/>
      <c r="B39" s="202"/>
    </row>
    <row r="40" ht="15.75" customHeight="1">
      <c r="A40" s="202"/>
      <c r="B40" s="202"/>
    </row>
    <row r="41" ht="15.75" customHeight="1">
      <c r="A41" s="202"/>
      <c r="B41" s="202"/>
    </row>
    <row r="42" ht="15.75" customHeight="1">
      <c r="A42" s="202"/>
      <c r="B42" s="202"/>
    </row>
    <row r="43" ht="15.75" customHeight="1">
      <c r="A43" s="202"/>
      <c r="B43" s="202"/>
    </row>
    <row r="44" ht="15.75" customHeight="1">
      <c r="A44" s="202"/>
      <c r="B44" s="202"/>
    </row>
    <row r="45" ht="15.75" customHeight="1">
      <c r="A45" s="202"/>
      <c r="B45" s="202"/>
    </row>
    <row r="46" ht="15.75" customHeight="1">
      <c r="A46" s="202"/>
      <c r="B46" s="202"/>
    </row>
    <row r="47" ht="15.75" customHeight="1">
      <c r="A47" s="202"/>
      <c r="B47" s="202"/>
    </row>
    <row r="48" ht="15.75" customHeight="1">
      <c r="A48" s="202"/>
      <c r="B48" s="202"/>
    </row>
    <row r="49" ht="15.75" customHeight="1">
      <c r="A49" s="202"/>
      <c r="B49" s="202"/>
    </row>
    <row r="50" ht="15.75" customHeight="1">
      <c r="A50" s="202"/>
      <c r="B50" s="202"/>
    </row>
    <row r="51" ht="15.75" customHeight="1">
      <c r="A51" s="202"/>
      <c r="B51" s="202"/>
    </row>
    <row r="52" ht="15.75" customHeight="1">
      <c r="A52" s="202"/>
      <c r="B52" s="202"/>
    </row>
    <row r="53" ht="15.75" customHeight="1">
      <c r="A53" s="202"/>
      <c r="B53" s="202"/>
    </row>
    <row r="54" ht="15.75" customHeight="1">
      <c r="A54" s="202"/>
      <c r="B54" s="202"/>
    </row>
    <row r="55" ht="15.75" customHeight="1">
      <c r="A55" s="202"/>
      <c r="B55" s="202"/>
    </row>
    <row r="56" ht="15.75" customHeight="1">
      <c r="A56" s="202"/>
      <c r="B56" s="202"/>
    </row>
    <row r="57" ht="15.75" customHeight="1">
      <c r="A57" s="202"/>
      <c r="B57" s="202"/>
    </row>
    <row r="58" ht="15.75" customHeight="1">
      <c r="A58" s="202"/>
      <c r="B58" s="202"/>
    </row>
    <row r="59" ht="15.75" customHeight="1">
      <c r="A59" s="202"/>
      <c r="B59" s="202"/>
    </row>
    <row r="60" ht="15.75" customHeight="1">
      <c r="A60" s="202"/>
      <c r="B60" s="202"/>
    </row>
    <row r="61" ht="15.75" customHeight="1">
      <c r="A61" s="202"/>
      <c r="B61" s="202"/>
    </row>
    <row r="62" ht="15.75" customHeight="1">
      <c r="A62" s="202"/>
      <c r="B62" s="202"/>
    </row>
    <row r="63" ht="15.75" customHeight="1">
      <c r="A63" s="202"/>
      <c r="B63" s="202"/>
    </row>
    <row r="64" ht="15.75" customHeight="1">
      <c r="A64" s="202"/>
      <c r="B64" s="202"/>
    </row>
    <row r="65" ht="15.75" customHeight="1">
      <c r="A65" s="202"/>
      <c r="B65" s="202"/>
    </row>
    <row r="66" ht="15.75" customHeight="1">
      <c r="A66" s="202"/>
      <c r="B66" s="202"/>
    </row>
    <row r="67" ht="15.75" customHeight="1">
      <c r="A67" s="202"/>
      <c r="B67" s="202"/>
    </row>
    <row r="68" ht="15.75" customHeight="1">
      <c r="A68" s="202"/>
      <c r="B68" s="202"/>
    </row>
    <row r="69" ht="15.75" customHeight="1">
      <c r="A69" s="202"/>
      <c r="B69" s="202"/>
    </row>
    <row r="70" ht="15.75" customHeight="1">
      <c r="A70" s="202"/>
      <c r="B70" s="202"/>
    </row>
    <row r="71" ht="15.75" customHeight="1">
      <c r="A71" s="202"/>
      <c r="B71" s="202"/>
    </row>
    <row r="72" ht="15.75" customHeight="1">
      <c r="A72" s="202"/>
      <c r="B72" s="202"/>
    </row>
    <row r="73" ht="15.75" customHeight="1">
      <c r="A73" s="202"/>
      <c r="B73" s="202"/>
    </row>
    <row r="74" ht="15.75" customHeight="1">
      <c r="A74" s="202"/>
      <c r="B74" s="202"/>
    </row>
    <row r="75" ht="15.75" customHeight="1">
      <c r="A75" s="202"/>
      <c r="B75" s="202"/>
    </row>
    <row r="76" ht="15.75" customHeight="1">
      <c r="A76" s="202"/>
      <c r="B76" s="202"/>
    </row>
    <row r="77" ht="15.75" customHeight="1">
      <c r="A77" s="202"/>
      <c r="B77" s="202"/>
    </row>
    <row r="78" ht="15.75" customHeight="1">
      <c r="A78" s="202"/>
      <c r="B78" s="202"/>
    </row>
    <row r="79" ht="15.75" customHeight="1">
      <c r="A79" s="202"/>
      <c r="B79" s="202"/>
    </row>
    <row r="80" ht="15.75" customHeight="1">
      <c r="A80" s="202"/>
      <c r="B80" s="202"/>
    </row>
    <row r="81" ht="15.75" customHeight="1">
      <c r="A81" s="202"/>
      <c r="B81" s="202"/>
    </row>
    <row r="82" ht="15.75" customHeight="1">
      <c r="A82" s="202"/>
      <c r="B82" s="202"/>
    </row>
    <row r="83" ht="15.75" customHeight="1">
      <c r="A83" s="202"/>
      <c r="B83" s="202"/>
    </row>
    <row r="84" ht="15.75" customHeight="1">
      <c r="A84" s="202"/>
      <c r="B84" s="202"/>
    </row>
    <row r="85" ht="15.75" customHeight="1">
      <c r="A85" s="202"/>
      <c r="B85" s="202"/>
    </row>
    <row r="86" ht="15.75" customHeight="1">
      <c r="A86" s="202"/>
      <c r="B86" s="202"/>
    </row>
    <row r="87" ht="15.75" customHeight="1">
      <c r="A87" s="202"/>
      <c r="B87" s="202"/>
    </row>
    <row r="88" ht="15.75" customHeight="1">
      <c r="A88" s="202"/>
      <c r="B88" s="202"/>
    </row>
    <row r="89" ht="15.75" customHeight="1">
      <c r="A89" s="202"/>
      <c r="B89" s="202"/>
    </row>
    <row r="90" ht="15.75" customHeight="1">
      <c r="A90" s="202"/>
      <c r="B90" s="202"/>
    </row>
    <row r="91" ht="15.75" customHeight="1">
      <c r="A91" s="202"/>
      <c r="B91" s="202"/>
    </row>
    <row r="92" ht="15.75" customHeight="1">
      <c r="A92" s="202"/>
      <c r="B92" s="202"/>
    </row>
    <row r="93" ht="15.75" customHeight="1">
      <c r="A93" s="202"/>
      <c r="B93" s="202"/>
    </row>
    <row r="94" ht="15.75" customHeight="1">
      <c r="A94" s="202"/>
      <c r="B94" s="202"/>
    </row>
    <row r="95" ht="15.75" customHeight="1">
      <c r="A95" s="202"/>
      <c r="B95" s="202"/>
    </row>
    <row r="96" ht="15.75" customHeight="1">
      <c r="A96" s="202"/>
      <c r="B96" s="202"/>
    </row>
    <row r="97" ht="15.75" customHeight="1">
      <c r="A97" s="202"/>
      <c r="B97" s="202"/>
    </row>
    <row r="98" ht="15.75" customHeight="1">
      <c r="A98" s="202"/>
      <c r="B98" s="202"/>
    </row>
    <row r="99" ht="15.75" customHeight="1">
      <c r="A99" s="202"/>
      <c r="B99" s="202"/>
    </row>
    <row r="100" ht="15.75" customHeight="1">
      <c r="A100" s="202"/>
      <c r="B100" s="202"/>
    </row>
    <row r="101" ht="15.75" customHeight="1">
      <c r="A101" s="202"/>
      <c r="B101" s="202"/>
    </row>
    <row r="102" ht="15.75" customHeight="1">
      <c r="A102" s="202"/>
      <c r="B102" s="202"/>
    </row>
    <row r="103" ht="15.75" customHeight="1">
      <c r="A103" s="202"/>
      <c r="B103" s="202"/>
    </row>
    <row r="104" ht="15.75" customHeight="1">
      <c r="A104" s="202"/>
      <c r="B104" s="202"/>
    </row>
    <row r="105" ht="15.75" customHeight="1">
      <c r="A105" s="202"/>
      <c r="B105" s="202"/>
    </row>
    <row r="106" ht="15.75" customHeight="1">
      <c r="A106" s="202"/>
      <c r="B106" s="202"/>
    </row>
    <row r="107" ht="15.75" customHeight="1">
      <c r="A107" s="202"/>
      <c r="B107" s="202"/>
    </row>
    <row r="108" ht="15.75" customHeight="1">
      <c r="A108" s="202"/>
      <c r="B108" s="202"/>
    </row>
    <row r="109" ht="15.75" customHeight="1">
      <c r="A109" s="202"/>
      <c r="B109" s="202"/>
    </row>
    <row r="110" ht="15.75" customHeight="1">
      <c r="A110" s="202"/>
      <c r="B110" s="202"/>
    </row>
    <row r="111" ht="15.75" customHeight="1">
      <c r="A111" s="202"/>
      <c r="B111" s="202"/>
    </row>
    <row r="112" ht="15.75" customHeight="1">
      <c r="A112" s="202"/>
      <c r="B112" s="202"/>
    </row>
    <row r="113" ht="15.75" customHeight="1">
      <c r="A113" s="202"/>
      <c r="B113" s="202"/>
    </row>
    <row r="114" ht="15.75" customHeight="1">
      <c r="A114" s="202"/>
      <c r="B114" s="202"/>
    </row>
    <row r="115" ht="15.75" customHeight="1">
      <c r="A115" s="202"/>
      <c r="B115" s="202"/>
    </row>
    <row r="116" ht="15.75" customHeight="1">
      <c r="A116" s="202"/>
      <c r="B116" s="202"/>
    </row>
    <row r="117" ht="15.75" customHeight="1">
      <c r="A117" s="202"/>
      <c r="B117" s="202"/>
    </row>
    <row r="118" ht="15.75" customHeight="1">
      <c r="A118" s="202"/>
      <c r="B118" s="202"/>
    </row>
    <row r="119" ht="15.75" customHeight="1">
      <c r="A119" s="202"/>
      <c r="B119" s="202"/>
    </row>
    <row r="120" ht="15.75" customHeight="1">
      <c r="A120" s="202"/>
      <c r="B120" s="202"/>
    </row>
    <row r="121" ht="15.75" customHeight="1">
      <c r="A121" s="202"/>
      <c r="B121" s="202"/>
    </row>
    <row r="122" ht="15.75" customHeight="1">
      <c r="A122" s="202"/>
      <c r="B122" s="202"/>
    </row>
    <row r="123" ht="15.75" customHeight="1">
      <c r="A123" s="202"/>
      <c r="B123" s="202"/>
    </row>
    <row r="124" ht="15.75" customHeight="1">
      <c r="A124" s="202"/>
      <c r="B124" s="202"/>
    </row>
    <row r="125" ht="15.75" customHeight="1">
      <c r="A125" s="202"/>
      <c r="B125" s="202"/>
    </row>
    <row r="126" ht="15.75" customHeight="1">
      <c r="A126" s="202"/>
      <c r="B126" s="202"/>
    </row>
    <row r="127" ht="15.75" customHeight="1">
      <c r="A127" s="202"/>
      <c r="B127" s="202"/>
    </row>
    <row r="128" ht="15.75" customHeight="1">
      <c r="A128" s="202"/>
      <c r="B128" s="202"/>
    </row>
    <row r="129" ht="15.75" customHeight="1">
      <c r="A129" s="202"/>
      <c r="B129" s="202"/>
    </row>
    <row r="130" ht="15.75" customHeight="1">
      <c r="A130" s="202"/>
      <c r="B130" s="202"/>
    </row>
    <row r="131" ht="15.75" customHeight="1">
      <c r="A131" s="202"/>
      <c r="B131" s="202"/>
    </row>
    <row r="132" ht="15.75" customHeight="1">
      <c r="A132" s="202"/>
      <c r="B132" s="202"/>
    </row>
    <row r="133" ht="15.75" customHeight="1">
      <c r="A133" s="202"/>
      <c r="B133" s="202"/>
    </row>
    <row r="134" ht="15.75" customHeight="1">
      <c r="A134" s="202"/>
      <c r="B134" s="202"/>
    </row>
    <row r="135" ht="15.75" customHeight="1">
      <c r="A135" s="202"/>
      <c r="B135" s="202"/>
    </row>
    <row r="136" ht="15.75" customHeight="1">
      <c r="A136" s="202"/>
      <c r="B136" s="202"/>
    </row>
    <row r="137" ht="15.75" customHeight="1">
      <c r="A137" s="202"/>
      <c r="B137" s="202"/>
    </row>
    <row r="138" ht="15.75" customHeight="1">
      <c r="A138" s="202"/>
      <c r="B138" s="202"/>
    </row>
    <row r="139" ht="15.75" customHeight="1">
      <c r="A139" s="202"/>
      <c r="B139" s="202"/>
    </row>
    <row r="140" ht="15.75" customHeight="1">
      <c r="A140" s="202"/>
      <c r="B140" s="202"/>
    </row>
    <row r="141" ht="15.75" customHeight="1">
      <c r="A141" s="202"/>
      <c r="B141" s="202"/>
    </row>
    <row r="142" ht="15.75" customHeight="1">
      <c r="A142" s="202"/>
      <c r="B142" s="202"/>
    </row>
    <row r="143" ht="15.75" customHeight="1">
      <c r="A143" s="202"/>
      <c r="B143" s="202"/>
    </row>
    <row r="144" ht="15.75" customHeight="1">
      <c r="A144" s="202"/>
      <c r="B144" s="202"/>
    </row>
    <row r="145" ht="15.75" customHeight="1">
      <c r="A145" s="202"/>
      <c r="B145" s="202"/>
    </row>
    <row r="146" ht="15.75" customHeight="1">
      <c r="A146" s="202"/>
      <c r="B146" s="202"/>
    </row>
    <row r="147" ht="15.75" customHeight="1">
      <c r="A147" s="202"/>
      <c r="B147" s="202"/>
    </row>
    <row r="148" ht="15.75" customHeight="1">
      <c r="A148" s="202"/>
      <c r="B148" s="202"/>
    </row>
    <row r="149" ht="15.75" customHeight="1">
      <c r="A149" s="202"/>
      <c r="B149" s="202"/>
    </row>
    <row r="150" ht="15.75" customHeight="1">
      <c r="A150" s="202"/>
      <c r="B150" s="202"/>
    </row>
    <row r="151" ht="15.75" customHeight="1">
      <c r="A151" s="202"/>
      <c r="B151" s="202"/>
    </row>
    <row r="152" ht="15.75" customHeight="1">
      <c r="A152" s="202"/>
      <c r="B152" s="202"/>
    </row>
    <row r="153" ht="15.75" customHeight="1">
      <c r="A153" s="202"/>
      <c r="B153" s="202"/>
    </row>
    <row r="154" ht="15.75" customHeight="1">
      <c r="A154" s="202"/>
      <c r="B154" s="202"/>
    </row>
    <row r="155" ht="15.75" customHeight="1">
      <c r="A155" s="202"/>
      <c r="B155" s="202"/>
    </row>
    <row r="156" ht="15.75" customHeight="1">
      <c r="A156" s="202"/>
      <c r="B156" s="202"/>
    </row>
    <row r="157" ht="15.75" customHeight="1">
      <c r="A157" s="202"/>
      <c r="B157" s="202"/>
    </row>
    <row r="158" ht="15.75" customHeight="1">
      <c r="A158" s="202"/>
      <c r="B158" s="202"/>
    </row>
    <row r="159" ht="15.75" customHeight="1">
      <c r="A159" s="202"/>
      <c r="B159" s="202"/>
    </row>
    <row r="160" ht="15.75" customHeight="1">
      <c r="A160" s="202"/>
      <c r="B160" s="202"/>
    </row>
    <row r="161" ht="15.75" customHeight="1">
      <c r="A161" s="202"/>
      <c r="B161" s="202"/>
    </row>
    <row r="162" ht="15.75" customHeight="1">
      <c r="A162" s="202"/>
      <c r="B162" s="202"/>
    </row>
    <row r="163" ht="15.75" customHeight="1">
      <c r="A163" s="202"/>
      <c r="B163" s="202"/>
    </row>
    <row r="164" ht="15.75" customHeight="1">
      <c r="A164" s="202"/>
      <c r="B164" s="202"/>
    </row>
    <row r="165" ht="15.75" customHeight="1">
      <c r="A165" s="202"/>
      <c r="B165" s="202"/>
    </row>
    <row r="166" ht="15.75" customHeight="1">
      <c r="A166" s="202"/>
      <c r="B166" s="202"/>
    </row>
    <row r="167" ht="15.75" customHeight="1">
      <c r="A167" s="202"/>
      <c r="B167" s="202"/>
    </row>
    <row r="168" ht="15.75" customHeight="1">
      <c r="A168" s="202"/>
      <c r="B168" s="202"/>
    </row>
    <row r="169" ht="15.75" customHeight="1">
      <c r="A169" s="202"/>
      <c r="B169" s="202"/>
    </row>
    <row r="170" ht="15.75" customHeight="1">
      <c r="A170" s="202"/>
      <c r="B170" s="202"/>
    </row>
    <row r="171" ht="15.75" customHeight="1">
      <c r="A171" s="202"/>
      <c r="B171" s="202"/>
    </row>
    <row r="172" ht="15.75" customHeight="1">
      <c r="A172" s="202"/>
      <c r="B172" s="202"/>
    </row>
    <row r="173" ht="15.75" customHeight="1">
      <c r="A173" s="202"/>
      <c r="B173" s="202"/>
    </row>
    <row r="174" ht="15.75" customHeight="1">
      <c r="A174" s="202"/>
      <c r="B174" s="202"/>
    </row>
    <row r="175" ht="15.75" customHeight="1">
      <c r="A175" s="202"/>
      <c r="B175" s="202"/>
    </row>
    <row r="176" ht="15.75" customHeight="1">
      <c r="A176" s="202"/>
      <c r="B176" s="202"/>
    </row>
    <row r="177" ht="15.75" customHeight="1">
      <c r="A177" s="202"/>
      <c r="B177" s="202"/>
    </row>
    <row r="178" ht="15.75" customHeight="1">
      <c r="A178" s="202"/>
      <c r="B178" s="202"/>
    </row>
    <row r="179" ht="15.75" customHeight="1">
      <c r="A179" s="202"/>
      <c r="B179" s="202"/>
    </row>
    <row r="180" ht="15.75" customHeight="1">
      <c r="A180" s="202"/>
      <c r="B180" s="202"/>
    </row>
    <row r="181" ht="15.75" customHeight="1">
      <c r="A181" s="202"/>
      <c r="B181" s="202"/>
    </row>
    <row r="182" ht="15.75" customHeight="1">
      <c r="A182" s="202"/>
      <c r="B182" s="202"/>
    </row>
    <row r="183" ht="15.75" customHeight="1">
      <c r="A183" s="202"/>
      <c r="B183" s="202"/>
    </row>
    <row r="184" ht="15.75" customHeight="1">
      <c r="A184" s="202"/>
      <c r="B184" s="202"/>
    </row>
    <row r="185" ht="15.75" customHeight="1">
      <c r="A185" s="202"/>
      <c r="B185" s="202"/>
    </row>
    <row r="186" ht="15.75" customHeight="1">
      <c r="A186" s="202"/>
      <c r="B186" s="202"/>
    </row>
    <row r="187" ht="15.75" customHeight="1">
      <c r="A187" s="202"/>
      <c r="B187" s="202"/>
    </row>
    <row r="188" ht="15.75" customHeight="1">
      <c r="A188" s="202"/>
      <c r="B188" s="202"/>
    </row>
    <row r="189" ht="15.75" customHeight="1">
      <c r="A189" s="202"/>
      <c r="B189" s="202"/>
    </row>
    <row r="190" ht="15.75" customHeight="1">
      <c r="A190" s="202"/>
      <c r="B190" s="202"/>
    </row>
    <row r="191" ht="15.75" customHeight="1">
      <c r="A191" s="202"/>
      <c r="B191" s="202"/>
    </row>
    <row r="192" ht="15.75" customHeight="1">
      <c r="A192" s="202"/>
      <c r="B192" s="202"/>
    </row>
    <row r="193" ht="15.75" customHeight="1">
      <c r="A193" s="202"/>
      <c r="B193" s="202"/>
    </row>
    <row r="194" ht="15.75" customHeight="1">
      <c r="A194" s="202"/>
      <c r="B194" s="202"/>
    </row>
    <row r="195" ht="15.75" customHeight="1">
      <c r="A195" s="202"/>
      <c r="B195" s="202"/>
    </row>
    <row r="196" ht="15.75" customHeight="1">
      <c r="A196" s="202"/>
      <c r="B196" s="202"/>
    </row>
    <row r="197" ht="15.75" customHeight="1">
      <c r="A197" s="202"/>
      <c r="B197" s="202"/>
    </row>
    <row r="198" ht="15.75" customHeight="1">
      <c r="A198" s="202"/>
      <c r="B198" s="202"/>
    </row>
    <row r="199" ht="15.75" customHeight="1">
      <c r="A199" s="202"/>
      <c r="B199" s="202"/>
    </row>
    <row r="200" ht="15.75" customHeight="1">
      <c r="A200" s="202"/>
      <c r="B200" s="202"/>
    </row>
    <row r="201" ht="15.75" customHeight="1">
      <c r="A201" s="202"/>
      <c r="B201" s="202"/>
    </row>
    <row r="202" ht="15.75" customHeight="1">
      <c r="A202" s="202"/>
      <c r="B202" s="202"/>
    </row>
    <row r="203" ht="15.75" customHeight="1">
      <c r="A203" s="202"/>
      <c r="B203" s="202"/>
    </row>
    <row r="204" ht="15.75" customHeight="1">
      <c r="A204" s="202"/>
      <c r="B204" s="202"/>
    </row>
    <row r="205" ht="15.75" customHeight="1">
      <c r="A205" s="202"/>
      <c r="B205" s="202"/>
    </row>
    <row r="206" ht="15.75" customHeight="1">
      <c r="A206" s="202"/>
      <c r="B206" s="202"/>
    </row>
    <row r="207" ht="15.75" customHeight="1">
      <c r="A207" s="202"/>
      <c r="B207" s="202"/>
    </row>
    <row r="208" ht="15.75" customHeight="1">
      <c r="A208" s="202"/>
      <c r="B208" s="202"/>
    </row>
    <row r="209" ht="15.75" customHeight="1">
      <c r="A209" s="202"/>
      <c r="B209" s="202"/>
    </row>
    <row r="210" ht="15.75" customHeight="1">
      <c r="A210" s="202"/>
      <c r="B210" s="202"/>
    </row>
    <row r="211" ht="15.75" customHeight="1">
      <c r="A211" s="202"/>
      <c r="B211" s="202"/>
    </row>
    <row r="212" ht="15.75" customHeight="1">
      <c r="A212" s="202"/>
      <c r="B212" s="202"/>
    </row>
    <row r="213" ht="15.75" customHeight="1">
      <c r="A213" s="202"/>
      <c r="B213" s="202"/>
    </row>
    <row r="214" ht="15.75" customHeight="1">
      <c r="A214" s="202"/>
      <c r="B214" s="202"/>
    </row>
    <row r="215" ht="15.75" customHeight="1">
      <c r="A215" s="202"/>
      <c r="B215" s="202"/>
    </row>
    <row r="216" ht="15.75" customHeight="1">
      <c r="A216" s="202"/>
      <c r="B216" s="202"/>
    </row>
    <row r="217" ht="15.75" customHeight="1">
      <c r="A217" s="202"/>
      <c r="B217" s="202"/>
    </row>
    <row r="218" ht="15.75" customHeight="1">
      <c r="A218" s="202"/>
      <c r="B218" s="202"/>
    </row>
    <row r="219" ht="15.75" customHeight="1">
      <c r="A219" s="202"/>
      <c r="B219" s="202"/>
    </row>
    <row r="220" ht="15.75" customHeight="1">
      <c r="A220" s="202"/>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T1"/>
    <mergeCell ref="C2:T2"/>
    <mergeCell ref="C3:T3"/>
    <mergeCell ref="C5:T5"/>
    <mergeCell ref="C6:T6"/>
    <mergeCell ref="C7:T7"/>
  </mergeCells>
  <dataValidations>
    <dataValidation type="list" allowBlank="1" showErrorMessage="1" sqref="J4">
      <formula1>"0,1,2,3,4,5,=5"</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3" width="20.63"/>
    <col customWidth="1" min="4" max="4" width="15.75"/>
    <col customWidth="1" min="5" max="7" width="24.5"/>
    <col customWidth="1" min="8" max="8" width="16.25"/>
    <col customWidth="1" min="10" max="10" width="3.13"/>
    <col customWidth="1" min="11" max="11" width="14.25"/>
    <col customWidth="1" min="12" max="12" width="20.63"/>
    <col customWidth="1" min="14" max="14" width="15.75"/>
    <col customWidth="1" min="15" max="15" width="20.88"/>
    <col customWidth="1" min="16" max="16" width="24.5"/>
    <col customWidth="1" min="17" max="17" width="16.25"/>
    <col customWidth="1" min="18" max="18" width="17.13"/>
  </cols>
  <sheetData>
    <row r="1" ht="15.75" customHeight="1">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row>
    <row r="2" ht="15.75" customHeight="1">
      <c r="A2" s="43"/>
      <c r="B2" s="210" t="s">
        <v>452</v>
      </c>
      <c r="J2" s="43"/>
      <c r="S2" s="43"/>
    </row>
    <row r="3" ht="15.75" customHeight="1">
      <c r="A3" s="43"/>
      <c r="B3" s="14" t="s">
        <v>453</v>
      </c>
      <c r="J3" s="43"/>
      <c r="K3" s="14" t="s">
        <v>454</v>
      </c>
      <c r="S3" s="43"/>
    </row>
    <row r="4" ht="15.75" customHeight="1">
      <c r="A4" s="43"/>
      <c r="B4" s="211" t="s">
        <v>455</v>
      </c>
      <c r="C4" s="212" t="s">
        <v>456</v>
      </c>
      <c r="D4" s="212" t="s">
        <v>457</v>
      </c>
      <c r="E4" s="212" t="s">
        <v>458</v>
      </c>
      <c r="F4" s="212" t="s">
        <v>7</v>
      </c>
      <c r="G4" s="204" t="s">
        <v>459</v>
      </c>
      <c r="H4" s="204" t="s">
        <v>460</v>
      </c>
      <c r="I4" s="207" t="s">
        <v>461</v>
      </c>
      <c r="J4" s="43"/>
      <c r="K4" s="211" t="s">
        <v>455</v>
      </c>
      <c r="L4" s="212" t="s">
        <v>456</v>
      </c>
      <c r="M4" s="212" t="s">
        <v>457</v>
      </c>
      <c r="N4" s="212" t="s">
        <v>458</v>
      </c>
      <c r="O4" s="212" t="s">
        <v>7</v>
      </c>
      <c r="P4" s="204" t="s">
        <v>459</v>
      </c>
      <c r="Q4" s="204" t="s">
        <v>460</v>
      </c>
      <c r="R4" s="207" t="s">
        <v>461</v>
      </c>
      <c r="S4" s="43"/>
    </row>
    <row r="5" ht="15.75" customHeight="1">
      <c r="A5" s="43"/>
      <c r="B5" s="213" t="s">
        <v>78</v>
      </c>
      <c r="C5" s="214" t="s">
        <v>462</v>
      </c>
      <c r="D5" s="14" t="s">
        <v>266</v>
      </c>
      <c r="E5" s="14" t="s">
        <v>266</v>
      </c>
      <c r="F5" s="214" t="s">
        <v>266</v>
      </c>
      <c r="G5" s="214" t="s">
        <v>266</v>
      </c>
      <c r="H5" s="14" t="s">
        <v>370</v>
      </c>
      <c r="I5" s="215" t="s">
        <v>266</v>
      </c>
      <c r="J5" s="43"/>
      <c r="K5" s="213" t="s">
        <v>78</v>
      </c>
      <c r="L5" s="214" t="s">
        <v>462</v>
      </c>
      <c r="M5" s="14" t="s">
        <v>266</v>
      </c>
      <c r="N5" s="14" t="s">
        <v>266</v>
      </c>
      <c r="O5" s="214" t="s">
        <v>266</v>
      </c>
      <c r="P5" s="214" t="s">
        <v>463</v>
      </c>
      <c r="Q5" s="14" t="s">
        <v>370</v>
      </c>
      <c r="R5" s="215" t="s">
        <v>266</v>
      </c>
      <c r="S5" s="43"/>
    </row>
    <row r="6" ht="15.75" customHeight="1">
      <c r="A6" s="43"/>
      <c r="B6" s="213" t="s">
        <v>464</v>
      </c>
      <c r="C6" s="14" t="s">
        <v>266</v>
      </c>
      <c r="D6" s="14" t="s">
        <v>266</v>
      </c>
      <c r="E6" s="14" t="s">
        <v>266</v>
      </c>
      <c r="F6" s="214" t="s">
        <v>266</v>
      </c>
      <c r="G6" s="214" t="s">
        <v>266</v>
      </c>
      <c r="H6" s="14" t="s">
        <v>370</v>
      </c>
      <c r="I6" s="215" t="s">
        <v>266</v>
      </c>
      <c r="J6" s="43"/>
      <c r="K6" s="213" t="s">
        <v>464</v>
      </c>
      <c r="L6" s="14" t="s">
        <v>266</v>
      </c>
      <c r="M6" s="14" t="s">
        <v>266</v>
      </c>
      <c r="N6" s="14" t="s">
        <v>266</v>
      </c>
      <c r="O6" s="214" t="s">
        <v>266</v>
      </c>
      <c r="P6" s="214" t="s">
        <v>463</v>
      </c>
      <c r="Q6" s="14" t="s">
        <v>370</v>
      </c>
      <c r="R6" s="215" t="s">
        <v>266</v>
      </c>
      <c r="S6" s="43"/>
    </row>
    <row r="7" ht="15.75" customHeight="1">
      <c r="A7" s="43"/>
      <c r="B7" s="213" t="s">
        <v>465</v>
      </c>
      <c r="C7" s="14" t="s">
        <v>266</v>
      </c>
      <c r="D7" s="14" t="s">
        <v>266</v>
      </c>
      <c r="E7" s="214" t="s">
        <v>266</v>
      </c>
      <c r="F7" s="214" t="s">
        <v>266</v>
      </c>
      <c r="G7" s="214" t="s">
        <v>266</v>
      </c>
      <c r="H7" s="14" t="s">
        <v>370</v>
      </c>
      <c r="I7" s="215" t="s">
        <v>266</v>
      </c>
      <c r="J7" s="43"/>
      <c r="K7" s="213" t="s">
        <v>465</v>
      </c>
      <c r="L7" s="14" t="s">
        <v>266</v>
      </c>
      <c r="M7" s="14" t="s">
        <v>266</v>
      </c>
      <c r="N7" s="214" t="s">
        <v>266</v>
      </c>
      <c r="O7" s="214" t="s">
        <v>266</v>
      </c>
      <c r="P7" s="214" t="s">
        <v>463</v>
      </c>
      <c r="Q7" s="14" t="s">
        <v>370</v>
      </c>
      <c r="R7" s="215" t="s">
        <v>266</v>
      </c>
      <c r="S7" s="43"/>
    </row>
    <row r="8" ht="15.75" customHeight="1">
      <c r="A8" s="43"/>
      <c r="B8" s="216" t="s">
        <v>466</v>
      </c>
      <c r="C8" s="214" t="s">
        <v>266</v>
      </c>
      <c r="D8" s="14" t="s">
        <v>266</v>
      </c>
      <c r="E8" s="214" t="s">
        <v>266</v>
      </c>
      <c r="F8" s="14" t="s">
        <v>266</v>
      </c>
      <c r="G8" s="14" t="s">
        <v>266</v>
      </c>
      <c r="H8" s="14" t="s">
        <v>370</v>
      </c>
      <c r="I8" s="215" t="s">
        <v>266</v>
      </c>
      <c r="J8" s="43"/>
      <c r="K8" s="216" t="s">
        <v>466</v>
      </c>
      <c r="L8" s="214" t="s">
        <v>266</v>
      </c>
      <c r="M8" s="14" t="s">
        <v>266</v>
      </c>
      <c r="N8" s="214" t="s">
        <v>266</v>
      </c>
      <c r="O8" s="14" t="s">
        <v>266</v>
      </c>
      <c r="P8" s="14" t="s">
        <v>266</v>
      </c>
      <c r="Q8" s="14" t="s">
        <v>370</v>
      </c>
      <c r="R8" s="215" t="s">
        <v>266</v>
      </c>
      <c r="S8" s="43"/>
    </row>
    <row r="9" ht="15.75" customHeight="1">
      <c r="A9" s="43"/>
      <c r="B9" s="213" t="s">
        <v>76</v>
      </c>
      <c r="C9" s="14" t="s">
        <v>266</v>
      </c>
      <c r="D9" s="14" t="s">
        <v>266</v>
      </c>
      <c r="E9" s="14" t="s">
        <v>266</v>
      </c>
      <c r="F9" s="214" t="s">
        <v>467</v>
      </c>
      <c r="G9" s="214" t="s">
        <v>266</v>
      </c>
      <c r="H9" s="14" t="s">
        <v>370</v>
      </c>
      <c r="I9" s="215" t="s">
        <v>468</v>
      </c>
      <c r="J9" s="43"/>
      <c r="K9" s="213" t="s">
        <v>468</v>
      </c>
      <c r="L9" s="14" t="s">
        <v>266</v>
      </c>
      <c r="M9" s="14" t="s">
        <v>266</v>
      </c>
      <c r="N9" s="14" t="s">
        <v>266</v>
      </c>
      <c r="O9" s="214" t="s">
        <v>76</v>
      </c>
      <c r="P9" s="214" t="s">
        <v>217</v>
      </c>
      <c r="Q9" s="14" t="s">
        <v>370</v>
      </c>
      <c r="R9" s="215" t="s">
        <v>77</v>
      </c>
      <c r="S9" s="43"/>
    </row>
    <row r="10" ht="15.75" customHeight="1">
      <c r="A10" s="43"/>
      <c r="B10" s="213" t="s">
        <v>77</v>
      </c>
      <c r="C10" s="214" t="s">
        <v>266</v>
      </c>
      <c r="D10" s="14" t="s">
        <v>266</v>
      </c>
      <c r="E10" s="214" t="s">
        <v>266</v>
      </c>
      <c r="F10" s="214" t="s">
        <v>266</v>
      </c>
      <c r="G10" s="214" t="s">
        <v>266</v>
      </c>
      <c r="H10" s="14" t="s">
        <v>370</v>
      </c>
      <c r="I10" s="215" t="s">
        <v>468</v>
      </c>
      <c r="J10" s="43"/>
      <c r="K10" s="213" t="s">
        <v>77</v>
      </c>
      <c r="L10" s="214" t="s">
        <v>266</v>
      </c>
      <c r="M10" s="14" t="s">
        <v>266</v>
      </c>
      <c r="N10" s="214" t="s">
        <v>266</v>
      </c>
      <c r="O10" s="214" t="s">
        <v>266</v>
      </c>
      <c r="P10" s="214" t="s">
        <v>469</v>
      </c>
      <c r="Q10" s="14" t="s">
        <v>370</v>
      </c>
      <c r="R10" s="215" t="s">
        <v>266</v>
      </c>
      <c r="S10" s="43"/>
    </row>
    <row r="11" ht="15.75" customHeight="1">
      <c r="A11" s="43"/>
      <c r="B11" s="216" t="s">
        <v>373</v>
      </c>
      <c r="C11" s="214" t="s">
        <v>266</v>
      </c>
      <c r="D11" s="14" t="s">
        <v>266</v>
      </c>
      <c r="E11" s="214" t="s">
        <v>266</v>
      </c>
      <c r="F11" s="14" t="s">
        <v>266</v>
      </c>
      <c r="G11" s="14" t="s">
        <v>266</v>
      </c>
      <c r="H11" s="14" t="s">
        <v>370</v>
      </c>
      <c r="I11" s="215" t="s">
        <v>266</v>
      </c>
      <c r="J11" s="43"/>
      <c r="K11" s="216" t="s">
        <v>373</v>
      </c>
      <c r="L11" s="214" t="s">
        <v>470</v>
      </c>
      <c r="M11" s="14" t="s">
        <v>266</v>
      </c>
      <c r="N11" s="214" t="s">
        <v>266</v>
      </c>
      <c r="O11" s="14" t="s">
        <v>266</v>
      </c>
      <c r="P11" s="14" t="s">
        <v>266</v>
      </c>
      <c r="Q11" s="14" t="s">
        <v>370</v>
      </c>
      <c r="R11" s="215" t="s">
        <v>266</v>
      </c>
      <c r="S11" s="43"/>
    </row>
    <row r="12" ht="15.75" customHeight="1">
      <c r="A12" s="43"/>
      <c r="B12" s="216" t="s">
        <v>471</v>
      </c>
      <c r="C12" s="14" t="s">
        <v>266</v>
      </c>
      <c r="D12" s="14" t="s">
        <v>266</v>
      </c>
      <c r="E12" s="214" t="s">
        <v>266</v>
      </c>
      <c r="F12" s="14" t="s">
        <v>266</v>
      </c>
      <c r="G12" s="14" t="s">
        <v>266</v>
      </c>
      <c r="H12" s="14" t="s">
        <v>370</v>
      </c>
      <c r="I12" s="215" t="s">
        <v>266</v>
      </c>
      <c r="J12" s="43"/>
      <c r="K12" s="216" t="s">
        <v>471</v>
      </c>
      <c r="L12" s="14" t="s">
        <v>266</v>
      </c>
      <c r="M12" s="14" t="s">
        <v>266</v>
      </c>
      <c r="N12" s="214" t="s">
        <v>266</v>
      </c>
      <c r="O12" s="14" t="s">
        <v>266</v>
      </c>
      <c r="P12" s="14" t="s">
        <v>266</v>
      </c>
      <c r="Q12" s="14" t="s">
        <v>370</v>
      </c>
      <c r="R12" s="215" t="s">
        <v>266</v>
      </c>
      <c r="S12" s="43"/>
    </row>
    <row r="13" ht="15.75" customHeight="1">
      <c r="A13" s="43"/>
      <c r="B13" s="217" t="s">
        <v>472</v>
      </c>
      <c r="C13" s="214" t="s">
        <v>266</v>
      </c>
      <c r="D13" s="14" t="s">
        <v>266</v>
      </c>
      <c r="E13" s="214" t="s">
        <v>266</v>
      </c>
      <c r="F13" s="14" t="s">
        <v>266</v>
      </c>
      <c r="G13" s="14" t="s">
        <v>266</v>
      </c>
      <c r="H13" s="14" t="s">
        <v>370</v>
      </c>
      <c r="I13" s="215" t="s">
        <v>266</v>
      </c>
      <c r="J13" s="43"/>
      <c r="K13" s="217" t="s">
        <v>472</v>
      </c>
      <c r="L13" s="214" t="s">
        <v>266</v>
      </c>
      <c r="M13" s="14" t="s">
        <v>266</v>
      </c>
      <c r="N13" s="214" t="s">
        <v>266</v>
      </c>
      <c r="O13" s="14" t="s">
        <v>266</v>
      </c>
      <c r="P13" s="14" t="s">
        <v>266</v>
      </c>
      <c r="Q13" s="14" t="s">
        <v>370</v>
      </c>
      <c r="R13" s="215" t="s">
        <v>266</v>
      </c>
      <c r="S13" s="43"/>
    </row>
    <row r="14" ht="15.75" customHeight="1">
      <c r="A14" s="43"/>
      <c r="B14" s="213" t="s">
        <v>473</v>
      </c>
      <c r="C14" s="14" t="s">
        <v>266</v>
      </c>
      <c r="D14" s="14" t="s">
        <v>266</v>
      </c>
      <c r="E14" s="214" t="s">
        <v>266</v>
      </c>
      <c r="F14" s="14" t="s">
        <v>266</v>
      </c>
      <c r="G14" s="14" t="s">
        <v>266</v>
      </c>
      <c r="H14" s="14" t="s">
        <v>370</v>
      </c>
      <c r="I14" s="215" t="s">
        <v>266</v>
      </c>
      <c r="J14" s="43"/>
      <c r="K14" s="213" t="s">
        <v>473</v>
      </c>
      <c r="L14" s="14" t="s">
        <v>266</v>
      </c>
      <c r="M14" s="14" t="s">
        <v>266</v>
      </c>
      <c r="N14" s="214" t="s">
        <v>266</v>
      </c>
      <c r="O14" s="14" t="s">
        <v>266</v>
      </c>
      <c r="P14" s="14" t="s">
        <v>266</v>
      </c>
      <c r="Q14" s="14" t="s">
        <v>370</v>
      </c>
      <c r="R14" s="215" t="s">
        <v>266</v>
      </c>
      <c r="S14" s="43"/>
    </row>
    <row r="15" ht="15.75" customHeight="1">
      <c r="A15" s="43"/>
      <c r="B15" s="217" t="s">
        <v>474</v>
      </c>
      <c r="C15" s="214" t="s">
        <v>266</v>
      </c>
      <c r="D15" s="14" t="s">
        <v>266</v>
      </c>
      <c r="E15" s="214" t="s">
        <v>266</v>
      </c>
      <c r="F15" s="14" t="s">
        <v>266</v>
      </c>
      <c r="G15" s="14" t="s">
        <v>266</v>
      </c>
      <c r="H15" s="14" t="s">
        <v>370</v>
      </c>
      <c r="I15" s="215" t="s">
        <v>266</v>
      </c>
      <c r="J15" s="43"/>
      <c r="K15" s="217" t="s">
        <v>474</v>
      </c>
      <c r="L15" s="214" t="s">
        <v>266</v>
      </c>
      <c r="M15" s="14" t="s">
        <v>266</v>
      </c>
      <c r="N15" s="214" t="s">
        <v>266</v>
      </c>
      <c r="O15" s="14" t="s">
        <v>266</v>
      </c>
      <c r="P15" s="14" t="s">
        <v>266</v>
      </c>
      <c r="Q15" s="14" t="s">
        <v>370</v>
      </c>
      <c r="R15" s="215" t="s">
        <v>266</v>
      </c>
      <c r="S15" s="43"/>
    </row>
    <row r="16" ht="15.75" customHeight="1">
      <c r="A16" s="43"/>
      <c r="B16" s="216" t="s">
        <v>475</v>
      </c>
      <c r="C16" s="14" t="s">
        <v>266</v>
      </c>
      <c r="D16" s="14" t="s">
        <v>266</v>
      </c>
      <c r="E16" s="214" t="s">
        <v>266</v>
      </c>
      <c r="F16" s="14" t="s">
        <v>266</v>
      </c>
      <c r="G16" s="14" t="s">
        <v>266</v>
      </c>
      <c r="H16" s="14" t="s">
        <v>370</v>
      </c>
      <c r="I16" s="215" t="s">
        <v>266</v>
      </c>
      <c r="J16" s="43"/>
      <c r="K16" s="216" t="s">
        <v>475</v>
      </c>
      <c r="L16" s="14" t="s">
        <v>266</v>
      </c>
      <c r="M16" s="14" t="s">
        <v>266</v>
      </c>
      <c r="N16" s="214" t="s">
        <v>266</v>
      </c>
      <c r="O16" s="14" t="s">
        <v>266</v>
      </c>
      <c r="P16" s="14" t="s">
        <v>266</v>
      </c>
      <c r="Q16" s="14" t="s">
        <v>370</v>
      </c>
      <c r="R16" s="215" t="s">
        <v>266</v>
      </c>
      <c r="S16" s="43"/>
    </row>
    <row r="17" ht="15.75" customHeight="1">
      <c r="A17" s="43"/>
      <c r="B17" s="216" t="s">
        <v>476</v>
      </c>
      <c r="C17" s="214" t="s">
        <v>266</v>
      </c>
      <c r="D17" s="14" t="s">
        <v>266</v>
      </c>
      <c r="E17" s="214" t="s">
        <v>266</v>
      </c>
      <c r="F17" s="14" t="s">
        <v>266</v>
      </c>
      <c r="G17" s="14" t="s">
        <v>266</v>
      </c>
      <c r="H17" s="14" t="s">
        <v>370</v>
      </c>
      <c r="I17" s="215" t="s">
        <v>373</v>
      </c>
      <c r="J17" s="43"/>
      <c r="K17" s="216" t="s">
        <v>476</v>
      </c>
      <c r="L17" s="214" t="s">
        <v>266</v>
      </c>
      <c r="M17" s="14" t="s">
        <v>266</v>
      </c>
      <c r="N17" s="214" t="s">
        <v>266</v>
      </c>
      <c r="O17" s="14" t="s">
        <v>266</v>
      </c>
      <c r="P17" s="14" t="s">
        <v>266</v>
      </c>
      <c r="Q17" s="14" t="s">
        <v>370</v>
      </c>
      <c r="R17" s="215" t="s">
        <v>373</v>
      </c>
      <c r="S17" s="43"/>
    </row>
    <row r="18" ht="15.75" customHeight="1">
      <c r="A18" s="43"/>
      <c r="B18" s="216" t="s">
        <v>477</v>
      </c>
      <c r="C18" s="214" t="s">
        <v>266</v>
      </c>
      <c r="D18" s="14" t="s">
        <v>266</v>
      </c>
      <c r="E18" s="214" t="s">
        <v>266</v>
      </c>
      <c r="F18" s="14" t="s">
        <v>266</v>
      </c>
      <c r="G18" s="14" t="s">
        <v>266</v>
      </c>
      <c r="H18" s="14" t="s">
        <v>370</v>
      </c>
      <c r="I18" s="215" t="s">
        <v>266</v>
      </c>
      <c r="J18" s="43"/>
      <c r="K18" s="216" t="s">
        <v>477</v>
      </c>
      <c r="L18" s="214" t="s">
        <v>266</v>
      </c>
      <c r="M18" s="14" t="s">
        <v>266</v>
      </c>
      <c r="N18" s="214"/>
      <c r="O18" s="14" t="s">
        <v>266</v>
      </c>
      <c r="P18" s="14" t="s">
        <v>266</v>
      </c>
      <c r="Q18" s="14" t="s">
        <v>370</v>
      </c>
      <c r="R18" s="215" t="s">
        <v>373</v>
      </c>
      <c r="S18" s="43"/>
    </row>
    <row r="19" ht="15.75" customHeight="1">
      <c r="A19" s="43"/>
      <c r="B19" s="216" t="s">
        <v>478</v>
      </c>
      <c r="C19" s="14" t="s">
        <v>266</v>
      </c>
      <c r="D19" s="14" t="s">
        <v>266</v>
      </c>
      <c r="E19" s="214" t="s">
        <v>266</v>
      </c>
      <c r="F19" s="14" t="s">
        <v>266</v>
      </c>
      <c r="G19" s="14" t="s">
        <v>266</v>
      </c>
      <c r="H19" s="14" t="s">
        <v>370</v>
      </c>
      <c r="I19" s="215" t="s">
        <v>266</v>
      </c>
      <c r="J19" s="43"/>
      <c r="K19" s="216" t="s">
        <v>478</v>
      </c>
      <c r="L19" s="14" t="s">
        <v>266</v>
      </c>
      <c r="M19" s="14" t="s">
        <v>266</v>
      </c>
      <c r="N19" s="214" t="s">
        <v>266</v>
      </c>
      <c r="O19" s="14" t="s">
        <v>266</v>
      </c>
      <c r="P19" s="14" t="s">
        <v>266</v>
      </c>
      <c r="Q19" s="14" t="s">
        <v>370</v>
      </c>
      <c r="R19" s="215" t="s">
        <v>266</v>
      </c>
      <c r="S19" s="43"/>
    </row>
    <row r="20" ht="15.75" customHeight="1">
      <c r="A20" s="43"/>
      <c r="B20" s="218" t="s">
        <v>479</v>
      </c>
      <c r="C20" s="219" t="s">
        <v>266</v>
      </c>
      <c r="D20" s="219" t="s">
        <v>266</v>
      </c>
      <c r="E20" s="220" t="s">
        <v>266</v>
      </c>
      <c r="F20" s="219" t="s">
        <v>266</v>
      </c>
      <c r="G20" s="219" t="s">
        <v>266</v>
      </c>
      <c r="H20" s="219" t="s">
        <v>370</v>
      </c>
      <c r="I20" s="221" t="s">
        <v>266</v>
      </c>
      <c r="J20" s="43"/>
      <c r="K20" s="218" t="s">
        <v>479</v>
      </c>
      <c r="L20" s="219" t="s">
        <v>266</v>
      </c>
      <c r="M20" s="219" t="s">
        <v>266</v>
      </c>
      <c r="N20" s="220" t="s">
        <v>266</v>
      </c>
      <c r="O20" s="219" t="s">
        <v>266</v>
      </c>
      <c r="P20" s="219" t="s">
        <v>266</v>
      </c>
      <c r="Q20" s="219" t="s">
        <v>370</v>
      </c>
      <c r="R20" s="221" t="s">
        <v>266</v>
      </c>
      <c r="S20" s="43"/>
    </row>
    <row r="21" ht="15.75" customHeight="1">
      <c r="A21" s="43"/>
      <c r="B21" s="43"/>
      <c r="C21" s="43"/>
      <c r="D21" s="222"/>
      <c r="E21" s="43"/>
      <c r="F21" s="43"/>
      <c r="G21" s="43"/>
      <c r="H21" s="43"/>
      <c r="I21" s="43"/>
      <c r="J21" s="43"/>
      <c r="K21" s="43"/>
      <c r="L21" s="43"/>
      <c r="M21" s="43"/>
      <c r="N21" s="43"/>
      <c r="O21" s="43"/>
      <c r="P21" s="43"/>
      <c r="Q21" s="43"/>
      <c r="R21" s="43"/>
      <c r="S21" s="43"/>
      <c r="T21" s="43"/>
      <c r="U21" s="43"/>
      <c r="V21" s="43"/>
      <c r="W21" s="43"/>
      <c r="X21" s="43"/>
      <c r="Y21" s="43"/>
      <c r="Z21" s="43"/>
      <c r="AA21" s="43"/>
      <c r="AB21" s="43"/>
    </row>
    <row r="22" ht="15.75" customHeight="1">
      <c r="A22" s="43"/>
      <c r="B22" s="210" t="s">
        <v>480</v>
      </c>
      <c r="J22" s="43"/>
      <c r="S22" s="43"/>
    </row>
    <row r="23" ht="15.75" customHeight="1">
      <c r="A23" s="43"/>
      <c r="B23" s="14" t="s">
        <v>453</v>
      </c>
      <c r="J23" s="43"/>
      <c r="K23" s="14" t="s">
        <v>454</v>
      </c>
      <c r="S23" s="43"/>
    </row>
    <row r="24" ht="15.75" customHeight="1">
      <c r="A24" s="43"/>
      <c r="B24" s="211" t="s">
        <v>455</v>
      </c>
      <c r="C24" s="212" t="s">
        <v>456</v>
      </c>
      <c r="D24" s="212" t="s">
        <v>457</v>
      </c>
      <c r="E24" s="212" t="s">
        <v>458</v>
      </c>
      <c r="F24" s="212" t="s">
        <v>7</v>
      </c>
      <c r="G24" s="204" t="s">
        <v>459</v>
      </c>
      <c r="H24" s="204" t="s">
        <v>460</v>
      </c>
      <c r="I24" s="207" t="s">
        <v>461</v>
      </c>
      <c r="J24" s="43"/>
      <c r="K24" s="211" t="s">
        <v>455</v>
      </c>
      <c r="L24" s="212" t="s">
        <v>456</v>
      </c>
      <c r="M24" s="212" t="s">
        <v>457</v>
      </c>
      <c r="N24" s="212" t="s">
        <v>458</v>
      </c>
      <c r="O24" s="212" t="s">
        <v>7</v>
      </c>
      <c r="P24" s="204" t="s">
        <v>459</v>
      </c>
      <c r="Q24" s="204" t="s">
        <v>460</v>
      </c>
      <c r="R24" s="207" t="s">
        <v>461</v>
      </c>
      <c r="S24" s="43"/>
    </row>
    <row r="25" ht="15.75" customHeight="1">
      <c r="A25" s="43"/>
      <c r="B25" s="213" t="s">
        <v>78</v>
      </c>
      <c r="C25" s="214" t="s">
        <v>462</v>
      </c>
      <c r="D25" s="14" t="s">
        <v>266</v>
      </c>
      <c r="E25" s="14" t="s">
        <v>266</v>
      </c>
      <c r="F25" s="214" t="s">
        <v>266</v>
      </c>
      <c r="G25" s="214" t="s">
        <v>266</v>
      </c>
      <c r="H25" s="14" t="s">
        <v>370</v>
      </c>
      <c r="I25" s="215" t="s">
        <v>266</v>
      </c>
      <c r="J25" s="43"/>
      <c r="K25" s="213" t="s">
        <v>78</v>
      </c>
      <c r="L25" s="214" t="s">
        <v>462</v>
      </c>
      <c r="M25" s="14" t="s">
        <v>266</v>
      </c>
      <c r="N25" s="14" t="s">
        <v>266</v>
      </c>
      <c r="O25" s="214" t="s">
        <v>266</v>
      </c>
      <c r="P25" s="214" t="s">
        <v>463</v>
      </c>
      <c r="Q25" s="14" t="s">
        <v>370</v>
      </c>
      <c r="R25" s="215" t="s">
        <v>266</v>
      </c>
      <c r="S25" s="43"/>
    </row>
    <row r="26" ht="15.75" customHeight="1">
      <c r="A26" s="43"/>
      <c r="B26" s="213" t="s">
        <v>464</v>
      </c>
      <c r="C26" s="14" t="s">
        <v>266</v>
      </c>
      <c r="D26" s="14" t="s">
        <v>266</v>
      </c>
      <c r="E26" s="14" t="s">
        <v>266</v>
      </c>
      <c r="F26" s="214" t="s">
        <v>266</v>
      </c>
      <c r="G26" s="214" t="s">
        <v>266</v>
      </c>
      <c r="H26" s="14" t="s">
        <v>370</v>
      </c>
      <c r="I26" s="215" t="s">
        <v>266</v>
      </c>
      <c r="J26" s="43"/>
      <c r="K26" s="213" t="s">
        <v>464</v>
      </c>
      <c r="L26" s="14" t="s">
        <v>266</v>
      </c>
      <c r="M26" s="14" t="s">
        <v>266</v>
      </c>
      <c r="N26" s="14" t="s">
        <v>266</v>
      </c>
      <c r="O26" s="214" t="s">
        <v>266</v>
      </c>
      <c r="P26" s="214" t="s">
        <v>463</v>
      </c>
      <c r="Q26" s="14" t="s">
        <v>370</v>
      </c>
      <c r="R26" s="215" t="s">
        <v>266</v>
      </c>
      <c r="S26" s="43"/>
    </row>
    <row r="27" ht="15.75" customHeight="1">
      <c r="A27" s="43"/>
      <c r="B27" s="213" t="s">
        <v>465</v>
      </c>
      <c r="C27" s="14" t="s">
        <v>266</v>
      </c>
      <c r="D27" s="14" t="s">
        <v>266</v>
      </c>
      <c r="E27" s="214" t="s">
        <v>266</v>
      </c>
      <c r="F27" s="214" t="s">
        <v>266</v>
      </c>
      <c r="G27" s="214" t="s">
        <v>266</v>
      </c>
      <c r="H27" s="14" t="s">
        <v>370</v>
      </c>
      <c r="I27" s="215" t="s">
        <v>266</v>
      </c>
      <c r="J27" s="43"/>
      <c r="K27" s="213" t="s">
        <v>465</v>
      </c>
      <c r="L27" s="14" t="s">
        <v>266</v>
      </c>
      <c r="M27" s="14" t="s">
        <v>266</v>
      </c>
      <c r="N27" s="214" t="s">
        <v>266</v>
      </c>
      <c r="O27" s="214" t="s">
        <v>266</v>
      </c>
      <c r="P27" s="214" t="s">
        <v>463</v>
      </c>
      <c r="Q27" s="14" t="s">
        <v>370</v>
      </c>
      <c r="R27" s="215" t="s">
        <v>266</v>
      </c>
      <c r="S27" s="43"/>
    </row>
    <row r="28" ht="15.75" customHeight="1">
      <c r="A28" s="43"/>
      <c r="B28" s="216" t="s">
        <v>466</v>
      </c>
      <c r="C28" s="214" t="s">
        <v>266</v>
      </c>
      <c r="D28" s="14" t="s">
        <v>266</v>
      </c>
      <c r="E28" s="214" t="s">
        <v>266</v>
      </c>
      <c r="F28" s="14" t="s">
        <v>266</v>
      </c>
      <c r="G28" s="14" t="s">
        <v>266</v>
      </c>
      <c r="H28" s="14" t="s">
        <v>370</v>
      </c>
      <c r="I28" s="215" t="s">
        <v>266</v>
      </c>
      <c r="J28" s="43"/>
      <c r="K28" s="216" t="s">
        <v>466</v>
      </c>
      <c r="L28" s="214" t="s">
        <v>266</v>
      </c>
      <c r="M28" s="14" t="s">
        <v>266</v>
      </c>
      <c r="N28" s="214" t="s">
        <v>266</v>
      </c>
      <c r="O28" s="14" t="s">
        <v>266</v>
      </c>
      <c r="P28" s="14" t="s">
        <v>266</v>
      </c>
      <c r="Q28" s="14" t="s">
        <v>370</v>
      </c>
      <c r="R28" s="215" t="s">
        <v>266</v>
      </c>
      <c r="S28" s="43"/>
    </row>
    <row r="29" ht="15.75" customHeight="1">
      <c r="A29" s="43"/>
      <c r="B29" s="213" t="s">
        <v>77</v>
      </c>
      <c r="C29" s="214" t="s">
        <v>266</v>
      </c>
      <c r="D29" s="14" t="s">
        <v>266</v>
      </c>
      <c r="E29" s="214" t="s">
        <v>266</v>
      </c>
      <c r="F29" s="214" t="s">
        <v>266</v>
      </c>
      <c r="G29" s="214" t="s">
        <v>266</v>
      </c>
      <c r="H29" s="14" t="s">
        <v>370</v>
      </c>
      <c r="I29" s="215" t="s">
        <v>266</v>
      </c>
      <c r="J29" s="43"/>
      <c r="K29" s="213" t="s">
        <v>77</v>
      </c>
      <c r="L29" s="214" t="s">
        <v>266</v>
      </c>
      <c r="M29" s="14" t="s">
        <v>266</v>
      </c>
      <c r="N29" s="214" t="s">
        <v>266</v>
      </c>
      <c r="O29" s="214" t="s">
        <v>266</v>
      </c>
      <c r="P29" s="214" t="s">
        <v>469</v>
      </c>
      <c r="Q29" s="14" t="s">
        <v>370</v>
      </c>
      <c r="R29" s="215" t="s">
        <v>266</v>
      </c>
      <c r="S29" s="43"/>
    </row>
    <row r="30" ht="15.75" customHeight="1">
      <c r="A30" s="43"/>
      <c r="B30" s="216" t="s">
        <v>373</v>
      </c>
      <c r="C30" s="214" t="s">
        <v>266</v>
      </c>
      <c r="D30" s="14" t="s">
        <v>266</v>
      </c>
      <c r="E30" s="214" t="s">
        <v>266</v>
      </c>
      <c r="F30" s="14" t="s">
        <v>266</v>
      </c>
      <c r="G30" s="14" t="s">
        <v>266</v>
      </c>
      <c r="H30" s="14" t="s">
        <v>370</v>
      </c>
      <c r="I30" s="215" t="s">
        <v>266</v>
      </c>
      <c r="J30" s="43"/>
      <c r="K30" s="216" t="s">
        <v>373</v>
      </c>
      <c r="L30" s="214" t="s">
        <v>470</v>
      </c>
      <c r="M30" s="14" t="s">
        <v>266</v>
      </c>
      <c r="N30" s="214" t="s">
        <v>266</v>
      </c>
      <c r="O30" s="14" t="s">
        <v>266</v>
      </c>
      <c r="P30" s="14" t="s">
        <v>266</v>
      </c>
      <c r="Q30" s="14" t="s">
        <v>370</v>
      </c>
      <c r="R30" s="215" t="s">
        <v>266</v>
      </c>
      <c r="S30" s="43"/>
    </row>
    <row r="31" ht="15.75" customHeight="1">
      <c r="A31" s="43"/>
      <c r="B31" s="216" t="s">
        <v>471</v>
      </c>
      <c r="C31" s="14" t="s">
        <v>266</v>
      </c>
      <c r="D31" s="14" t="s">
        <v>266</v>
      </c>
      <c r="E31" s="214" t="s">
        <v>266</v>
      </c>
      <c r="F31" s="14" t="s">
        <v>266</v>
      </c>
      <c r="G31" s="14" t="s">
        <v>266</v>
      </c>
      <c r="H31" s="14" t="s">
        <v>370</v>
      </c>
      <c r="I31" s="215" t="s">
        <v>266</v>
      </c>
      <c r="J31" s="43"/>
      <c r="K31" s="216" t="s">
        <v>471</v>
      </c>
      <c r="L31" s="14" t="s">
        <v>266</v>
      </c>
      <c r="M31" s="14" t="s">
        <v>266</v>
      </c>
      <c r="N31" s="214" t="s">
        <v>266</v>
      </c>
      <c r="O31" s="14" t="s">
        <v>266</v>
      </c>
      <c r="P31" s="14" t="s">
        <v>266</v>
      </c>
      <c r="Q31" s="14" t="s">
        <v>370</v>
      </c>
      <c r="R31" s="215" t="s">
        <v>266</v>
      </c>
      <c r="S31" s="43"/>
    </row>
    <row r="32" ht="15.75" customHeight="1">
      <c r="A32" s="43"/>
      <c r="B32" s="217" t="s">
        <v>472</v>
      </c>
      <c r="C32" s="214" t="s">
        <v>266</v>
      </c>
      <c r="D32" s="14" t="s">
        <v>266</v>
      </c>
      <c r="E32" s="214" t="s">
        <v>266</v>
      </c>
      <c r="F32" s="14" t="s">
        <v>266</v>
      </c>
      <c r="G32" s="14" t="s">
        <v>266</v>
      </c>
      <c r="H32" s="14" t="s">
        <v>370</v>
      </c>
      <c r="I32" s="215" t="s">
        <v>266</v>
      </c>
      <c r="J32" s="43"/>
      <c r="K32" s="217" t="s">
        <v>472</v>
      </c>
      <c r="L32" s="214" t="s">
        <v>266</v>
      </c>
      <c r="M32" s="14" t="s">
        <v>266</v>
      </c>
      <c r="N32" s="214" t="s">
        <v>266</v>
      </c>
      <c r="O32" s="14" t="s">
        <v>266</v>
      </c>
      <c r="P32" s="14" t="s">
        <v>266</v>
      </c>
      <c r="Q32" s="14" t="s">
        <v>370</v>
      </c>
      <c r="R32" s="215" t="s">
        <v>266</v>
      </c>
      <c r="S32" s="43"/>
    </row>
    <row r="33" ht="15.75" customHeight="1">
      <c r="A33" s="43"/>
      <c r="B33" s="213" t="s">
        <v>473</v>
      </c>
      <c r="C33" s="14" t="s">
        <v>266</v>
      </c>
      <c r="D33" s="14" t="s">
        <v>266</v>
      </c>
      <c r="E33" s="214" t="s">
        <v>266</v>
      </c>
      <c r="F33" s="14" t="s">
        <v>266</v>
      </c>
      <c r="G33" s="14" t="s">
        <v>266</v>
      </c>
      <c r="H33" s="14" t="s">
        <v>370</v>
      </c>
      <c r="I33" s="215" t="s">
        <v>266</v>
      </c>
      <c r="J33" s="43"/>
      <c r="K33" s="213" t="s">
        <v>473</v>
      </c>
      <c r="L33" s="14" t="s">
        <v>266</v>
      </c>
      <c r="M33" s="14" t="s">
        <v>266</v>
      </c>
      <c r="N33" s="214" t="s">
        <v>266</v>
      </c>
      <c r="O33" s="14" t="s">
        <v>266</v>
      </c>
      <c r="P33" s="14" t="s">
        <v>266</v>
      </c>
      <c r="Q33" s="14" t="s">
        <v>370</v>
      </c>
      <c r="R33" s="215" t="s">
        <v>266</v>
      </c>
      <c r="S33" s="43"/>
    </row>
    <row r="34" ht="15.75" customHeight="1">
      <c r="A34" s="43"/>
      <c r="B34" s="217" t="s">
        <v>474</v>
      </c>
      <c r="C34" s="214" t="s">
        <v>266</v>
      </c>
      <c r="D34" s="14" t="s">
        <v>266</v>
      </c>
      <c r="E34" s="214" t="s">
        <v>266</v>
      </c>
      <c r="F34" s="14" t="s">
        <v>266</v>
      </c>
      <c r="G34" s="14" t="s">
        <v>266</v>
      </c>
      <c r="H34" s="14" t="s">
        <v>370</v>
      </c>
      <c r="I34" s="215" t="s">
        <v>266</v>
      </c>
      <c r="J34" s="43"/>
      <c r="K34" s="217" t="s">
        <v>474</v>
      </c>
      <c r="L34" s="214" t="s">
        <v>266</v>
      </c>
      <c r="M34" s="14" t="s">
        <v>266</v>
      </c>
      <c r="N34" s="214" t="s">
        <v>266</v>
      </c>
      <c r="O34" s="14" t="s">
        <v>266</v>
      </c>
      <c r="P34" s="14" t="s">
        <v>266</v>
      </c>
      <c r="Q34" s="14" t="s">
        <v>370</v>
      </c>
      <c r="R34" s="215" t="s">
        <v>266</v>
      </c>
      <c r="S34" s="43"/>
    </row>
    <row r="35" ht="15.75" customHeight="1">
      <c r="A35" s="43"/>
      <c r="B35" s="216" t="s">
        <v>475</v>
      </c>
      <c r="C35" s="14" t="s">
        <v>266</v>
      </c>
      <c r="D35" s="14" t="s">
        <v>266</v>
      </c>
      <c r="E35" s="214" t="s">
        <v>266</v>
      </c>
      <c r="F35" s="14" t="s">
        <v>266</v>
      </c>
      <c r="G35" s="14" t="s">
        <v>266</v>
      </c>
      <c r="H35" s="14" t="s">
        <v>370</v>
      </c>
      <c r="I35" s="215" t="s">
        <v>266</v>
      </c>
      <c r="J35" s="43"/>
      <c r="K35" s="216" t="s">
        <v>475</v>
      </c>
      <c r="L35" s="14" t="s">
        <v>266</v>
      </c>
      <c r="M35" s="14" t="s">
        <v>266</v>
      </c>
      <c r="N35" s="214" t="s">
        <v>266</v>
      </c>
      <c r="O35" s="14" t="s">
        <v>266</v>
      </c>
      <c r="P35" s="14" t="s">
        <v>266</v>
      </c>
      <c r="Q35" s="14" t="s">
        <v>370</v>
      </c>
      <c r="R35" s="215" t="s">
        <v>266</v>
      </c>
      <c r="S35" s="43"/>
    </row>
    <row r="36" ht="15.75" customHeight="1">
      <c r="A36" s="43"/>
      <c r="B36" s="216" t="s">
        <v>478</v>
      </c>
      <c r="C36" s="14" t="s">
        <v>266</v>
      </c>
      <c r="D36" s="14" t="s">
        <v>266</v>
      </c>
      <c r="E36" s="214" t="s">
        <v>266</v>
      </c>
      <c r="F36" s="14" t="s">
        <v>266</v>
      </c>
      <c r="G36" s="14" t="s">
        <v>266</v>
      </c>
      <c r="H36" s="14" t="s">
        <v>370</v>
      </c>
      <c r="I36" s="215" t="s">
        <v>266</v>
      </c>
      <c r="J36" s="43"/>
      <c r="K36" s="216" t="s">
        <v>478</v>
      </c>
      <c r="L36" s="14" t="s">
        <v>266</v>
      </c>
      <c r="M36" s="14" t="s">
        <v>266</v>
      </c>
      <c r="N36" s="214" t="s">
        <v>266</v>
      </c>
      <c r="O36" s="14" t="s">
        <v>266</v>
      </c>
      <c r="P36" s="14" t="s">
        <v>266</v>
      </c>
      <c r="Q36" s="14" t="s">
        <v>370</v>
      </c>
      <c r="R36" s="215" t="s">
        <v>266</v>
      </c>
      <c r="S36" s="43"/>
    </row>
    <row r="37" ht="15.75" customHeight="1">
      <c r="A37" s="43"/>
      <c r="B37" s="218" t="s">
        <v>479</v>
      </c>
      <c r="C37" s="219" t="s">
        <v>266</v>
      </c>
      <c r="D37" s="219" t="s">
        <v>266</v>
      </c>
      <c r="E37" s="220" t="s">
        <v>266</v>
      </c>
      <c r="F37" s="219" t="s">
        <v>266</v>
      </c>
      <c r="G37" s="219" t="s">
        <v>266</v>
      </c>
      <c r="H37" s="219" t="s">
        <v>370</v>
      </c>
      <c r="I37" s="221" t="s">
        <v>266</v>
      </c>
      <c r="J37" s="43"/>
      <c r="K37" s="218" t="s">
        <v>479</v>
      </c>
      <c r="L37" s="219" t="s">
        <v>266</v>
      </c>
      <c r="M37" s="219" t="s">
        <v>266</v>
      </c>
      <c r="N37" s="220" t="s">
        <v>266</v>
      </c>
      <c r="O37" s="219" t="s">
        <v>266</v>
      </c>
      <c r="P37" s="219" t="s">
        <v>266</v>
      </c>
      <c r="Q37" s="219" t="s">
        <v>370</v>
      </c>
      <c r="R37" s="221" t="s">
        <v>266</v>
      </c>
      <c r="S37" s="43"/>
    </row>
    <row r="38" ht="15.75" customHeight="1">
      <c r="A38" s="43"/>
      <c r="B38" s="43"/>
      <c r="C38" s="43"/>
      <c r="D38" s="222"/>
      <c r="E38" s="43"/>
      <c r="F38" s="43"/>
      <c r="G38" s="43"/>
      <c r="H38" s="43"/>
      <c r="I38" s="43"/>
      <c r="J38" s="43"/>
      <c r="K38" s="43"/>
      <c r="L38" s="43"/>
      <c r="M38" s="43"/>
      <c r="N38" s="43"/>
      <c r="O38" s="43"/>
      <c r="P38" s="43"/>
      <c r="Q38" s="43"/>
      <c r="R38" s="43"/>
      <c r="S38" s="43"/>
      <c r="T38" s="43"/>
      <c r="U38" s="43"/>
      <c r="V38" s="43"/>
      <c r="W38" s="43"/>
      <c r="X38" s="43"/>
      <c r="Y38" s="43"/>
      <c r="Z38" s="43"/>
      <c r="AA38" s="43"/>
      <c r="AB38" s="43"/>
    </row>
    <row r="39" ht="15.75" customHeight="1">
      <c r="A39" s="43"/>
      <c r="B39" s="210" t="s">
        <v>481</v>
      </c>
      <c r="J39" s="43"/>
      <c r="S39" s="43"/>
    </row>
    <row r="40" ht="15.75" customHeight="1">
      <c r="A40" s="43"/>
      <c r="B40" s="14" t="s">
        <v>453</v>
      </c>
      <c r="J40" s="43"/>
      <c r="K40" s="14" t="s">
        <v>454</v>
      </c>
      <c r="S40" s="43"/>
    </row>
    <row r="41" ht="15.75" customHeight="1">
      <c r="A41" s="43"/>
      <c r="B41" s="211" t="s">
        <v>455</v>
      </c>
      <c r="C41" s="212" t="s">
        <v>456</v>
      </c>
      <c r="D41" s="212" t="s">
        <v>457</v>
      </c>
      <c r="E41" s="212" t="s">
        <v>458</v>
      </c>
      <c r="F41" s="212" t="s">
        <v>7</v>
      </c>
      <c r="G41" s="204" t="s">
        <v>459</v>
      </c>
      <c r="H41" s="204" t="s">
        <v>460</v>
      </c>
      <c r="I41" s="207" t="s">
        <v>461</v>
      </c>
      <c r="J41" s="43"/>
      <c r="K41" s="211" t="s">
        <v>455</v>
      </c>
      <c r="L41" s="212" t="s">
        <v>456</v>
      </c>
      <c r="M41" s="212" t="s">
        <v>457</v>
      </c>
      <c r="N41" s="212" t="s">
        <v>458</v>
      </c>
      <c r="O41" s="212" t="s">
        <v>7</v>
      </c>
      <c r="P41" s="204" t="s">
        <v>459</v>
      </c>
      <c r="Q41" s="204" t="s">
        <v>460</v>
      </c>
      <c r="R41" s="207" t="s">
        <v>461</v>
      </c>
      <c r="S41" s="43"/>
    </row>
    <row r="42" ht="15.75" customHeight="1">
      <c r="A42" s="43"/>
      <c r="B42" s="213" t="s">
        <v>78</v>
      </c>
      <c r="C42" s="214" t="s">
        <v>462</v>
      </c>
      <c r="D42" s="14" t="s">
        <v>266</v>
      </c>
      <c r="E42" s="14" t="s">
        <v>266</v>
      </c>
      <c r="F42" s="214" t="s">
        <v>266</v>
      </c>
      <c r="G42" s="214" t="s">
        <v>266</v>
      </c>
      <c r="H42" s="14" t="s">
        <v>370</v>
      </c>
      <c r="I42" s="215" t="s">
        <v>266</v>
      </c>
      <c r="J42" s="43"/>
      <c r="K42" s="213" t="s">
        <v>78</v>
      </c>
      <c r="L42" s="214" t="s">
        <v>462</v>
      </c>
      <c r="M42" s="14" t="s">
        <v>266</v>
      </c>
      <c r="N42" s="14" t="s">
        <v>266</v>
      </c>
      <c r="O42" s="214" t="s">
        <v>266</v>
      </c>
      <c r="P42" s="214" t="s">
        <v>463</v>
      </c>
      <c r="Q42" s="14" t="s">
        <v>370</v>
      </c>
      <c r="R42" s="215" t="s">
        <v>266</v>
      </c>
      <c r="S42" s="43"/>
    </row>
    <row r="43" ht="15.75" customHeight="1">
      <c r="A43" s="43"/>
      <c r="B43" s="213" t="s">
        <v>464</v>
      </c>
      <c r="C43" s="14" t="s">
        <v>266</v>
      </c>
      <c r="D43" s="14" t="s">
        <v>266</v>
      </c>
      <c r="E43" s="14" t="s">
        <v>266</v>
      </c>
      <c r="F43" s="214" t="s">
        <v>266</v>
      </c>
      <c r="G43" s="214" t="s">
        <v>266</v>
      </c>
      <c r="H43" s="14" t="s">
        <v>370</v>
      </c>
      <c r="I43" s="215" t="s">
        <v>266</v>
      </c>
      <c r="J43" s="43"/>
      <c r="K43" s="213" t="s">
        <v>464</v>
      </c>
      <c r="L43" s="14" t="s">
        <v>266</v>
      </c>
      <c r="M43" s="14" t="s">
        <v>266</v>
      </c>
      <c r="N43" s="14" t="s">
        <v>266</v>
      </c>
      <c r="O43" s="214" t="s">
        <v>266</v>
      </c>
      <c r="P43" s="214" t="s">
        <v>463</v>
      </c>
      <c r="Q43" s="14" t="s">
        <v>370</v>
      </c>
      <c r="R43" s="215" t="s">
        <v>266</v>
      </c>
      <c r="S43" s="43"/>
    </row>
    <row r="44" ht="15.75" customHeight="1">
      <c r="A44" s="43"/>
      <c r="B44" s="213" t="s">
        <v>465</v>
      </c>
      <c r="C44" s="14" t="s">
        <v>266</v>
      </c>
      <c r="D44" s="14" t="s">
        <v>266</v>
      </c>
      <c r="E44" s="214" t="s">
        <v>266</v>
      </c>
      <c r="F44" s="214" t="s">
        <v>266</v>
      </c>
      <c r="G44" s="214" t="s">
        <v>266</v>
      </c>
      <c r="H44" s="14" t="s">
        <v>370</v>
      </c>
      <c r="I44" s="215" t="s">
        <v>266</v>
      </c>
      <c r="J44" s="43"/>
      <c r="K44" s="213" t="s">
        <v>465</v>
      </c>
      <c r="L44" s="14" t="s">
        <v>266</v>
      </c>
      <c r="M44" s="14" t="s">
        <v>266</v>
      </c>
      <c r="N44" s="214" t="s">
        <v>266</v>
      </c>
      <c r="O44" s="214" t="s">
        <v>266</v>
      </c>
      <c r="P44" s="214" t="s">
        <v>463</v>
      </c>
      <c r="Q44" s="14" t="s">
        <v>370</v>
      </c>
      <c r="R44" s="215" t="s">
        <v>266</v>
      </c>
      <c r="S44" s="43"/>
    </row>
    <row r="45" ht="15.75" customHeight="1">
      <c r="A45" s="43"/>
      <c r="B45" s="216" t="s">
        <v>466</v>
      </c>
      <c r="C45" s="214" t="s">
        <v>266</v>
      </c>
      <c r="D45" s="14" t="s">
        <v>266</v>
      </c>
      <c r="E45" s="214" t="s">
        <v>266</v>
      </c>
      <c r="F45" s="14" t="s">
        <v>266</v>
      </c>
      <c r="G45" s="14" t="s">
        <v>266</v>
      </c>
      <c r="H45" s="14" t="s">
        <v>370</v>
      </c>
      <c r="I45" s="215" t="s">
        <v>266</v>
      </c>
      <c r="J45" s="43"/>
      <c r="K45" s="216" t="s">
        <v>466</v>
      </c>
      <c r="L45" s="214" t="s">
        <v>266</v>
      </c>
      <c r="M45" s="14" t="s">
        <v>266</v>
      </c>
      <c r="N45" s="214" t="s">
        <v>266</v>
      </c>
      <c r="O45" s="14" t="s">
        <v>266</v>
      </c>
      <c r="P45" s="14" t="s">
        <v>266</v>
      </c>
      <c r="Q45" s="14" t="s">
        <v>370</v>
      </c>
      <c r="R45" s="215" t="s">
        <v>266</v>
      </c>
      <c r="S45" s="43"/>
    </row>
    <row r="46" ht="15.75" customHeight="1">
      <c r="A46" s="43"/>
      <c r="B46" s="213" t="s">
        <v>77</v>
      </c>
      <c r="C46" s="214" t="s">
        <v>266</v>
      </c>
      <c r="D46" s="14" t="s">
        <v>266</v>
      </c>
      <c r="E46" s="214" t="s">
        <v>266</v>
      </c>
      <c r="F46" s="214" t="s">
        <v>266</v>
      </c>
      <c r="G46" s="214" t="s">
        <v>266</v>
      </c>
      <c r="H46" s="14" t="s">
        <v>370</v>
      </c>
      <c r="I46" s="215" t="s">
        <v>266</v>
      </c>
      <c r="J46" s="43"/>
      <c r="K46" s="213" t="s">
        <v>77</v>
      </c>
      <c r="L46" s="214" t="s">
        <v>266</v>
      </c>
      <c r="M46" s="14" t="s">
        <v>266</v>
      </c>
      <c r="N46" s="214" t="s">
        <v>266</v>
      </c>
      <c r="O46" s="214" t="s">
        <v>266</v>
      </c>
      <c r="P46" s="214" t="s">
        <v>469</v>
      </c>
      <c r="Q46" s="14" t="s">
        <v>370</v>
      </c>
      <c r="R46" s="215" t="s">
        <v>266</v>
      </c>
      <c r="S46" s="43"/>
    </row>
    <row r="47" ht="15.75" customHeight="1">
      <c r="A47" s="43"/>
      <c r="B47" s="216" t="s">
        <v>373</v>
      </c>
      <c r="C47" s="214" t="s">
        <v>266</v>
      </c>
      <c r="D47" s="14" t="s">
        <v>266</v>
      </c>
      <c r="E47" s="214" t="s">
        <v>266</v>
      </c>
      <c r="F47" s="14" t="s">
        <v>266</v>
      </c>
      <c r="G47" s="14" t="s">
        <v>266</v>
      </c>
      <c r="H47" s="14" t="s">
        <v>370</v>
      </c>
      <c r="I47" s="215" t="s">
        <v>266</v>
      </c>
      <c r="J47" s="43"/>
      <c r="K47" s="216" t="s">
        <v>373</v>
      </c>
      <c r="L47" s="214" t="s">
        <v>470</v>
      </c>
      <c r="M47" s="14" t="s">
        <v>266</v>
      </c>
      <c r="N47" s="214" t="s">
        <v>266</v>
      </c>
      <c r="O47" s="14" t="s">
        <v>266</v>
      </c>
      <c r="P47" s="14" t="s">
        <v>266</v>
      </c>
      <c r="Q47" s="14" t="s">
        <v>370</v>
      </c>
      <c r="R47" s="215" t="s">
        <v>266</v>
      </c>
      <c r="S47" s="43"/>
    </row>
    <row r="48" ht="15.75" customHeight="1">
      <c r="A48" s="43"/>
      <c r="B48" s="216" t="s">
        <v>471</v>
      </c>
      <c r="C48" s="14" t="s">
        <v>266</v>
      </c>
      <c r="D48" s="14" t="s">
        <v>266</v>
      </c>
      <c r="E48" s="214" t="s">
        <v>266</v>
      </c>
      <c r="F48" s="14" t="s">
        <v>266</v>
      </c>
      <c r="G48" s="14" t="s">
        <v>266</v>
      </c>
      <c r="H48" s="14" t="s">
        <v>370</v>
      </c>
      <c r="I48" s="215" t="s">
        <v>266</v>
      </c>
      <c r="J48" s="43"/>
      <c r="K48" s="216" t="s">
        <v>471</v>
      </c>
      <c r="L48" s="14" t="s">
        <v>266</v>
      </c>
      <c r="M48" s="14" t="s">
        <v>266</v>
      </c>
      <c r="N48" s="214" t="s">
        <v>266</v>
      </c>
      <c r="O48" s="14" t="s">
        <v>266</v>
      </c>
      <c r="P48" s="14" t="s">
        <v>266</v>
      </c>
      <c r="Q48" s="14" t="s">
        <v>370</v>
      </c>
      <c r="R48" s="215" t="s">
        <v>465</v>
      </c>
      <c r="S48" s="43"/>
    </row>
    <row r="49" ht="15.75" customHeight="1">
      <c r="A49" s="43"/>
      <c r="B49" s="217" t="s">
        <v>472</v>
      </c>
      <c r="C49" s="214" t="s">
        <v>266</v>
      </c>
      <c r="D49" s="14" t="s">
        <v>266</v>
      </c>
      <c r="E49" s="214" t="s">
        <v>266</v>
      </c>
      <c r="F49" s="14" t="s">
        <v>266</v>
      </c>
      <c r="G49" s="14" t="s">
        <v>266</v>
      </c>
      <c r="H49" s="14" t="s">
        <v>370</v>
      </c>
      <c r="I49" s="215" t="s">
        <v>266</v>
      </c>
      <c r="J49" s="43"/>
      <c r="K49" s="217" t="s">
        <v>472</v>
      </c>
      <c r="L49" s="214" t="s">
        <v>266</v>
      </c>
      <c r="M49" s="14" t="s">
        <v>266</v>
      </c>
      <c r="N49" s="214" t="s">
        <v>266</v>
      </c>
      <c r="O49" s="14" t="s">
        <v>266</v>
      </c>
      <c r="P49" s="14" t="s">
        <v>266</v>
      </c>
      <c r="Q49" s="14" t="s">
        <v>370</v>
      </c>
      <c r="R49" s="215" t="s">
        <v>266</v>
      </c>
      <c r="S49" s="43"/>
    </row>
    <row r="50" ht="15.75" customHeight="1">
      <c r="A50" s="43"/>
      <c r="B50" s="213" t="s">
        <v>473</v>
      </c>
      <c r="C50" s="14" t="s">
        <v>266</v>
      </c>
      <c r="D50" s="14" t="s">
        <v>266</v>
      </c>
      <c r="E50" s="214" t="s">
        <v>266</v>
      </c>
      <c r="F50" s="14" t="s">
        <v>266</v>
      </c>
      <c r="G50" s="14" t="s">
        <v>266</v>
      </c>
      <c r="H50" s="14" t="s">
        <v>370</v>
      </c>
      <c r="I50" s="215" t="s">
        <v>266</v>
      </c>
      <c r="J50" s="43"/>
      <c r="K50" s="213" t="s">
        <v>473</v>
      </c>
      <c r="L50" s="14" t="s">
        <v>266</v>
      </c>
      <c r="M50" s="14" t="s">
        <v>266</v>
      </c>
      <c r="N50" s="214" t="s">
        <v>266</v>
      </c>
      <c r="O50" s="14" t="s">
        <v>266</v>
      </c>
      <c r="P50" s="14" t="s">
        <v>266</v>
      </c>
      <c r="Q50" s="14" t="s">
        <v>370</v>
      </c>
      <c r="R50" s="215" t="s">
        <v>266</v>
      </c>
      <c r="S50" s="43"/>
    </row>
    <row r="51" ht="15.75" customHeight="1">
      <c r="A51" s="43"/>
      <c r="B51" s="217" t="s">
        <v>474</v>
      </c>
      <c r="C51" s="214" t="s">
        <v>266</v>
      </c>
      <c r="D51" s="14" t="s">
        <v>266</v>
      </c>
      <c r="E51" s="214" t="s">
        <v>266</v>
      </c>
      <c r="F51" s="14" t="s">
        <v>266</v>
      </c>
      <c r="G51" s="14" t="s">
        <v>266</v>
      </c>
      <c r="H51" s="14" t="s">
        <v>370</v>
      </c>
      <c r="I51" s="215" t="s">
        <v>266</v>
      </c>
      <c r="J51" s="43"/>
      <c r="K51" s="217" t="s">
        <v>474</v>
      </c>
      <c r="L51" s="214" t="s">
        <v>266</v>
      </c>
      <c r="M51" s="14" t="s">
        <v>266</v>
      </c>
      <c r="N51" s="214" t="s">
        <v>266</v>
      </c>
      <c r="O51" s="14" t="s">
        <v>266</v>
      </c>
      <c r="P51" s="14" t="s">
        <v>266</v>
      </c>
      <c r="Q51" s="14" t="s">
        <v>370</v>
      </c>
      <c r="R51" s="215" t="s">
        <v>266</v>
      </c>
      <c r="S51" s="43"/>
    </row>
    <row r="52" ht="15.75" customHeight="1">
      <c r="A52" s="43"/>
      <c r="B52" s="216" t="s">
        <v>475</v>
      </c>
      <c r="C52" s="14" t="s">
        <v>266</v>
      </c>
      <c r="D52" s="14" t="s">
        <v>266</v>
      </c>
      <c r="E52" s="214" t="s">
        <v>266</v>
      </c>
      <c r="F52" s="14" t="s">
        <v>266</v>
      </c>
      <c r="G52" s="14" t="s">
        <v>266</v>
      </c>
      <c r="H52" s="14" t="s">
        <v>370</v>
      </c>
      <c r="I52" s="215"/>
      <c r="J52" s="43"/>
      <c r="K52" s="216" t="s">
        <v>475</v>
      </c>
      <c r="L52" s="14" t="s">
        <v>266</v>
      </c>
      <c r="M52" s="14" t="s">
        <v>266</v>
      </c>
      <c r="N52" s="214" t="s">
        <v>266</v>
      </c>
      <c r="O52" s="14" t="s">
        <v>266</v>
      </c>
      <c r="P52" s="14" t="s">
        <v>266</v>
      </c>
      <c r="Q52" s="14" t="s">
        <v>370</v>
      </c>
      <c r="R52" s="215" t="s">
        <v>373</v>
      </c>
      <c r="S52" s="43"/>
    </row>
    <row r="53" ht="15.75" customHeight="1">
      <c r="A53" s="43"/>
      <c r="B53" s="216" t="s">
        <v>478</v>
      </c>
      <c r="C53" s="14" t="s">
        <v>266</v>
      </c>
      <c r="D53" s="14" t="s">
        <v>266</v>
      </c>
      <c r="E53" s="214" t="s">
        <v>266</v>
      </c>
      <c r="F53" s="14" t="s">
        <v>266</v>
      </c>
      <c r="G53" s="14" t="s">
        <v>266</v>
      </c>
      <c r="H53" s="14" t="s">
        <v>370</v>
      </c>
      <c r="I53" s="215" t="s">
        <v>266</v>
      </c>
      <c r="J53" s="43"/>
      <c r="K53" s="216" t="s">
        <v>478</v>
      </c>
      <c r="L53" s="14" t="s">
        <v>266</v>
      </c>
      <c r="M53" s="14" t="s">
        <v>266</v>
      </c>
      <c r="N53" s="214" t="s">
        <v>266</v>
      </c>
      <c r="O53" s="14" t="s">
        <v>266</v>
      </c>
      <c r="P53" s="14" t="s">
        <v>266</v>
      </c>
      <c r="Q53" s="14" t="s">
        <v>370</v>
      </c>
      <c r="R53" s="215" t="s">
        <v>266</v>
      </c>
      <c r="S53" s="43"/>
    </row>
    <row r="54" ht="15.75" customHeight="1">
      <c r="A54" s="43"/>
      <c r="B54" s="218" t="s">
        <v>479</v>
      </c>
      <c r="C54" s="219" t="s">
        <v>266</v>
      </c>
      <c r="D54" s="219" t="s">
        <v>266</v>
      </c>
      <c r="E54" s="220" t="s">
        <v>266</v>
      </c>
      <c r="F54" s="219" t="s">
        <v>266</v>
      </c>
      <c r="G54" s="219" t="s">
        <v>266</v>
      </c>
      <c r="H54" s="219" t="s">
        <v>370</v>
      </c>
      <c r="I54" s="221" t="s">
        <v>266</v>
      </c>
      <c r="J54" s="43"/>
      <c r="K54" s="218" t="s">
        <v>479</v>
      </c>
      <c r="L54" s="219" t="s">
        <v>266</v>
      </c>
      <c r="M54" s="219" t="s">
        <v>266</v>
      </c>
      <c r="N54" s="220" t="s">
        <v>266</v>
      </c>
      <c r="O54" s="219" t="s">
        <v>266</v>
      </c>
      <c r="P54" s="219" t="s">
        <v>266</v>
      </c>
      <c r="Q54" s="219" t="s">
        <v>370</v>
      </c>
      <c r="R54" s="221" t="s">
        <v>373</v>
      </c>
      <c r="S54" s="43"/>
    </row>
    <row r="55" ht="15.75" customHeight="1">
      <c r="A55" s="43"/>
      <c r="B55" s="43"/>
      <c r="C55" s="43"/>
      <c r="D55" s="222"/>
      <c r="E55" s="43"/>
      <c r="F55" s="43"/>
      <c r="G55" s="43"/>
      <c r="H55" s="43"/>
      <c r="I55" s="43"/>
      <c r="J55" s="43"/>
      <c r="K55" s="43"/>
      <c r="L55" s="43"/>
      <c r="M55" s="43"/>
      <c r="N55" s="43"/>
      <c r="O55" s="43"/>
      <c r="P55" s="43"/>
      <c r="Q55" s="43"/>
      <c r="R55" s="43"/>
      <c r="S55" s="43"/>
      <c r="T55" s="43"/>
      <c r="U55" s="43"/>
      <c r="V55" s="43"/>
      <c r="W55" s="43"/>
      <c r="X55" s="43"/>
      <c r="Y55" s="43"/>
      <c r="Z55" s="43"/>
      <c r="AA55" s="43"/>
      <c r="AB55" s="43"/>
    </row>
    <row r="56" ht="15.75" customHeight="1">
      <c r="A56" s="43"/>
      <c r="B56" s="210" t="s">
        <v>482</v>
      </c>
      <c r="J56" s="43"/>
      <c r="S56" s="43"/>
    </row>
    <row r="57" ht="15.75" customHeight="1">
      <c r="A57" s="43"/>
      <c r="B57" s="14" t="s">
        <v>453</v>
      </c>
      <c r="J57" s="43"/>
      <c r="K57" s="14" t="s">
        <v>454</v>
      </c>
      <c r="S57" s="43"/>
    </row>
    <row r="58" ht="15.75" customHeight="1">
      <c r="A58" s="43"/>
      <c r="B58" s="211" t="s">
        <v>455</v>
      </c>
      <c r="C58" s="212" t="s">
        <v>456</v>
      </c>
      <c r="D58" s="212" t="s">
        <v>457</v>
      </c>
      <c r="E58" s="212" t="s">
        <v>458</v>
      </c>
      <c r="F58" s="212" t="s">
        <v>7</v>
      </c>
      <c r="G58" s="204" t="s">
        <v>459</v>
      </c>
      <c r="H58" s="204" t="s">
        <v>460</v>
      </c>
      <c r="I58" s="207" t="s">
        <v>461</v>
      </c>
      <c r="J58" s="43"/>
      <c r="K58" s="211" t="s">
        <v>455</v>
      </c>
      <c r="L58" s="212" t="s">
        <v>456</v>
      </c>
      <c r="M58" s="212" t="s">
        <v>457</v>
      </c>
      <c r="N58" s="212" t="s">
        <v>458</v>
      </c>
      <c r="O58" s="212" t="s">
        <v>7</v>
      </c>
      <c r="P58" s="204" t="s">
        <v>459</v>
      </c>
      <c r="Q58" s="204" t="s">
        <v>460</v>
      </c>
      <c r="R58" s="207" t="s">
        <v>461</v>
      </c>
      <c r="S58" s="43"/>
    </row>
    <row r="59" ht="15.75" customHeight="1">
      <c r="A59" s="43"/>
      <c r="B59" s="213" t="s">
        <v>78</v>
      </c>
      <c r="C59" s="214" t="s">
        <v>462</v>
      </c>
      <c r="D59" s="14" t="s">
        <v>266</v>
      </c>
      <c r="E59" s="14" t="s">
        <v>266</v>
      </c>
      <c r="F59" s="214" t="s">
        <v>266</v>
      </c>
      <c r="G59" s="214" t="s">
        <v>266</v>
      </c>
      <c r="H59" s="14" t="s">
        <v>370</v>
      </c>
      <c r="I59" s="215" t="s">
        <v>266</v>
      </c>
      <c r="J59" s="43"/>
      <c r="K59" s="213" t="s">
        <v>78</v>
      </c>
      <c r="L59" s="214" t="s">
        <v>462</v>
      </c>
      <c r="M59" s="14" t="s">
        <v>266</v>
      </c>
      <c r="N59" s="14" t="s">
        <v>266</v>
      </c>
      <c r="O59" s="214" t="s">
        <v>266</v>
      </c>
      <c r="P59" s="214" t="s">
        <v>463</v>
      </c>
      <c r="Q59" s="14" t="s">
        <v>370</v>
      </c>
      <c r="R59" s="215" t="s">
        <v>266</v>
      </c>
      <c r="S59" s="43"/>
    </row>
    <row r="60" ht="15.75" customHeight="1">
      <c r="A60" s="43"/>
      <c r="B60" s="213" t="s">
        <v>464</v>
      </c>
      <c r="C60" s="14" t="s">
        <v>266</v>
      </c>
      <c r="D60" s="14" t="s">
        <v>266</v>
      </c>
      <c r="E60" s="14" t="s">
        <v>266</v>
      </c>
      <c r="F60" s="214" t="s">
        <v>266</v>
      </c>
      <c r="G60" s="214" t="s">
        <v>266</v>
      </c>
      <c r="H60" s="14" t="s">
        <v>370</v>
      </c>
      <c r="I60" s="215" t="s">
        <v>266</v>
      </c>
      <c r="J60" s="43"/>
      <c r="K60" s="213" t="s">
        <v>464</v>
      </c>
      <c r="L60" s="14" t="s">
        <v>266</v>
      </c>
      <c r="M60" s="14" t="s">
        <v>266</v>
      </c>
      <c r="N60" s="14" t="s">
        <v>266</v>
      </c>
      <c r="O60" s="214" t="s">
        <v>266</v>
      </c>
      <c r="P60" s="214" t="s">
        <v>463</v>
      </c>
      <c r="Q60" s="14" t="s">
        <v>370</v>
      </c>
      <c r="R60" s="215" t="s">
        <v>266</v>
      </c>
      <c r="S60" s="43"/>
    </row>
    <row r="61" ht="15.75" customHeight="1">
      <c r="A61" s="43"/>
      <c r="B61" s="213" t="s">
        <v>465</v>
      </c>
      <c r="C61" s="14" t="s">
        <v>266</v>
      </c>
      <c r="D61" s="14" t="s">
        <v>266</v>
      </c>
      <c r="E61" s="214" t="s">
        <v>266</v>
      </c>
      <c r="F61" s="214" t="s">
        <v>266</v>
      </c>
      <c r="G61" s="214" t="s">
        <v>266</v>
      </c>
      <c r="H61" s="14" t="s">
        <v>370</v>
      </c>
      <c r="I61" s="215" t="s">
        <v>266</v>
      </c>
      <c r="J61" s="43"/>
      <c r="K61" s="213" t="s">
        <v>465</v>
      </c>
      <c r="L61" s="14" t="s">
        <v>266</v>
      </c>
      <c r="M61" s="14" t="s">
        <v>266</v>
      </c>
      <c r="N61" s="214" t="s">
        <v>266</v>
      </c>
      <c r="O61" s="214" t="s">
        <v>266</v>
      </c>
      <c r="P61" s="214" t="s">
        <v>463</v>
      </c>
      <c r="Q61" s="14" t="s">
        <v>370</v>
      </c>
      <c r="R61" s="215" t="s">
        <v>266</v>
      </c>
      <c r="S61" s="43"/>
    </row>
    <row r="62" ht="15.75" customHeight="1">
      <c r="A62" s="43"/>
      <c r="B62" s="216" t="s">
        <v>466</v>
      </c>
      <c r="C62" s="214" t="s">
        <v>266</v>
      </c>
      <c r="D62" s="14" t="s">
        <v>266</v>
      </c>
      <c r="E62" s="214" t="s">
        <v>266</v>
      </c>
      <c r="F62" s="14" t="s">
        <v>266</v>
      </c>
      <c r="G62" s="14" t="s">
        <v>266</v>
      </c>
      <c r="H62" s="14" t="s">
        <v>370</v>
      </c>
      <c r="I62" s="215" t="s">
        <v>266</v>
      </c>
      <c r="J62" s="43"/>
      <c r="K62" s="216" t="s">
        <v>466</v>
      </c>
      <c r="L62" s="214" t="s">
        <v>266</v>
      </c>
      <c r="M62" s="14" t="s">
        <v>266</v>
      </c>
      <c r="N62" s="214" t="s">
        <v>266</v>
      </c>
      <c r="O62" s="14" t="s">
        <v>266</v>
      </c>
      <c r="P62" s="14" t="s">
        <v>266</v>
      </c>
      <c r="Q62" s="14" t="s">
        <v>370</v>
      </c>
      <c r="R62" s="215" t="s">
        <v>266</v>
      </c>
      <c r="S62" s="43"/>
    </row>
    <row r="63" ht="15.75" customHeight="1">
      <c r="A63" s="43"/>
      <c r="B63" s="213" t="s">
        <v>77</v>
      </c>
      <c r="C63" s="214" t="s">
        <v>266</v>
      </c>
      <c r="D63" s="14" t="s">
        <v>266</v>
      </c>
      <c r="E63" s="214" t="s">
        <v>266</v>
      </c>
      <c r="F63" s="214" t="s">
        <v>266</v>
      </c>
      <c r="G63" s="214" t="s">
        <v>266</v>
      </c>
      <c r="H63" s="14" t="s">
        <v>370</v>
      </c>
      <c r="I63" s="215" t="s">
        <v>266</v>
      </c>
      <c r="J63" s="43"/>
      <c r="K63" s="213" t="s">
        <v>77</v>
      </c>
      <c r="L63" s="214" t="s">
        <v>266</v>
      </c>
      <c r="M63" s="14" t="s">
        <v>266</v>
      </c>
      <c r="N63" s="214" t="s">
        <v>266</v>
      </c>
      <c r="O63" s="214" t="s">
        <v>266</v>
      </c>
      <c r="P63" s="214" t="s">
        <v>469</v>
      </c>
      <c r="Q63" s="14" t="s">
        <v>370</v>
      </c>
      <c r="R63" s="215" t="s">
        <v>266</v>
      </c>
      <c r="S63" s="43"/>
    </row>
    <row r="64" ht="15.75" customHeight="1">
      <c r="A64" s="43"/>
      <c r="B64" s="216" t="s">
        <v>373</v>
      </c>
      <c r="C64" s="214" t="s">
        <v>266</v>
      </c>
      <c r="D64" s="14" t="s">
        <v>266</v>
      </c>
      <c r="E64" s="214" t="s">
        <v>266</v>
      </c>
      <c r="F64" s="14" t="s">
        <v>266</v>
      </c>
      <c r="G64" s="14" t="s">
        <v>266</v>
      </c>
      <c r="H64" s="14" t="s">
        <v>370</v>
      </c>
      <c r="I64" s="215" t="s">
        <v>266</v>
      </c>
      <c r="J64" s="43"/>
      <c r="K64" s="216" t="s">
        <v>373</v>
      </c>
      <c r="L64" s="214" t="s">
        <v>470</v>
      </c>
      <c r="M64" s="14" t="s">
        <v>266</v>
      </c>
      <c r="N64" s="214" t="s">
        <v>266</v>
      </c>
      <c r="O64" s="14" t="s">
        <v>266</v>
      </c>
      <c r="P64" s="14" t="s">
        <v>266</v>
      </c>
      <c r="Q64" s="14" t="s">
        <v>370</v>
      </c>
      <c r="R64" s="215" t="s">
        <v>266</v>
      </c>
      <c r="S64" s="43"/>
    </row>
    <row r="65" ht="15.75" customHeight="1">
      <c r="A65" s="43"/>
      <c r="B65" s="217" t="s">
        <v>472</v>
      </c>
      <c r="C65" s="214" t="s">
        <v>266</v>
      </c>
      <c r="D65" s="14" t="s">
        <v>266</v>
      </c>
      <c r="E65" s="214" t="s">
        <v>266</v>
      </c>
      <c r="F65" s="14" t="s">
        <v>266</v>
      </c>
      <c r="G65" s="14" t="s">
        <v>266</v>
      </c>
      <c r="H65" s="14" t="s">
        <v>370</v>
      </c>
      <c r="I65" s="215" t="s">
        <v>266</v>
      </c>
      <c r="J65" s="43"/>
      <c r="K65" s="217" t="s">
        <v>472</v>
      </c>
      <c r="L65" s="214" t="s">
        <v>266</v>
      </c>
      <c r="M65" s="14" t="s">
        <v>266</v>
      </c>
      <c r="N65" s="214" t="s">
        <v>266</v>
      </c>
      <c r="O65" s="14" t="s">
        <v>266</v>
      </c>
      <c r="P65" s="14" t="s">
        <v>266</v>
      </c>
      <c r="Q65" s="14" t="s">
        <v>370</v>
      </c>
      <c r="R65" s="215" t="s">
        <v>266</v>
      </c>
      <c r="S65" s="43"/>
    </row>
    <row r="66" ht="15.75" customHeight="1">
      <c r="A66" s="43"/>
      <c r="B66" s="213" t="s">
        <v>473</v>
      </c>
      <c r="C66" s="14" t="s">
        <v>266</v>
      </c>
      <c r="D66" s="14" t="s">
        <v>266</v>
      </c>
      <c r="E66" s="214" t="s">
        <v>266</v>
      </c>
      <c r="F66" s="14" t="s">
        <v>266</v>
      </c>
      <c r="G66" s="14" t="s">
        <v>266</v>
      </c>
      <c r="H66" s="14" t="s">
        <v>370</v>
      </c>
      <c r="I66" s="215" t="s">
        <v>266</v>
      </c>
      <c r="J66" s="43"/>
      <c r="K66" s="213" t="s">
        <v>473</v>
      </c>
      <c r="L66" s="14" t="s">
        <v>266</v>
      </c>
      <c r="M66" s="14" t="s">
        <v>266</v>
      </c>
      <c r="N66" s="214" t="s">
        <v>266</v>
      </c>
      <c r="O66" s="14" t="s">
        <v>266</v>
      </c>
      <c r="P66" s="14" t="s">
        <v>266</v>
      </c>
      <c r="Q66" s="14" t="s">
        <v>370</v>
      </c>
      <c r="R66" s="215" t="s">
        <v>266</v>
      </c>
      <c r="S66" s="43"/>
    </row>
    <row r="67" ht="15.75" customHeight="1">
      <c r="A67" s="43"/>
      <c r="B67" s="217" t="s">
        <v>474</v>
      </c>
      <c r="C67" s="214" t="s">
        <v>266</v>
      </c>
      <c r="D67" s="14" t="s">
        <v>266</v>
      </c>
      <c r="E67" s="214" t="s">
        <v>266</v>
      </c>
      <c r="F67" s="14" t="s">
        <v>266</v>
      </c>
      <c r="G67" s="14" t="s">
        <v>266</v>
      </c>
      <c r="H67" s="14" t="s">
        <v>370</v>
      </c>
      <c r="I67" s="215" t="s">
        <v>266</v>
      </c>
      <c r="J67" s="43"/>
      <c r="K67" s="217" t="s">
        <v>474</v>
      </c>
      <c r="L67" s="214" t="s">
        <v>266</v>
      </c>
      <c r="M67" s="14" t="s">
        <v>266</v>
      </c>
      <c r="N67" s="214" t="s">
        <v>266</v>
      </c>
      <c r="O67" s="14" t="s">
        <v>266</v>
      </c>
      <c r="P67" s="14" t="s">
        <v>266</v>
      </c>
      <c r="Q67" s="14" t="s">
        <v>370</v>
      </c>
      <c r="R67" s="215" t="s">
        <v>266</v>
      </c>
      <c r="S67" s="43"/>
    </row>
    <row r="68" ht="15.75" customHeight="1">
      <c r="A68" s="43"/>
      <c r="B68" s="216" t="s">
        <v>475</v>
      </c>
      <c r="C68" s="14" t="s">
        <v>266</v>
      </c>
      <c r="D68" s="14" t="s">
        <v>266</v>
      </c>
      <c r="E68" s="214" t="s">
        <v>266</v>
      </c>
      <c r="F68" s="14" t="s">
        <v>266</v>
      </c>
      <c r="G68" s="14" t="s">
        <v>266</v>
      </c>
      <c r="H68" s="14" t="s">
        <v>370</v>
      </c>
      <c r="I68" s="215"/>
      <c r="J68" s="43"/>
      <c r="K68" s="216" t="s">
        <v>475</v>
      </c>
      <c r="L68" s="14" t="s">
        <v>266</v>
      </c>
      <c r="M68" s="14" t="s">
        <v>266</v>
      </c>
      <c r="N68" s="214" t="s">
        <v>266</v>
      </c>
      <c r="O68" s="14" t="s">
        <v>266</v>
      </c>
      <c r="P68" s="14" t="s">
        <v>266</v>
      </c>
      <c r="Q68" s="14" t="s">
        <v>370</v>
      </c>
      <c r="R68" s="215"/>
      <c r="S68" s="43"/>
    </row>
    <row r="69" ht="15.75" customHeight="1">
      <c r="A69" s="43"/>
      <c r="B69" s="216" t="s">
        <v>478</v>
      </c>
      <c r="C69" s="14" t="s">
        <v>266</v>
      </c>
      <c r="D69" s="14" t="s">
        <v>266</v>
      </c>
      <c r="E69" s="214" t="s">
        <v>266</v>
      </c>
      <c r="F69" s="14" t="s">
        <v>266</v>
      </c>
      <c r="G69" s="14" t="s">
        <v>266</v>
      </c>
      <c r="H69" s="14" t="s">
        <v>370</v>
      </c>
      <c r="I69" s="215" t="s">
        <v>266</v>
      </c>
      <c r="J69" s="43"/>
      <c r="K69" s="216" t="s">
        <v>478</v>
      </c>
      <c r="L69" s="14" t="s">
        <v>266</v>
      </c>
      <c r="M69" s="14" t="s">
        <v>266</v>
      </c>
      <c r="N69" s="214" t="s">
        <v>266</v>
      </c>
      <c r="O69" s="14" t="s">
        <v>266</v>
      </c>
      <c r="P69" s="14" t="s">
        <v>266</v>
      </c>
      <c r="Q69" s="14" t="s">
        <v>370</v>
      </c>
      <c r="R69" s="215" t="s">
        <v>373</v>
      </c>
      <c r="S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row>
    <row r="71" ht="15.75" customHeight="1">
      <c r="A71" s="43"/>
      <c r="B71" s="210" t="s">
        <v>483</v>
      </c>
      <c r="J71" s="43"/>
      <c r="S71" s="43"/>
    </row>
    <row r="72" ht="15.75" customHeight="1">
      <c r="A72" s="43"/>
      <c r="B72" s="14" t="s">
        <v>453</v>
      </c>
      <c r="J72" s="43"/>
      <c r="K72" s="14" t="s">
        <v>454</v>
      </c>
      <c r="S72" s="43"/>
    </row>
    <row r="73" ht="15.75" customHeight="1">
      <c r="A73" s="43"/>
      <c r="B73" s="211" t="s">
        <v>455</v>
      </c>
      <c r="C73" s="212" t="s">
        <v>456</v>
      </c>
      <c r="D73" s="212" t="s">
        <v>457</v>
      </c>
      <c r="E73" s="212" t="s">
        <v>458</v>
      </c>
      <c r="F73" s="212" t="s">
        <v>7</v>
      </c>
      <c r="G73" s="204" t="s">
        <v>459</v>
      </c>
      <c r="H73" s="204" t="s">
        <v>460</v>
      </c>
      <c r="I73" s="207" t="s">
        <v>461</v>
      </c>
      <c r="J73" s="43"/>
      <c r="K73" s="211" t="s">
        <v>455</v>
      </c>
      <c r="L73" s="212" t="s">
        <v>456</v>
      </c>
      <c r="M73" s="212" t="s">
        <v>457</v>
      </c>
      <c r="N73" s="212" t="s">
        <v>458</v>
      </c>
      <c r="O73" s="212" t="s">
        <v>7</v>
      </c>
      <c r="P73" s="204" t="s">
        <v>459</v>
      </c>
      <c r="Q73" s="204" t="s">
        <v>460</v>
      </c>
      <c r="R73" s="207" t="s">
        <v>461</v>
      </c>
      <c r="S73" s="43"/>
    </row>
    <row r="74" ht="15.75" customHeight="1">
      <c r="A74" s="43"/>
      <c r="B74" s="213" t="s">
        <v>78</v>
      </c>
      <c r="C74" s="214" t="s">
        <v>462</v>
      </c>
      <c r="D74" s="14" t="s">
        <v>266</v>
      </c>
      <c r="E74" s="14" t="s">
        <v>266</v>
      </c>
      <c r="F74" s="214" t="s">
        <v>266</v>
      </c>
      <c r="G74" s="214" t="s">
        <v>266</v>
      </c>
      <c r="H74" s="14" t="s">
        <v>370</v>
      </c>
      <c r="I74" s="215" t="s">
        <v>266</v>
      </c>
      <c r="J74" s="43"/>
      <c r="K74" s="213" t="s">
        <v>78</v>
      </c>
      <c r="L74" s="214" t="s">
        <v>462</v>
      </c>
      <c r="M74" s="14" t="s">
        <v>266</v>
      </c>
      <c r="N74" s="14" t="s">
        <v>266</v>
      </c>
      <c r="O74" s="214" t="s">
        <v>41</v>
      </c>
      <c r="P74" s="214" t="s">
        <v>463</v>
      </c>
      <c r="Q74" s="14" t="s">
        <v>370</v>
      </c>
      <c r="R74" s="215" t="s">
        <v>266</v>
      </c>
      <c r="S74" s="43"/>
    </row>
    <row r="75" ht="15.75" customHeight="1">
      <c r="A75" s="43"/>
      <c r="B75" s="213" t="s">
        <v>464</v>
      </c>
      <c r="C75" s="14" t="s">
        <v>266</v>
      </c>
      <c r="D75" s="14" t="s">
        <v>266</v>
      </c>
      <c r="E75" s="14" t="s">
        <v>266</v>
      </c>
      <c r="F75" s="214" t="s">
        <v>266</v>
      </c>
      <c r="G75" s="214" t="s">
        <v>266</v>
      </c>
      <c r="H75" s="14" t="s">
        <v>370</v>
      </c>
      <c r="I75" s="215" t="s">
        <v>266</v>
      </c>
      <c r="J75" s="43"/>
      <c r="K75" s="213" t="s">
        <v>464</v>
      </c>
      <c r="L75" s="14" t="s">
        <v>266</v>
      </c>
      <c r="M75" s="14" t="s">
        <v>266</v>
      </c>
      <c r="N75" s="14" t="s">
        <v>266</v>
      </c>
      <c r="O75" s="214" t="s">
        <v>41</v>
      </c>
      <c r="P75" s="214" t="s">
        <v>484</v>
      </c>
      <c r="Q75" s="14" t="s">
        <v>370</v>
      </c>
      <c r="R75" s="215" t="s">
        <v>266</v>
      </c>
      <c r="S75" s="43"/>
    </row>
    <row r="76" ht="15.75" customHeight="1">
      <c r="A76" s="43"/>
      <c r="B76" s="213" t="s">
        <v>465</v>
      </c>
      <c r="C76" s="14" t="s">
        <v>266</v>
      </c>
      <c r="D76" s="14" t="s">
        <v>266</v>
      </c>
      <c r="E76" s="214" t="s">
        <v>485</v>
      </c>
      <c r="F76" s="214" t="s">
        <v>266</v>
      </c>
      <c r="G76" s="214" t="s">
        <v>266</v>
      </c>
      <c r="H76" s="14" t="s">
        <v>370</v>
      </c>
      <c r="I76" s="215" t="s">
        <v>373</v>
      </c>
      <c r="J76" s="43"/>
      <c r="K76" s="213" t="s">
        <v>465</v>
      </c>
      <c r="L76" s="14" t="s">
        <v>266</v>
      </c>
      <c r="M76" s="14" t="s">
        <v>266</v>
      </c>
      <c r="N76" s="214" t="s">
        <v>486</v>
      </c>
      <c r="O76" s="214" t="s">
        <v>41</v>
      </c>
      <c r="P76" s="214" t="s">
        <v>487</v>
      </c>
      <c r="Q76" s="14" t="s">
        <v>370</v>
      </c>
      <c r="R76" s="215" t="s">
        <v>373</v>
      </c>
      <c r="S76" s="43"/>
    </row>
    <row r="77" ht="15.75" customHeight="1">
      <c r="A77" s="43"/>
      <c r="B77" s="216" t="s">
        <v>466</v>
      </c>
      <c r="C77" s="214" t="s">
        <v>266</v>
      </c>
      <c r="D77" s="14" t="s">
        <v>266</v>
      </c>
      <c r="E77" s="214" t="s">
        <v>266</v>
      </c>
      <c r="F77" s="14" t="s">
        <v>266</v>
      </c>
      <c r="G77" s="14" t="s">
        <v>266</v>
      </c>
      <c r="H77" s="14" t="s">
        <v>370</v>
      </c>
      <c r="I77" s="215" t="s">
        <v>266</v>
      </c>
      <c r="J77" s="43"/>
      <c r="K77" s="216" t="s">
        <v>466</v>
      </c>
      <c r="L77" s="214" t="s">
        <v>266</v>
      </c>
      <c r="M77" s="14" t="s">
        <v>266</v>
      </c>
      <c r="N77" s="214" t="s">
        <v>266</v>
      </c>
      <c r="O77" s="14" t="s">
        <v>266</v>
      </c>
      <c r="P77" s="14" t="s">
        <v>266</v>
      </c>
      <c r="Q77" s="14" t="s">
        <v>370</v>
      </c>
      <c r="R77" s="215" t="s">
        <v>266</v>
      </c>
      <c r="S77" s="43"/>
    </row>
    <row r="78" ht="15.75" customHeight="1">
      <c r="A78" s="43"/>
      <c r="B78" s="213" t="s">
        <v>77</v>
      </c>
      <c r="C78" s="214" t="s">
        <v>266</v>
      </c>
      <c r="D78" s="14" t="s">
        <v>266</v>
      </c>
      <c r="E78" s="214" t="s">
        <v>266</v>
      </c>
      <c r="F78" s="214" t="s">
        <v>266</v>
      </c>
      <c r="G78" s="214" t="s">
        <v>266</v>
      </c>
      <c r="H78" s="14" t="s">
        <v>370</v>
      </c>
      <c r="I78" s="215" t="s">
        <v>266</v>
      </c>
      <c r="J78" s="43"/>
      <c r="K78" s="213" t="s">
        <v>77</v>
      </c>
      <c r="L78" s="214" t="s">
        <v>266</v>
      </c>
      <c r="M78" s="14" t="s">
        <v>266</v>
      </c>
      <c r="N78" s="214" t="s">
        <v>266</v>
      </c>
      <c r="O78" s="214" t="s">
        <v>41</v>
      </c>
      <c r="P78" s="214" t="s">
        <v>469</v>
      </c>
      <c r="Q78" s="14" t="s">
        <v>370</v>
      </c>
      <c r="R78" s="215" t="s">
        <v>373</v>
      </c>
      <c r="S78" s="43"/>
    </row>
    <row r="79" ht="15.75" customHeight="1">
      <c r="A79" s="43"/>
      <c r="B79" s="216" t="s">
        <v>373</v>
      </c>
      <c r="C79" s="214" t="s">
        <v>266</v>
      </c>
      <c r="D79" s="14" t="s">
        <v>266</v>
      </c>
      <c r="E79" s="214" t="s">
        <v>266</v>
      </c>
      <c r="F79" s="14" t="s">
        <v>266</v>
      </c>
      <c r="G79" s="14" t="s">
        <v>266</v>
      </c>
      <c r="H79" s="14" t="s">
        <v>370</v>
      </c>
      <c r="I79" s="215" t="s">
        <v>266</v>
      </c>
      <c r="J79" s="43"/>
      <c r="K79" s="216" t="s">
        <v>373</v>
      </c>
      <c r="L79" s="214" t="s">
        <v>470</v>
      </c>
      <c r="M79" s="14" t="s">
        <v>266</v>
      </c>
      <c r="N79" s="214" t="s">
        <v>266</v>
      </c>
      <c r="O79" s="14" t="s">
        <v>266</v>
      </c>
      <c r="P79" s="14" t="s">
        <v>266</v>
      </c>
      <c r="Q79" s="14" t="s">
        <v>370</v>
      </c>
      <c r="R79" s="215" t="s">
        <v>266</v>
      </c>
      <c r="S79" s="43"/>
    </row>
    <row r="80" ht="15.75" customHeight="1">
      <c r="A80" s="43"/>
      <c r="B80" s="217" t="s">
        <v>472</v>
      </c>
      <c r="C80" s="214" t="s">
        <v>266</v>
      </c>
      <c r="D80" s="14" t="s">
        <v>266</v>
      </c>
      <c r="E80" s="214" t="s">
        <v>266</v>
      </c>
      <c r="F80" s="14" t="s">
        <v>266</v>
      </c>
      <c r="G80" s="14" t="s">
        <v>266</v>
      </c>
      <c r="H80" s="14" t="s">
        <v>370</v>
      </c>
      <c r="I80" s="215" t="s">
        <v>266</v>
      </c>
      <c r="J80" s="43"/>
      <c r="K80" s="217" t="s">
        <v>472</v>
      </c>
      <c r="L80" s="214" t="s">
        <v>266</v>
      </c>
      <c r="M80" s="14" t="s">
        <v>266</v>
      </c>
      <c r="N80" s="214" t="s">
        <v>266</v>
      </c>
      <c r="O80" s="14" t="s">
        <v>266</v>
      </c>
      <c r="P80" s="14" t="s">
        <v>266</v>
      </c>
      <c r="Q80" s="14" t="s">
        <v>370</v>
      </c>
      <c r="R80" s="215" t="s">
        <v>266</v>
      </c>
      <c r="S80" s="43"/>
    </row>
    <row r="81" ht="15.75" customHeight="1">
      <c r="A81" s="43"/>
      <c r="B81" s="213" t="s">
        <v>473</v>
      </c>
      <c r="C81" s="14" t="s">
        <v>266</v>
      </c>
      <c r="D81" s="14" t="s">
        <v>266</v>
      </c>
      <c r="E81" s="214" t="s">
        <v>266</v>
      </c>
      <c r="F81" s="14" t="s">
        <v>266</v>
      </c>
      <c r="G81" s="14" t="s">
        <v>266</v>
      </c>
      <c r="H81" s="14" t="s">
        <v>370</v>
      </c>
      <c r="I81" s="215" t="s">
        <v>266</v>
      </c>
      <c r="J81" s="43"/>
      <c r="K81" s="213" t="s">
        <v>473</v>
      </c>
      <c r="L81" s="14" t="s">
        <v>266</v>
      </c>
      <c r="M81" s="14" t="s">
        <v>266</v>
      </c>
      <c r="N81" s="214" t="s">
        <v>266</v>
      </c>
      <c r="O81" s="14" t="s">
        <v>266</v>
      </c>
      <c r="P81" s="14" t="s">
        <v>266</v>
      </c>
      <c r="Q81" s="14" t="s">
        <v>370</v>
      </c>
      <c r="R81" s="215" t="s">
        <v>266</v>
      </c>
      <c r="S81" s="43"/>
    </row>
    <row r="82" ht="15.75" customHeight="1">
      <c r="A82" s="43"/>
      <c r="B82" s="217" t="s">
        <v>474</v>
      </c>
      <c r="C82" s="214" t="s">
        <v>266</v>
      </c>
      <c r="D82" s="14" t="s">
        <v>266</v>
      </c>
      <c r="E82" s="214" t="s">
        <v>266</v>
      </c>
      <c r="F82" s="14" t="s">
        <v>266</v>
      </c>
      <c r="G82" s="14" t="s">
        <v>266</v>
      </c>
      <c r="H82" s="14" t="s">
        <v>370</v>
      </c>
      <c r="I82" s="215" t="s">
        <v>266</v>
      </c>
      <c r="J82" s="43"/>
      <c r="K82" s="217" t="s">
        <v>474</v>
      </c>
      <c r="L82" s="214" t="s">
        <v>266</v>
      </c>
      <c r="M82" s="14" t="s">
        <v>266</v>
      </c>
      <c r="N82" s="214" t="s">
        <v>266</v>
      </c>
      <c r="O82" s="14" t="s">
        <v>266</v>
      </c>
      <c r="P82" s="14" t="s">
        <v>266</v>
      </c>
      <c r="Q82" s="14" t="s">
        <v>370</v>
      </c>
      <c r="R82" s="215" t="s">
        <v>266</v>
      </c>
      <c r="S82" s="43"/>
    </row>
    <row r="83" ht="15.75" customHeight="1">
      <c r="A83" s="43"/>
      <c r="B83" s="216" t="s">
        <v>475</v>
      </c>
      <c r="C83" s="14" t="s">
        <v>266</v>
      </c>
      <c r="D83" s="14" t="s">
        <v>266</v>
      </c>
      <c r="E83" s="214" t="s">
        <v>266</v>
      </c>
      <c r="F83" s="14" t="s">
        <v>266</v>
      </c>
      <c r="G83" s="14" t="s">
        <v>266</v>
      </c>
      <c r="H83" s="14" t="s">
        <v>370</v>
      </c>
      <c r="I83" s="215" t="s">
        <v>266</v>
      </c>
      <c r="J83" s="43"/>
      <c r="K83" s="216" t="s">
        <v>475</v>
      </c>
      <c r="L83" s="14" t="s">
        <v>266</v>
      </c>
      <c r="M83" s="14" t="s">
        <v>266</v>
      </c>
      <c r="N83" s="214" t="s">
        <v>266</v>
      </c>
      <c r="O83" s="14" t="s">
        <v>266</v>
      </c>
      <c r="P83" s="14" t="s">
        <v>266</v>
      </c>
      <c r="Q83" s="14" t="s">
        <v>370</v>
      </c>
      <c r="R83" s="215" t="s">
        <v>266</v>
      </c>
      <c r="S83" s="43"/>
    </row>
    <row r="84" ht="15.75" customHeight="1">
      <c r="A84" s="43"/>
      <c r="B84" s="43"/>
      <c r="C84" s="43"/>
      <c r="D84" s="43"/>
      <c r="E84" s="43"/>
      <c r="F84" s="43"/>
      <c r="G84" s="43"/>
      <c r="H84" s="43"/>
      <c r="I84" s="43"/>
      <c r="J84" s="43"/>
      <c r="K84" s="43"/>
      <c r="L84" s="43"/>
      <c r="M84" s="43"/>
      <c r="N84" s="43"/>
      <c r="O84" s="43"/>
      <c r="P84" s="43"/>
      <c r="Q84" s="43"/>
      <c r="R84" s="43"/>
      <c r="S84" s="43"/>
    </row>
    <row r="85" ht="15.75" customHeight="1">
      <c r="A85" s="43"/>
      <c r="B85" s="210" t="s">
        <v>488</v>
      </c>
      <c r="J85" s="43"/>
      <c r="S85" s="43"/>
    </row>
    <row r="86" ht="15.75" customHeight="1">
      <c r="A86" s="43"/>
      <c r="B86" s="14" t="s">
        <v>453</v>
      </c>
      <c r="J86" s="43"/>
      <c r="K86" s="14" t="s">
        <v>454</v>
      </c>
      <c r="S86" s="43"/>
    </row>
    <row r="87" ht="15.75" customHeight="1">
      <c r="A87" s="43"/>
      <c r="B87" s="211" t="s">
        <v>455</v>
      </c>
      <c r="C87" s="212" t="s">
        <v>456</v>
      </c>
      <c r="D87" s="212" t="s">
        <v>457</v>
      </c>
      <c r="E87" s="212" t="s">
        <v>458</v>
      </c>
      <c r="F87" s="212" t="s">
        <v>7</v>
      </c>
      <c r="G87" s="204" t="s">
        <v>459</v>
      </c>
      <c r="H87" s="204" t="s">
        <v>460</v>
      </c>
      <c r="I87" s="207" t="s">
        <v>461</v>
      </c>
      <c r="J87" s="43"/>
      <c r="K87" s="211" t="s">
        <v>455</v>
      </c>
      <c r="L87" s="212" t="s">
        <v>456</v>
      </c>
      <c r="M87" s="212" t="s">
        <v>457</v>
      </c>
      <c r="N87" s="212" t="s">
        <v>458</v>
      </c>
      <c r="O87" s="212" t="s">
        <v>7</v>
      </c>
      <c r="P87" s="204" t="s">
        <v>459</v>
      </c>
      <c r="Q87" s="204" t="s">
        <v>460</v>
      </c>
      <c r="R87" s="207" t="s">
        <v>461</v>
      </c>
      <c r="S87" s="43"/>
    </row>
    <row r="88" ht="15.75" customHeight="1">
      <c r="A88" s="43"/>
      <c r="B88" s="213" t="s">
        <v>78</v>
      </c>
      <c r="C88" s="214" t="s">
        <v>462</v>
      </c>
      <c r="D88" s="14" t="s">
        <v>266</v>
      </c>
      <c r="E88" s="14" t="s">
        <v>266</v>
      </c>
      <c r="F88" s="214" t="s">
        <v>373</v>
      </c>
      <c r="G88" s="214" t="s">
        <v>463</v>
      </c>
      <c r="H88" s="14" t="s">
        <v>370</v>
      </c>
      <c r="I88" s="215" t="s">
        <v>266</v>
      </c>
      <c r="J88" s="43"/>
      <c r="K88" s="213" t="s">
        <v>78</v>
      </c>
      <c r="L88" s="214" t="s">
        <v>462</v>
      </c>
      <c r="M88" s="14" t="s">
        <v>266</v>
      </c>
      <c r="N88" s="14" t="s">
        <v>266</v>
      </c>
      <c r="O88" s="214" t="s">
        <v>373</v>
      </c>
      <c r="P88" s="214" t="s">
        <v>463</v>
      </c>
      <c r="Q88" s="14" t="s">
        <v>370</v>
      </c>
      <c r="R88" s="215" t="s">
        <v>266</v>
      </c>
      <c r="S88" s="43"/>
    </row>
    <row r="89" ht="15.75" customHeight="1">
      <c r="A89" s="43"/>
      <c r="B89" s="213" t="s">
        <v>464</v>
      </c>
      <c r="C89" s="14" t="s">
        <v>266</v>
      </c>
      <c r="D89" s="14" t="s">
        <v>266</v>
      </c>
      <c r="E89" s="14" t="s">
        <v>266</v>
      </c>
      <c r="F89" s="214" t="s">
        <v>373</v>
      </c>
      <c r="G89" s="214" t="s">
        <v>463</v>
      </c>
      <c r="H89" s="14" t="s">
        <v>370</v>
      </c>
      <c r="I89" s="215" t="s">
        <v>266</v>
      </c>
      <c r="J89" s="43"/>
      <c r="K89" s="213" t="s">
        <v>464</v>
      </c>
      <c r="L89" s="14" t="s">
        <v>266</v>
      </c>
      <c r="M89" s="14" t="s">
        <v>266</v>
      </c>
      <c r="N89" s="14" t="s">
        <v>266</v>
      </c>
      <c r="O89" s="214" t="s">
        <v>373</v>
      </c>
      <c r="P89" s="214" t="s">
        <v>463</v>
      </c>
      <c r="Q89" s="14" t="s">
        <v>370</v>
      </c>
      <c r="R89" s="215" t="s">
        <v>266</v>
      </c>
      <c r="S89" s="43"/>
    </row>
    <row r="90" ht="15.75" customHeight="1">
      <c r="A90" s="43"/>
      <c r="B90" s="213" t="s">
        <v>465</v>
      </c>
      <c r="C90" s="14" t="s">
        <v>266</v>
      </c>
      <c r="D90" s="14" t="s">
        <v>266</v>
      </c>
      <c r="E90" s="214" t="s">
        <v>266</v>
      </c>
      <c r="F90" s="214" t="s">
        <v>373</v>
      </c>
      <c r="G90" s="214" t="s">
        <v>463</v>
      </c>
      <c r="H90" s="14" t="s">
        <v>370</v>
      </c>
      <c r="I90" s="215" t="s">
        <v>266</v>
      </c>
      <c r="J90" s="43"/>
      <c r="K90" s="213" t="s">
        <v>465</v>
      </c>
      <c r="L90" s="14" t="s">
        <v>266</v>
      </c>
      <c r="M90" s="14" t="s">
        <v>266</v>
      </c>
      <c r="N90" s="214" t="s">
        <v>266</v>
      </c>
      <c r="O90" s="214" t="s">
        <v>373</v>
      </c>
      <c r="P90" s="214" t="s">
        <v>463</v>
      </c>
      <c r="Q90" s="14" t="s">
        <v>370</v>
      </c>
      <c r="R90" s="215" t="s">
        <v>266</v>
      </c>
      <c r="S90" s="43"/>
    </row>
    <row r="91" ht="15.75" customHeight="1">
      <c r="A91" s="43"/>
      <c r="B91" s="216" t="s">
        <v>466</v>
      </c>
      <c r="C91" s="214" t="s">
        <v>266</v>
      </c>
      <c r="D91" s="14" t="s">
        <v>266</v>
      </c>
      <c r="E91" s="214" t="s">
        <v>266</v>
      </c>
      <c r="F91" s="14" t="s">
        <v>266</v>
      </c>
      <c r="G91" s="14" t="s">
        <v>266</v>
      </c>
      <c r="H91" s="14" t="s">
        <v>370</v>
      </c>
      <c r="I91" s="215" t="s">
        <v>266</v>
      </c>
      <c r="J91" s="43"/>
      <c r="K91" s="216" t="s">
        <v>466</v>
      </c>
      <c r="L91" s="214" t="s">
        <v>266</v>
      </c>
      <c r="M91" s="14" t="s">
        <v>266</v>
      </c>
      <c r="N91" s="214" t="s">
        <v>266</v>
      </c>
      <c r="O91" s="14" t="s">
        <v>266</v>
      </c>
      <c r="P91" s="14" t="s">
        <v>266</v>
      </c>
      <c r="Q91" s="14" t="s">
        <v>370</v>
      </c>
      <c r="R91" s="215" t="s">
        <v>266</v>
      </c>
      <c r="S91" s="43"/>
    </row>
    <row r="92" ht="15.75" customHeight="1">
      <c r="A92" s="43"/>
      <c r="B92" s="213" t="s">
        <v>77</v>
      </c>
      <c r="C92" s="214" t="s">
        <v>266</v>
      </c>
      <c r="D92" s="14" t="s">
        <v>266</v>
      </c>
      <c r="E92" s="214" t="s">
        <v>266</v>
      </c>
      <c r="F92" s="214" t="s">
        <v>373</v>
      </c>
      <c r="G92" s="214" t="s">
        <v>266</v>
      </c>
      <c r="H92" s="14" t="s">
        <v>370</v>
      </c>
      <c r="I92" s="215" t="s">
        <v>266</v>
      </c>
      <c r="J92" s="43"/>
      <c r="K92" s="213" t="s">
        <v>77</v>
      </c>
      <c r="L92" s="214" t="s">
        <v>266</v>
      </c>
      <c r="M92" s="14" t="s">
        <v>266</v>
      </c>
      <c r="N92" s="214" t="s">
        <v>266</v>
      </c>
      <c r="O92" s="214" t="s">
        <v>373</v>
      </c>
      <c r="P92" s="214" t="s">
        <v>469</v>
      </c>
      <c r="Q92" s="14" t="s">
        <v>370</v>
      </c>
      <c r="R92" s="215" t="s">
        <v>373</v>
      </c>
      <c r="S92" s="43"/>
    </row>
    <row r="93" ht="15.75" customHeight="1">
      <c r="A93" s="43"/>
      <c r="B93" s="216" t="s">
        <v>373</v>
      </c>
      <c r="C93" s="214" t="s">
        <v>266</v>
      </c>
      <c r="D93" s="14" t="s">
        <v>266</v>
      </c>
      <c r="E93" s="214" t="s">
        <v>266</v>
      </c>
      <c r="F93" s="14" t="s">
        <v>266</v>
      </c>
      <c r="G93" s="14" t="s">
        <v>266</v>
      </c>
      <c r="H93" s="14" t="s">
        <v>370</v>
      </c>
      <c r="I93" s="215" t="s">
        <v>266</v>
      </c>
      <c r="J93" s="43"/>
      <c r="K93" s="216" t="s">
        <v>373</v>
      </c>
      <c r="L93" s="214" t="s">
        <v>470</v>
      </c>
      <c r="M93" s="14" t="s">
        <v>266</v>
      </c>
      <c r="N93" s="214" t="s">
        <v>266</v>
      </c>
      <c r="O93" s="14" t="s">
        <v>266</v>
      </c>
      <c r="P93" s="14" t="s">
        <v>266</v>
      </c>
      <c r="Q93" s="14" t="s">
        <v>370</v>
      </c>
      <c r="R93" s="215" t="s">
        <v>266</v>
      </c>
      <c r="S93" s="43"/>
    </row>
    <row r="94" ht="15.75" customHeight="1">
      <c r="A94" s="43"/>
      <c r="B94" s="217" t="s">
        <v>472</v>
      </c>
      <c r="C94" s="214" t="s">
        <v>266</v>
      </c>
      <c r="D94" s="14" t="s">
        <v>266</v>
      </c>
      <c r="E94" s="214" t="s">
        <v>266</v>
      </c>
      <c r="F94" s="14" t="s">
        <v>266</v>
      </c>
      <c r="G94" s="14" t="s">
        <v>266</v>
      </c>
      <c r="H94" s="14" t="s">
        <v>370</v>
      </c>
      <c r="I94" s="215" t="s">
        <v>266</v>
      </c>
      <c r="J94" s="43"/>
      <c r="K94" s="217" t="s">
        <v>472</v>
      </c>
      <c r="L94" s="214" t="s">
        <v>266</v>
      </c>
      <c r="M94" s="14" t="s">
        <v>266</v>
      </c>
      <c r="N94" s="214" t="s">
        <v>266</v>
      </c>
      <c r="O94" s="14" t="s">
        <v>266</v>
      </c>
      <c r="P94" s="14" t="s">
        <v>266</v>
      </c>
      <c r="Q94" s="14" t="s">
        <v>370</v>
      </c>
      <c r="R94" s="215" t="s">
        <v>266</v>
      </c>
      <c r="S94" s="43"/>
    </row>
    <row r="95" ht="15.75" customHeight="1">
      <c r="A95" s="43"/>
      <c r="B95" s="213" t="s">
        <v>473</v>
      </c>
      <c r="C95" s="14" t="s">
        <v>266</v>
      </c>
      <c r="D95" s="14" t="s">
        <v>266</v>
      </c>
      <c r="E95" s="214" t="s">
        <v>266</v>
      </c>
      <c r="F95" s="14" t="s">
        <v>266</v>
      </c>
      <c r="G95" s="14" t="s">
        <v>266</v>
      </c>
      <c r="H95" s="14" t="s">
        <v>370</v>
      </c>
      <c r="I95" s="215" t="s">
        <v>266</v>
      </c>
      <c r="J95" s="43"/>
      <c r="K95" s="213" t="s">
        <v>473</v>
      </c>
      <c r="L95" s="14" t="s">
        <v>266</v>
      </c>
      <c r="M95" s="14" t="s">
        <v>266</v>
      </c>
      <c r="N95" s="214" t="s">
        <v>266</v>
      </c>
      <c r="O95" s="14" t="s">
        <v>266</v>
      </c>
      <c r="P95" s="14" t="s">
        <v>266</v>
      </c>
      <c r="Q95" s="14" t="s">
        <v>370</v>
      </c>
      <c r="R95" s="215" t="s">
        <v>266</v>
      </c>
      <c r="S95" s="43"/>
    </row>
    <row r="96" ht="15.75" customHeight="1">
      <c r="A96" s="43"/>
      <c r="B96" s="217" t="s">
        <v>474</v>
      </c>
      <c r="C96" s="214" t="s">
        <v>266</v>
      </c>
      <c r="D96" s="14" t="s">
        <v>266</v>
      </c>
      <c r="E96" s="214" t="s">
        <v>266</v>
      </c>
      <c r="F96" s="14" t="s">
        <v>266</v>
      </c>
      <c r="G96" s="14" t="s">
        <v>266</v>
      </c>
      <c r="H96" s="14" t="s">
        <v>370</v>
      </c>
      <c r="I96" s="215" t="s">
        <v>266</v>
      </c>
      <c r="J96" s="43"/>
      <c r="K96" s="217" t="s">
        <v>474</v>
      </c>
      <c r="L96" s="214" t="s">
        <v>266</v>
      </c>
      <c r="M96" s="14" t="s">
        <v>266</v>
      </c>
      <c r="N96" s="214" t="s">
        <v>266</v>
      </c>
      <c r="O96" s="14" t="s">
        <v>266</v>
      </c>
      <c r="P96" s="14" t="s">
        <v>266</v>
      </c>
      <c r="Q96" s="14" t="s">
        <v>370</v>
      </c>
      <c r="R96" s="215" t="s">
        <v>266</v>
      </c>
      <c r="S96" s="43"/>
    </row>
    <row r="97" ht="15.75" customHeight="1">
      <c r="A97" s="43"/>
      <c r="B97" s="216" t="s">
        <v>478</v>
      </c>
      <c r="C97" s="14" t="s">
        <v>266</v>
      </c>
      <c r="D97" s="14" t="s">
        <v>266</v>
      </c>
      <c r="E97" s="214" t="s">
        <v>266</v>
      </c>
      <c r="F97" s="14" t="s">
        <v>266</v>
      </c>
      <c r="G97" s="14" t="s">
        <v>266</v>
      </c>
      <c r="H97" s="14" t="s">
        <v>370</v>
      </c>
      <c r="I97" s="215" t="s">
        <v>266</v>
      </c>
      <c r="J97" s="43"/>
      <c r="K97" s="216" t="s">
        <v>478</v>
      </c>
      <c r="L97" s="14" t="s">
        <v>266</v>
      </c>
      <c r="M97" s="14" t="s">
        <v>266</v>
      </c>
      <c r="N97" s="214" t="s">
        <v>266</v>
      </c>
      <c r="O97" s="14" t="s">
        <v>266</v>
      </c>
      <c r="P97" s="14" t="s">
        <v>266</v>
      </c>
      <c r="Q97" s="14" t="s">
        <v>370</v>
      </c>
      <c r="R97" s="215" t="s">
        <v>266</v>
      </c>
      <c r="S97" s="43"/>
    </row>
    <row r="98" ht="15.75" customHeight="1">
      <c r="A98" s="43"/>
      <c r="B98" s="43"/>
      <c r="C98" s="43"/>
      <c r="D98" s="43"/>
      <c r="E98" s="43"/>
      <c r="F98" s="43"/>
      <c r="G98" s="43"/>
      <c r="H98" s="43"/>
      <c r="I98" s="43"/>
      <c r="J98" s="43"/>
      <c r="K98" s="43"/>
      <c r="L98" s="43"/>
      <c r="M98" s="43"/>
      <c r="N98" s="43"/>
      <c r="O98" s="43"/>
      <c r="P98" s="43"/>
      <c r="Q98" s="43"/>
      <c r="R98" s="43"/>
      <c r="S98" s="43"/>
    </row>
    <row r="99" ht="15.75" customHeight="1">
      <c r="A99" s="43"/>
      <c r="B99" s="210" t="s">
        <v>489</v>
      </c>
      <c r="J99" s="43"/>
      <c r="S99" s="43"/>
    </row>
    <row r="100" ht="15.75" customHeight="1">
      <c r="A100" s="43"/>
      <c r="B100" s="14" t="s">
        <v>453</v>
      </c>
      <c r="J100" s="43"/>
      <c r="K100" s="14" t="s">
        <v>454</v>
      </c>
      <c r="S100" s="43"/>
    </row>
    <row r="101" ht="15.75" customHeight="1">
      <c r="A101" s="43"/>
      <c r="B101" s="211" t="s">
        <v>455</v>
      </c>
      <c r="C101" s="212" t="s">
        <v>456</v>
      </c>
      <c r="D101" s="212" t="s">
        <v>457</v>
      </c>
      <c r="E101" s="212" t="s">
        <v>458</v>
      </c>
      <c r="F101" s="212" t="s">
        <v>7</v>
      </c>
      <c r="G101" s="204" t="s">
        <v>459</v>
      </c>
      <c r="H101" s="204" t="s">
        <v>460</v>
      </c>
      <c r="I101" s="207" t="s">
        <v>461</v>
      </c>
      <c r="J101" s="43"/>
      <c r="K101" s="211" t="s">
        <v>455</v>
      </c>
      <c r="L101" s="212" t="s">
        <v>456</v>
      </c>
      <c r="M101" s="212" t="s">
        <v>457</v>
      </c>
      <c r="N101" s="212" t="s">
        <v>458</v>
      </c>
      <c r="O101" s="212" t="s">
        <v>7</v>
      </c>
      <c r="P101" s="204" t="s">
        <v>459</v>
      </c>
      <c r="Q101" s="204" t="s">
        <v>460</v>
      </c>
      <c r="R101" s="207" t="s">
        <v>461</v>
      </c>
      <c r="S101" s="43"/>
    </row>
    <row r="102" ht="15.75" customHeight="1">
      <c r="A102" s="43"/>
      <c r="B102" s="213" t="s">
        <v>78</v>
      </c>
      <c r="C102" s="214" t="s">
        <v>462</v>
      </c>
      <c r="D102" s="14" t="s">
        <v>266</v>
      </c>
      <c r="E102" s="14" t="s">
        <v>266</v>
      </c>
      <c r="F102" s="214" t="s">
        <v>266</v>
      </c>
      <c r="G102" s="214" t="s">
        <v>490</v>
      </c>
      <c r="H102" s="14" t="s">
        <v>370</v>
      </c>
      <c r="I102" s="215" t="s">
        <v>266</v>
      </c>
      <c r="J102" s="43"/>
      <c r="K102" s="213" t="s">
        <v>78</v>
      </c>
      <c r="L102" s="214" t="s">
        <v>462</v>
      </c>
      <c r="M102" s="14" t="s">
        <v>266</v>
      </c>
      <c r="N102" s="14" t="s">
        <v>266</v>
      </c>
      <c r="O102" s="214" t="s">
        <v>266</v>
      </c>
      <c r="P102" s="214" t="s">
        <v>491</v>
      </c>
      <c r="Q102" s="14" t="s">
        <v>370</v>
      </c>
      <c r="R102" s="215" t="s">
        <v>266</v>
      </c>
      <c r="S102" s="43"/>
    </row>
    <row r="103" ht="15.75" customHeight="1">
      <c r="A103" s="43"/>
      <c r="B103" s="213" t="s">
        <v>464</v>
      </c>
      <c r="C103" s="14" t="s">
        <v>266</v>
      </c>
      <c r="D103" s="14" t="s">
        <v>266</v>
      </c>
      <c r="E103" s="14" t="s">
        <v>266</v>
      </c>
      <c r="F103" s="214" t="s">
        <v>266</v>
      </c>
      <c r="G103" s="214" t="s">
        <v>492</v>
      </c>
      <c r="H103" s="14" t="s">
        <v>370</v>
      </c>
      <c r="I103" s="215" t="s">
        <v>266</v>
      </c>
      <c r="J103" s="43"/>
      <c r="K103" s="213" t="s">
        <v>464</v>
      </c>
      <c r="L103" s="14" t="s">
        <v>266</v>
      </c>
      <c r="M103" s="14" t="s">
        <v>266</v>
      </c>
      <c r="N103" s="14" t="s">
        <v>266</v>
      </c>
      <c r="O103" s="214" t="s">
        <v>266</v>
      </c>
      <c r="P103" s="214" t="s">
        <v>491</v>
      </c>
      <c r="Q103" s="14" t="s">
        <v>370</v>
      </c>
      <c r="S103" s="43"/>
    </row>
    <row r="104" ht="15.75" customHeight="1">
      <c r="A104" s="43"/>
      <c r="B104" s="213" t="s">
        <v>465</v>
      </c>
      <c r="C104" s="14" t="s">
        <v>266</v>
      </c>
      <c r="D104" s="14" t="s">
        <v>266</v>
      </c>
      <c r="E104" s="214" t="s">
        <v>266</v>
      </c>
      <c r="F104" s="214" t="s">
        <v>266</v>
      </c>
      <c r="G104" s="214" t="s">
        <v>493</v>
      </c>
      <c r="H104" s="14" t="s">
        <v>370</v>
      </c>
      <c r="I104" s="215" t="s">
        <v>266</v>
      </c>
      <c r="J104" s="43"/>
      <c r="K104" s="213" t="s">
        <v>465</v>
      </c>
      <c r="L104" s="14" t="s">
        <v>266</v>
      </c>
      <c r="M104" s="14" t="s">
        <v>266</v>
      </c>
      <c r="N104" s="214" t="s">
        <v>266</v>
      </c>
      <c r="O104" s="214" t="s">
        <v>266</v>
      </c>
      <c r="P104" s="214" t="s">
        <v>491</v>
      </c>
      <c r="Q104" s="14" t="s">
        <v>370</v>
      </c>
      <c r="R104" s="215" t="s">
        <v>266</v>
      </c>
      <c r="S104" s="43"/>
    </row>
    <row r="105" ht="15.75" customHeight="1">
      <c r="A105" s="43"/>
      <c r="B105" s="216" t="s">
        <v>466</v>
      </c>
      <c r="C105" s="214" t="s">
        <v>266</v>
      </c>
      <c r="D105" s="14" t="s">
        <v>266</v>
      </c>
      <c r="E105" s="214" t="s">
        <v>266</v>
      </c>
      <c r="F105" s="14" t="s">
        <v>266</v>
      </c>
      <c r="G105" s="14" t="s">
        <v>266</v>
      </c>
      <c r="H105" s="14" t="s">
        <v>370</v>
      </c>
      <c r="I105" s="215" t="s">
        <v>266</v>
      </c>
      <c r="J105" s="43"/>
      <c r="K105" s="216" t="s">
        <v>466</v>
      </c>
      <c r="L105" s="214" t="s">
        <v>266</v>
      </c>
      <c r="M105" s="14" t="s">
        <v>266</v>
      </c>
      <c r="N105" s="214" t="s">
        <v>266</v>
      </c>
      <c r="O105" s="14" t="s">
        <v>266</v>
      </c>
      <c r="P105" s="14" t="s">
        <v>266</v>
      </c>
      <c r="Q105" s="14" t="s">
        <v>370</v>
      </c>
      <c r="R105" s="215" t="s">
        <v>266</v>
      </c>
      <c r="S105" s="43"/>
    </row>
    <row r="106" ht="15.75" customHeight="1">
      <c r="A106" s="43"/>
      <c r="B106" s="213" t="s">
        <v>77</v>
      </c>
      <c r="C106" s="214" t="s">
        <v>266</v>
      </c>
      <c r="D106" s="14" t="s">
        <v>266</v>
      </c>
      <c r="E106" s="214" t="s">
        <v>266</v>
      </c>
      <c r="F106" s="214" t="s">
        <v>494</v>
      </c>
      <c r="G106" s="214" t="s">
        <v>374</v>
      </c>
      <c r="H106" s="14" t="s">
        <v>370</v>
      </c>
      <c r="I106" s="215" t="s">
        <v>266</v>
      </c>
      <c r="J106" s="43"/>
      <c r="K106" s="213" t="s">
        <v>77</v>
      </c>
      <c r="L106" s="214" t="s">
        <v>266</v>
      </c>
      <c r="M106" s="14" t="s">
        <v>266</v>
      </c>
      <c r="N106" s="214" t="s">
        <v>266</v>
      </c>
      <c r="O106" s="214" t="s">
        <v>266</v>
      </c>
      <c r="P106" s="214" t="s">
        <v>374</v>
      </c>
      <c r="Q106" s="14" t="s">
        <v>370</v>
      </c>
      <c r="R106" s="215" t="s">
        <v>495</v>
      </c>
      <c r="S106" s="43"/>
    </row>
    <row r="107" ht="15.75" customHeight="1">
      <c r="A107" s="43"/>
      <c r="B107" s="217" t="s">
        <v>472</v>
      </c>
      <c r="C107" s="214" t="s">
        <v>266</v>
      </c>
      <c r="D107" s="14" t="s">
        <v>266</v>
      </c>
      <c r="E107" s="214" t="s">
        <v>266</v>
      </c>
      <c r="F107" s="14" t="s">
        <v>266</v>
      </c>
      <c r="G107" s="14" t="s">
        <v>266</v>
      </c>
      <c r="H107" s="14" t="s">
        <v>370</v>
      </c>
      <c r="I107" s="215" t="s">
        <v>266</v>
      </c>
      <c r="J107" s="43"/>
      <c r="K107" s="217" t="s">
        <v>472</v>
      </c>
      <c r="L107" s="214" t="s">
        <v>266</v>
      </c>
      <c r="M107" s="14" t="s">
        <v>266</v>
      </c>
      <c r="N107" s="214" t="s">
        <v>266</v>
      </c>
      <c r="O107" s="14" t="s">
        <v>266</v>
      </c>
      <c r="P107" s="14" t="s">
        <v>266</v>
      </c>
      <c r="Q107" s="14" t="s">
        <v>370</v>
      </c>
      <c r="R107" s="215" t="s">
        <v>266</v>
      </c>
      <c r="S107" s="43"/>
    </row>
    <row r="108" ht="15.75" customHeight="1">
      <c r="A108" s="43"/>
      <c r="B108" s="213" t="s">
        <v>473</v>
      </c>
      <c r="C108" s="14" t="s">
        <v>266</v>
      </c>
      <c r="D108" s="14" t="s">
        <v>266</v>
      </c>
      <c r="E108" s="214" t="s">
        <v>266</v>
      </c>
      <c r="F108" s="14" t="s">
        <v>266</v>
      </c>
      <c r="G108" s="14" t="s">
        <v>266</v>
      </c>
      <c r="H108" s="14" t="s">
        <v>370</v>
      </c>
      <c r="I108" s="215" t="s">
        <v>266</v>
      </c>
      <c r="J108" s="43"/>
      <c r="K108" s="213" t="s">
        <v>473</v>
      </c>
      <c r="L108" s="14" t="s">
        <v>266</v>
      </c>
      <c r="M108" s="14" t="s">
        <v>266</v>
      </c>
      <c r="N108" s="214" t="s">
        <v>266</v>
      </c>
      <c r="O108" s="14" t="s">
        <v>266</v>
      </c>
      <c r="P108" s="14" t="s">
        <v>266</v>
      </c>
      <c r="Q108" s="14" t="s">
        <v>370</v>
      </c>
      <c r="R108" s="215" t="s">
        <v>266</v>
      </c>
      <c r="S108" s="43"/>
    </row>
    <row r="109" ht="15.75" customHeight="1">
      <c r="A109" s="43"/>
      <c r="B109" s="217" t="s">
        <v>474</v>
      </c>
      <c r="C109" s="214" t="s">
        <v>266</v>
      </c>
      <c r="D109" s="14" t="s">
        <v>266</v>
      </c>
      <c r="E109" s="214" t="s">
        <v>266</v>
      </c>
      <c r="F109" s="14" t="s">
        <v>266</v>
      </c>
      <c r="G109" s="14" t="s">
        <v>266</v>
      </c>
      <c r="H109" s="14" t="s">
        <v>370</v>
      </c>
      <c r="I109" s="215" t="s">
        <v>266</v>
      </c>
      <c r="J109" s="43"/>
      <c r="K109" s="217" t="s">
        <v>474</v>
      </c>
      <c r="L109" s="214" t="s">
        <v>266</v>
      </c>
      <c r="M109" s="14" t="s">
        <v>266</v>
      </c>
      <c r="N109" s="214" t="s">
        <v>266</v>
      </c>
      <c r="O109" s="14" t="s">
        <v>266</v>
      </c>
      <c r="P109" s="14" t="s">
        <v>266</v>
      </c>
      <c r="Q109" s="14" t="s">
        <v>370</v>
      </c>
      <c r="R109" s="215" t="s">
        <v>266</v>
      </c>
      <c r="S109" s="43"/>
    </row>
    <row r="110" ht="15.75" customHeight="1">
      <c r="A110" s="43"/>
      <c r="B110" s="216" t="s">
        <v>478</v>
      </c>
      <c r="C110" s="14" t="s">
        <v>266</v>
      </c>
      <c r="D110" s="14" t="s">
        <v>266</v>
      </c>
      <c r="E110" s="214" t="s">
        <v>266</v>
      </c>
      <c r="F110" s="14" t="s">
        <v>266</v>
      </c>
      <c r="G110" s="14" t="s">
        <v>266</v>
      </c>
      <c r="H110" s="14" t="s">
        <v>370</v>
      </c>
      <c r="I110" s="215" t="s">
        <v>77</v>
      </c>
      <c r="J110" s="43"/>
      <c r="K110" s="216" t="s">
        <v>478</v>
      </c>
      <c r="L110" s="14" t="s">
        <v>266</v>
      </c>
      <c r="M110" s="14" t="s">
        <v>266</v>
      </c>
      <c r="N110" s="214" t="s">
        <v>266</v>
      </c>
      <c r="O110" s="14" t="s">
        <v>266</v>
      </c>
      <c r="P110" s="14" t="s">
        <v>266</v>
      </c>
      <c r="Q110" s="14" t="s">
        <v>370</v>
      </c>
      <c r="R110" s="215" t="s">
        <v>77</v>
      </c>
      <c r="S110" s="43"/>
    </row>
    <row r="111" ht="15.75" customHeight="1">
      <c r="A111" s="43"/>
      <c r="B111" s="43"/>
      <c r="C111" s="43"/>
      <c r="D111" s="43"/>
      <c r="E111" s="43"/>
      <c r="F111" s="43"/>
      <c r="G111" s="43"/>
      <c r="H111" s="43"/>
      <c r="I111" s="43"/>
      <c r="J111" s="43"/>
      <c r="K111" s="43"/>
      <c r="L111" s="43"/>
      <c r="M111" s="43"/>
      <c r="N111" s="43"/>
      <c r="O111" s="43"/>
      <c r="P111" s="43"/>
      <c r="Q111" s="43"/>
      <c r="R111" s="43"/>
      <c r="S111" s="43"/>
    </row>
    <row r="112" ht="15.75" customHeight="1">
      <c r="A112" s="43"/>
      <c r="B112" s="210" t="s">
        <v>496</v>
      </c>
      <c r="J112" s="43"/>
      <c r="S112" s="43"/>
    </row>
    <row r="113" ht="15.75" customHeight="1">
      <c r="A113" s="43"/>
      <c r="B113" s="14" t="s">
        <v>453</v>
      </c>
      <c r="J113" s="43"/>
      <c r="K113" s="14" t="s">
        <v>454</v>
      </c>
      <c r="S113" s="43"/>
    </row>
    <row r="114" ht="15.75" customHeight="1">
      <c r="A114" s="43"/>
      <c r="B114" s="211" t="s">
        <v>455</v>
      </c>
      <c r="C114" s="212" t="s">
        <v>456</v>
      </c>
      <c r="D114" s="212" t="s">
        <v>457</v>
      </c>
      <c r="E114" s="212" t="s">
        <v>458</v>
      </c>
      <c r="F114" s="212" t="s">
        <v>7</v>
      </c>
      <c r="G114" s="204" t="s">
        <v>459</v>
      </c>
      <c r="H114" s="204" t="s">
        <v>460</v>
      </c>
      <c r="I114" s="207" t="s">
        <v>461</v>
      </c>
      <c r="J114" s="43"/>
      <c r="K114" s="211" t="s">
        <v>455</v>
      </c>
      <c r="L114" s="212" t="s">
        <v>456</v>
      </c>
      <c r="M114" s="212" t="s">
        <v>457</v>
      </c>
      <c r="N114" s="212" t="s">
        <v>458</v>
      </c>
      <c r="O114" s="212" t="s">
        <v>7</v>
      </c>
      <c r="P114" s="204" t="s">
        <v>459</v>
      </c>
      <c r="Q114" s="204" t="s">
        <v>460</v>
      </c>
      <c r="R114" s="207" t="s">
        <v>461</v>
      </c>
      <c r="S114" s="43"/>
    </row>
    <row r="115" ht="15.75" customHeight="1">
      <c r="A115" s="43"/>
      <c r="B115" s="213" t="s">
        <v>78</v>
      </c>
      <c r="C115" s="214" t="s">
        <v>462</v>
      </c>
      <c r="D115" s="14" t="s">
        <v>266</v>
      </c>
      <c r="E115" s="14" t="s">
        <v>266</v>
      </c>
      <c r="F115" s="214" t="s">
        <v>266</v>
      </c>
      <c r="G115" s="214" t="s">
        <v>266</v>
      </c>
      <c r="H115" s="14" t="s">
        <v>370</v>
      </c>
      <c r="I115" s="215" t="s">
        <v>266</v>
      </c>
      <c r="J115" s="43"/>
      <c r="K115" s="213" t="s">
        <v>78</v>
      </c>
      <c r="L115" s="214" t="s">
        <v>462</v>
      </c>
      <c r="M115" s="14" t="s">
        <v>266</v>
      </c>
      <c r="N115" s="14" t="s">
        <v>266</v>
      </c>
      <c r="O115" s="214" t="s">
        <v>266</v>
      </c>
      <c r="P115" s="214" t="s">
        <v>491</v>
      </c>
      <c r="Q115" s="14" t="s">
        <v>370</v>
      </c>
      <c r="R115" s="215" t="s">
        <v>266</v>
      </c>
      <c r="S115" s="43"/>
    </row>
    <row r="116" ht="15.75" customHeight="1">
      <c r="A116" s="43"/>
      <c r="B116" s="213" t="s">
        <v>464</v>
      </c>
      <c r="C116" s="14" t="s">
        <v>266</v>
      </c>
      <c r="D116" s="14" t="s">
        <v>266</v>
      </c>
      <c r="E116" s="14" t="s">
        <v>266</v>
      </c>
      <c r="F116" s="214" t="s">
        <v>266</v>
      </c>
      <c r="G116" s="214" t="s">
        <v>266</v>
      </c>
      <c r="H116" s="14" t="s">
        <v>370</v>
      </c>
      <c r="I116" s="215" t="s">
        <v>266</v>
      </c>
      <c r="J116" s="43"/>
      <c r="K116" s="213" t="s">
        <v>464</v>
      </c>
      <c r="L116" s="14" t="s">
        <v>266</v>
      </c>
      <c r="M116" s="14" t="s">
        <v>266</v>
      </c>
      <c r="N116" s="14" t="s">
        <v>266</v>
      </c>
      <c r="O116" s="214" t="s">
        <v>266</v>
      </c>
      <c r="P116" s="214" t="s">
        <v>491</v>
      </c>
      <c r="Q116" s="14" t="s">
        <v>370</v>
      </c>
      <c r="R116" s="215" t="s">
        <v>266</v>
      </c>
      <c r="S116" s="43"/>
    </row>
    <row r="117" ht="15.75" customHeight="1">
      <c r="A117" s="43"/>
      <c r="B117" s="213" t="s">
        <v>465</v>
      </c>
      <c r="C117" s="14" t="s">
        <v>266</v>
      </c>
      <c r="D117" s="14" t="s">
        <v>266</v>
      </c>
      <c r="E117" s="214" t="s">
        <v>266</v>
      </c>
      <c r="F117" s="214" t="s">
        <v>266</v>
      </c>
      <c r="G117" s="214" t="s">
        <v>266</v>
      </c>
      <c r="H117" s="14" t="s">
        <v>370</v>
      </c>
      <c r="I117" s="215" t="s">
        <v>266</v>
      </c>
      <c r="J117" s="43"/>
      <c r="K117" s="213" t="s">
        <v>465</v>
      </c>
      <c r="L117" s="14" t="s">
        <v>266</v>
      </c>
      <c r="M117" s="14" t="s">
        <v>266</v>
      </c>
      <c r="N117" s="214" t="s">
        <v>266</v>
      </c>
      <c r="O117" s="214" t="s">
        <v>266</v>
      </c>
      <c r="P117" s="214" t="s">
        <v>491</v>
      </c>
      <c r="Q117" s="14" t="s">
        <v>370</v>
      </c>
      <c r="R117" s="215" t="s">
        <v>266</v>
      </c>
      <c r="S117" s="43"/>
    </row>
    <row r="118" ht="15.75" customHeight="1">
      <c r="A118" s="43"/>
      <c r="B118" s="216" t="s">
        <v>466</v>
      </c>
      <c r="C118" s="214" t="s">
        <v>266</v>
      </c>
      <c r="D118" s="14" t="s">
        <v>266</v>
      </c>
      <c r="E118" s="214" t="s">
        <v>266</v>
      </c>
      <c r="F118" s="14" t="s">
        <v>266</v>
      </c>
      <c r="G118" s="14" t="s">
        <v>266</v>
      </c>
      <c r="H118" s="14" t="s">
        <v>370</v>
      </c>
      <c r="I118" s="215" t="s">
        <v>266</v>
      </c>
      <c r="J118" s="43"/>
      <c r="K118" s="216" t="s">
        <v>466</v>
      </c>
      <c r="L118" s="214" t="s">
        <v>266</v>
      </c>
      <c r="M118" s="14" t="s">
        <v>266</v>
      </c>
      <c r="N118" s="214" t="s">
        <v>266</v>
      </c>
      <c r="O118" s="14" t="s">
        <v>266</v>
      </c>
      <c r="P118" s="14" t="s">
        <v>266</v>
      </c>
      <c r="Q118" s="14" t="s">
        <v>370</v>
      </c>
      <c r="R118" s="215" t="s">
        <v>266</v>
      </c>
      <c r="S118" s="43"/>
    </row>
    <row r="119" ht="15.75" customHeight="1">
      <c r="A119" s="43"/>
      <c r="B119" s="213" t="s">
        <v>77</v>
      </c>
      <c r="C119" s="214" t="s">
        <v>266</v>
      </c>
      <c r="D119" s="14" t="s">
        <v>266</v>
      </c>
      <c r="E119" s="214" t="s">
        <v>266</v>
      </c>
      <c r="F119" s="214" t="s">
        <v>266</v>
      </c>
      <c r="G119" s="214" t="s">
        <v>374</v>
      </c>
      <c r="H119" s="14" t="s">
        <v>370</v>
      </c>
      <c r="I119" s="223" t="s">
        <v>497</v>
      </c>
      <c r="J119" s="43"/>
      <c r="K119" s="213" t="s">
        <v>77</v>
      </c>
      <c r="L119" s="214" t="s">
        <v>266</v>
      </c>
      <c r="M119" s="14" t="s">
        <v>266</v>
      </c>
      <c r="N119" s="214" t="s">
        <v>266</v>
      </c>
      <c r="O119" s="214" t="s">
        <v>266</v>
      </c>
      <c r="P119" s="214" t="s">
        <v>374</v>
      </c>
      <c r="Q119" s="14" t="s">
        <v>370</v>
      </c>
      <c r="R119" s="215" t="s">
        <v>472</v>
      </c>
      <c r="S119" s="43"/>
    </row>
    <row r="120" ht="15.75" customHeight="1">
      <c r="A120" s="43"/>
      <c r="B120" s="217" t="s">
        <v>472</v>
      </c>
      <c r="C120" s="214" t="s">
        <v>266</v>
      </c>
      <c r="D120" s="14" t="s">
        <v>266</v>
      </c>
      <c r="E120" s="214" t="s">
        <v>266</v>
      </c>
      <c r="F120" s="14" t="s">
        <v>266</v>
      </c>
      <c r="G120" s="14" t="s">
        <v>266</v>
      </c>
      <c r="H120" s="14" t="s">
        <v>370</v>
      </c>
      <c r="I120" s="215" t="s">
        <v>266</v>
      </c>
      <c r="J120" s="43"/>
      <c r="K120" s="217" t="s">
        <v>472</v>
      </c>
      <c r="L120" s="214" t="s">
        <v>266</v>
      </c>
      <c r="M120" s="14" t="s">
        <v>266</v>
      </c>
      <c r="N120" s="214" t="s">
        <v>266</v>
      </c>
      <c r="O120" s="14" t="s">
        <v>498</v>
      </c>
      <c r="P120" s="14" t="s">
        <v>217</v>
      </c>
      <c r="Q120" s="14" t="s">
        <v>370</v>
      </c>
      <c r="R120" s="215" t="s">
        <v>266</v>
      </c>
      <c r="S120" s="43"/>
    </row>
    <row r="121" ht="15.75" customHeight="1">
      <c r="A121" s="43"/>
      <c r="B121" s="213" t="s">
        <v>473</v>
      </c>
      <c r="C121" s="14" t="s">
        <v>266</v>
      </c>
      <c r="D121" s="14" t="s">
        <v>266</v>
      </c>
      <c r="E121" s="214" t="s">
        <v>266</v>
      </c>
      <c r="F121" s="14" t="s">
        <v>266</v>
      </c>
      <c r="G121" s="14" t="s">
        <v>266</v>
      </c>
      <c r="H121" s="14" t="s">
        <v>370</v>
      </c>
      <c r="I121" s="215" t="s">
        <v>266</v>
      </c>
      <c r="J121" s="43"/>
      <c r="K121" s="213" t="s">
        <v>473</v>
      </c>
      <c r="L121" s="14" t="s">
        <v>266</v>
      </c>
      <c r="M121" s="14" t="s">
        <v>266</v>
      </c>
      <c r="N121" s="214" t="s">
        <v>266</v>
      </c>
      <c r="O121" s="14" t="s">
        <v>266</v>
      </c>
      <c r="P121" s="14" t="s">
        <v>266</v>
      </c>
      <c r="Q121" s="14" t="s">
        <v>370</v>
      </c>
      <c r="R121" s="215" t="s">
        <v>266</v>
      </c>
      <c r="S121" s="43"/>
    </row>
    <row r="122" ht="15.75" customHeight="1">
      <c r="A122" s="43"/>
      <c r="B122" s="217" t="s">
        <v>474</v>
      </c>
      <c r="C122" s="214" t="s">
        <v>266</v>
      </c>
      <c r="D122" s="14" t="s">
        <v>266</v>
      </c>
      <c r="E122" s="214" t="s">
        <v>266</v>
      </c>
      <c r="F122" s="14" t="s">
        <v>266</v>
      </c>
      <c r="G122" s="14" t="s">
        <v>266</v>
      </c>
      <c r="H122" s="14" t="s">
        <v>370</v>
      </c>
      <c r="I122" s="215" t="s">
        <v>266</v>
      </c>
      <c r="J122" s="43"/>
      <c r="K122" s="217" t="s">
        <v>474</v>
      </c>
      <c r="L122" s="214" t="s">
        <v>266</v>
      </c>
      <c r="M122" s="14" t="s">
        <v>266</v>
      </c>
      <c r="N122" s="214" t="s">
        <v>266</v>
      </c>
      <c r="O122" s="14" t="s">
        <v>266</v>
      </c>
      <c r="P122" s="14" t="s">
        <v>266</v>
      </c>
      <c r="Q122" s="14" t="s">
        <v>370</v>
      </c>
      <c r="R122" s="215" t="s">
        <v>266</v>
      </c>
      <c r="S122" s="43"/>
    </row>
    <row r="123" ht="15.75" customHeight="1">
      <c r="A123" s="43"/>
      <c r="B123" s="43"/>
      <c r="C123" s="43"/>
      <c r="D123" s="43"/>
      <c r="E123" s="43"/>
      <c r="F123" s="43"/>
      <c r="G123" s="43"/>
      <c r="H123" s="43"/>
      <c r="I123" s="43"/>
      <c r="J123" s="43"/>
      <c r="K123" s="43"/>
      <c r="L123" s="43"/>
      <c r="M123" s="43"/>
      <c r="N123" s="43"/>
      <c r="O123" s="43"/>
      <c r="P123" s="43"/>
      <c r="Q123" s="43"/>
      <c r="R123" s="43"/>
      <c r="S123" s="43"/>
    </row>
    <row r="124" ht="15.75" customHeight="1">
      <c r="A124" s="43"/>
      <c r="B124" s="210" t="s">
        <v>499</v>
      </c>
      <c r="J124" s="43"/>
      <c r="S124" s="43"/>
    </row>
    <row r="125" ht="15.75" customHeight="1">
      <c r="A125" s="43"/>
      <c r="B125" s="14" t="s">
        <v>453</v>
      </c>
      <c r="J125" s="43"/>
      <c r="K125" s="14" t="s">
        <v>454</v>
      </c>
      <c r="S125" s="43"/>
    </row>
    <row r="126" ht="15.75" customHeight="1">
      <c r="A126" s="43"/>
      <c r="B126" s="211" t="s">
        <v>455</v>
      </c>
      <c r="C126" s="212" t="s">
        <v>456</v>
      </c>
      <c r="D126" s="212" t="s">
        <v>457</v>
      </c>
      <c r="E126" s="212" t="s">
        <v>458</v>
      </c>
      <c r="F126" s="212" t="s">
        <v>7</v>
      </c>
      <c r="G126" s="204" t="s">
        <v>459</v>
      </c>
      <c r="H126" s="204" t="s">
        <v>460</v>
      </c>
      <c r="I126" s="207" t="s">
        <v>461</v>
      </c>
      <c r="J126" s="43"/>
      <c r="K126" s="211" t="s">
        <v>455</v>
      </c>
      <c r="L126" s="212" t="s">
        <v>456</v>
      </c>
      <c r="M126" s="212" t="s">
        <v>457</v>
      </c>
      <c r="N126" s="212" t="s">
        <v>458</v>
      </c>
      <c r="O126" s="212" t="s">
        <v>7</v>
      </c>
      <c r="P126" s="204" t="s">
        <v>459</v>
      </c>
      <c r="Q126" s="204" t="s">
        <v>460</v>
      </c>
      <c r="R126" s="207" t="s">
        <v>461</v>
      </c>
      <c r="S126" s="43"/>
    </row>
    <row r="127" ht="15.75" customHeight="1">
      <c r="A127" s="43"/>
      <c r="B127" s="213" t="s">
        <v>78</v>
      </c>
      <c r="C127" s="214" t="s">
        <v>462</v>
      </c>
      <c r="D127" s="14" t="s">
        <v>266</v>
      </c>
      <c r="E127" s="14" t="s">
        <v>266</v>
      </c>
      <c r="F127" s="214" t="s">
        <v>266</v>
      </c>
      <c r="G127" s="214" t="s">
        <v>266</v>
      </c>
      <c r="H127" s="14" t="s">
        <v>370</v>
      </c>
      <c r="I127" s="215" t="s">
        <v>266</v>
      </c>
      <c r="J127" s="43"/>
      <c r="K127" s="213" t="s">
        <v>78</v>
      </c>
      <c r="L127" s="214" t="s">
        <v>462</v>
      </c>
      <c r="M127" s="14" t="s">
        <v>266</v>
      </c>
      <c r="N127" s="14" t="s">
        <v>266</v>
      </c>
      <c r="O127" s="214" t="s">
        <v>266</v>
      </c>
      <c r="P127" s="214" t="s">
        <v>491</v>
      </c>
      <c r="Q127" s="14" t="s">
        <v>370</v>
      </c>
      <c r="R127" s="215" t="s">
        <v>266</v>
      </c>
      <c r="S127" s="43"/>
    </row>
    <row r="128" ht="15.75" customHeight="1">
      <c r="A128" s="43"/>
      <c r="B128" s="213" t="s">
        <v>464</v>
      </c>
      <c r="C128" s="14" t="s">
        <v>266</v>
      </c>
      <c r="D128" s="14" t="s">
        <v>266</v>
      </c>
      <c r="E128" s="14" t="s">
        <v>266</v>
      </c>
      <c r="F128" s="214" t="s">
        <v>266</v>
      </c>
      <c r="G128" s="214" t="s">
        <v>266</v>
      </c>
      <c r="H128" s="14" t="s">
        <v>370</v>
      </c>
      <c r="I128" s="215" t="s">
        <v>266</v>
      </c>
      <c r="J128" s="43"/>
      <c r="K128" s="213" t="s">
        <v>464</v>
      </c>
      <c r="L128" s="14" t="s">
        <v>266</v>
      </c>
      <c r="M128" s="14" t="s">
        <v>266</v>
      </c>
      <c r="N128" s="14" t="s">
        <v>266</v>
      </c>
      <c r="O128" s="214" t="s">
        <v>266</v>
      </c>
      <c r="P128" s="214" t="s">
        <v>491</v>
      </c>
      <c r="Q128" s="14" t="s">
        <v>370</v>
      </c>
      <c r="R128" s="215" t="s">
        <v>266</v>
      </c>
      <c r="S128" s="43"/>
    </row>
    <row r="129" ht="15.75" customHeight="1">
      <c r="A129" s="43"/>
      <c r="B129" s="213" t="s">
        <v>465</v>
      </c>
      <c r="C129" s="14" t="s">
        <v>266</v>
      </c>
      <c r="D129" s="14" t="s">
        <v>266</v>
      </c>
      <c r="E129" s="214" t="s">
        <v>266</v>
      </c>
      <c r="F129" s="214" t="s">
        <v>266</v>
      </c>
      <c r="G129" s="214" t="s">
        <v>266</v>
      </c>
      <c r="H129" s="14" t="s">
        <v>370</v>
      </c>
      <c r="I129" s="215" t="s">
        <v>266</v>
      </c>
      <c r="J129" s="43"/>
      <c r="K129" s="213" t="s">
        <v>465</v>
      </c>
      <c r="L129" s="14" t="s">
        <v>266</v>
      </c>
      <c r="M129" s="14" t="s">
        <v>266</v>
      </c>
      <c r="N129" s="214" t="s">
        <v>266</v>
      </c>
      <c r="O129" s="214" t="s">
        <v>266</v>
      </c>
      <c r="P129" s="214" t="s">
        <v>491</v>
      </c>
      <c r="Q129" s="14" t="s">
        <v>370</v>
      </c>
      <c r="R129" s="215" t="s">
        <v>266</v>
      </c>
      <c r="S129" s="43"/>
    </row>
    <row r="130" ht="15.75" customHeight="1">
      <c r="A130" s="43"/>
      <c r="B130" s="216" t="s">
        <v>466</v>
      </c>
      <c r="C130" s="214" t="s">
        <v>266</v>
      </c>
      <c r="D130" s="14" t="s">
        <v>266</v>
      </c>
      <c r="E130" s="214" t="s">
        <v>266</v>
      </c>
      <c r="F130" s="14" t="s">
        <v>266</v>
      </c>
      <c r="G130" s="14" t="s">
        <v>266</v>
      </c>
      <c r="H130" s="14" t="s">
        <v>370</v>
      </c>
      <c r="I130" s="215" t="s">
        <v>266</v>
      </c>
      <c r="J130" s="43"/>
      <c r="K130" s="216" t="s">
        <v>466</v>
      </c>
      <c r="L130" s="214" t="s">
        <v>266</v>
      </c>
      <c r="M130" s="14" t="s">
        <v>266</v>
      </c>
      <c r="N130" s="214" t="s">
        <v>266</v>
      </c>
      <c r="O130" s="14" t="s">
        <v>266</v>
      </c>
      <c r="P130" s="14" t="s">
        <v>266</v>
      </c>
      <c r="Q130" s="14" t="s">
        <v>370</v>
      </c>
      <c r="R130" s="215" t="s">
        <v>266</v>
      </c>
      <c r="S130" s="43"/>
    </row>
    <row r="131" ht="15.75" customHeight="1">
      <c r="A131" s="43"/>
      <c r="B131" s="213" t="s">
        <v>77</v>
      </c>
      <c r="C131" s="214" t="s">
        <v>266</v>
      </c>
      <c r="D131" s="14" t="s">
        <v>266</v>
      </c>
      <c r="E131" s="214" t="s">
        <v>266</v>
      </c>
      <c r="F131" s="214" t="s">
        <v>266</v>
      </c>
      <c r="G131" s="214" t="s">
        <v>500</v>
      </c>
      <c r="H131" s="14" t="s">
        <v>370</v>
      </c>
      <c r="I131" s="215" t="s">
        <v>266</v>
      </c>
      <c r="J131" s="43"/>
      <c r="K131" s="213" t="s">
        <v>77</v>
      </c>
      <c r="L131" s="214" t="s">
        <v>266</v>
      </c>
      <c r="M131" s="14" t="s">
        <v>266</v>
      </c>
      <c r="N131" s="214" t="s">
        <v>266</v>
      </c>
      <c r="O131" s="214" t="s">
        <v>500</v>
      </c>
      <c r="P131" s="214"/>
      <c r="Q131" s="14" t="s">
        <v>370</v>
      </c>
      <c r="R131" s="215" t="s">
        <v>374</v>
      </c>
      <c r="S131" s="43"/>
    </row>
    <row r="132" ht="15.75" customHeight="1">
      <c r="A132" s="43"/>
      <c r="B132" s="213" t="s">
        <v>473</v>
      </c>
      <c r="C132" s="14" t="s">
        <v>266</v>
      </c>
      <c r="D132" s="14" t="s">
        <v>266</v>
      </c>
      <c r="E132" s="214" t="s">
        <v>266</v>
      </c>
      <c r="F132" s="14" t="s">
        <v>266</v>
      </c>
      <c r="G132" s="14" t="s">
        <v>266</v>
      </c>
      <c r="H132" s="14" t="s">
        <v>370</v>
      </c>
      <c r="I132" s="215" t="s">
        <v>266</v>
      </c>
      <c r="J132" s="43"/>
      <c r="K132" s="213" t="s">
        <v>473</v>
      </c>
      <c r="L132" s="14" t="s">
        <v>266</v>
      </c>
      <c r="M132" s="14" t="s">
        <v>266</v>
      </c>
      <c r="N132" s="214" t="s">
        <v>266</v>
      </c>
      <c r="O132" s="14" t="s">
        <v>266</v>
      </c>
      <c r="P132" s="14" t="s">
        <v>266</v>
      </c>
      <c r="Q132" s="14" t="s">
        <v>370</v>
      </c>
      <c r="R132" s="215" t="s">
        <v>266</v>
      </c>
      <c r="S132" s="43"/>
    </row>
    <row r="133" ht="15.75" customHeight="1">
      <c r="A133" s="43"/>
      <c r="B133" s="217" t="s">
        <v>474</v>
      </c>
      <c r="C133" s="214" t="s">
        <v>266</v>
      </c>
      <c r="D133" s="14" t="s">
        <v>266</v>
      </c>
      <c r="E133" s="214" t="s">
        <v>266</v>
      </c>
      <c r="F133" s="14" t="s">
        <v>266</v>
      </c>
      <c r="G133" s="14" t="s">
        <v>266</v>
      </c>
      <c r="H133" s="14" t="s">
        <v>370</v>
      </c>
      <c r="I133" s="215" t="s">
        <v>266</v>
      </c>
      <c r="J133" s="43"/>
      <c r="K133" s="217" t="s">
        <v>474</v>
      </c>
      <c r="L133" s="214" t="s">
        <v>266</v>
      </c>
      <c r="M133" s="14" t="s">
        <v>266</v>
      </c>
      <c r="N133" s="214" t="s">
        <v>266</v>
      </c>
      <c r="O133" s="14" t="s">
        <v>266</v>
      </c>
      <c r="P133" s="14" t="s">
        <v>266</v>
      </c>
      <c r="Q133" s="14" t="s">
        <v>370</v>
      </c>
      <c r="R133" s="215" t="s">
        <v>266</v>
      </c>
      <c r="S133" s="43"/>
    </row>
    <row r="134" ht="15.75" customHeight="1">
      <c r="A134" s="43"/>
      <c r="B134" s="43"/>
      <c r="C134" s="43"/>
      <c r="D134" s="43"/>
      <c r="E134" s="43"/>
      <c r="F134" s="43"/>
      <c r="G134" s="43"/>
      <c r="H134" s="43"/>
      <c r="I134" s="43"/>
      <c r="J134" s="43"/>
      <c r="K134" s="216" t="s">
        <v>374</v>
      </c>
      <c r="L134" s="214"/>
      <c r="M134" s="14"/>
      <c r="N134" s="214"/>
      <c r="O134" s="14"/>
      <c r="P134" s="14" t="s">
        <v>501</v>
      </c>
      <c r="Q134" s="14" t="s">
        <v>370</v>
      </c>
      <c r="R134" s="14" t="s">
        <v>266</v>
      </c>
      <c r="S134" s="43"/>
    </row>
    <row r="135" ht="15.75" customHeight="1">
      <c r="A135" s="43"/>
      <c r="B135" s="43"/>
      <c r="C135" s="43"/>
      <c r="D135" s="43"/>
      <c r="E135" s="43"/>
      <c r="F135" s="43"/>
      <c r="G135" s="43"/>
      <c r="H135" s="43"/>
      <c r="I135" s="43"/>
      <c r="J135" s="43"/>
      <c r="K135" s="43"/>
      <c r="L135" s="43"/>
      <c r="M135" s="43"/>
      <c r="N135" s="43"/>
      <c r="O135" s="43"/>
      <c r="P135" s="43"/>
      <c r="Q135" s="43"/>
      <c r="R135" s="43"/>
      <c r="S135" s="43"/>
    </row>
    <row r="136" ht="15.75" customHeight="1">
      <c r="A136" s="43"/>
      <c r="B136" s="210" t="s">
        <v>502</v>
      </c>
      <c r="J136" s="43"/>
      <c r="S136" s="43"/>
    </row>
    <row r="137" ht="15.75" customHeight="1">
      <c r="A137" s="43"/>
      <c r="B137" s="14" t="s">
        <v>453</v>
      </c>
      <c r="J137" s="43"/>
      <c r="K137" s="14" t="s">
        <v>454</v>
      </c>
      <c r="S137" s="43"/>
    </row>
    <row r="138" ht="15.75" customHeight="1">
      <c r="A138" s="43"/>
      <c r="B138" s="211" t="s">
        <v>455</v>
      </c>
      <c r="C138" s="212" t="s">
        <v>456</v>
      </c>
      <c r="D138" s="212" t="s">
        <v>457</v>
      </c>
      <c r="E138" s="212" t="s">
        <v>458</v>
      </c>
      <c r="F138" s="212" t="s">
        <v>7</v>
      </c>
      <c r="G138" s="204" t="s">
        <v>459</v>
      </c>
      <c r="H138" s="204" t="s">
        <v>460</v>
      </c>
      <c r="I138" s="207" t="s">
        <v>461</v>
      </c>
      <c r="J138" s="43"/>
      <c r="K138" s="211" t="s">
        <v>455</v>
      </c>
      <c r="L138" s="212" t="s">
        <v>456</v>
      </c>
      <c r="M138" s="212" t="s">
        <v>457</v>
      </c>
      <c r="N138" s="212" t="s">
        <v>458</v>
      </c>
      <c r="O138" s="212" t="s">
        <v>7</v>
      </c>
      <c r="P138" s="204" t="s">
        <v>459</v>
      </c>
      <c r="Q138" s="204" t="s">
        <v>460</v>
      </c>
      <c r="R138" s="207" t="s">
        <v>461</v>
      </c>
      <c r="S138" s="43"/>
    </row>
    <row r="139" ht="15.75" customHeight="1">
      <c r="A139" s="43"/>
      <c r="B139" s="213" t="s">
        <v>78</v>
      </c>
      <c r="C139" s="214" t="s">
        <v>462</v>
      </c>
      <c r="D139" s="14" t="s">
        <v>266</v>
      </c>
      <c r="E139" s="14" t="s">
        <v>266</v>
      </c>
      <c r="F139" s="214" t="s">
        <v>266</v>
      </c>
      <c r="G139" s="214" t="s">
        <v>266</v>
      </c>
      <c r="H139" s="14" t="s">
        <v>370</v>
      </c>
      <c r="I139" s="215" t="s">
        <v>266</v>
      </c>
      <c r="J139" s="43"/>
      <c r="K139" s="213" t="s">
        <v>78</v>
      </c>
      <c r="L139" s="214" t="s">
        <v>462</v>
      </c>
      <c r="M139" s="14" t="s">
        <v>266</v>
      </c>
      <c r="N139" s="14" t="s">
        <v>266</v>
      </c>
      <c r="O139" s="214" t="s">
        <v>266</v>
      </c>
      <c r="P139" s="214" t="s">
        <v>491</v>
      </c>
      <c r="Q139" s="14" t="s">
        <v>370</v>
      </c>
      <c r="R139" s="215" t="s">
        <v>266</v>
      </c>
      <c r="S139" s="43"/>
    </row>
    <row r="140" ht="15.75" customHeight="1">
      <c r="A140" s="43"/>
      <c r="B140" s="213" t="s">
        <v>464</v>
      </c>
      <c r="C140" s="14" t="s">
        <v>266</v>
      </c>
      <c r="D140" s="14" t="s">
        <v>266</v>
      </c>
      <c r="E140" s="14" t="s">
        <v>266</v>
      </c>
      <c r="F140" s="214" t="s">
        <v>266</v>
      </c>
      <c r="G140" s="214" t="s">
        <v>266</v>
      </c>
      <c r="H140" s="14" t="s">
        <v>370</v>
      </c>
      <c r="I140" s="215" t="s">
        <v>266</v>
      </c>
      <c r="J140" s="43"/>
      <c r="K140" s="213" t="s">
        <v>464</v>
      </c>
      <c r="L140" s="14" t="s">
        <v>266</v>
      </c>
      <c r="M140" s="14" t="s">
        <v>266</v>
      </c>
      <c r="N140" s="14" t="s">
        <v>266</v>
      </c>
      <c r="O140" s="214" t="s">
        <v>266</v>
      </c>
      <c r="P140" s="214" t="s">
        <v>491</v>
      </c>
      <c r="Q140" s="14" t="s">
        <v>370</v>
      </c>
      <c r="R140" s="215" t="s">
        <v>266</v>
      </c>
      <c r="S140" s="43"/>
    </row>
    <row r="141" ht="15.75" customHeight="1">
      <c r="A141" s="43"/>
      <c r="B141" s="213" t="s">
        <v>465</v>
      </c>
      <c r="C141" s="14" t="s">
        <v>266</v>
      </c>
      <c r="D141" s="14" t="s">
        <v>266</v>
      </c>
      <c r="E141" s="214" t="s">
        <v>266</v>
      </c>
      <c r="F141" s="214" t="s">
        <v>266</v>
      </c>
      <c r="G141" s="214" t="s">
        <v>266</v>
      </c>
      <c r="H141" s="14" t="s">
        <v>370</v>
      </c>
      <c r="I141" s="215" t="s">
        <v>266</v>
      </c>
      <c r="J141" s="43"/>
      <c r="K141" s="213" t="s">
        <v>465</v>
      </c>
      <c r="L141" s="14" t="s">
        <v>266</v>
      </c>
      <c r="M141" s="14" t="s">
        <v>266</v>
      </c>
      <c r="N141" s="214" t="s">
        <v>266</v>
      </c>
      <c r="O141" s="214" t="s">
        <v>266</v>
      </c>
      <c r="P141" s="214" t="s">
        <v>491</v>
      </c>
      <c r="Q141" s="14" t="s">
        <v>370</v>
      </c>
      <c r="R141" s="215" t="s">
        <v>266</v>
      </c>
      <c r="S141" s="43"/>
    </row>
    <row r="142" ht="15.75" customHeight="1">
      <c r="A142" s="43"/>
      <c r="B142" s="216" t="s">
        <v>466</v>
      </c>
      <c r="C142" s="214" t="s">
        <v>266</v>
      </c>
      <c r="D142" s="14" t="s">
        <v>266</v>
      </c>
      <c r="E142" s="214" t="s">
        <v>266</v>
      </c>
      <c r="F142" s="14" t="s">
        <v>266</v>
      </c>
      <c r="G142" s="14" t="s">
        <v>266</v>
      </c>
      <c r="H142" s="14" t="s">
        <v>370</v>
      </c>
      <c r="I142" s="215" t="s">
        <v>266</v>
      </c>
      <c r="J142" s="43"/>
      <c r="K142" s="216" t="s">
        <v>466</v>
      </c>
      <c r="L142" s="214" t="s">
        <v>266</v>
      </c>
      <c r="M142" s="14" t="s">
        <v>266</v>
      </c>
      <c r="N142" s="214" t="s">
        <v>266</v>
      </c>
      <c r="O142" s="14" t="s">
        <v>266</v>
      </c>
      <c r="P142" s="14" t="s">
        <v>266</v>
      </c>
      <c r="Q142" s="14" t="s">
        <v>370</v>
      </c>
      <c r="R142" s="215" t="s">
        <v>374</v>
      </c>
      <c r="S142" s="43"/>
    </row>
    <row r="143" ht="15.75" customHeight="1">
      <c r="A143" s="43"/>
      <c r="B143" s="213" t="s">
        <v>77</v>
      </c>
      <c r="C143" s="214" t="s">
        <v>266</v>
      </c>
      <c r="D143" s="14" t="s">
        <v>266</v>
      </c>
      <c r="E143" s="214" t="s">
        <v>266</v>
      </c>
      <c r="F143" s="214" t="s">
        <v>266</v>
      </c>
      <c r="G143" s="214"/>
      <c r="H143" s="14" t="s">
        <v>370</v>
      </c>
      <c r="I143" s="223"/>
      <c r="J143" s="43"/>
      <c r="K143" s="213" t="s">
        <v>77</v>
      </c>
      <c r="L143" s="214" t="s">
        <v>266</v>
      </c>
      <c r="M143" s="14" t="s">
        <v>266</v>
      </c>
      <c r="N143" s="214" t="s">
        <v>266</v>
      </c>
      <c r="O143" s="214" t="s">
        <v>266</v>
      </c>
      <c r="P143" s="214"/>
      <c r="Q143" s="14" t="s">
        <v>370</v>
      </c>
      <c r="R143" s="215" t="s">
        <v>472</v>
      </c>
      <c r="S143" s="43"/>
    </row>
    <row r="144" ht="15.75" customHeight="1">
      <c r="A144" s="43"/>
      <c r="B144" s="217" t="s">
        <v>474</v>
      </c>
      <c r="C144" s="214" t="s">
        <v>266</v>
      </c>
      <c r="D144" s="14" t="s">
        <v>266</v>
      </c>
      <c r="E144" s="214" t="s">
        <v>266</v>
      </c>
      <c r="F144" s="14" t="s">
        <v>266</v>
      </c>
      <c r="G144" s="14" t="s">
        <v>266</v>
      </c>
      <c r="H144" s="14" t="s">
        <v>370</v>
      </c>
      <c r="I144" s="215" t="s">
        <v>266</v>
      </c>
      <c r="J144" s="43"/>
      <c r="K144" s="217" t="s">
        <v>474</v>
      </c>
      <c r="L144" s="214" t="s">
        <v>266</v>
      </c>
      <c r="M144" s="14" t="s">
        <v>266</v>
      </c>
      <c r="N144" s="214" t="s">
        <v>266</v>
      </c>
      <c r="O144" s="14" t="s">
        <v>498</v>
      </c>
      <c r="P144" s="14" t="s">
        <v>217</v>
      </c>
      <c r="Q144" s="14" t="s">
        <v>370</v>
      </c>
      <c r="R144" s="215" t="s">
        <v>266</v>
      </c>
      <c r="S144" s="43"/>
    </row>
    <row r="145" ht="15.75" customHeight="1">
      <c r="A145" s="43"/>
      <c r="B145" s="213" t="s">
        <v>473</v>
      </c>
      <c r="C145" s="14" t="s">
        <v>266</v>
      </c>
      <c r="D145" s="14" t="s">
        <v>266</v>
      </c>
      <c r="E145" s="214" t="s">
        <v>266</v>
      </c>
      <c r="F145" s="14" t="s">
        <v>266</v>
      </c>
      <c r="G145" s="14" t="s">
        <v>266</v>
      </c>
      <c r="H145" s="14" t="s">
        <v>370</v>
      </c>
      <c r="I145" s="215" t="s">
        <v>266</v>
      </c>
      <c r="J145" s="43"/>
      <c r="K145" s="213" t="s">
        <v>473</v>
      </c>
      <c r="L145" s="14" t="s">
        <v>266</v>
      </c>
      <c r="M145" s="14" t="s">
        <v>266</v>
      </c>
      <c r="N145" s="214" t="s">
        <v>266</v>
      </c>
      <c r="O145" s="14" t="s">
        <v>266</v>
      </c>
      <c r="P145" s="14" t="s">
        <v>266</v>
      </c>
      <c r="Q145" s="14" t="s">
        <v>370</v>
      </c>
      <c r="R145" s="215" t="s">
        <v>266</v>
      </c>
      <c r="S145" s="43"/>
    </row>
    <row r="146" ht="15.75" customHeight="1">
      <c r="A146" s="43"/>
      <c r="B146" s="216" t="s">
        <v>374</v>
      </c>
      <c r="C146" s="214" t="s">
        <v>266</v>
      </c>
      <c r="D146" s="14" t="s">
        <v>266</v>
      </c>
      <c r="E146" s="214" t="s">
        <v>266</v>
      </c>
      <c r="F146" s="14" t="s">
        <v>266</v>
      </c>
      <c r="G146" s="14" t="s">
        <v>266</v>
      </c>
      <c r="H146" s="14" t="s">
        <v>370</v>
      </c>
      <c r="I146" s="215" t="s">
        <v>266</v>
      </c>
      <c r="J146" s="43"/>
      <c r="K146" s="216" t="s">
        <v>374</v>
      </c>
      <c r="L146" s="214" t="s">
        <v>266</v>
      </c>
      <c r="M146" s="14" t="s">
        <v>266</v>
      </c>
      <c r="N146" s="214" t="s">
        <v>266</v>
      </c>
      <c r="O146" s="14" t="s">
        <v>266</v>
      </c>
      <c r="P146" s="14" t="s">
        <v>266</v>
      </c>
      <c r="Q146" s="14" t="s">
        <v>370</v>
      </c>
      <c r="R146" s="215" t="s">
        <v>266</v>
      </c>
      <c r="S146" s="43"/>
    </row>
    <row r="147" ht="15.75" customHeight="1">
      <c r="A147" s="43"/>
      <c r="B147" s="43"/>
      <c r="C147" s="43"/>
      <c r="D147" s="43"/>
      <c r="E147" s="43"/>
      <c r="F147" s="43"/>
      <c r="G147" s="43"/>
      <c r="H147" s="43"/>
      <c r="I147" s="43"/>
      <c r="J147" s="43"/>
      <c r="K147" s="43"/>
      <c r="L147" s="43"/>
      <c r="M147" s="43"/>
      <c r="N147" s="43"/>
      <c r="O147" s="43"/>
      <c r="P147" s="43"/>
      <c r="Q147" s="43"/>
      <c r="R147" s="43"/>
      <c r="S147" s="43"/>
    </row>
    <row r="148" ht="15.75" customHeight="1">
      <c r="A148" s="43"/>
      <c r="B148" s="210" t="s">
        <v>503</v>
      </c>
      <c r="J148" s="43"/>
      <c r="S148" s="43"/>
    </row>
    <row r="149" ht="15.75" customHeight="1">
      <c r="A149" s="43"/>
      <c r="B149" s="14" t="s">
        <v>453</v>
      </c>
      <c r="J149" s="43"/>
      <c r="K149" s="14" t="s">
        <v>454</v>
      </c>
      <c r="S149" s="43"/>
    </row>
    <row r="150" ht="15.75" customHeight="1">
      <c r="A150" s="43"/>
      <c r="B150" s="211" t="s">
        <v>455</v>
      </c>
      <c r="C150" s="212" t="s">
        <v>456</v>
      </c>
      <c r="D150" s="212" t="s">
        <v>457</v>
      </c>
      <c r="E150" s="212" t="s">
        <v>458</v>
      </c>
      <c r="F150" s="212" t="s">
        <v>7</v>
      </c>
      <c r="G150" s="204" t="s">
        <v>459</v>
      </c>
      <c r="H150" s="204" t="s">
        <v>460</v>
      </c>
      <c r="I150" s="207" t="s">
        <v>461</v>
      </c>
      <c r="J150" s="43"/>
      <c r="K150" s="211" t="s">
        <v>455</v>
      </c>
      <c r="L150" s="212" t="s">
        <v>456</v>
      </c>
      <c r="M150" s="212" t="s">
        <v>457</v>
      </c>
      <c r="N150" s="212" t="s">
        <v>458</v>
      </c>
      <c r="O150" s="212" t="s">
        <v>7</v>
      </c>
      <c r="P150" s="204" t="s">
        <v>459</v>
      </c>
      <c r="Q150" s="204" t="s">
        <v>460</v>
      </c>
      <c r="R150" s="207" t="s">
        <v>461</v>
      </c>
      <c r="S150" s="43"/>
    </row>
    <row r="151" ht="15.75" customHeight="1">
      <c r="A151" s="43"/>
      <c r="B151" s="213" t="s">
        <v>78</v>
      </c>
      <c r="C151" s="214" t="s">
        <v>462</v>
      </c>
      <c r="D151" s="14" t="s">
        <v>266</v>
      </c>
      <c r="E151" s="14" t="s">
        <v>266</v>
      </c>
      <c r="F151" s="214" t="s">
        <v>504</v>
      </c>
      <c r="G151" s="214" t="s">
        <v>266</v>
      </c>
      <c r="H151" s="14" t="s">
        <v>370</v>
      </c>
      <c r="I151" s="215" t="s">
        <v>266</v>
      </c>
      <c r="J151" s="43"/>
      <c r="K151" s="213" t="s">
        <v>78</v>
      </c>
      <c r="L151" s="214" t="s">
        <v>462</v>
      </c>
      <c r="M151" s="14" t="s">
        <v>266</v>
      </c>
      <c r="N151" s="14" t="s">
        <v>266</v>
      </c>
      <c r="O151" s="214" t="s">
        <v>504</v>
      </c>
      <c r="P151" s="214" t="s">
        <v>491</v>
      </c>
      <c r="Q151" s="14" t="s">
        <v>370</v>
      </c>
      <c r="R151" s="215" t="s">
        <v>266</v>
      </c>
      <c r="S151" s="43"/>
    </row>
    <row r="152" ht="15.75" customHeight="1">
      <c r="A152" s="43"/>
      <c r="B152" s="213" t="s">
        <v>464</v>
      </c>
      <c r="C152" s="14" t="s">
        <v>266</v>
      </c>
      <c r="D152" s="14" t="s">
        <v>266</v>
      </c>
      <c r="E152" s="14" t="s">
        <v>266</v>
      </c>
      <c r="F152" s="214" t="s">
        <v>266</v>
      </c>
      <c r="G152" s="214" t="s">
        <v>266</v>
      </c>
      <c r="H152" s="14" t="s">
        <v>370</v>
      </c>
      <c r="I152" s="215" t="s">
        <v>266</v>
      </c>
      <c r="J152" s="43"/>
      <c r="K152" s="213" t="s">
        <v>464</v>
      </c>
      <c r="L152" s="14" t="s">
        <v>266</v>
      </c>
      <c r="M152" s="14" t="s">
        <v>266</v>
      </c>
      <c r="N152" s="14" t="s">
        <v>266</v>
      </c>
      <c r="O152" s="214" t="s">
        <v>266</v>
      </c>
      <c r="P152" s="214" t="s">
        <v>491</v>
      </c>
      <c r="Q152" s="14" t="s">
        <v>370</v>
      </c>
      <c r="R152" s="215" t="s">
        <v>266</v>
      </c>
      <c r="S152" s="43"/>
    </row>
    <row r="153" ht="15.75" customHeight="1">
      <c r="A153" s="43"/>
      <c r="B153" s="213" t="s">
        <v>465</v>
      </c>
      <c r="C153" s="14" t="s">
        <v>266</v>
      </c>
      <c r="D153" s="14" t="s">
        <v>266</v>
      </c>
      <c r="E153" s="214" t="s">
        <v>266</v>
      </c>
      <c r="F153" s="214" t="s">
        <v>266</v>
      </c>
      <c r="G153" s="214" t="s">
        <v>266</v>
      </c>
      <c r="H153" s="14" t="s">
        <v>370</v>
      </c>
      <c r="I153" s="215" t="s">
        <v>266</v>
      </c>
      <c r="J153" s="43"/>
      <c r="K153" s="213" t="s">
        <v>465</v>
      </c>
      <c r="L153" s="14" t="s">
        <v>266</v>
      </c>
      <c r="M153" s="14" t="s">
        <v>266</v>
      </c>
      <c r="N153" s="214" t="s">
        <v>266</v>
      </c>
      <c r="O153" s="214" t="s">
        <v>266</v>
      </c>
      <c r="P153" s="214" t="s">
        <v>491</v>
      </c>
      <c r="Q153" s="14" t="s">
        <v>370</v>
      </c>
      <c r="R153" s="215" t="s">
        <v>266</v>
      </c>
      <c r="S153" s="43"/>
    </row>
    <row r="154" ht="15.75" customHeight="1">
      <c r="A154" s="43"/>
      <c r="B154" s="213" t="s">
        <v>77</v>
      </c>
      <c r="C154" s="214" t="s">
        <v>266</v>
      </c>
      <c r="D154" s="14" t="s">
        <v>266</v>
      </c>
      <c r="E154" s="214" t="s">
        <v>266</v>
      </c>
      <c r="F154" s="214" t="s">
        <v>266</v>
      </c>
      <c r="G154" s="214"/>
      <c r="H154" s="14" t="s">
        <v>370</v>
      </c>
      <c r="I154" s="223"/>
      <c r="J154" s="43"/>
      <c r="K154" s="213" t="s">
        <v>77</v>
      </c>
      <c r="L154" s="214" t="s">
        <v>266</v>
      </c>
      <c r="M154" s="14" t="s">
        <v>266</v>
      </c>
      <c r="N154" s="214" t="s">
        <v>266</v>
      </c>
      <c r="O154" s="214" t="s">
        <v>266</v>
      </c>
      <c r="P154" s="214"/>
      <c r="Q154" s="14" t="s">
        <v>370</v>
      </c>
      <c r="R154" s="215"/>
      <c r="S154" s="43"/>
    </row>
    <row r="155" ht="15.75" customHeight="1">
      <c r="A155" s="43"/>
      <c r="B155" s="217" t="s">
        <v>474</v>
      </c>
      <c r="C155" s="214" t="s">
        <v>266</v>
      </c>
      <c r="D155" s="14" t="s">
        <v>266</v>
      </c>
      <c r="E155" s="214" t="s">
        <v>266</v>
      </c>
      <c r="F155" s="14" t="s">
        <v>266</v>
      </c>
      <c r="G155" s="14" t="s">
        <v>266</v>
      </c>
      <c r="H155" s="14" t="s">
        <v>370</v>
      </c>
      <c r="I155" s="215" t="s">
        <v>266</v>
      </c>
      <c r="J155" s="43"/>
      <c r="K155" s="217" t="s">
        <v>474</v>
      </c>
      <c r="L155" s="214" t="s">
        <v>266</v>
      </c>
      <c r="M155" s="14" t="s">
        <v>266</v>
      </c>
      <c r="N155" s="214" t="s">
        <v>266</v>
      </c>
      <c r="O155" s="14" t="s">
        <v>498</v>
      </c>
      <c r="P155" s="14" t="s">
        <v>217</v>
      </c>
      <c r="Q155" s="14" t="s">
        <v>370</v>
      </c>
      <c r="R155" s="215" t="s">
        <v>266</v>
      </c>
      <c r="S155" s="43"/>
    </row>
    <row r="156" ht="15.75" customHeight="1">
      <c r="A156" s="43"/>
      <c r="B156" s="213" t="s">
        <v>473</v>
      </c>
      <c r="C156" s="14" t="s">
        <v>266</v>
      </c>
      <c r="D156" s="14" t="s">
        <v>266</v>
      </c>
      <c r="E156" s="214" t="s">
        <v>266</v>
      </c>
      <c r="F156" s="14" t="s">
        <v>266</v>
      </c>
      <c r="G156" s="14" t="s">
        <v>266</v>
      </c>
      <c r="H156" s="14" t="s">
        <v>370</v>
      </c>
      <c r="I156" s="215" t="s">
        <v>266</v>
      </c>
      <c r="J156" s="43"/>
      <c r="K156" s="213" t="s">
        <v>473</v>
      </c>
      <c r="L156" s="14" t="s">
        <v>266</v>
      </c>
      <c r="M156" s="14" t="s">
        <v>266</v>
      </c>
      <c r="N156" s="214" t="s">
        <v>266</v>
      </c>
      <c r="O156" s="14" t="s">
        <v>266</v>
      </c>
      <c r="P156" s="14" t="s">
        <v>266</v>
      </c>
      <c r="Q156" s="14" t="s">
        <v>370</v>
      </c>
      <c r="R156" s="215" t="s">
        <v>266</v>
      </c>
      <c r="S156" s="43"/>
    </row>
    <row r="157" ht="15.75" customHeight="1">
      <c r="A157" s="43"/>
      <c r="B157" s="216" t="s">
        <v>374</v>
      </c>
      <c r="C157" s="214" t="s">
        <v>266</v>
      </c>
      <c r="D157" s="14" t="s">
        <v>266</v>
      </c>
      <c r="E157" s="214" t="s">
        <v>266</v>
      </c>
      <c r="F157" s="14" t="s">
        <v>505</v>
      </c>
      <c r="G157" s="14" t="s">
        <v>266</v>
      </c>
      <c r="H157" s="14" t="s">
        <v>370</v>
      </c>
      <c r="I157" s="215" t="s">
        <v>266</v>
      </c>
      <c r="J157" s="43"/>
      <c r="K157" s="216" t="s">
        <v>374</v>
      </c>
      <c r="L157" s="214" t="s">
        <v>266</v>
      </c>
      <c r="M157" s="14" t="s">
        <v>266</v>
      </c>
      <c r="N157" s="214" t="s">
        <v>266</v>
      </c>
      <c r="O157" s="14" t="s">
        <v>266</v>
      </c>
      <c r="P157" s="14" t="s">
        <v>266</v>
      </c>
      <c r="Q157" s="14" t="s">
        <v>370</v>
      </c>
      <c r="R157" s="215" t="s">
        <v>465</v>
      </c>
      <c r="S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row>
    <row r="159" ht="15.75" customHeight="1">
      <c r="A159" s="43"/>
      <c r="B159" s="210" t="s">
        <v>506</v>
      </c>
      <c r="J159" s="43"/>
      <c r="S159" s="43"/>
    </row>
    <row r="160" ht="15.75" customHeight="1">
      <c r="A160" s="43"/>
      <c r="B160" s="14" t="s">
        <v>453</v>
      </c>
      <c r="J160" s="43"/>
      <c r="K160" s="14" t="s">
        <v>454</v>
      </c>
      <c r="S160" s="43"/>
    </row>
    <row r="161" ht="15.75" customHeight="1">
      <c r="A161" s="43"/>
      <c r="B161" s="211" t="s">
        <v>455</v>
      </c>
      <c r="C161" s="212" t="s">
        <v>456</v>
      </c>
      <c r="D161" s="212" t="s">
        <v>457</v>
      </c>
      <c r="E161" s="212" t="s">
        <v>458</v>
      </c>
      <c r="F161" s="212" t="s">
        <v>7</v>
      </c>
      <c r="G161" s="204" t="s">
        <v>459</v>
      </c>
      <c r="H161" s="204" t="s">
        <v>460</v>
      </c>
      <c r="I161" s="207" t="s">
        <v>461</v>
      </c>
      <c r="J161" s="43"/>
      <c r="K161" s="211" t="s">
        <v>455</v>
      </c>
      <c r="L161" s="212" t="s">
        <v>456</v>
      </c>
      <c r="M161" s="212" t="s">
        <v>457</v>
      </c>
      <c r="N161" s="212" t="s">
        <v>458</v>
      </c>
      <c r="O161" s="212" t="s">
        <v>7</v>
      </c>
      <c r="P161" s="204" t="s">
        <v>459</v>
      </c>
      <c r="Q161" s="204" t="s">
        <v>460</v>
      </c>
      <c r="R161" s="207" t="s">
        <v>461</v>
      </c>
      <c r="S161" s="43"/>
    </row>
    <row r="162" ht="15.75" customHeight="1">
      <c r="A162" s="43"/>
      <c r="B162" s="213" t="s">
        <v>78</v>
      </c>
      <c r="C162" s="214" t="s">
        <v>462</v>
      </c>
      <c r="D162" s="14" t="s">
        <v>266</v>
      </c>
      <c r="E162" s="14" t="s">
        <v>266</v>
      </c>
      <c r="F162" s="214" t="s">
        <v>504</v>
      </c>
      <c r="G162" s="214" t="s">
        <v>266</v>
      </c>
      <c r="H162" s="14" t="s">
        <v>370</v>
      </c>
      <c r="I162" s="215" t="s">
        <v>266</v>
      </c>
      <c r="J162" s="43"/>
      <c r="K162" s="213" t="s">
        <v>78</v>
      </c>
      <c r="L162" s="214" t="s">
        <v>462</v>
      </c>
      <c r="M162" s="14" t="s">
        <v>266</v>
      </c>
      <c r="N162" s="14" t="s">
        <v>266</v>
      </c>
      <c r="O162" s="214" t="s">
        <v>504</v>
      </c>
      <c r="P162" s="214" t="s">
        <v>491</v>
      </c>
      <c r="Q162" s="14" t="s">
        <v>370</v>
      </c>
      <c r="R162" s="215" t="s">
        <v>266</v>
      </c>
      <c r="S162" s="43"/>
    </row>
    <row r="163" ht="15.75" customHeight="1">
      <c r="A163" s="43"/>
      <c r="B163" s="213" t="s">
        <v>464</v>
      </c>
      <c r="C163" s="14" t="s">
        <v>266</v>
      </c>
      <c r="D163" s="14" t="s">
        <v>266</v>
      </c>
      <c r="E163" s="14" t="s">
        <v>266</v>
      </c>
      <c r="F163" s="214" t="s">
        <v>266</v>
      </c>
      <c r="G163" s="214" t="s">
        <v>266</v>
      </c>
      <c r="H163" s="14" t="s">
        <v>370</v>
      </c>
      <c r="I163" s="215" t="s">
        <v>266</v>
      </c>
      <c r="J163" s="43"/>
      <c r="K163" s="213" t="s">
        <v>464</v>
      </c>
      <c r="L163" s="14" t="s">
        <v>266</v>
      </c>
      <c r="M163" s="14" t="s">
        <v>266</v>
      </c>
      <c r="N163" s="14" t="s">
        <v>266</v>
      </c>
      <c r="O163" s="214" t="s">
        <v>266</v>
      </c>
      <c r="P163" s="214" t="s">
        <v>491</v>
      </c>
      <c r="Q163" s="14" t="s">
        <v>370</v>
      </c>
      <c r="R163" s="215" t="s">
        <v>266</v>
      </c>
      <c r="S163" s="43"/>
    </row>
    <row r="164" ht="15.75" customHeight="1">
      <c r="A164" s="43"/>
      <c r="B164" s="213" t="s">
        <v>465</v>
      </c>
      <c r="C164" s="14" t="s">
        <v>266</v>
      </c>
      <c r="D164" s="14" t="s">
        <v>266</v>
      </c>
      <c r="E164" s="214" t="s">
        <v>266</v>
      </c>
      <c r="F164" s="214" t="s">
        <v>266</v>
      </c>
      <c r="G164" s="214" t="s">
        <v>266</v>
      </c>
      <c r="H164" s="14" t="s">
        <v>370</v>
      </c>
      <c r="I164" s="215" t="s">
        <v>266</v>
      </c>
      <c r="J164" s="43"/>
      <c r="K164" s="213" t="s">
        <v>465</v>
      </c>
      <c r="L164" s="14" t="s">
        <v>266</v>
      </c>
      <c r="M164" s="14" t="s">
        <v>266</v>
      </c>
      <c r="N164" s="214" t="s">
        <v>266</v>
      </c>
      <c r="O164" s="214" t="s">
        <v>266</v>
      </c>
      <c r="P164" s="214" t="s">
        <v>491</v>
      </c>
      <c r="Q164" s="14" t="s">
        <v>370</v>
      </c>
      <c r="R164" s="215" t="s">
        <v>266</v>
      </c>
      <c r="S164" s="43"/>
    </row>
    <row r="165" ht="15.75" customHeight="1">
      <c r="A165" s="43"/>
      <c r="B165" s="213" t="s">
        <v>77</v>
      </c>
      <c r="C165" s="214" t="s">
        <v>266</v>
      </c>
      <c r="D165" s="14" t="s">
        <v>266</v>
      </c>
      <c r="E165" s="214" t="s">
        <v>266</v>
      </c>
      <c r="F165" s="214" t="s">
        <v>266</v>
      </c>
      <c r="G165" s="214" t="s">
        <v>507</v>
      </c>
      <c r="H165" s="14" t="s">
        <v>370</v>
      </c>
      <c r="I165" s="223" t="s">
        <v>266</v>
      </c>
      <c r="J165" s="43"/>
      <c r="K165" s="213" t="s">
        <v>77</v>
      </c>
      <c r="L165" s="214" t="s">
        <v>266</v>
      </c>
      <c r="M165" s="14" t="s">
        <v>266</v>
      </c>
      <c r="N165" s="214" t="s">
        <v>266</v>
      </c>
      <c r="O165" s="214" t="s">
        <v>266</v>
      </c>
      <c r="P165" s="214" t="s">
        <v>507</v>
      </c>
      <c r="Q165" s="14" t="s">
        <v>370</v>
      </c>
      <c r="R165" s="215" t="s">
        <v>266</v>
      </c>
      <c r="S165" s="43"/>
    </row>
    <row r="166" ht="15.75" customHeight="1">
      <c r="A166" s="43"/>
      <c r="B166" s="217" t="s">
        <v>474</v>
      </c>
      <c r="C166" s="214" t="s">
        <v>266</v>
      </c>
      <c r="D166" s="14" t="s">
        <v>266</v>
      </c>
      <c r="E166" s="214" t="s">
        <v>266</v>
      </c>
      <c r="F166" s="14" t="s">
        <v>266</v>
      </c>
      <c r="G166" s="14" t="s">
        <v>266</v>
      </c>
      <c r="H166" s="14" t="s">
        <v>370</v>
      </c>
      <c r="I166" s="215" t="s">
        <v>266</v>
      </c>
      <c r="J166" s="43"/>
      <c r="K166" s="217" t="s">
        <v>474</v>
      </c>
      <c r="L166" s="214" t="s">
        <v>266</v>
      </c>
      <c r="M166" s="14" t="s">
        <v>266</v>
      </c>
      <c r="N166" s="214" t="s">
        <v>266</v>
      </c>
      <c r="O166" s="14" t="s">
        <v>498</v>
      </c>
      <c r="P166" s="14" t="s">
        <v>217</v>
      </c>
      <c r="Q166" s="14" t="s">
        <v>370</v>
      </c>
      <c r="R166" s="215" t="s">
        <v>266</v>
      </c>
      <c r="S166" s="43"/>
    </row>
    <row r="167" ht="15.75" customHeight="1">
      <c r="A167" s="43"/>
      <c r="B167" s="213" t="s">
        <v>473</v>
      </c>
      <c r="C167" s="14" t="s">
        <v>266</v>
      </c>
      <c r="D167" s="14" t="s">
        <v>266</v>
      </c>
      <c r="E167" s="214" t="s">
        <v>266</v>
      </c>
      <c r="F167" s="14" t="s">
        <v>266</v>
      </c>
      <c r="G167" s="14" t="s">
        <v>266</v>
      </c>
      <c r="H167" s="14" t="s">
        <v>370</v>
      </c>
      <c r="I167" s="215" t="s">
        <v>266</v>
      </c>
      <c r="J167" s="43"/>
      <c r="K167" s="213" t="s">
        <v>473</v>
      </c>
      <c r="L167" s="14" t="s">
        <v>266</v>
      </c>
      <c r="M167" s="14" t="s">
        <v>266</v>
      </c>
      <c r="N167" s="214" t="s">
        <v>266</v>
      </c>
      <c r="O167" s="14" t="s">
        <v>266</v>
      </c>
      <c r="P167" s="14" t="s">
        <v>266</v>
      </c>
      <c r="Q167" s="14" t="s">
        <v>370</v>
      </c>
      <c r="R167" s="215" t="s">
        <v>266</v>
      </c>
      <c r="S167" s="43"/>
    </row>
    <row r="168" ht="15.75" customHeight="1">
      <c r="A168" s="43"/>
      <c r="B168" s="216" t="s">
        <v>374</v>
      </c>
      <c r="C168" s="214" t="s">
        <v>266</v>
      </c>
      <c r="D168" s="14" t="s">
        <v>266</v>
      </c>
      <c r="E168" s="214" t="s">
        <v>266</v>
      </c>
      <c r="F168" s="14" t="s">
        <v>505</v>
      </c>
      <c r="G168" s="14" t="s">
        <v>266</v>
      </c>
      <c r="H168" s="14" t="s">
        <v>370</v>
      </c>
      <c r="I168" s="215" t="s">
        <v>266</v>
      </c>
      <c r="J168" s="43"/>
      <c r="K168" s="216" t="s">
        <v>374</v>
      </c>
      <c r="L168" s="214" t="s">
        <v>266</v>
      </c>
      <c r="M168" s="14" t="s">
        <v>266</v>
      </c>
      <c r="N168" s="214" t="s">
        <v>266</v>
      </c>
      <c r="O168" s="14" t="s">
        <v>266</v>
      </c>
      <c r="P168" s="14" t="s">
        <v>266</v>
      </c>
      <c r="Q168" s="14" t="s">
        <v>370</v>
      </c>
      <c r="R168" s="215" t="s">
        <v>266</v>
      </c>
      <c r="S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row>
    <row r="170" ht="15.75" customHeight="1">
      <c r="A170" s="43"/>
      <c r="B170" s="210" t="s">
        <v>508</v>
      </c>
      <c r="J170" s="43"/>
      <c r="S170" s="43"/>
    </row>
    <row r="171" ht="15.75" customHeight="1">
      <c r="A171" s="43"/>
      <c r="B171" s="14" t="s">
        <v>453</v>
      </c>
      <c r="J171" s="43"/>
      <c r="K171" s="14" t="s">
        <v>454</v>
      </c>
      <c r="S171" s="43"/>
    </row>
    <row r="172" ht="15.75" customHeight="1">
      <c r="A172" s="43"/>
      <c r="B172" s="211" t="s">
        <v>455</v>
      </c>
      <c r="C172" s="212" t="s">
        <v>456</v>
      </c>
      <c r="D172" s="212" t="s">
        <v>457</v>
      </c>
      <c r="E172" s="212" t="s">
        <v>458</v>
      </c>
      <c r="F172" s="212" t="s">
        <v>7</v>
      </c>
      <c r="G172" s="204" t="s">
        <v>459</v>
      </c>
      <c r="H172" s="204" t="s">
        <v>460</v>
      </c>
      <c r="I172" s="207" t="s">
        <v>461</v>
      </c>
      <c r="J172" s="43"/>
      <c r="K172" s="211" t="s">
        <v>455</v>
      </c>
      <c r="L172" s="212" t="s">
        <v>456</v>
      </c>
      <c r="M172" s="212" t="s">
        <v>457</v>
      </c>
      <c r="N172" s="212" t="s">
        <v>458</v>
      </c>
      <c r="O172" s="212" t="s">
        <v>7</v>
      </c>
      <c r="P172" s="204" t="s">
        <v>459</v>
      </c>
      <c r="Q172" s="204" t="s">
        <v>460</v>
      </c>
      <c r="R172" s="207" t="s">
        <v>461</v>
      </c>
      <c r="S172" s="43"/>
    </row>
    <row r="173" ht="15.75" customHeight="1">
      <c r="A173" s="43"/>
      <c r="B173" s="213" t="s">
        <v>78</v>
      </c>
      <c r="C173" s="214" t="s">
        <v>462</v>
      </c>
      <c r="D173" s="14" t="s">
        <v>266</v>
      </c>
      <c r="E173" s="14" t="s">
        <v>266</v>
      </c>
      <c r="F173" s="214" t="s">
        <v>504</v>
      </c>
      <c r="G173" s="214" t="s">
        <v>266</v>
      </c>
      <c r="H173" s="14" t="s">
        <v>370</v>
      </c>
      <c r="I173" s="215" t="s">
        <v>266</v>
      </c>
      <c r="J173" s="43"/>
      <c r="K173" s="213" t="s">
        <v>78</v>
      </c>
      <c r="L173" s="214" t="s">
        <v>462</v>
      </c>
      <c r="M173" s="14" t="s">
        <v>266</v>
      </c>
      <c r="N173" s="14" t="s">
        <v>266</v>
      </c>
      <c r="O173" s="214" t="s">
        <v>504</v>
      </c>
      <c r="P173" s="214" t="s">
        <v>491</v>
      </c>
      <c r="Q173" s="14" t="s">
        <v>370</v>
      </c>
      <c r="R173" s="215" t="s">
        <v>266</v>
      </c>
      <c r="S173" s="43"/>
    </row>
    <row r="174" ht="15.75" customHeight="1">
      <c r="A174" s="43"/>
      <c r="B174" s="213" t="s">
        <v>464</v>
      </c>
      <c r="C174" s="14" t="s">
        <v>266</v>
      </c>
      <c r="D174" s="14" t="s">
        <v>266</v>
      </c>
      <c r="E174" s="14" t="s">
        <v>266</v>
      </c>
      <c r="F174" s="214" t="s">
        <v>266</v>
      </c>
      <c r="G174" s="214" t="s">
        <v>266</v>
      </c>
      <c r="H174" s="14" t="s">
        <v>370</v>
      </c>
      <c r="I174" s="215" t="s">
        <v>266</v>
      </c>
      <c r="J174" s="43"/>
      <c r="K174" s="213" t="s">
        <v>464</v>
      </c>
      <c r="L174" s="14" t="s">
        <v>266</v>
      </c>
      <c r="M174" s="14" t="s">
        <v>266</v>
      </c>
      <c r="N174" s="14" t="s">
        <v>266</v>
      </c>
      <c r="O174" s="214" t="s">
        <v>266</v>
      </c>
      <c r="P174" s="214" t="s">
        <v>491</v>
      </c>
      <c r="Q174" s="14" t="s">
        <v>370</v>
      </c>
      <c r="R174" s="215" t="s">
        <v>266</v>
      </c>
      <c r="S174" s="43"/>
    </row>
    <row r="175" ht="15.75" customHeight="1">
      <c r="A175" s="43"/>
      <c r="B175" s="213" t="s">
        <v>465</v>
      </c>
      <c r="C175" s="14" t="s">
        <v>266</v>
      </c>
      <c r="D175" s="14" t="s">
        <v>266</v>
      </c>
      <c r="E175" s="214" t="s">
        <v>266</v>
      </c>
      <c r="F175" s="214" t="s">
        <v>266</v>
      </c>
      <c r="G175" s="214" t="s">
        <v>266</v>
      </c>
      <c r="H175" s="14" t="s">
        <v>370</v>
      </c>
      <c r="I175" s="215" t="s">
        <v>266</v>
      </c>
      <c r="J175" s="43"/>
      <c r="K175" s="213" t="s">
        <v>465</v>
      </c>
      <c r="L175" s="14" t="s">
        <v>266</v>
      </c>
      <c r="M175" s="14" t="s">
        <v>266</v>
      </c>
      <c r="N175" s="214" t="s">
        <v>266</v>
      </c>
      <c r="O175" s="214" t="s">
        <v>266</v>
      </c>
      <c r="P175" s="214" t="s">
        <v>491</v>
      </c>
      <c r="Q175" s="14" t="s">
        <v>370</v>
      </c>
      <c r="R175" s="215" t="s">
        <v>266</v>
      </c>
      <c r="S175" s="43"/>
    </row>
    <row r="176" ht="15.75" customHeight="1">
      <c r="A176" s="43"/>
      <c r="B176" s="213" t="s">
        <v>77</v>
      </c>
      <c r="C176" s="214" t="s">
        <v>266</v>
      </c>
      <c r="D176" s="14" t="s">
        <v>266</v>
      </c>
      <c r="E176" s="214" t="s">
        <v>266</v>
      </c>
      <c r="F176" s="214" t="s">
        <v>266</v>
      </c>
      <c r="G176" s="214" t="s">
        <v>507</v>
      </c>
      <c r="H176" s="14" t="s">
        <v>370</v>
      </c>
      <c r="I176" s="223" t="s">
        <v>266</v>
      </c>
      <c r="J176" s="43"/>
      <c r="K176" s="213" t="s">
        <v>77</v>
      </c>
      <c r="L176" s="214" t="s">
        <v>266</v>
      </c>
      <c r="M176" s="14" t="s">
        <v>266</v>
      </c>
      <c r="N176" s="214" t="s">
        <v>266</v>
      </c>
      <c r="O176" s="214" t="s">
        <v>266</v>
      </c>
      <c r="P176" s="214" t="s">
        <v>507</v>
      </c>
      <c r="Q176" s="14" t="s">
        <v>370</v>
      </c>
      <c r="R176" s="215" t="s">
        <v>266</v>
      </c>
      <c r="S176" s="43"/>
    </row>
    <row r="177" ht="15.75" customHeight="1">
      <c r="A177" s="43"/>
      <c r="B177" s="213" t="s">
        <v>473</v>
      </c>
      <c r="C177" s="14" t="s">
        <v>266</v>
      </c>
      <c r="D177" s="14" t="s">
        <v>266</v>
      </c>
      <c r="E177" s="214" t="s">
        <v>266</v>
      </c>
      <c r="F177" s="14" t="s">
        <v>266</v>
      </c>
      <c r="G177" s="14" t="s">
        <v>266</v>
      </c>
      <c r="H177" s="14" t="s">
        <v>370</v>
      </c>
      <c r="I177" s="215" t="s">
        <v>266</v>
      </c>
      <c r="J177" s="43"/>
      <c r="K177" s="213" t="s">
        <v>473</v>
      </c>
      <c r="L177" s="14" t="s">
        <v>266</v>
      </c>
      <c r="M177" s="14" t="s">
        <v>266</v>
      </c>
      <c r="N177" s="214" t="s">
        <v>266</v>
      </c>
      <c r="O177" s="14" t="s">
        <v>266</v>
      </c>
      <c r="P177" s="14" t="s">
        <v>266</v>
      </c>
      <c r="Q177" s="14" t="s">
        <v>370</v>
      </c>
      <c r="R177" s="215" t="s">
        <v>266</v>
      </c>
      <c r="S177" s="43"/>
    </row>
    <row r="178" ht="15.75" customHeight="1">
      <c r="A178" s="43"/>
      <c r="B178" s="216" t="s">
        <v>374</v>
      </c>
      <c r="C178" s="214" t="s">
        <v>266</v>
      </c>
      <c r="D178" s="14" t="s">
        <v>266</v>
      </c>
      <c r="E178" s="214" t="s">
        <v>266</v>
      </c>
      <c r="F178" s="14" t="s">
        <v>505</v>
      </c>
      <c r="G178" s="14" t="s">
        <v>266</v>
      </c>
      <c r="H178" s="14" t="s">
        <v>370</v>
      </c>
      <c r="I178" s="215" t="s">
        <v>509</v>
      </c>
      <c r="J178" s="43"/>
      <c r="K178" s="216" t="s">
        <v>374</v>
      </c>
      <c r="L178" s="214" t="s">
        <v>266</v>
      </c>
      <c r="M178" s="14" t="s">
        <v>266</v>
      </c>
      <c r="N178" s="214" t="s">
        <v>266</v>
      </c>
      <c r="O178" s="14" t="s">
        <v>266</v>
      </c>
      <c r="P178" s="14" t="s">
        <v>266</v>
      </c>
      <c r="Q178" s="14" t="s">
        <v>370</v>
      </c>
      <c r="R178" s="215" t="s">
        <v>266</v>
      </c>
      <c r="S178" s="43"/>
    </row>
    <row r="179" ht="15.75" customHeight="1">
      <c r="A179" s="43"/>
      <c r="B179" s="217" t="s">
        <v>474</v>
      </c>
      <c r="C179" s="214"/>
      <c r="D179" s="14"/>
      <c r="E179" s="214"/>
      <c r="F179" s="14"/>
      <c r="G179" s="14"/>
      <c r="H179" s="14"/>
      <c r="I179" s="14" t="s">
        <v>266</v>
      </c>
      <c r="J179" s="43"/>
      <c r="K179" s="217" t="s">
        <v>474</v>
      </c>
      <c r="L179" s="214"/>
      <c r="M179" s="14"/>
      <c r="N179" s="214"/>
      <c r="O179" s="14"/>
      <c r="P179" s="14"/>
      <c r="Q179" s="14"/>
      <c r="R179" s="14"/>
      <c r="S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210" t="s">
        <v>510</v>
      </c>
      <c r="J181" s="43"/>
      <c r="S181" s="43"/>
    </row>
    <row r="182" ht="15.75" customHeight="1">
      <c r="A182" s="43"/>
      <c r="B182" s="14" t="s">
        <v>453</v>
      </c>
      <c r="J182" s="43"/>
      <c r="K182" s="14" t="s">
        <v>454</v>
      </c>
      <c r="S182" s="43"/>
    </row>
    <row r="183" ht="15.75" customHeight="1">
      <c r="A183" s="43"/>
      <c r="B183" s="211" t="s">
        <v>455</v>
      </c>
      <c r="C183" s="212" t="s">
        <v>456</v>
      </c>
      <c r="D183" s="212" t="s">
        <v>457</v>
      </c>
      <c r="E183" s="212" t="s">
        <v>458</v>
      </c>
      <c r="F183" s="212" t="s">
        <v>7</v>
      </c>
      <c r="G183" s="204" t="s">
        <v>459</v>
      </c>
      <c r="H183" s="204" t="s">
        <v>460</v>
      </c>
      <c r="I183" s="207" t="s">
        <v>461</v>
      </c>
      <c r="J183" s="43"/>
      <c r="K183" s="211" t="s">
        <v>455</v>
      </c>
      <c r="L183" s="212" t="s">
        <v>456</v>
      </c>
      <c r="M183" s="212" t="s">
        <v>457</v>
      </c>
      <c r="N183" s="212" t="s">
        <v>458</v>
      </c>
      <c r="O183" s="212" t="s">
        <v>7</v>
      </c>
      <c r="P183" s="204" t="s">
        <v>459</v>
      </c>
      <c r="Q183" s="204" t="s">
        <v>460</v>
      </c>
      <c r="R183" s="207" t="s">
        <v>461</v>
      </c>
      <c r="S183" s="43"/>
    </row>
    <row r="184" ht="15.75" customHeight="1">
      <c r="A184" s="43"/>
      <c r="B184" s="213" t="s">
        <v>78</v>
      </c>
      <c r="C184" s="214" t="s">
        <v>462</v>
      </c>
      <c r="D184" s="14" t="s">
        <v>266</v>
      </c>
      <c r="E184" s="14" t="s">
        <v>266</v>
      </c>
      <c r="F184" s="214" t="s">
        <v>504</v>
      </c>
      <c r="G184" s="214" t="s">
        <v>266</v>
      </c>
      <c r="H184" s="14" t="s">
        <v>370</v>
      </c>
      <c r="I184" s="215" t="s">
        <v>266</v>
      </c>
      <c r="J184" s="43"/>
      <c r="K184" s="213" t="s">
        <v>78</v>
      </c>
      <c r="L184" s="214" t="s">
        <v>462</v>
      </c>
      <c r="M184" s="14" t="s">
        <v>266</v>
      </c>
      <c r="N184" s="14" t="s">
        <v>266</v>
      </c>
      <c r="O184" s="214" t="s">
        <v>504</v>
      </c>
      <c r="P184" s="214" t="s">
        <v>491</v>
      </c>
      <c r="Q184" s="14" t="s">
        <v>370</v>
      </c>
      <c r="R184" s="215" t="s">
        <v>511</v>
      </c>
      <c r="S184" s="43"/>
    </row>
    <row r="185" ht="15.75" customHeight="1">
      <c r="A185" s="43"/>
      <c r="B185" s="213" t="s">
        <v>464</v>
      </c>
      <c r="C185" s="14" t="s">
        <v>266</v>
      </c>
      <c r="D185" s="14" t="s">
        <v>266</v>
      </c>
      <c r="E185" s="14" t="s">
        <v>266</v>
      </c>
      <c r="F185" s="214" t="s">
        <v>266</v>
      </c>
      <c r="G185" s="214" t="s">
        <v>266</v>
      </c>
      <c r="H185" s="14" t="s">
        <v>370</v>
      </c>
      <c r="I185" s="215" t="s">
        <v>266</v>
      </c>
      <c r="J185" s="43"/>
      <c r="K185" s="213" t="s">
        <v>464</v>
      </c>
      <c r="L185" s="14" t="s">
        <v>266</v>
      </c>
      <c r="M185" s="14" t="s">
        <v>266</v>
      </c>
      <c r="N185" s="14" t="s">
        <v>266</v>
      </c>
      <c r="O185" s="214" t="s">
        <v>266</v>
      </c>
      <c r="P185" s="214" t="s">
        <v>491</v>
      </c>
      <c r="Q185" s="14" t="s">
        <v>370</v>
      </c>
      <c r="R185" s="215" t="s">
        <v>511</v>
      </c>
      <c r="S185" s="43"/>
    </row>
    <row r="186" ht="15.75" customHeight="1">
      <c r="A186" s="43"/>
      <c r="B186" s="213" t="s">
        <v>465</v>
      </c>
      <c r="C186" s="14" t="s">
        <v>266</v>
      </c>
      <c r="D186" s="14" t="s">
        <v>266</v>
      </c>
      <c r="E186" s="214" t="s">
        <v>266</v>
      </c>
      <c r="F186" s="214" t="s">
        <v>266</v>
      </c>
      <c r="G186" s="214" t="s">
        <v>266</v>
      </c>
      <c r="H186" s="14" t="s">
        <v>370</v>
      </c>
      <c r="I186" s="215" t="s">
        <v>266</v>
      </c>
      <c r="J186" s="43"/>
      <c r="K186" s="213" t="s">
        <v>465</v>
      </c>
      <c r="L186" s="14" t="s">
        <v>266</v>
      </c>
      <c r="M186" s="14" t="s">
        <v>266</v>
      </c>
      <c r="N186" s="214" t="s">
        <v>266</v>
      </c>
      <c r="O186" s="214" t="s">
        <v>266</v>
      </c>
      <c r="P186" s="214" t="s">
        <v>491</v>
      </c>
      <c r="Q186" s="14" t="s">
        <v>370</v>
      </c>
      <c r="R186" s="215" t="s">
        <v>511</v>
      </c>
      <c r="S186" s="43"/>
    </row>
    <row r="187" ht="15.75" customHeight="1">
      <c r="A187" s="43"/>
      <c r="B187" s="213" t="s">
        <v>77</v>
      </c>
      <c r="C187" s="214" t="s">
        <v>266</v>
      </c>
      <c r="D187" s="14" t="s">
        <v>266</v>
      </c>
      <c r="E187" s="214" t="s">
        <v>266</v>
      </c>
      <c r="F187" s="214" t="s">
        <v>266</v>
      </c>
      <c r="G187" s="214" t="s">
        <v>507</v>
      </c>
      <c r="H187" s="14" t="s">
        <v>370</v>
      </c>
      <c r="I187" s="223" t="s">
        <v>497</v>
      </c>
      <c r="J187" s="43"/>
      <c r="K187" s="213" t="s">
        <v>77</v>
      </c>
      <c r="L187" s="214" t="s">
        <v>266</v>
      </c>
      <c r="M187" s="14" t="s">
        <v>266</v>
      </c>
      <c r="N187" s="214" t="s">
        <v>266</v>
      </c>
      <c r="O187" s="214" t="s">
        <v>266</v>
      </c>
      <c r="P187" s="214" t="s">
        <v>507</v>
      </c>
      <c r="Q187" s="14" t="s">
        <v>370</v>
      </c>
      <c r="R187" s="215" t="s">
        <v>472</v>
      </c>
      <c r="S187" s="43"/>
    </row>
    <row r="188" ht="15.75" customHeight="1">
      <c r="A188" s="43"/>
      <c r="B188" s="213" t="s">
        <v>473</v>
      </c>
      <c r="C188" s="14" t="s">
        <v>266</v>
      </c>
      <c r="D188" s="14" t="s">
        <v>266</v>
      </c>
      <c r="E188" s="214" t="s">
        <v>266</v>
      </c>
      <c r="F188" s="14" t="s">
        <v>266</v>
      </c>
      <c r="G188" s="214" t="s">
        <v>469</v>
      </c>
      <c r="H188" s="14" t="s">
        <v>370</v>
      </c>
      <c r="I188" s="215" t="s">
        <v>266</v>
      </c>
      <c r="J188" s="43"/>
      <c r="K188" s="213" t="s">
        <v>473</v>
      </c>
      <c r="L188" s="14" t="s">
        <v>266</v>
      </c>
      <c r="M188" s="14" t="s">
        <v>266</v>
      </c>
      <c r="N188" s="214" t="s">
        <v>266</v>
      </c>
      <c r="O188" s="14" t="s">
        <v>266</v>
      </c>
      <c r="P188" s="14" t="s">
        <v>266</v>
      </c>
      <c r="Q188" s="14" t="s">
        <v>370</v>
      </c>
      <c r="R188" s="215" t="s">
        <v>266</v>
      </c>
      <c r="S188" s="43"/>
    </row>
    <row r="189" ht="15.75" customHeight="1">
      <c r="A189" s="43"/>
      <c r="B189" s="216" t="s">
        <v>374</v>
      </c>
      <c r="C189" s="214" t="s">
        <v>266</v>
      </c>
      <c r="D189" s="14" t="s">
        <v>266</v>
      </c>
      <c r="E189" s="214" t="s">
        <v>266</v>
      </c>
      <c r="F189" s="14" t="s">
        <v>505</v>
      </c>
      <c r="G189" s="14" t="s">
        <v>266</v>
      </c>
      <c r="H189" s="14" t="s">
        <v>370</v>
      </c>
      <c r="I189" s="215" t="s">
        <v>266</v>
      </c>
      <c r="J189" s="43"/>
      <c r="K189" s="216" t="s">
        <v>374</v>
      </c>
      <c r="L189" s="214" t="s">
        <v>266</v>
      </c>
      <c r="M189" s="14" t="s">
        <v>266</v>
      </c>
      <c r="N189" s="214" t="s">
        <v>266</v>
      </c>
      <c r="O189" s="14" t="s">
        <v>266</v>
      </c>
      <c r="P189" s="14" t="s">
        <v>266</v>
      </c>
      <c r="Q189" s="14" t="s">
        <v>370</v>
      </c>
      <c r="R189" s="215" t="s">
        <v>266</v>
      </c>
      <c r="S189" s="43"/>
    </row>
    <row r="190" ht="15.75" customHeight="1">
      <c r="A190" s="43"/>
      <c r="B190" s="217" t="s">
        <v>474</v>
      </c>
      <c r="C190" s="214" t="s">
        <v>266</v>
      </c>
      <c r="D190" s="14" t="s">
        <v>266</v>
      </c>
      <c r="E190" s="214" t="s">
        <v>266</v>
      </c>
      <c r="F190" s="14" t="s">
        <v>266</v>
      </c>
      <c r="G190" s="14" t="s">
        <v>266</v>
      </c>
      <c r="H190" s="14"/>
      <c r="I190" s="14" t="s">
        <v>266</v>
      </c>
      <c r="J190" s="43"/>
      <c r="K190" s="217" t="s">
        <v>474</v>
      </c>
      <c r="L190" s="214" t="s">
        <v>266</v>
      </c>
      <c r="M190" s="14" t="s">
        <v>266</v>
      </c>
      <c r="N190" s="214" t="s">
        <v>266</v>
      </c>
      <c r="O190" s="14" t="s">
        <v>266</v>
      </c>
      <c r="P190" s="14" t="s">
        <v>266</v>
      </c>
      <c r="Q190" s="14"/>
      <c r="R190" s="14" t="s">
        <v>266</v>
      </c>
      <c r="S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J192" s="43"/>
      <c r="S192" s="43"/>
    </row>
    <row r="193" ht="15.75" customHeight="1">
      <c r="A193" s="43"/>
      <c r="J193" s="43"/>
      <c r="S193" s="43"/>
    </row>
    <row r="194" ht="15.75" customHeight="1">
      <c r="A194" s="43"/>
      <c r="J194" s="43"/>
      <c r="S194" s="43"/>
    </row>
    <row r="195" ht="15.75" customHeight="1">
      <c r="A195" s="43"/>
      <c r="J195" s="43"/>
      <c r="S195" s="43"/>
    </row>
    <row r="196" ht="15.75" customHeight="1">
      <c r="A196" s="43"/>
      <c r="J196" s="43"/>
      <c r="S196" s="43"/>
    </row>
    <row r="197" ht="15.75" customHeight="1">
      <c r="A197" s="43"/>
      <c r="J197" s="43"/>
      <c r="S197" s="43"/>
    </row>
    <row r="198" ht="15.75" customHeight="1">
      <c r="A198" s="43"/>
      <c r="J198" s="43"/>
      <c r="S198" s="43"/>
    </row>
    <row r="199" ht="15.75" customHeight="1">
      <c r="A199" s="43"/>
      <c r="J199" s="43"/>
      <c r="S199" s="43"/>
    </row>
    <row r="200" ht="15.75" customHeight="1">
      <c r="A200" s="43"/>
      <c r="J200" s="43"/>
      <c r="S200" s="43"/>
    </row>
    <row r="201" ht="15.75" customHeight="1">
      <c r="A201" s="43"/>
      <c r="J201" s="43"/>
      <c r="S201" s="43"/>
    </row>
    <row r="202" ht="15.75" customHeight="1">
      <c r="A202" s="43"/>
      <c r="J202" s="43"/>
      <c r="S202" s="43"/>
    </row>
    <row r="203" ht="15.75" customHeight="1">
      <c r="A203" s="43"/>
      <c r="J203" s="43"/>
      <c r="S203" s="43"/>
    </row>
    <row r="204" ht="15.75" customHeight="1">
      <c r="A204" s="43"/>
      <c r="J204" s="43"/>
      <c r="S204" s="43"/>
    </row>
    <row r="205" ht="15.75" customHeight="1">
      <c r="A205" s="43"/>
      <c r="J205" s="43"/>
      <c r="S205" s="43"/>
    </row>
    <row r="206" ht="15.75" customHeight="1">
      <c r="A206" s="43"/>
      <c r="J206" s="43"/>
      <c r="S206" s="43"/>
    </row>
    <row r="207" ht="15.75" customHeight="1">
      <c r="A207" s="43"/>
      <c r="J207" s="43"/>
      <c r="S207" s="43"/>
    </row>
    <row r="208" ht="15.75" customHeight="1">
      <c r="A208" s="43"/>
      <c r="J208" s="43"/>
      <c r="S208" s="43"/>
    </row>
    <row r="209" ht="15.75" customHeight="1">
      <c r="A209" s="43"/>
      <c r="J209" s="43"/>
      <c r="S209" s="43"/>
    </row>
    <row r="210" ht="15.75" customHeight="1">
      <c r="A210" s="43"/>
      <c r="J210" s="43"/>
      <c r="S210" s="43"/>
    </row>
    <row r="211" ht="15.75" customHeight="1">
      <c r="A211" s="43"/>
      <c r="J211" s="43"/>
      <c r="S211" s="43"/>
    </row>
    <row r="212" ht="15.75" customHeight="1">
      <c r="A212" s="43"/>
      <c r="J212" s="43"/>
      <c r="S212" s="43"/>
    </row>
    <row r="213" ht="15.75" customHeight="1">
      <c r="A213" s="43"/>
      <c r="J213" s="43"/>
      <c r="S213" s="43"/>
    </row>
    <row r="214" ht="15.75" customHeight="1">
      <c r="A214" s="43"/>
      <c r="J214" s="43"/>
      <c r="S214" s="43"/>
    </row>
    <row r="215" ht="15.75" customHeight="1">
      <c r="A215" s="43"/>
      <c r="J215" s="43"/>
      <c r="S215" s="43"/>
    </row>
    <row r="216" ht="15.75" customHeight="1">
      <c r="A216" s="43"/>
      <c r="J216" s="43"/>
      <c r="S216" s="43"/>
    </row>
    <row r="217" ht="15.75" customHeight="1">
      <c r="A217" s="43"/>
      <c r="J217" s="43"/>
      <c r="S217" s="43"/>
    </row>
    <row r="218" ht="15.75" customHeight="1">
      <c r="A218" s="43"/>
      <c r="J218" s="43"/>
      <c r="S218" s="43"/>
    </row>
    <row r="219" ht="15.75" customHeight="1">
      <c r="A219" s="43"/>
      <c r="J219" s="43"/>
      <c r="S219" s="43"/>
    </row>
    <row r="220" ht="15.75" customHeight="1">
      <c r="A220" s="43"/>
      <c r="J220" s="43"/>
      <c r="S220" s="43"/>
    </row>
    <row r="221" ht="15.75" customHeight="1">
      <c r="A221" s="43"/>
      <c r="J221" s="43"/>
      <c r="S221" s="43"/>
    </row>
    <row r="222" ht="15.75" customHeight="1">
      <c r="A222" s="43"/>
      <c r="J222" s="43"/>
      <c r="S222" s="43"/>
    </row>
    <row r="223" ht="15.75" customHeight="1">
      <c r="A223" s="43"/>
      <c r="J223" s="43"/>
      <c r="S223" s="43"/>
    </row>
    <row r="224" ht="15.75" customHeight="1">
      <c r="A224" s="43"/>
      <c r="J224" s="43"/>
      <c r="S224" s="43"/>
    </row>
    <row r="225" ht="15.75" customHeight="1">
      <c r="A225" s="43"/>
      <c r="J225" s="43"/>
      <c r="S225" s="43"/>
    </row>
    <row r="226" ht="15.75" customHeight="1">
      <c r="A226" s="43"/>
      <c r="J226" s="43"/>
      <c r="S226" s="43"/>
    </row>
    <row r="227" ht="15.75" customHeight="1">
      <c r="A227" s="43"/>
      <c r="J227" s="43"/>
      <c r="S227" s="43"/>
    </row>
    <row r="228" ht="15.75" customHeight="1">
      <c r="A228" s="43"/>
      <c r="J228" s="43"/>
      <c r="S228" s="43"/>
    </row>
    <row r="229" ht="15.75" customHeight="1">
      <c r="A229" s="43"/>
      <c r="J229" s="43"/>
      <c r="S229" s="43"/>
    </row>
    <row r="230" ht="15.75" customHeight="1">
      <c r="A230" s="43"/>
      <c r="J230" s="43"/>
      <c r="S230" s="43"/>
    </row>
    <row r="231" ht="15.75" customHeight="1">
      <c r="A231" s="43"/>
      <c r="J231" s="43"/>
      <c r="S231" s="43"/>
    </row>
    <row r="232" ht="15.75" customHeight="1">
      <c r="A232" s="43"/>
      <c r="J232" s="43"/>
      <c r="S232" s="43"/>
    </row>
    <row r="233" ht="15.75" customHeight="1">
      <c r="A233" s="43"/>
      <c r="J233" s="43"/>
      <c r="S233" s="43"/>
    </row>
    <row r="234" ht="15.75" customHeight="1">
      <c r="A234" s="43"/>
      <c r="J234" s="43"/>
      <c r="S234" s="43"/>
    </row>
    <row r="235" ht="15.75" customHeight="1">
      <c r="A235" s="43"/>
      <c r="J235" s="43"/>
      <c r="S235" s="43"/>
    </row>
    <row r="236" ht="15.75" customHeight="1">
      <c r="A236" s="43"/>
      <c r="J236" s="43"/>
      <c r="S236" s="43"/>
    </row>
    <row r="237" ht="15.75" customHeight="1">
      <c r="A237" s="43"/>
      <c r="J237" s="43"/>
      <c r="S237" s="43"/>
    </row>
    <row r="238" ht="15.75" customHeight="1">
      <c r="A238" s="43"/>
      <c r="J238" s="43"/>
      <c r="S238" s="43"/>
    </row>
    <row r="239" ht="15.75" customHeight="1">
      <c r="A239" s="43"/>
      <c r="J239" s="43"/>
      <c r="S239" s="43"/>
    </row>
    <row r="240" ht="15.75" customHeight="1">
      <c r="A240" s="43"/>
      <c r="J240" s="43"/>
      <c r="S240" s="43"/>
    </row>
    <row r="241" ht="15.75" customHeight="1">
      <c r="A241" s="43"/>
      <c r="J241" s="43"/>
      <c r="S241" s="43"/>
    </row>
    <row r="242" ht="15.75" customHeight="1">
      <c r="A242" s="43"/>
      <c r="J242" s="43"/>
      <c r="S242" s="43"/>
    </row>
    <row r="243" ht="15.75" customHeight="1">
      <c r="A243" s="43"/>
      <c r="J243" s="43"/>
      <c r="S243" s="43"/>
    </row>
    <row r="244" ht="15.75" customHeight="1">
      <c r="A244" s="43"/>
      <c r="J244" s="43"/>
      <c r="S244" s="43"/>
    </row>
    <row r="245" ht="15.75" customHeight="1">
      <c r="A245" s="43"/>
      <c r="J245" s="43"/>
      <c r="S245" s="43"/>
    </row>
    <row r="246" ht="15.75" customHeight="1">
      <c r="A246" s="43"/>
      <c r="J246" s="43"/>
      <c r="S246" s="43"/>
    </row>
    <row r="247" ht="15.75" customHeight="1">
      <c r="A247" s="43"/>
      <c r="J247" s="43"/>
      <c r="S247" s="43"/>
    </row>
    <row r="248" ht="15.75" customHeight="1">
      <c r="A248" s="43"/>
      <c r="J248" s="43"/>
      <c r="S248" s="43"/>
    </row>
    <row r="249" ht="15.75" customHeight="1">
      <c r="A249" s="43"/>
      <c r="J249" s="43"/>
      <c r="S249" s="43"/>
    </row>
    <row r="250" ht="15.75" customHeight="1">
      <c r="A250" s="43"/>
      <c r="J250" s="43"/>
      <c r="S250" s="43"/>
    </row>
    <row r="251" ht="15.75" customHeight="1">
      <c r="A251" s="43"/>
      <c r="J251" s="43"/>
      <c r="S251" s="43"/>
    </row>
    <row r="252" ht="15.75" customHeight="1">
      <c r="A252" s="43"/>
      <c r="J252" s="43"/>
      <c r="S252" s="43"/>
    </row>
    <row r="253" ht="15.75" customHeight="1">
      <c r="A253" s="43"/>
      <c r="J253" s="43"/>
      <c r="S253" s="43"/>
    </row>
    <row r="254" ht="15.75" customHeight="1">
      <c r="A254" s="43"/>
      <c r="J254" s="43"/>
      <c r="S254" s="43"/>
    </row>
    <row r="255" ht="15.75" customHeight="1">
      <c r="A255" s="43"/>
      <c r="J255" s="43"/>
      <c r="S255" s="43"/>
    </row>
    <row r="256" ht="15.75" customHeight="1">
      <c r="A256" s="43"/>
      <c r="J256" s="43"/>
      <c r="S256" s="43"/>
    </row>
    <row r="257" ht="15.75" customHeight="1">
      <c r="A257" s="43"/>
      <c r="J257" s="43"/>
      <c r="S257" s="43"/>
    </row>
    <row r="258" ht="15.75" customHeight="1">
      <c r="A258" s="43"/>
      <c r="J258" s="43"/>
      <c r="S258" s="43"/>
    </row>
    <row r="259" ht="15.75" customHeight="1">
      <c r="A259" s="43"/>
      <c r="J259" s="43"/>
      <c r="S259" s="43"/>
    </row>
    <row r="260" ht="15.75" customHeight="1">
      <c r="A260" s="43"/>
      <c r="J260" s="43"/>
      <c r="S260" s="43"/>
    </row>
    <row r="261" ht="15.75" customHeight="1">
      <c r="A261" s="43"/>
      <c r="J261" s="43"/>
      <c r="S261" s="43"/>
    </row>
    <row r="262" ht="15.75" customHeight="1">
      <c r="A262" s="43"/>
      <c r="J262" s="43"/>
      <c r="S262" s="43"/>
    </row>
    <row r="263" ht="15.75" customHeight="1">
      <c r="A263" s="43"/>
      <c r="J263" s="43"/>
      <c r="S263" s="43"/>
    </row>
    <row r="264" ht="15.75" customHeight="1">
      <c r="A264" s="43"/>
      <c r="J264" s="43"/>
      <c r="S264" s="43"/>
    </row>
    <row r="265" ht="15.75" customHeight="1">
      <c r="A265" s="43"/>
      <c r="J265" s="43"/>
      <c r="S265" s="43"/>
    </row>
    <row r="266" ht="15.75" customHeight="1">
      <c r="A266" s="43"/>
      <c r="J266" s="43"/>
      <c r="S266" s="43"/>
    </row>
    <row r="267" ht="15.75" customHeight="1">
      <c r="A267" s="43"/>
      <c r="J267" s="43"/>
      <c r="S267" s="43"/>
    </row>
    <row r="268" ht="15.75" customHeight="1">
      <c r="A268" s="43"/>
      <c r="J268" s="43"/>
      <c r="S268" s="43"/>
    </row>
    <row r="269" ht="15.75" customHeight="1">
      <c r="A269" s="43"/>
      <c r="J269" s="43"/>
      <c r="S269" s="43"/>
    </row>
    <row r="270" ht="15.75" customHeight="1">
      <c r="A270" s="43"/>
      <c r="J270" s="43"/>
      <c r="S270" s="43"/>
    </row>
    <row r="271" ht="15.75" customHeight="1">
      <c r="A271" s="43"/>
      <c r="J271" s="43"/>
      <c r="S271" s="43"/>
    </row>
    <row r="272" ht="15.75" customHeight="1">
      <c r="A272" s="43"/>
      <c r="J272" s="43"/>
      <c r="S272" s="43"/>
    </row>
    <row r="273" ht="15.75" customHeight="1">
      <c r="A273" s="43"/>
      <c r="J273" s="43"/>
      <c r="S273" s="43"/>
    </row>
    <row r="274" ht="15.75" customHeight="1">
      <c r="A274" s="43"/>
      <c r="J274" s="43"/>
      <c r="S274" s="43"/>
    </row>
    <row r="275" ht="15.75" customHeight="1">
      <c r="A275" s="43"/>
      <c r="J275" s="43"/>
      <c r="S275" s="43"/>
    </row>
    <row r="276" ht="15.75" customHeight="1">
      <c r="A276" s="43"/>
      <c r="J276" s="43"/>
      <c r="S276" s="43"/>
    </row>
    <row r="277" ht="15.75" customHeight="1">
      <c r="A277" s="43"/>
      <c r="J277" s="43"/>
      <c r="S277" s="43"/>
    </row>
    <row r="278" ht="15.75" customHeight="1">
      <c r="A278" s="43"/>
      <c r="J278" s="43"/>
      <c r="S278" s="43"/>
    </row>
    <row r="279" ht="15.75" customHeight="1">
      <c r="A279" s="43"/>
      <c r="J279" s="43"/>
      <c r="S279" s="43"/>
    </row>
    <row r="280" ht="15.75" customHeight="1">
      <c r="A280" s="43"/>
      <c r="J280" s="43"/>
      <c r="S280" s="43"/>
    </row>
    <row r="281" ht="15.75" customHeight="1">
      <c r="A281" s="43"/>
      <c r="J281" s="43"/>
      <c r="S281" s="43"/>
    </row>
    <row r="282" ht="15.75" customHeight="1">
      <c r="A282" s="43"/>
      <c r="J282" s="43"/>
      <c r="S282" s="43"/>
    </row>
    <row r="283" ht="15.75" customHeight="1">
      <c r="A283" s="43"/>
      <c r="J283" s="43"/>
      <c r="S283" s="43"/>
    </row>
    <row r="284" ht="15.75" customHeight="1">
      <c r="A284" s="43"/>
      <c r="J284" s="43"/>
      <c r="S284" s="43"/>
    </row>
    <row r="285" ht="15.75" customHeight="1">
      <c r="A285" s="43"/>
      <c r="J285" s="43"/>
      <c r="S285" s="43"/>
    </row>
    <row r="286" ht="15.75" customHeight="1">
      <c r="A286" s="43"/>
      <c r="J286" s="43"/>
      <c r="S286" s="43"/>
    </row>
    <row r="287" ht="15.75" customHeight="1">
      <c r="A287" s="43"/>
      <c r="J287" s="43"/>
      <c r="S287" s="43"/>
    </row>
    <row r="288" ht="15.75" customHeight="1">
      <c r="A288" s="43"/>
      <c r="J288" s="43"/>
      <c r="S288" s="43"/>
    </row>
    <row r="289" ht="15.75" customHeight="1">
      <c r="A289" s="43"/>
      <c r="J289" s="43"/>
      <c r="S289" s="43"/>
    </row>
    <row r="290" ht="15.75" customHeight="1">
      <c r="A290" s="43"/>
      <c r="J290" s="43"/>
      <c r="S290" s="43"/>
    </row>
    <row r="291" ht="15.75" customHeight="1">
      <c r="A291" s="43"/>
      <c r="J291" s="43"/>
      <c r="S291" s="43"/>
    </row>
    <row r="292" ht="15.75" customHeight="1">
      <c r="A292" s="43"/>
      <c r="J292" s="43"/>
      <c r="S292" s="43"/>
    </row>
    <row r="293" ht="15.75" customHeight="1">
      <c r="A293" s="43"/>
      <c r="J293" s="43"/>
      <c r="S293" s="43"/>
    </row>
    <row r="294" ht="15.75" customHeight="1">
      <c r="A294" s="43"/>
      <c r="J294" s="43"/>
      <c r="S294" s="43"/>
    </row>
    <row r="295" ht="15.75" customHeight="1">
      <c r="A295" s="43"/>
      <c r="J295" s="43"/>
      <c r="S295" s="43"/>
    </row>
    <row r="296" ht="15.75" customHeight="1">
      <c r="A296" s="43"/>
      <c r="J296" s="43"/>
      <c r="S296" s="43"/>
    </row>
    <row r="297" ht="15.75" customHeight="1">
      <c r="A297" s="43"/>
      <c r="J297" s="43"/>
      <c r="S297" s="43"/>
    </row>
    <row r="298" ht="15.75" customHeight="1">
      <c r="A298" s="43"/>
      <c r="J298" s="43"/>
      <c r="S298" s="43"/>
    </row>
    <row r="299" ht="15.75" customHeight="1">
      <c r="A299" s="43"/>
      <c r="J299" s="43"/>
      <c r="S299" s="43"/>
    </row>
    <row r="300" ht="15.75" customHeight="1">
      <c r="A300" s="43"/>
      <c r="J300" s="43"/>
      <c r="S300" s="43"/>
    </row>
    <row r="301" ht="15.75" customHeight="1">
      <c r="A301" s="43"/>
      <c r="J301" s="43"/>
      <c r="S301" s="43"/>
    </row>
    <row r="302" ht="15.75" customHeight="1">
      <c r="A302" s="43"/>
      <c r="J302" s="43"/>
      <c r="S302" s="43"/>
    </row>
    <row r="303" ht="15.75" customHeight="1">
      <c r="A303" s="43"/>
      <c r="J303" s="43"/>
      <c r="S303" s="43"/>
    </row>
    <row r="304" ht="15.75" customHeight="1">
      <c r="A304" s="43"/>
      <c r="J304" s="43"/>
      <c r="S304" s="43"/>
    </row>
    <row r="305" ht="15.75" customHeight="1">
      <c r="A305" s="43"/>
      <c r="J305" s="43"/>
      <c r="S305" s="43"/>
    </row>
    <row r="306" ht="15.75" customHeight="1">
      <c r="A306" s="43"/>
      <c r="J306" s="43"/>
      <c r="S306" s="43"/>
    </row>
    <row r="307" ht="15.75" customHeight="1">
      <c r="A307" s="43"/>
      <c r="J307" s="43"/>
      <c r="S307" s="43"/>
    </row>
    <row r="308" ht="15.75" customHeight="1">
      <c r="A308" s="43"/>
      <c r="J308" s="43"/>
      <c r="S308" s="43"/>
    </row>
    <row r="309" ht="15.75" customHeight="1">
      <c r="A309" s="43"/>
      <c r="J309" s="43"/>
      <c r="S309" s="43"/>
    </row>
    <row r="310" ht="15.75" customHeight="1">
      <c r="A310" s="43"/>
      <c r="J310" s="43"/>
      <c r="S310" s="43"/>
    </row>
    <row r="311" ht="15.75" customHeight="1">
      <c r="A311" s="43"/>
      <c r="J311" s="43"/>
      <c r="S311" s="43"/>
    </row>
    <row r="312" ht="15.75" customHeight="1">
      <c r="A312" s="43"/>
      <c r="J312" s="43"/>
      <c r="S312" s="43"/>
    </row>
    <row r="313" ht="15.75" customHeight="1">
      <c r="A313" s="43"/>
      <c r="J313" s="43"/>
      <c r="S313" s="43"/>
    </row>
    <row r="314" ht="15.75" customHeight="1">
      <c r="A314" s="43"/>
      <c r="J314" s="43"/>
      <c r="S314" s="43"/>
    </row>
    <row r="315" ht="15.75" customHeight="1">
      <c r="A315" s="43"/>
      <c r="J315" s="43"/>
      <c r="S315" s="43"/>
    </row>
    <row r="316" ht="15.75" customHeight="1">
      <c r="A316" s="43"/>
      <c r="J316" s="43"/>
      <c r="S316" s="43"/>
    </row>
    <row r="317" ht="15.75" customHeight="1">
      <c r="A317" s="43"/>
      <c r="J317" s="43"/>
      <c r="S317" s="43"/>
    </row>
    <row r="318" ht="15.75" customHeight="1">
      <c r="A318" s="43"/>
      <c r="J318" s="43"/>
      <c r="S318" s="43"/>
    </row>
    <row r="319" ht="15.75" customHeight="1">
      <c r="A319" s="43"/>
      <c r="J319" s="43"/>
      <c r="S319" s="43"/>
    </row>
    <row r="320" ht="15.75" customHeight="1">
      <c r="A320" s="43"/>
      <c r="J320" s="43"/>
      <c r="S320" s="43"/>
    </row>
    <row r="321" ht="15.75" customHeight="1">
      <c r="A321" s="43"/>
      <c r="J321" s="43"/>
      <c r="S321" s="43"/>
    </row>
    <row r="322" ht="15.75" customHeight="1">
      <c r="A322" s="43"/>
      <c r="J322" s="43"/>
      <c r="S322" s="43"/>
    </row>
    <row r="323" ht="15.75" customHeight="1">
      <c r="A323" s="43"/>
      <c r="J323" s="43"/>
      <c r="S323" s="43"/>
    </row>
    <row r="324" ht="15.75" customHeight="1">
      <c r="A324" s="43"/>
      <c r="J324" s="43"/>
      <c r="S324" s="43"/>
    </row>
    <row r="325" ht="15.75" customHeight="1">
      <c r="A325" s="43"/>
      <c r="J325" s="43"/>
      <c r="S325" s="43"/>
    </row>
    <row r="326" ht="15.75" customHeight="1">
      <c r="A326" s="43"/>
      <c r="J326" s="43"/>
      <c r="S326" s="43"/>
    </row>
    <row r="327" ht="15.75" customHeight="1">
      <c r="A327" s="43"/>
      <c r="J327" s="43"/>
      <c r="S327" s="43"/>
    </row>
    <row r="328" ht="15.75" customHeight="1">
      <c r="A328" s="43"/>
      <c r="J328" s="43"/>
      <c r="S328" s="43"/>
    </row>
    <row r="329" ht="15.75" customHeight="1">
      <c r="A329" s="43"/>
      <c r="J329" s="43"/>
      <c r="S329" s="43"/>
    </row>
    <row r="330" ht="15.75" customHeight="1">
      <c r="A330" s="43"/>
      <c r="J330" s="43"/>
      <c r="S330" s="43"/>
    </row>
    <row r="331" ht="15.75" customHeight="1">
      <c r="A331" s="43"/>
      <c r="J331" s="43"/>
      <c r="S331" s="43"/>
    </row>
    <row r="332" ht="15.75" customHeight="1">
      <c r="A332" s="43"/>
      <c r="J332" s="43"/>
      <c r="S332" s="43"/>
    </row>
    <row r="333" ht="15.75" customHeight="1">
      <c r="A333" s="43"/>
      <c r="J333" s="43"/>
      <c r="S333" s="43"/>
    </row>
    <row r="334" ht="15.75" customHeight="1">
      <c r="A334" s="43"/>
      <c r="J334" s="43"/>
      <c r="S334" s="43"/>
    </row>
    <row r="335" ht="15.75" customHeight="1">
      <c r="A335" s="43"/>
      <c r="J335" s="43"/>
      <c r="S335" s="43"/>
    </row>
    <row r="336" ht="15.75" customHeight="1">
      <c r="A336" s="43"/>
      <c r="J336" s="43"/>
      <c r="S336" s="43"/>
    </row>
    <row r="337" ht="15.75" customHeight="1">
      <c r="A337" s="43"/>
      <c r="J337" s="43"/>
      <c r="S337" s="43"/>
    </row>
    <row r="338" ht="15.75" customHeight="1">
      <c r="A338" s="43"/>
      <c r="J338" s="43"/>
      <c r="S338" s="43"/>
    </row>
    <row r="339" ht="15.75" customHeight="1">
      <c r="A339" s="43"/>
      <c r="J339" s="43"/>
      <c r="S339" s="43"/>
    </row>
    <row r="340" ht="15.75" customHeight="1">
      <c r="A340" s="43"/>
      <c r="J340" s="43"/>
      <c r="S340" s="43"/>
    </row>
    <row r="341" ht="15.75" customHeight="1">
      <c r="A341" s="43"/>
      <c r="J341" s="43"/>
      <c r="S341" s="43"/>
    </row>
    <row r="342" ht="15.75" customHeight="1">
      <c r="A342" s="43"/>
      <c r="J342" s="43"/>
      <c r="S342" s="43"/>
    </row>
    <row r="343" ht="15.75" customHeight="1">
      <c r="A343" s="43"/>
      <c r="J343" s="43"/>
      <c r="S343" s="43"/>
    </row>
    <row r="344" ht="15.75" customHeight="1">
      <c r="A344" s="43"/>
      <c r="J344" s="43"/>
      <c r="S344" s="43"/>
    </row>
    <row r="345" ht="15.75" customHeight="1">
      <c r="A345" s="43"/>
      <c r="J345" s="43"/>
      <c r="S345" s="43"/>
    </row>
    <row r="346" ht="15.75" customHeight="1">
      <c r="A346" s="43"/>
      <c r="J346" s="43"/>
      <c r="S346" s="43"/>
    </row>
    <row r="347" ht="15.75" customHeight="1">
      <c r="A347" s="43"/>
      <c r="J347" s="43"/>
      <c r="S347" s="43"/>
    </row>
    <row r="348" ht="15.75" customHeight="1">
      <c r="A348" s="43"/>
      <c r="J348" s="43"/>
      <c r="S348" s="43"/>
    </row>
    <row r="349" ht="15.75" customHeight="1">
      <c r="A349" s="43"/>
      <c r="J349" s="43"/>
      <c r="S349" s="43"/>
    </row>
    <row r="350" ht="15.75" customHeight="1">
      <c r="A350" s="43"/>
      <c r="J350" s="43"/>
      <c r="S350" s="43"/>
    </row>
    <row r="351" ht="15.75" customHeight="1">
      <c r="A351" s="43"/>
      <c r="J351" s="43"/>
      <c r="S351" s="43"/>
    </row>
    <row r="352" ht="15.75" customHeight="1">
      <c r="A352" s="43"/>
      <c r="J352" s="43"/>
      <c r="S352" s="43"/>
    </row>
    <row r="353" ht="15.75" customHeight="1">
      <c r="A353" s="43"/>
      <c r="J353" s="43"/>
      <c r="S353" s="43"/>
    </row>
    <row r="354" ht="15.75" customHeight="1">
      <c r="A354" s="43"/>
      <c r="J354" s="43"/>
      <c r="S354" s="43"/>
    </row>
    <row r="355" ht="15.75" customHeight="1">
      <c r="A355" s="43"/>
      <c r="J355" s="43"/>
      <c r="S355" s="43"/>
    </row>
    <row r="356" ht="15.75" customHeight="1">
      <c r="A356" s="43"/>
      <c r="J356" s="43"/>
      <c r="S356" s="43"/>
    </row>
    <row r="357" ht="15.75" customHeight="1">
      <c r="A357" s="43"/>
      <c r="J357" s="43"/>
      <c r="S357" s="43"/>
    </row>
    <row r="358" ht="15.75" customHeight="1">
      <c r="A358" s="43"/>
      <c r="J358" s="43"/>
      <c r="S358" s="43"/>
    </row>
    <row r="359" ht="15.75" customHeight="1">
      <c r="A359" s="43"/>
      <c r="J359" s="43"/>
      <c r="S359" s="43"/>
    </row>
    <row r="360" ht="15.75" customHeight="1">
      <c r="A360" s="43"/>
      <c r="J360" s="43"/>
      <c r="S360" s="43"/>
    </row>
    <row r="361" ht="15.75" customHeight="1">
      <c r="A361" s="43"/>
      <c r="J361" s="43"/>
      <c r="S361" s="43"/>
    </row>
    <row r="362" ht="15.75" customHeight="1">
      <c r="A362" s="43"/>
      <c r="J362" s="43"/>
      <c r="S362" s="43"/>
    </row>
    <row r="363" ht="15.75" customHeight="1">
      <c r="A363" s="43"/>
      <c r="J363" s="43"/>
      <c r="S363" s="43"/>
    </row>
    <row r="364" ht="15.75" customHeight="1">
      <c r="A364" s="43"/>
      <c r="J364" s="43"/>
      <c r="S364" s="43"/>
    </row>
    <row r="365" ht="15.75" customHeight="1">
      <c r="A365" s="43"/>
      <c r="J365" s="43"/>
      <c r="S365" s="43"/>
    </row>
    <row r="366" ht="15.75" customHeight="1">
      <c r="A366" s="43"/>
      <c r="J366" s="43"/>
      <c r="S366" s="43"/>
    </row>
    <row r="367" ht="15.75" customHeight="1">
      <c r="A367" s="43"/>
      <c r="J367" s="43"/>
      <c r="S367" s="43"/>
    </row>
    <row r="368" ht="15.75" customHeight="1">
      <c r="A368" s="43"/>
      <c r="J368" s="43"/>
      <c r="S368" s="43"/>
    </row>
    <row r="369" ht="15.75" customHeight="1">
      <c r="A369" s="43"/>
      <c r="J369" s="43"/>
      <c r="S369" s="43"/>
    </row>
    <row r="370" ht="15.75" customHeight="1">
      <c r="A370" s="43"/>
      <c r="J370" s="43"/>
      <c r="S370" s="43"/>
    </row>
    <row r="371" ht="15.75" customHeight="1">
      <c r="A371" s="43"/>
      <c r="J371" s="43"/>
      <c r="S371" s="43"/>
    </row>
    <row r="372" ht="15.75" customHeight="1">
      <c r="A372" s="43"/>
      <c r="J372" s="43"/>
      <c r="S372" s="43"/>
    </row>
    <row r="373" ht="15.75" customHeight="1">
      <c r="A373" s="43"/>
      <c r="J373" s="43"/>
      <c r="S373" s="43"/>
    </row>
    <row r="374" ht="15.75" customHeight="1">
      <c r="A374" s="43"/>
      <c r="J374" s="43"/>
      <c r="S374" s="43"/>
    </row>
    <row r="375" ht="15.75" customHeight="1">
      <c r="A375" s="43"/>
      <c r="J375" s="43"/>
      <c r="S375" s="43"/>
    </row>
    <row r="376" ht="15.75" customHeight="1">
      <c r="A376" s="43"/>
      <c r="J376" s="43"/>
      <c r="S376" s="43"/>
    </row>
    <row r="377" ht="15.75" customHeight="1">
      <c r="A377" s="43"/>
      <c r="J377" s="43"/>
      <c r="S377" s="43"/>
    </row>
    <row r="378" ht="15.75" customHeight="1">
      <c r="A378" s="43"/>
      <c r="J378" s="43"/>
      <c r="S378" s="43"/>
    </row>
    <row r="379" ht="15.75" customHeight="1">
      <c r="A379" s="43"/>
      <c r="J379" s="43"/>
      <c r="S379" s="43"/>
    </row>
    <row r="380" ht="15.75" customHeight="1">
      <c r="A380" s="43"/>
      <c r="J380" s="43"/>
      <c r="S380" s="43"/>
    </row>
    <row r="381" ht="15.75" customHeight="1">
      <c r="A381" s="43"/>
      <c r="J381" s="43"/>
      <c r="S381" s="43"/>
    </row>
    <row r="382" ht="15.75" customHeight="1">
      <c r="A382" s="43"/>
      <c r="J382" s="43"/>
      <c r="S382" s="43"/>
    </row>
    <row r="383" ht="15.75" customHeight="1">
      <c r="A383" s="43"/>
      <c r="J383" s="43"/>
      <c r="S383" s="43"/>
    </row>
    <row r="384" ht="15.75" customHeight="1">
      <c r="A384" s="43"/>
      <c r="J384" s="43"/>
      <c r="S384" s="43"/>
    </row>
    <row r="385" ht="15.75" customHeight="1">
      <c r="A385" s="43"/>
      <c r="J385" s="43"/>
      <c r="S385" s="43"/>
    </row>
    <row r="386" ht="15.75" customHeight="1">
      <c r="A386" s="43"/>
      <c r="J386" s="43"/>
      <c r="S386" s="43"/>
    </row>
    <row r="387" ht="15.75" customHeight="1">
      <c r="A387" s="43"/>
      <c r="J387" s="43"/>
      <c r="S387" s="43"/>
    </row>
    <row r="388" ht="15.75" customHeight="1">
      <c r="A388" s="43"/>
      <c r="J388" s="43"/>
      <c r="S388" s="43"/>
    </row>
    <row r="389" ht="15.75" customHeight="1">
      <c r="A389" s="43"/>
      <c r="J389" s="43"/>
      <c r="S389" s="43"/>
    </row>
    <row r="390" ht="15.75" customHeight="1">
      <c r="A390" s="43"/>
      <c r="J390" s="43"/>
      <c r="S390" s="43"/>
    </row>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24" t="s">
        <v>512</v>
      </c>
      <c r="B1" s="224" t="s">
        <v>513</v>
      </c>
      <c r="C1" s="224"/>
      <c r="D1" s="30"/>
      <c r="E1" s="30" t="str">
        <f>M1&amp; " de " &amp;M2&amp; ", " &amp; M3 &amp; " de Nivel " &amp; $L$2</f>
        <v>Humano de Bastrea, Guerrero  de Nivel 30</v>
      </c>
      <c r="L1" s="14" t="s">
        <v>514</v>
      </c>
      <c r="M1" s="14" t="s">
        <v>515</v>
      </c>
      <c r="R1" s="14" t="s">
        <v>516</v>
      </c>
      <c r="S1" s="14" t="s">
        <v>517</v>
      </c>
    </row>
    <row r="2" ht="15.75" customHeight="1">
      <c r="A2" s="225" t="s">
        <v>518</v>
      </c>
      <c r="B2" s="226">
        <v>-7.0</v>
      </c>
      <c r="C2" s="226"/>
      <c r="D2" s="30"/>
      <c r="E2" s="227" t="s">
        <v>519</v>
      </c>
      <c r="F2" s="227" t="s">
        <v>520</v>
      </c>
      <c r="G2" s="227" t="s">
        <v>521</v>
      </c>
      <c r="H2" s="227" t="s">
        <v>522</v>
      </c>
      <c r="I2" s="227" t="s">
        <v>523</v>
      </c>
      <c r="J2" s="227" t="s">
        <v>524</v>
      </c>
      <c r="L2" s="95">
        <f>LVL!G2</f>
        <v>30</v>
      </c>
      <c r="M2" s="14" t="s">
        <v>78</v>
      </c>
      <c r="R2" s="14">
        <v>1.0</v>
      </c>
      <c r="S2" s="40">
        <v>-7.0</v>
      </c>
    </row>
    <row r="3" ht="15.75" customHeight="1">
      <c r="A3" s="228">
        <v>45353.0</v>
      </c>
      <c r="B3" s="226">
        <v>-6.0</v>
      </c>
      <c r="C3" s="226"/>
      <c r="D3" s="30"/>
      <c r="E3" s="229">
        <f t="shared" ref="E3:G3" si="1">A43</f>
        <v>76</v>
      </c>
      <c r="F3" s="230">
        <f t="shared" si="1"/>
        <v>44</v>
      </c>
      <c r="G3" s="229">
        <f t="shared" si="1"/>
        <v>9</v>
      </c>
      <c r="H3" s="231">
        <f t="shared" ref="H3:J3" si="2">A45</f>
        <v>10</v>
      </c>
      <c r="I3" s="229">
        <f t="shared" si="2"/>
        <v>40</v>
      </c>
      <c r="J3" s="232">
        <f t="shared" si="2"/>
        <v>11</v>
      </c>
      <c r="M3" s="14" t="s">
        <v>525</v>
      </c>
      <c r="R3" s="14">
        <v>2.0</v>
      </c>
      <c r="S3" s="40">
        <v>-7.0</v>
      </c>
    </row>
    <row r="4" ht="15.75" customHeight="1">
      <c r="A4" s="228">
        <v>45416.0</v>
      </c>
      <c r="B4" s="226">
        <v>-5.0</v>
      </c>
      <c r="C4" s="226"/>
      <c r="D4" s="30"/>
      <c r="E4" s="233">
        <f t="shared" ref="E4:G4" si="3">LOOKUP(A43,$R$2:$R$101,$S$2:$S$101)</f>
        <v>30.74665914</v>
      </c>
      <c r="F4" s="233">
        <f t="shared" si="3"/>
        <v>14.51950741</v>
      </c>
      <c r="G4" s="233">
        <f t="shared" si="3"/>
        <v>-3</v>
      </c>
      <c r="H4" s="233">
        <f t="shared" ref="H4:J4" si="4">LOOKUP(A45,$R$2:$R$101,$S$2:$S$101)</f>
        <v>-2</v>
      </c>
      <c r="I4" s="233">
        <f t="shared" si="4"/>
        <v>12.55257993</v>
      </c>
      <c r="J4" s="233">
        <f t="shared" si="4"/>
        <v>-2</v>
      </c>
      <c r="R4" s="14">
        <v>3.0</v>
      </c>
      <c r="S4" s="40">
        <v>-6.0</v>
      </c>
    </row>
    <row r="5" ht="15.75" customHeight="1">
      <c r="A5" s="228">
        <v>45479.0</v>
      </c>
      <c r="B5" s="226">
        <v>-4.0</v>
      </c>
      <c r="C5" s="226"/>
      <c r="D5" s="30"/>
      <c r="E5" s="30"/>
      <c r="F5" s="30"/>
      <c r="G5" s="30"/>
      <c r="H5" s="30"/>
      <c r="I5" s="30"/>
      <c r="J5" s="30"/>
      <c r="R5" s="14">
        <v>4.0</v>
      </c>
      <c r="S5" s="40">
        <v>-6.0</v>
      </c>
    </row>
    <row r="6" ht="15.75" customHeight="1">
      <c r="A6" s="228">
        <v>45543.0</v>
      </c>
      <c r="B6" s="226">
        <v>-3.0</v>
      </c>
      <c r="C6" s="226"/>
      <c r="D6" s="30"/>
      <c r="E6" s="30"/>
      <c r="F6" s="30"/>
      <c r="G6" s="30"/>
      <c r="H6" s="30"/>
      <c r="I6" s="30"/>
      <c r="J6" s="30"/>
      <c r="R6" s="14">
        <v>5.0</v>
      </c>
      <c r="S6" s="40">
        <v>-5.0</v>
      </c>
    </row>
    <row r="7" ht="15.75" customHeight="1">
      <c r="A7" s="228">
        <v>45606.0</v>
      </c>
      <c r="B7" s="226">
        <v>-2.0</v>
      </c>
      <c r="C7" s="226"/>
      <c r="D7" s="30"/>
      <c r="E7" s="30"/>
      <c r="F7" s="30"/>
      <c r="G7" s="30"/>
      <c r="H7" s="30"/>
      <c r="I7" s="30"/>
      <c r="J7" s="30"/>
      <c r="R7" s="14">
        <v>6.0</v>
      </c>
      <c r="S7" s="40">
        <v>-4.0</v>
      </c>
    </row>
    <row r="8" ht="15.75" customHeight="1">
      <c r="A8" s="225" t="s">
        <v>526</v>
      </c>
      <c r="B8" s="226">
        <v>-1.0</v>
      </c>
      <c r="C8" s="226"/>
      <c r="D8" s="30"/>
      <c r="E8" s="30"/>
      <c r="F8" s="30"/>
      <c r="G8" s="30"/>
      <c r="H8" s="30"/>
      <c r="I8" s="30"/>
      <c r="J8" s="30"/>
      <c r="R8" s="14">
        <v>7.0</v>
      </c>
      <c r="S8" s="40">
        <v>-4.0</v>
      </c>
    </row>
    <row r="9" ht="15.75" customHeight="1">
      <c r="A9" s="225" t="s">
        <v>527</v>
      </c>
      <c r="B9" s="226">
        <v>0.0</v>
      </c>
      <c r="C9" s="226"/>
      <c r="D9" s="30"/>
      <c r="E9" s="30"/>
      <c r="F9" s="30"/>
      <c r="G9" s="30"/>
      <c r="H9" s="30"/>
      <c r="I9" s="30"/>
      <c r="J9" s="30"/>
      <c r="R9" s="14">
        <v>8.0</v>
      </c>
      <c r="S9" s="40">
        <v>-3.0</v>
      </c>
    </row>
    <row r="10" ht="15.75" customHeight="1">
      <c r="A10" s="225" t="s">
        <v>528</v>
      </c>
      <c r="B10" s="226">
        <f t="shared" ref="B10:B11" si="5">1</f>
        <v>1</v>
      </c>
      <c r="C10" s="226"/>
      <c r="D10" s="30"/>
      <c r="E10" s="30"/>
      <c r="F10" s="30"/>
      <c r="G10" s="30"/>
      <c r="H10" s="30"/>
      <c r="I10" s="30"/>
      <c r="J10" s="30"/>
      <c r="R10" s="14">
        <v>9.0</v>
      </c>
      <c r="S10" s="40">
        <v>-3.0</v>
      </c>
    </row>
    <row r="11" ht="15.75" customHeight="1">
      <c r="A11" s="225" t="s">
        <v>529</v>
      </c>
      <c r="B11" s="226">
        <f t="shared" si="5"/>
        <v>1</v>
      </c>
      <c r="C11" s="226"/>
      <c r="D11" s="30"/>
      <c r="E11" s="30"/>
      <c r="F11" s="30"/>
      <c r="G11" s="30"/>
      <c r="H11" s="30"/>
      <c r="I11" s="30"/>
      <c r="J11" s="30"/>
      <c r="R11" s="14">
        <v>10.0</v>
      </c>
      <c r="S11" s="40">
        <v>-2.0</v>
      </c>
    </row>
    <row r="12" ht="15.75" customHeight="1">
      <c r="A12" s="225" t="s">
        <v>530</v>
      </c>
      <c r="B12" s="226">
        <v>2.0</v>
      </c>
      <c r="C12" s="226"/>
      <c r="D12" s="30"/>
      <c r="E12" s="30"/>
      <c r="F12" s="30"/>
      <c r="G12" s="30"/>
      <c r="H12" s="30"/>
      <c r="I12" s="30"/>
      <c r="J12" s="30"/>
      <c r="R12" s="14">
        <v>11.0</v>
      </c>
      <c r="S12" s="40">
        <v>-2.0</v>
      </c>
    </row>
    <row r="13" ht="15.75" customHeight="1">
      <c r="A13" s="225" t="s">
        <v>531</v>
      </c>
      <c r="B13" s="226">
        <v>2.0</v>
      </c>
      <c r="C13" s="226"/>
      <c r="D13" s="30"/>
      <c r="E13" s="30"/>
      <c r="F13" s="30"/>
      <c r="G13" s="30"/>
      <c r="H13" s="30"/>
      <c r="I13" s="30"/>
      <c r="J13" s="30"/>
      <c r="R13" s="14">
        <v>12.0</v>
      </c>
      <c r="S13" s="40">
        <v>-1.0</v>
      </c>
    </row>
    <row r="14" ht="15.75" customHeight="1">
      <c r="A14" s="225" t="s">
        <v>532</v>
      </c>
      <c r="B14" s="226">
        <v>3.0</v>
      </c>
      <c r="C14" s="226"/>
      <c r="D14" s="30"/>
      <c r="E14" s="30"/>
      <c r="F14" s="30"/>
      <c r="G14" s="30"/>
      <c r="H14" s="30"/>
      <c r="I14" s="30"/>
      <c r="J14" s="30"/>
      <c r="R14" s="14">
        <v>13.0</v>
      </c>
      <c r="S14" s="40">
        <v>-1.0</v>
      </c>
    </row>
    <row r="15" ht="15.75" customHeight="1">
      <c r="A15" s="225" t="s">
        <v>533</v>
      </c>
      <c r="B15" s="226">
        <v>3.0</v>
      </c>
      <c r="C15" s="226"/>
      <c r="D15" s="30"/>
      <c r="E15" s="30"/>
      <c r="F15" s="30"/>
      <c r="G15" s="30"/>
      <c r="H15" s="30"/>
      <c r="I15" s="30"/>
      <c r="J15" s="30"/>
      <c r="R15" s="14">
        <v>14.0</v>
      </c>
      <c r="S15" s="40">
        <v>0.0</v>
      </c>
    </row>
    <row r="16" ht="15.75" customHeight="1">
      <c r="A16" s="225" t="s">
        <v>534</v>
      </c>
      <c r="B16" s="226">
        <f t="shared" ref="B16:B17" si="6">4</f>
        <v>4</v>
      </c>
      <c r="C16" s="226"/>
      <c r="D16" s="30"/>
      <c r="E16" s="30"/>
      <c r="F16" s="30"/>
      <c r="G16" s="30"/>
      <c r="H16" s="30"/>
      <c r="I16" s="30"/>
      <c r="J16" s="30"/>
      <c r="R16" s="14">
        <v>15.0</v>
      </c>
      <c r="S16" s="40">
        <v>0.0</v>
      </c>
    </row>
    <row r="17" ht="15.75" customHeight="1">
      <c r="A17" s="225" t="s">
        <v>535</v>
      </c>
      <c r="B17" s="226">
        <f t="shared" si="6"/>
        <v>4</v>
      </c>
      <c r="C17" s="226"/>
      <c r="D17" s="30"/>
      <c r="E17" s="30"/>
      <c r="F17" s="30"/>
      <c r="G17" s="30"/>
      <c r="H17" s="30"/>
      <c r="I17" s="30"/>
      <c r="J17" s="30"/>
      <c r="R17" s="14">
        <v>16.0</v>
      </c>
      <c r="S17" s="40">
        <v>1.0</v>
      </c>
    </row>
    <row r="18" ht="15.75" customHeight="1">
      <c r="A18" s="225" t="s">
        <v>536</v>
      </c>
      <c r="B18" s="226">
        <v>5.0</v>
      </c>
      <c r="C18" s="226"/>
      <c r="D18" s="30"/>
      <c r="E18" s="30"/>
      <c r="F18" s="30"/>
      <c r="G18" s="30"/>
      <c r="H18" s="30"/>
      <c r="I18" s="30"/>
      <c r="J18" s="30"/>
      <c r="R18" s="14">
        <v>17.0</v>
      </c>
      <c r="S18" s="40">
        <v>1.0</v>
      </c>
    </row>
    <row r="19" ht="15.75" customHeight="1">
      <c r="A19" s="225" t="s">
        <v>537</v>
      </c>
      <c r="B19" s="226">
        <v>5.0</v>
      </c>
      <c r="C19" s="226"/>
      <c r="D19" s="30"/>
      <c r="E19" s="30"/>
      <c r="F19" s="30"/>
      <c r="G19" s="30"/>
      <c r="H19" s="30"/>
      <c r="I19" s="30"/>
      <c r="J19" s="30"/>
      <c r="R19" s="14">
        <v>18.0</v>
      </c>
      <c r="S19" s="40">
        <v>2.0</v>
      </c>
    </row>
    <row r="20" ht="15.75" customHeight="1">
      <c r="A20" s="225" t="s">
        <v>538</v>
      </c>
      <c r="B20" s="226">
        <v>6.0</v>
      </c>
      <c r="C20" s="226"/>
      <c r="D20" s="30"/>
      <c r="E20" s="30"/>
      <c r="F20" s="30"/>
      <c r="G20" s="30"/>
      <c r="H20" s="30"/>
      <c r="I20" s="30"/>
      <c r="J20" s="30"/>
      <c r="R20" s="14">
        <v>19.0</v>
      </c>
      <c r="S20" s="40">
        <v>2.0</v>
      </c>
    </row>
    <row r="21" ht="15.75" customHeight="1">
      <c r="A21" s="225" t="s">
        <v>539</v>
      </c>
      <c r="B21" s="226">
        <v>6.0</v>
      </c>
      <c r="C21" s="226"/>
      <c r="D21" s="30"/>
      <c r="E21" s="30"/>
      <c r="F21" s="30"/>
      <c r="G21" s="30"/>
      <c r="H21" s="30"/>
      <c r="I21" s="30"/>
      <c r="J21" s="30"/>
      <c r="R21" s="14">
        <v>20.0</v>
      </c>
      <c r="S21" s="40">
        <v>3.0</v>
      </c>
    </row>
    <row r="22" ht="15.75" customHeight="1">
      <c r="A22" s="225" t="s">
        <v>540</v>
      </c>
      <c r="B22" s="226">
        <v>7.0</v>
      </c>
      <c r="C22" s="226"/>
      <c r="D22" s="30"/>
      <c r="E22" s="30"/>
      <c r="F22" s="30"/>
      <c r="G22" s="30"/>
      <c r="H22" s="30"/>
      <c r="I22" s="30"/>
      <c r="J22" s="30"/>
      <c r="R22" s="14">
        <v>21.0</v>
      </c>
      <c r="S22" s="40">
        <v>3.0</v>
      </c>
    </row>
    <row r="23" ht="15.75" customHeight="1">
      <c r="A23" s="225" t="s">
        <v>541</v>
      </c>
      <c r="B23" s="226">
        <v>7.0</v>
      </c>
      <c r="C23" s="226"/>
      <c r="D23" s="30"/>
      <c r="E23" s="30"/>
      <c r="F23" s="30"/>
      <c r="G23" s="30"/>
      <c r="H23" s="30"/>
      <c r="I23" s="30"/>
      <c r="J23" s="30"/>
      <c r="R23" s="14">
        <v>22.0</v>
      </c>
      <c r="S23" s="40">
        <v>4.0</v>
      </c>
    </row>
    <row r="24" ht="15.75" customHeight="1">
      <c r="A24" s="225" t="s">
        <v>542</v>
      </c>
      <c r="B24" s="226">
        <v>8.0</v>
      </c>
      <c r="C24" s="226"/>
      <c r="D24" s="30"/>
      <c r="E24" s="30"/>
      <c r="F24" s="30"/>
      <c r="G24" s="30"/>
      <c r="H24" s="30"/>
      <c r="I24" s="30"/>
      <c r="J24" s="30"/>
      <c r="R24" s="14">
        <v>23.0</v>
      </c>
      <c r="S24" s="40">
        <v>4.0</v>
      </c>
    </row>
    <row r="25" ht="15.75" customHeight="1">
      <c r="A25" s="225" t="s">
        <v>543</v>
      </c>
      <c r="B25" s="226">
        <v>8.0</v>
      </c>
      <c r="C25" s="226"/>
      <c r="D25" s="30"/>
      <c r="E25" s="30"/>
      <c r="F25" s="30"/>
      <c r="G25" s="30"/>
      <c r="H25" s="30"/>
      <c r="I25" s="30"/>
      <c r="J25" s="30"/>
      <c r="R25" s="14">
        <v>24.0</v>
      </c>
      <c r="S25" s="40">
        <v>4.642857143</v>
      </c>
    </row>
    <row r="26" ht="15.75" customHeight="1">
      <c r="A26" s="225" t="s">
        <v>544</v>
      </c>
      <c r="B26" s="226">
        <v>9.0</v>
      </c>
      <c r="C26" s="226"/>
      <c r="D26" s="30"/>
      <c r="E26" s="30"/>
      <c r="F26" s="30"/>
      <c r="G26" s="30"/>
      <c r="H26" s="30"/>
      <c r="I26" s="30"/>
      <c r="J26" s="30"/>
      <c r="R26" s="14">
        <v>25.0</v>
      </c>
      <c r="S26" s="40">
        <v>5.119047619</v>
      </c>
    </row>
    <row r="27" ht="15.75" customHeight="1">
      <c r="A27" s="225" t="s">
        <v>545</v>
      </c>
      <c r="B27" s="226">
        <v>9.0</v>
      </c>
      <c r="C27" s="226"/>
      <c r="D27" s="30"/>
      <c r="E27" s="30"/>
      <c r="F27" s="30"/>
      <c r="G27" s="30"/>
      <c r="H27" s="30"/>
      <c r="I27" s="30"/>
      <c r="J27" s="30"/>
      <c r="R27" s="14">
        <v>26.0</v>
      </c>
      <c r="S27" s="40">
        <v>5.595238095</v>
      </c>
    </row>
    <row r="28" ht="15.75" customHeight="1">
      <c r="A28" s="225" t="s">
        <v>546</v>
      </c>
      <c r="B28" s="226">
        <v>10.0</v>
      </c>
      <c r="C28" s="226"/>
      <c r="D28" s="30"/>
      <c r="E28" s="30"/>
      <c r="F28" s="30"/>
      <c r="G28" s="30"/>
      <c r="H28" s="30"/>
      <c r="I28" s="30"/>
      <c r="J28" s="30"/>
      <c r="R28" s="14">
        <v>27.0</v>
      </c>
      <c r="S28" s="40">
        <v>6.071428571</v>
      </c>
    </row>
    <row r="29" ht="15.75" customHeight="1">
      <c r="A29" s="225" t="s">
        <v>547</v>
      </c>
      <c r="B29" s="226">
        <v>10.0</v>
      </c>
      <c r="C29" s="226"/>
      <c r="D29" s="30"/>
      <c r="E29" s="30"/>
      <c r="F29" s="30"/>
      <c r="G29" s="30"/>
      <c r="H29" s="30"/>
      <c r="I29" s="30"/>
      <c r="J29" s="30"/>
      <c r="R29" s="14">
        <v>28.0</v>
      </c>
      <c r="S29" s="40">
        <v>6.547619048</v>
      </c>
    </row>
    <row r="30" ht="15.75" customHeight="1">
      <c r="A30" s="225" t="s">
        <v>548</v>
      </c>
      <c r="B30" s="226">
        <v>11.0</v>
      </c>
      <c r="C30" s="226"/>
      <c r="D30" s="30"/>
      <c r="E30" s="30"/>
      <c r="F30" s="30"/>
      <c r="G30" s="30"/>
      <c r="H30" s="30"/>
      <c r="I30" s="30"/>
      <c r="J30" s="30"/>
      <c r="R30" s="14">
        <v>29.0</v>
      </c>
      <c r="S30" s="40">
        <v>7.023809524</v>
      </c>
    </row>
    <row r="31" ht="15.75" customHeight="1">
      <c r="A31" s="225" t="s">
        <v>549</v>
      </c>
      <c r="B31" s="226">
        <v>11.0</v>
      </c>
      <c r="C31" s="226"/>
      <c r="D31" s="30"/>
      <c r="E31" s="30"/>
      <c r="F31" s="30"/>
      <c r="G31" s="30"/>
      <c r="H31" s="30"/>
      <c r="I31" s="30"/>
      <c r="J31" s="30"/>
      <c r="R31" s="14">
        <v>30.0</v>
      </c>
      <c r="S31" s="40">
        <v>7.5</v>
      </c>
    </row>
    <row r="32" ht="15.75" customHeight="1">
      <c r="A32" s="225" t="s">
        <v>550</v>
      </c>
      <c r="B32" s="226">
        <v>12.0</v>
      </c>
      <c r="C32" s="226"/>
      <c r="D32" s="30"/>
      <c r="E32" s="30"/>
      <c r="F32" s="30"/>
      <c r="G32" s="30"/>
      <c r="H32" s="30"/>
      <c r="I32" s="30"/>
      <c r="J32" s="30"/>
      <c r="R32" s="14">
        <v>31.0</v>
      </c>
      <c r="S32" s="40">
        <v>7.976190476</v>
      </c>
    </row>
    <row r="33" ht="15.75" customHeight="1">
      <c r="A33" s="225" t="s">
        <v>551</v>
      </c>
      <c r="B33" s="226">
        <v>12.0</v>
      </c>
      <c r="C33" s="226"/>
      <c r="D33" s="30"/>
      <c r="E33" s="30"/>
      <c r="F33" s="30"/>
      <c r="G33" s="30"/>
      <c r="H33" s="30"/>
      <c r="I33" s="30"/>
      <c r="J33" s="30"/>
      <c r="R33" s="14">
        <v>32.0</v>
      </c>
      <c r="S33" s="40">
        <v>9.0</v>
      </c>
    </row>
    <row r="34" ht="15.75" customHeight="1">
      <c r="A34" s="225" t="s">
        <v>552</v>
      </c>
      <c r="B34" s="226">
        <v>13.0</v>
      </c>
      <c r="C34" s="226"/>
      <c r="D34" s="30"/>
      <c r="E34" s="30"/>
      <c r="F34" s="30"/>
      <c r="G34" s="30"/>
      <c r="H34" s="30"/>
      <c r="I34" s="30"/>
      <c r="J34" s="30"/>
      <c r="R34" s="14">
        <v>33.0</v>
      </c>
      <c r="S34" s="40">
        <v>9.0</v>
      </c>
    </row>
    <row r="35" ht="15.75" customHeight="1">
      <c r="A35" s="225" t="s">
        <v>553</v>
      </c>
      <c r="B35" s="226">
        <v>13.0</v>
      </c>
      <c r="C35" s="226"/>
      <c r="D35" s="30"/>
      <c r="E35" s="30"/>
      <c r="F35" s="30"/>
      <c r="G35" s="30"/>
      <c r="H35" s="30"/>
      <c r="I35" s="30"/>
      <c r="J35" s="30"/>
      <c r="R35" s="14">
        <v>34.0</v>
      </c>
      <c r="S35" s="40">
        <v>10.0</v>
      </c>
    </row>
    <row r="36" ht="15.75" customHeight="1">
      <c r="A36" s="225" t="s">
        <v>554</v>
      </c>
      <c r="B36" s="226">
        <v>14.0</v>
      </c>
      <c r="C36" s="226"/>
      <c r="D36" s="30"/>
      <c r="E36" s="30"/>
      <c r="F36" s="30"/>
      <c r="G36" s="30"/>
      <c r="H36" s="30"/>
      <c r="I36" s="30"/>
      <c r="J36" s="30"/>
      <c r="R36" s="14">
        <v>35.0</v>
      </c>
      <c r="S36" s="40">
        <v>10.0</v>
      </c>
    </row>
    <row r="37" ht="15.75" customHeight="1">
      <c r="A37" s="225" t="s">
        <v>555</v>
      </c>
      <c r="B37" s="226">
        <v>14.0</v>
      </c>
      <c r="C37" s="226"/>
      <c r="D37" s="30"/>
      <c r="E37" s="30"/>
      <c r="F37" s="30"/>
      <c r="G37" s="30"/>
      <c r="H37" s="30"/>
      <c r="I37" s="30"/>
      <c r="J37" s="30"/>
      <c r="R37" s="14">
        <v>36.0</v>
      </c>
      <c r="S37" s="40">
        <v>10.5856524427792</v>
      </c>
    </row>
    <row r="38" ht="15.75" customHeight="1">
      <c r="A38" s="30"/>
      <c r="B38" s="30"/>
      <c r="C38" s="30"/>
      <c r="D38" s="30"/>
      <c r="E38" s="30"/>
      <c r="F38" s="30"/>
      <c r="G38" s="30"/>
      <c r="H38" s="30"/>
      <c r="I38" s="30"/>
      <c r="J38" s="30"/>
      <c r="R38" s="14">
        <v>37.0</v>
      </c>
      <c r="S38" s="40">
        <v>11.0773843133924</v>
      </c>
    </row>
    <row r="39" ht="15.75" customHeight="1">
      <c r="A39" s="30"/>
      <c r="B39" s="30"/>
      <c r="C39" s="30"/>
      <c r="D39" s="30"/>
      <c r="E39" s="30"/>
      <c r="F39" s="30"/>
      <c r="G39" s="30"/>
      <c r="H39" s="30"/>
      <c r="I39" s="30"/>
      <c r="J39" s="30"/>
      <c r="R39" s="14">
        <v>38.0</v>
      </c>
      <c r="S39" s="40">
        <v>11.5691161840056</v>
      </c>
    </row>
    <row r="40" ht="15.75" customHeight="1">
      <c r="A40" s="234"/>
      <c r="B40" s="30"/>
      <c r="C40" s="30"/>
      <c r="D40" s="30"/>
      <c r="E40" s="30"/>
      <c r="F40" s="30"/>
      <c r="G40" s="30"/>
      <c r="H40" s="30"/>
      <c r="I40" s="30"/>
      <c r="J40" s="30"/>
      <c r="R40" s="14">
        <v>39.0</v>
      </c>
      <c r="S40" s="40">
        <v>12.0608480546189</v>
      </c>
    </row>
    <row r="41" ht="15.75" customHeight="1">
      <c r="A41" s="235" t="s">
        <v>556</v>
      </c>
      <c r="B41" s="236"/>
      <c r="C41" s="237"/>
      <c r="D41" s="30"/>
      <c r="E41" s="30"/>
      <c r="F41" s="30"/>
      <c r="G41" s="30"/>
      <c r="H41" s="30"/>
      <c r="I41" s="30"/>
      <c r="J41" s="30"/>
      <c r="R41" s="14">
        <v>40.0</v>
      </c>
      <c r="S41" s="40">
        <v>12.5525799252321</v>
      </c>
    </row>
    <row r="42" ht="15.75" customHeight="1">
      <c r="A42" s="234" t="s">
        <v>519</v>
      </c>
      <c r="B42" s="30" t="s">
        <v>520</v>
      </c>
      <c r="C42" s="238" t="s">
        <v>557</v>
      </c>
      <c r="D42" s="30"/>
      <c r="E42" s="30"/>
      <c r="F42" s="30"/>
      <c r="G42" s="30"/>
      <c r="H42" s="30"/>
      <c r="I42" s="30"/>
      <c r="J42" s="30"/>
      <c r="R42" s="14">
        <v>41.0</v>
      </c>
      <c r="S42" s="40">
        <v>13.0443117958453</v>
      </c>
    </row>
    <row r="43" ht="15.75" customHeight="1">
      <c r="A43" s="234">
        <f t="shared" ref="A43:C43" si="7">A48+A53+A58</f>
        <v>76</v>
      </c>
      <c r="B43" s="30">
        <f t="shared" si="7"/>
        <v>44</v>
      </c>
      <c r="C43" s="238">
        <f t="shared" si="7"/>
        <v>9</v>
      </c>
      <c r="D43" s="30"/>
      <c r="E43" s="30"/>
      <c r="F43" s="30"/>
      <c r="G43" s="30"/>
      <c r="H43" s="30"/>
      <c r="I43" s="30"/>
      <c r="J43" s="30"/>
      <c r="R43" s="14">
        <v>42.0</v>
      </c>
      <c r="S43" s="40">
        <v>13.5360436664585</v>
      </c>
    </row>
    <row r="44" ht="15.75" customHeight="1">
      <c r="A44" s="234" t="s">
        <v>522</v>
      </c>
      <c r="B44" s="30" t="s">
        <v>523</v>
      </c>
      <c r="C44" s="238" t="s">
        <v>524</v>
      </c>
      <c r="D44" s="30"/>
      <c r="E44" s="30"/>
      <c r="F44" s="30"/>
      <c r="G44" s="30"/>
      <c r="H44" s="30"/>
      <c r="I44" s="30"/>
      <c r="J44" s="30"/>
      <c r="R44" s="14">
        <v>43.0</v>
      </c>
      <c r="S44" s="40">
        <v>14.0277755370717</v>
      </c>
    </row>
    <row r="45" ht="15.75" customHeight="1">
      <c r="A45" s="239">
        <f t="shared" ref="A45:C45" si="8">A50+A55+A60</f>
        <v>10</v>
      </c>
      <c r="B45" s="240">
        <f t="shared" si="8"/>
        <v>40</v>
      </c>
      <c r="C45" s="241">
        <f t="shared" si="8"/>
        <v>11</v>
      </c>
      <c r="D45" s="30"/>
      <c r="E45" s="30"/>
      <c r="F45" s="30"/>
      <c r="G45" s="30"/>
      <c r="H45" s="30"/>
      <c r="I45" s="30"/>
      <c r="J45" s="30"/>
      <c r="R45" s="14">
        <v>44.0</v>
      </c>
      <c r="S45" s="40">
        <v>14.5195074076849</v>
      </c>
    </row>
    <row r="46" ht="15.75" customHeight="1">
      <c r="A46" s="242" t="s">
        <v>558</v>
      </c>
      <c r="B46" s="243"/>
      <c r="C46" s="244" t="s">
        <v>78</v>
      </c>
      <c r="R46" s="14">
        <v>45.0</v>
      </c>
      <c r="S46" s="40">
        <v>15.0112392782981</v>
      </c>
    </row>
    <row r="47" ht="15.75" customHeight="1">
      <c r="A47" s="234" t="s">
        <v>519</v>
      </c>
      <c r="B47" s="30" t="s">
        <v>520</v>
      </c>
      <c r="C47" s="238" t="s">
        <v>557</v>
      </c>
      <c r="E47" s="242" t="s">
        <v>558</v>
      </c>
      <c r="F47" s="243"/>
      <c r="G47" s="244">
        <v>1.0</v>
      </c>
      <c r="R47" s="14">
        <v>46.0</v>
      </c>
      <c r="S47" s="40">
        <v>15.5029711489114</v>
      </c>
    </row>
    <row r="48" ht="15.75" customHeight="1">
      <c r="A48" s="30">
        <f t="shared" ref="A48:C48" si="9">(E49+A65)</f>
        <v>32</v>
      </c>
      <c r="B48" s="30">
        <f t="shared" si="9"/>
        <v>31</v>
      </c>
      <c r="C48" s="238">
        <f t="shared" si="9"/>
        <v>-1</v>
      </c>
      <c r="E48" s="234" t="s">
        <v>519</v>
      </c>
      <c r="F48" s="30" t="s">
        <v>520</v>
      </c>
      <c r="G48" s="238" t="s">
        <v>557</v>
      </c>
      <c r="R48" s="14">
        <v>47.0</v>
      </c>
      <c r="S48" s="40">
        <v>15.9947030195246</v>
      </c>
    </row>
    <row r="49" ht="15.75" customHeight="1">
      <c r="A49" s="234" t="s">
        <v>522</v>
      </c>
      <c r="B49" s="30" t="s">
        <v>523</v>
      </c>
      <c r="C49" s="238" t="s">
        <v>524</v>
      </c>
      <c r="E49" s="234">
        <v>3.0</v>
      </c>
      <c r="F49" s="30">
        <v>2.0</v>
      </c>
      <c r="G49" s="238">
        <v>-1.0</v>
      </c>
      <c r="R49" s="14">
        <v>48.0</v>
      </c>
      <c r="S49" s="40">
        <v>17.0</v>
      </c>
    </row>
    <row r="50" ht="15.75" customHeight="1">
      <c r="A50" s="240">
        <f t="shared" ref="A50:C50" si="10">E51+A67</f>
        <v>0</v>
      </c>
      <c r="B50" s="240">
        <f t="shared" si="10"/>
        <v>30</v>
      </c>
      <c r="C50" s="241">
        <f t="shared" si="10"/>
        <v>0</v>
      </c>
      <c r="E50" s="234" t="s">
        <v>522</v>
      </c>
      <c r="F50" s="30" t="s">
        <v>523</v>
      </c>
      <c r="G50" s="238" t="s">
        <v>524</v>
      </c>
      <c r="R50" s="14">
        <v>49.0</v>
      </c>
      <c r="S50" s="40">
        <v>16.978166760751</v>
      </c>
    </row>
    <row r="51" ht="15.75" customHeight="1">
      <c r="A51" s="245" t="s">
        <v>559</v>
      </c>
      <c r="C51" s="215" t="s">
        <v>560</v>
      </c>
      <c r="E51" s="239"/>
      <c r="F51" s="240">
        <v>1.0</v>
      </c>
      <c r="G51" s="241"/>
      <c r="R51" s="14">
        <v>50.0</v>
      </c>
      <c r="S51" s="40">
        <v>18.0</v>
      </c>
    </row>
    <row r="52" ht="15.75" customHeight="1">
      <c r="A52" s="234" t="s">
        <v>519</v>
      </c>
      <c r="B52" s="30" t="s">
        <v>520</v>
      </c>
      <c r="C52" s="238" t="s">
        <v>557</v>
      </c>
      <c r="E52" s="242" t="s">
        <v>559</v>
      </c>
      <c r="F52" s="243"/>
      <c r="G52" s="244">
        <v>1.0</v>
      </c>
      <c r="R52" s="14">
        <v>51.0</v>
      </c>
      <c r="S52" s="40">
        <v>18.4533623725906</v>
      </c>
    </row>
    <row r="53" ht="15.75" customHeight="1">
      <c r="A53" s="234">
        <f t="shared" ref="A53:C53" si="11">E54+A70</f>
        <v>30</v>
      </c>
      <c r="B53" s="234">
        <f t="shared" si="11"/>
        <v>0</v>
      </c>
      <c r="C53" s="234">
        <f t="shared" si="11"/>
        <v>0</v>
      </c>
      <c r="E53" s="234" t="s">
        <v>519</v>
      </c>
      <c r="F53" s="30" t="s">
        <v>520</v>
      </c>
      <c r="G53" s="238" t="s">
        <v>557</v>
      </c>
      <c r="R53" s="14">
        <v>52.0</v>
      </c>
      <c r="S53" s="40">
        <v>18.9450942432038</v>
      </c>
    </row>
    <row r="54" ht="15.75" customHeight="1">
      <c r="A54" s="234" t="s">
        <v>522</v>
      </c>
      <c r="B54" s="30" t="s">
        <v>523</v>
      </c>
      <c r="C54" s="238" t="s">
        <v>524</v>
      </c>
      <c r="E54" s="234">
        <v>1.0</v>
      </c>
      <c r="F54" s="30"/>
      <c r="G54" s="238"/>
      <c r="R54" s="14">
        <v>53.0</v>
      </c>
      <c r="S54" s="40">
        <v>19.4368261138171</v>
      </c>
    </row>
    <row r="55" ht="15.75" customHeight="1">
      <c r="A55" s="240">
        <f t="shared" ref="A55:C55" si="12">A72+E56</f>
        <v>0</v>
      </c>
      <c r="B55" s="240">
        <f t="shared" si="12"/>
        <v>0</v>
      </c>
      <c r="C55" s="241">
        <f t="shared" si="12"/>
        <v>-1</v>
      </c>
      <c r="E55" s="234" t="s">
        <v>522</v>
      </c>
      <c r="F55" s="30" t="s">
        <v>523</v>
      </c>
      <c r="G55" s="238" t="s">
        <v>524</v>
      </c>
      <c r="R55" s="14">
        <v>54.0</v>
      </c>
      <c r="S55" s="40">
        <v>19.9285579844303</v>
      </c>
    </row>
    <row r="56" ht="15.75" customHeight="1">
      <c r="A56" s="245" t="s">
        <v>561</v>
      </c>
      <c r="C56" s="215"/>
      <c r="E56" s="239"/>
      <c r="F56" s="240"/>
      <c r="G56" s="241">
        <v>-1.0</v>
      </c>
      <c r="R56" s="14">
        <v>55.0</v>
      </c>
      <c r="S56" s="40">
        <v>20.4202898550435</v>
      </c>
    </row>
    <row r="57" ht="15.75" customHeight="1">
      <c r="A57" s="234" t="s">
        <v>519</v>
      </c>
      <c r="B57" s="30" t="s">
        <v>520</v>
      </c>
      <c r="C57" s="238" t="s">
        <v>557</v>
      </c>
      <c r="R57" s="14">
        <v>56.0</v>
      </c>
      <c r="S57" s="40">
        <v>20.9120217256567</v>
      </c>
    </row>
    <row r="58" ht="15.75" customHeight="1">
      <c r="A58" s="234">
        <v>14.0</v>
      </c>
      <c r="B58" s="30">
        <v>13.0</v>
      </c>
      <c r="C58" s="238">
        <v>10.0</v>
      </c>
      <c r="R58" s="14">
        <v>57.0</v>
      </c>
      <c r="S58" s="40">
        <v>21.4037535962699</v>
      </c>
    </row>
    <row r="59" ht="15.75" customHeight="1">
      <c r="A59" s="234" t="s">
        <v>522</v>
      </c>
      <c r="B59" s="30" t="s">
        <v>523</v>
      </c>
      <c r="C59" s="238" t="s">
        <v>524</v>
      </c>
      <c r="R59" s="14">
        <v>58.0</v>
      </c>
      <c r="S59" s="40">
        <v>21.8954854668831</v>
      </c>
    </row>
    <row r="60" ht="15.75" customHeight="1">
      <c r="A60" s="239">
        <v>10.0</v>
      </c>
      <c r="B60" s="240">
        <v>10.0</v>
      </c>
      <c r="C60" s="241">
        <v>12.0</v>
      </c>
      <c r="R60" s="14">
        <v>59.0</v>
      </c>
      <c r="S60" s="40">
        <v>22.3872173374963</v>
      </c>
    </row>
    <row r="61" ht="15.75" customHeight="1">
      <c r="R61" s="14">
        <v>60.0</v>
      </c>
      <c r="S61" s="40">
        <v>22.8789492081096</v>
      </c>
    </row>
    <row r="62" ht="15.75" customHeight="1">
      <c r="R62" s="14">
        <v>61.0</v>
      </c>
      <c r="S62" s="40">
        <v>23.3706810787228</v>
      </c>
    </row>
    <row r="63" ht="15.75" customHeight="1">
      <c r="A63" s="242" t="s">
        <v>558</v>
      </c>
      <c r="B63" s="243"/>
      <c r="C63" s="244">
        <f>$L$2</f>
        <v>30</v>
      </c>
      <c r="E63" s="242"/>
      <c r="F63" s="243"/>
      <c r="G63" s="244"/>
      <c r="I63" s="242"/>
      <c r="J63" s="243"/>
      <c r="K63" s="244"/>
      <c r="M63" s="242"/>
      <c r="N63" s="243"/>
      <c r="O63" s="244"/>
      <c r="R63" s="14">
        <v>62.0</v>
      </c>
      <c r="S63" s="40">
        <v>23.862412949336</v>
      </c>
    </row>
    <row r="64" ht="15.75" customHeight="1">
      <c r="A64" s="234" t="s">
        <v>519</v>
      </c>
      <c r="B64" s="30" t="s">
        <v>520</v>
      </c>
      <c r="C64" s="238" t="s">
        <v>557</v>
      </c>
      <c r="E64" s="234"/>
      <c r="F64" s="30"/>
      <c r="G64" s="238"/>
      <c r="I64" s="234"/>
      <c r="J64" s="30"/>
      <c r="K64" s="238"/>
      <c r="M64" s="234"/>
      <c r="N64" s="30"/>
      <c r="O64" s="238"/>
      <c r="R64" s="14">
        <v>63.0</v>
      </c>
      <c r="S64" s="40">
        <v>24.3541448199492</v>
      </c>
    </row>
    <row r="65" ht="15.75" customHeight="1">
      <c r="A65" s="30">
        <f t="shared" ref="A65:C65" si="13">IF(E49&gt;0,$C$63-1,0)</f>
        <v>29</v>
      </c>
      <c r="B65" s="30">
        <f t="shared" si="13"/>
        <v>29</v>
      </c>
      <c r="C65" s="30">
        <f t="shared" si="13"/>
        <v>0</v>
      </c>
      <c r="E65" s="234"/>
      <c r="F65" s="30"/>
      <c r="G65" s="238"/>
      <c r="I65" s="234"/>
      <c r="J65" s="30"/>
      <c r="K65" s="238"/>
      <c r="M65" s="234"/>
      <c r="N65" s="30"/>
      <c r="O65" s="238"/>
      <c r="R65" s="14">
        <v>64.0</v>
      </c>
      <c r="S65" s="40">
        <v>24.8458766905624</v>
      </c>
    </row>
    <row r="66" ht="15.75" customHeight="1">
      <c r="A66" s="234" t="s">
        <v>522</v>
      </c>
      <c r="B66" s="30" t="s">
        <v>523</v>
      </c>
      <c r="C66" s="238" t="s">
        <v>524</v>
      </c>
      <c r="E66" s="234"/>
      <c r="F66" s="30"/>
      <c r="G66" s="238"/>
      <c r="I66" s="234"/>
      <c r="J66" s="30"/>
      <c r="K66" s="238"/>
      <c r="M66" s="234"/>
      <c r="N66" s="30"/>
      <c r="O66" s="238"/>
      <c r="R66" s="14">
        <v>65.0</v>
      </c>
      <c r="S66" s="40">
        <v>25.3376085611756</v>
      </c>
    </row>
    <row r="67" ht="15.75" customHeight="1">
      <c r="A67" s="30">
        <f t="shared" ref="A67:C67" si="14">IF(E51&gt;0,$C$63-1,0)</f>
        <v>0</v>
      </c>
      <c r="B67" s="30">
        <f t="shared" si="14"/>
        <v>29</v>
      </c>
      <c r="C67" s="30">
        <f t="shared" si="14"/>
        <v>0</v>
      </c>
      <c r="E67" s="239"/>
      <c r="F67" s="240"/>
      <c r="G67" s="241"/>
      <c r="I67" s="239"/>
      <c r="J67" s="240"/>
      <c r="K67" s="241"/>
      <c r="M67" s="239"/>
      <c r="N67" s="240"/>
      <c r="O67" s="241"/>
      <c r="R67" s="14">
        <v>66.0</v>
      </c>
      <c r="S67" s="40">
        <v>25.8293404317888</v>
      </c>
    </row>
    <row r="68" ht="15.75" customHeight="1">
      <c r="A68" s="242" t="s">
        <v>559</v>
      </c>
      <c r="B68" s="243"/>
      <c r="C68" s="244">
        <v>2.0</v>
      </c>
      <c r="E68" s="242"/>
      <c r="F68" s="243"/>
      <c r="G68" s="244"/>
      <c r="I68" s="242"/>
      <c r="J68" s="243"/>
      <c r="K68" s="244"/>
      <c r="M68" s="242"/>
      <c r="N68" s="243"/>
      <c r="O68" s="244"/>
      <c r="R68" s="14">
        <v>67.0</v>
      </c>
      <c r="S68" s="40">
        <v>26.321072302402</v>
      </c>
    </row>
    <row r="69" ht="15.75" customHeight="1">
      <c r="A69" s="234" t="s">
        <v>519</v>
      </c>
      <c r="B69" s="30" t="s">
        <v>520</v>
      </c>
      <c r="C69" s="238" t="s">
        <v>557</v>
      </c>
      <c r="E69" s="234"/>
      <c r="F69" s="30"/>
      <c r="G69" s="238"/>
      <c r="I69" s="234"/>
      <c r="J69" s="30"/>
      <c r="K69" s="238"/>
      <c r="M69" s="234"/>
      <c r="N69" s="30"/>
      <c r="O69" s="238"/>
      <c r="R69" s="14">
        <v>68.0</v>
      </c>
      <c r="S69" s="40">
        <v>26.8128041730153</v>
      </c>
    </row>
    <row r="70" ht="15.75" customHeight="1">
      <c r="A70" s="234">
        <f t="shared" ref="A70:C70" si="15">IF(E54&gt;0,$C$63-1,0)</f>
        <v>29</v>
      </c>
      <c r="B70" s="234">
        <f t="shared" si="15"/>
        <v>0</v>
      </c>
      <c r="C70" s="234">
        <f t="shared" si="15"/>
        <v>0</v>
      </c>
      <c r="E70" s="234"/>
      <c r="F70" s="30"/>
      <c r="G70" s="238"/>
      <c r="I70" s="234"/>
      <c r="J70" s="30"/>
      <c r="K70" s="238"/>
      <c r="M70" s="234"/>
      <c r="N70" s="30"/>
      <c r="O70" s="238"/>
      <c r="R70" s="14">
        <v>69.0</v>
      </c>
      <c r="S70" s="40">
        <v>27.3045360436285</v>
      </c>
    </row>
    <row r="71" ht="15.75" customHeight="1">
      <c r="A71" s="234" t="s">
        <v>522</v>
      </c>
      <c r="B71" s="30" t="s">
        <v>523</v>
      </c>
      <c r="C71" s="238" t="s">
        <v>524</v>
      </c>
      <c r="E71" s="234"/>
      <c r="F71" s="30"/>
      <c r="G71" s="238"/>
      <c r="I71" s="234"/>
      <c r="J71" s="30"/>
      <c r="K71" s="238"/>
      <c r="M71" s="234"/>
      <c r="N71" s="30"/>
      <c r="O71" s="238"/>
      <c r="R71" s="14">
        <v>70.0</v>
      </c>
      <c r="S71" s="40">
        <v>27.7962679142417</v>
      </c>
    </row>
    <row r="72" ht="15.75" customHeight="1">
      <c r="A72" s="239">
        <f t="shared" ref="A72:C72" si="16">IF(E56&gt;0,$C$63-1,0)</f>
        <v>0</v>
      </c>
      <c r="B72" s="239">
        <f t="shared" si="16"/>
        <v>0</v>
      </c>
      <c r="C72" s="239">
        <f t="shared" si="16"/>
        <v>0</v>
      </c>
      <c r="E72" s="239"/>
      <c r="F72" s="240"/>
      <c r="G72" s="241"/>
      <c r="I72" s="239"/>
      <c r="J72" s="240"/>
      <c r="K72" s="241"/>
      <c r="M72" s="239"/>
      <c r="N72" s="240"/>
      <c r="O72" s="241"/>
      <c r="R72" s="14">
        <v>71.0</v>
      </c>
      <c r="S72" s="40">
        <v>28.2879997848549</v>
      </c>
    </row>
    <row r="73" ht="15.75" customHeight="1">
      <c r="A73" s="14"/>
      <c r="R73" s="14">
        <v>72.0</v>
      </c>
      <c r="S73" s="40">
        <v>28.7797316554681</v>
      </c>
    </row>
    <row r="74" ht="15.75" customHeight="1">
      <c r="A74" s="242"/>
      <c r="B74" s="243"/>
      <c r="C74" s="244"/>
      <c r="E74" s="242"/>
      <c r="F74" s="243"/>
      <c r="G74" s="244"/>
      <c r="I74" s="242"/>
      <c r="J74" s="243"/>
      <c r="K74" s="244"/>
      <c r="M74" s="242"/>
      <c r="N74" s="243"/>
      <c r="O74" s="244"/>
      <c r="R74" s="14">
        <v>73.0</v>
      </c>
      <c r="S74" s="40">
        <v>29.2714635260813</v>
      </c>
    </row>
    <row r="75" ht="15.75" customHeight="1">
      <c r="A75" s="234"/>
      <c r="B75" s="30"/>
      <c r="C75" s="238"/>
      <c r="E75" s="234"/>
      <c r="F75" s="30"/>
      <c r="G75" s="238"/>
      <c r="I75" s="234"/>
      <c r="J75" s="30"/>
      <c r="K75" s="238"/>
      <c r="M75" s="234"/>
      <c r="N75" s="30"/>
      <c r="O75" s="238"/>
      <c r="R75" s="14">
        <v>74.0</v>
      </c>
      <c r="S75" s="40">
        <v>29.7631953966945</v>
      </c>
    </row>
    <row r="76" ht="15.75" customHeight="1">
      <c r="A76" s="234"/>
      <c r="B76" s="30"/>
      <c r="C76" s="238"/>
      <c r="E76" s="234"/>
      <c r="F76" s="30"/>
      <c r="G76" s="238"/>
      <c r="I76" s="234"/>
      <c r="J76" s="30"/>
      <c r="K76" s="238"/>
      <c r="M76" s="234"/>
      <c r="N76" s="30"/>
      <c r="O76" s="238"/>
      <c r="R76" s="14">
        <v>75.0</v>
      </c>
      <c r="S76" s="40">
        <v>30.2549272673077</v>
      </c>
    </row>
    <row r="77" ht="15.75" customHeight="1">
      <c r="A77" s="234"/>
      <c r="B77" s="30"/>
      <c r="C77" s="238"/>
      <c r="E77" s="234"/>
      <c r="F77" s="30"/>
      <c r="G77" s="238"/>
      <c r="I77" s="234"/>
      <c r="J77" s="30"/>
      <c r="K77" s="238"/>
      <c r="M77" s="234"/>
      <c r="N77" s="30"/>
      <c r="O77" s="238"/>
      <c r="R77" s="14">
        <v>76.0</v>
      </c>
      <c r="S77" s="40">
        <v>30.746659137921</v>
      </c>
    </row>
    <row r="78" ht="15.75" customHeight="1">
      <c r="A78" s="239"/>
      <c r="B78" s="240"/>
      <c r="C78" s="241"/>
      <c r="E78" s="239"/>
      <c r="F78" s="240"/>
      <c r="G78" s="241"/>
      <c r="I78" s="239"/>
      <c r="J78" s="240"/>
      <c r="K78" s="241"/>
      <c r="M78" s="239"/>
      <c r="N78" s="240"/>
      <c r="O78" s="241"/>
      <c r="R78" s="14">
        <v>77.0</v>
      </c>
      <c r="S78" s="40">
        <v>31.2383910085342</v>
      </c>
    </row>
    <row r="79" ht="15.75" customHeight="1">
      <c r="A79" s="242"/>
      <c r="B79" s="243"/>
      <c r="C79" s="244"/>
      <c r="E79" s="242"/>
      <c r="F79" s="243"/>
      <c r="G79" s="244"/>
      <c r="I79" s="242"/>
      <c r="J79" s="243"/>
      <c r="K79" s="244"/>
      <c r="M79" s="242"/>
      <c r="N79" s="243"/>
      <c r="O79" s="244"/>
      <c r="R79" s="14">
        <v>78.0</v>
      </c>
      <c r="S79" s="40">
        <v>31.7301228791474</v>
      </c>
    </row>
    <row r="80" ht="15.75" customHeight="1">
      <c r="A80" s="234"/>
      <c r="B80" s="30"/>
      <c r="C80" s="238"/>
      <c r="E80" s="234"/>
      <c r="F80" s="30"/>
      <c r="G80" s="238"/>
      <c r="I80" s="234"/>
      <c r="J80" s="30"/>
      <c r="K80" s="238"/>
      <c r="M80" s="234"/>
      <c r="N80" s="30"/>
      <c r="O80" s="238"/>
      <c r="R80" s="14">
        <v>79.0</v>
      </c>
      <c r="S80" s="40">
        <v>32.2218547497606</v>
      </c>
    </row>
    <row r="81" ht="15.75" customHeight="1">
      <c r="A81" s="234"/>
      <c r="B81" s="30"/>
      <c r="C81" s="238"/>
      <c r="E81" s="234"/>
      <c r="F81" s="30"/>
      <c r="G81" s="238"/>
      <c r="I81" s="234"/>
      <c r="J81" s="30"/>
      <c r="K81" s="238"/>
      <c r="M81" s="234"/>
      <c r="N81" s="30"/>
      <c r="O81" s="238"/>
      <c r="R81" s="14">
        <v>80.0</v>
      </c>
      <c r="S81" s="40">
        <v>32.7135866203738</v>
      </c>
    </row>
    <row r="82" ht="15.75" customHeight="1">
      <c r="A82" s="234"/>
      <c r="B82" s="30"/>
      <c r="C82" s="238"/>
      <c r="E82" s="234"/>
      <c r="F82" s="30"/>
      <c r="G82" s="238"/>
      <c r="I82" s="234"/>
      <c r="J82" s="30"/>
      <c r="K82" s="238"/>
      <c r="M82" s="234"/>
      <c r="N82" s="30"/>
      <c r="O82" s="238"/>
      <c r="R82" s="14">
        <v>81.0</v>
      </c>
      <c r="S82" s="40">
        <v>33.205318490987</v>
      </c>
    </row>
    <row r="83" ht="15.75" customHeight="1">
      <c r="A83" s="239"/>
      <c r="B83" s="240"/>
      <c r="C83" s="241"/>
      <c r="E83" s="239"/>
      <c r="F83" s="240"/>
      <c r="G83" s="241"/>
      <c r="I83" s="239"/>
      <c r="J83" s="240"/>
      <c r="K83" s="241"/>
      <c r="M83" s="239"/>
      <c r="N83" s="240"/>
      <c r="O83" s="241"/>
      <c r="R83" s="14">
        <v>82.0</v>
      </c>
      <c r="S83" s="40">
        <v>33.6970503616002</v>
      </c>
    </row>
    <row r="84" ht="15.75" customHeight="1">
      <c r="R84" s="14">
        <v>83.0</v>
      </c>
      <c r="S84" s="40">
        <v>34.1887822322135</v>
      </c>
    </row>
    <row r="85" ht="15.75" customHeight="1">
      <c r="A85" s="242"/>
      <c r="B85" s="243"/>
      <c r="C85" s="244"/>
      <c r="E85" s="242"/>
      <c r="F85" s="243"/>
      <c r="G85" s="244"/>
      <c r="I85" s="242"/>
      <c r="J85" s="243"/>
      <c r="K85" s="244"/>
      <c r="M85" s="242"/>
      <c r="N85" s="243"/>
      <c r="O85" s="244"/>
      <c r="R85" s="14">
        <v>84.0</v>
      </c>
      <c r="S85" s="40">
        <v>34.6805141028267</v>
      </c>
    </row>
    <row r="86" ht="15.75" customHeight="1">
      <c r="A86" s="234"/>
      <c r="B86" s="30"/>
      <c r="C86" s="238"/>
      <c r="E86" s="234"/>
      <c r="F86" s="30"/>
      <c r="G86" s="238"/>
      <c r="I86" s="234"/>
      <c r="J86" s="30"/>
      <c r="K86" s="238"/>
      <c r="M86" s="234"/>
      <c r="N86" s="30"/>
      <c r="O86" s="238"/>
      <c r="R86" s="14">
        <v>85.0</v>
      </c>
      <c r="S86" s="40">
        <v>35.1722459734399</v>
      </c>
    </row>
    <row r="87" ht="15.75" customHeight="1">
      <c r="A87" s="234"/>
      <c r="B87" s="30"/>
      <c r="C87" s="238"/>
      <c r="E87" s="234"/>
      <c r="F87" s="30"/>
      <c r="G87" s="238"/>
      <c r="I87" s="234"/>
      <c r="J87" s="30"/>
      <c r="K87" s="238"/>
      <c r="M87" s="234"/>
      <c r="N87" s="30"/>
      <c r="O87" s="238"/>
      <c r="R87" s="14">
        <v>86.0</v>
      </c>
      <c r="S87" s="40">
        <v>35.6639778440531</v>
      </c>
    </row>
    <row r="88" ht="15.75" customHeight="1">
      <c r="A88" s="234"/>
      <c r="B88" s="30"/>
      <c r="C88" s="238"/>
      <c r="E88" s="234"/>
      <c r="F88" s="30"/>
      <c r="G88" s="238"/>
      <c r="I88" s="234"/>
      <c r="J88" s="30"/>
      <c r="K88" s="238"/>
      <c r="M88" s="234"/>
      <c r="N88" s="30"/>
      <c r="O88" s="238"/>
      <c r="R88" s="14">
        <v>87.0</v>
      </c>
      <c r="S88" s="40">
        <v>36.1557097146663</v>
      </c>
    </row>
    <row r="89" ht="15.75" customHeight="1">
      <c r="A89" s="239"/>
      <c r="B89" s="240"/>
      <c r="C89" s="241"/>
      <c r="E89" s="239"/>
      <c r="F89" s="240"/>
      <c r="G89" s="241"/>
      <c r="I89" s="239"/>
      <c r="J89" s="240"/>
      <c r="K89" s="241"/>
      <c r="M89" s="239"/>
      <c r="N89" s="240"/>
      <c r="O89" s="241"/>
      <c r="R89" s="14">
        <v>88.0</v>
      </c>
      <c r="S89" s="40">
        <v>36.6474415852795</v>
      </c>
    </row>
    <row r="90" ht="15.75" customHeight="1">
      <c r="A90" s="242"/>
      <c r="B90" s="243"/>
      <c r="C90" s="244"/>
      <c r="E90" s="242"/>
      <c r="F90" s="243"/>
      <c r="G90" s="244"/>
      <c r="I90" s="242"/>
      <c r="J90" s="243"/>
      <c r="K90" s="244"/>
      <c r="M90" s="242"/>
      <c r="N90" s="243"/>
      <c r="O90" s="244"/>
      <c r="R90" s="14">
        <v>89.0</v>
      </c>
      <c r="S90" s="40">
        <v>37.1391734558927</v>
      </c>
    </row>
    <row r="91" ht="15.75" customHeight="1">
      <c r="A91" s="234"/>
      <c r="B91" s="30"/>
      <c r="C91" s="238"/>
      <c r="E91" s="234"/>
      <c r="F91" s="30"/>
      <c r="G91" s="238"/>
      <c r="I91" s="234"/>
      <c r="J91" s="30"/>
      <c r="K91" s="238"/>
      <c r="M91" s="234"/>
      <c r="N91" s="30"/>
      <c r="O91" s="238"/>
      <c r="R91" s="14">
        <v>90.0</v>
      </c>
      <c r="S91" s="40">
        <v>37.6309053265059</v>
      </c>
    </row>
    <row r="92" ht="15.75" customHeight="1">
      <c r="A92" s="234"/>
      <c r="B92" s="30"/>
      <c r="C92" s="238"/>
      <c r="E92" s="234"/>
      <c r="F92" s="30"/>
      <c r="G92" s="238"/>
      <c r="I92" s="234"/>
      <c r="J92" s="30"/>
      <c r="K92" s="238"/>
      <c r="M92" s="234"/>
      <c r="N92" s="30"/>
      <c r="O92" s="238"/>
      <c r="R92" s="14">
        <v>91.0</v>
      </c>
      <c r="S92" s="40">
        <v>38.1226371971192</v>
      </c>
    </row>
    <row r="93" ht="15.75" customHeight="1">
      <c r="A93" s="234"/>
      <c r="B93" s="30"/>
      <c r="C93" s="238"/>
      <c r="E93" s="234"/>
      <c r="F93" s="30"/>
      <c r="G93" s="238"/>
      <c r="I93" s="234"/>
      <c r="J93" s="30"/>
      <c r="K93" s="238"/>
      <c r="M93" s="234"/>
      <c r="N93" s="30"/>
      <c r="O93" s="238"/>
      <c r="R93" s="14">
        <v>92.0</v>
      </c>
      <c r="S93" s="40">
        <v>38.6143690677324</v>
      </c>
    </row>
    <row r="94" ht="15.75" customHeight="1">
      <c r="A94" s="239"/>
      <c r="B94" s="240"/>
      <c r="C94" s="241"/>
      <c r="E94" s="239"/>
      <c r="F94" s="240"/>
      <c r="G94" s="241"/>
      <c r="I94" s="239"/>
      <c r="J94" s="240"/>
      <c r="K94" s="241"/>
      <c r="M94" s="239"/>
      <c r="N94" s="240"/>
      <c r="O94" s="241"/>
      <c r="R94" s="14">
        <v>93.0</v>
      </c>
      <c r="S94" s="40">
        <v>39.1061009383456</v>
      </c>
    </row>
    <row r="95" ht="15.75" customHeight="1">
      <c r="R95" s="14">
        <v>94.0</v>
      </c>
      <c r="S95" s="40">
        <v>39.5978328089588</v>
      </c>
    </row>
    <row r="96" ht="15.75" customHeight="1">
      <c r="A96" s="242"/>
      <c r="B96" s="243"/>
      <c r="C96" s="244"/>
      <c r="E96" s="242"/>
      <c r="F96" s="243"/>
      <c r="G96" s="244"/>
      <c r="I96" s="242"/>
      <c r="J96" s="243"/>
      <c r="K96" s="244"/>
      <c r="M96" s="242"/>
      <c r="N96" s="243"/>
      <c r="O96" s="244"/>
      <c r="R96" s="14">
        <v>95.0</v>
      </c>
      <c r="S96" s="40">
        <v>40.089564679572</v>
      </c>
    </row>
    <row r="97" ht="15.75" customHeight="1">
      <c r="A97" s="234"/>
      <c r="B97" s="30"/>
      <c r="C97" s="238"/>
      <c r="E97" s="234"/>
      <c r="F97" s="30"/>
      <c r="G97" s="238"/>
      <c r="I97" s="234"/>
      <c r="J97" s="30"/>
      <c r="K97" s="238"/>
      <c r="M97" s="234"/>
      <c r="N97" s="30"/>
      <c r="O97" s="238"/>
      <c r="R97" s="14">
        <v>96.0</v>
      </c>
      <c r="S97" s="40">
        <v>40.5812965501852</v>
      </c>
    </row>
    <row r="98" ht="15.75" customHeight="1">
      <c r="A98" s="234"/>
      <c r="B98" s="30"/>
      <c r="C98" s="238"/>
      <c r="E98" s="234"/>
      <c r="F98" s="30"/>
      <c r="G98" s="238"/>
      <c r="I98" s="234"/>
      <c r="J98" s="30"/>
      <c r="K98" s="238"/>
      <c r="M98" s="234"/>
      <c r="N98" s="30"/>
      <c r="O98" s="238"/>
      <c r="R98" s="14">
        <v>97.0</v>
      </c>
      <c r="S98" s="40">
        <v>41.0730284207984</v>
      </c>
    </row>
    <row r="99" ht="15.75" customHeight="1">
      <c r="A99" s="234"/>
      <c r="B99" s="30"/>
      <c r="C99" s="238"/>
      <c r="E99" s="234"/>
      <c r="F99" s="30"/>
      <c r="G99" s="238"/>
      <c r="I99" s="234"/>
      <c r="J99" s="30"/>
      <c r="K99" s="238"/>
      <c r="M99" s="234"/>
      <c r="N99" s="30"/>
      <c r="O99" s="238"/>
      <c r="R99" s="14">
        <v>98.0</v>
      </c>
      <c r="S99" s="40">
        <v>41.5647602914116</v>
      </c>
    </row>
    <row r="100" ht="15.75" customHeight="1">
      <c r="A100" s="239"/>
      <c r="B100" s="240"/>
      <c r="C100" s="241"/>
      <c r="E100" s="239"/>
      <c r="F100" s="240"/>
      <c r="G100" s="241"/>
      <c r="I100" s="239"/>
      <c r="J100" s="240"/>
      <c r="K100" s="241"/>
      <c r="M100" s="239"/>
      <c r="N100" s="240"/>
      <c r="O100" s="241"/>
      <c r="R100" s="14">
        <v>99.0</v>
      </c>
      <c r="S100" s="40">
        <v>42.0564921620249</v>
      </c>
    </row>
    <row r="101" ht="15.75" customHeight="1">
      <c r="A101" s="242"/>
      <c r="B101" s="243"/>
      <c r="C101" s="244"/>
      <c r="E101" s="242"/>
      <c r="F101" s="243"/>
      <c r="G101" s="244"/>
      <c r="I101" s="242"/>
      <c r="J101" s="243"/>
      <c r="K101" s="244"/>
      <c r="M101" s="242"/>
      <c r="N101" s="243"/>
      <c r="O101" s="244"/>
      <c r="Q101" s="40"/>
      <c r="R101" s="14">
        <v>100.0</v>
      </c>
      <c r="S101" s="14">
        <v>43.0</v>
      </c>
    </row>
    <row r="102" ht="15.75" customHeight="1">
      <c r="A102" s="234"/>
      <c r="B102" s="30"/>
      <c r="C102" s="238"/>
      <c r="E102" s="234"/>
      <c r="F102" s="30"/>
      <c r="G102" s="238"/>
      <c r="I102" s="234"/>
      <c r="J102" s="30"/>
      <c r="K102" s="238"/>
      <c r="M102" s="234"/>
      <c r="N102" s="30"/>
      <c r="O102" s="238"/>
      <c r="Q102" s="40"/>
    </row>
    <row r="103" ht="15.75" customHeight="1">
      <c r="A103" s="234"/>
      <c r="B103" s="30"/>
      <c r="C103" s="238"/>
      <c r="E103" s="234"/>
      <c r="F103" s="30"/>
      <c r="G103" s="238"/>
      <c r="I103" s="234"/>
      <c r="J103" s="30"/>
      <c r="K103" s="238"/>
      <c r="M103" s="234"/>
      <c r="N103" s="30"/>
      <c r="O103" s="238"/>
      <c r="Q103" s="40"/>
    </row>
    <row r="104" ht="15.75" customHeight="1">
      <c r="A104" s="234"/>
      <c r="B104" s="30"/>
      <c r="C104" s="238"/>
      <c r="E104" s="234"/>
      <c r="F104" s="30"/>
      <c r="G104" s="238"/>
      <c r="I104" s="234"/>
      <c r="J104" s="30"/>
      <c r="K104" s="238"/>
      <c r="M104" s="234"/>
      <c r="N104" s="30"/>
      <c r="O104" s="238"/>
      <c r="Q104" s="40"/>
    </row>
    <row r="105" ht="15.75" customHeight="1">
      <c r="A105" s="239"/>
      <c r="B105" s="240"/>
      <c r="C105" s="241"/>
      <c r="E105" s="239"/>
      <c r="F105" s="240"/>
      <c r="G105" s="241"/>
      <c r="I105" s="239"/>
      <c r="J105" s="240"/>
      <c r="K105" s="241"/>
      <c r="M105" s="239"/>
      <c r="N105" s="240"/>
      <c r="O105" s="241"/>
      <c r="Q105" s="40"/>
    </row>
    <row r="106" ht="15.75" customHeight="1">
      <c r="Q106" s="40"/>
    </row>
    <row r="107" ht="15.75" customHeight="1">
      <c r="A107" s="242"/>
      <c r="B107" s="243"/>
      <c r="C107" s="244"/>
      <c r="E107" s="242"/>
      <c r="F107" s="243"/>
      <c r="G107" s="244"/>
      <c r="I107" s="242"/>
      <c r="J107" s="243"/>
      <c r="K107" s="244"/>
      <c r="M107" s="242"/>
      <c r="N107" s="243"/>
      <c r="O107" s="244"/>
      <c r="Q107" s="40"/>
    </row>
    <row r="108" ht="15.75" customHeight="1">
      <c r="A108" s="234"/>
      <c r="B108" s="30"/>
      <c r="C108" s="238"/>
      <c r="E108" s="234"/>
      <c r="F108" s="30"/>
      <c r="G108" s="238"/>
      <c r="I108" s="234"/>
      <c r="J108" s="30"/>
      <c r="K108" s="238"/>
      <c r="M108" s="234"/>
      <c r="N108" s="30"/>
      <c r="O108" s="238"/>
      <c r="Q108" s="40"/>
    </row>
    <row r="109" ht="15.75" customHeight="1">
      <c r="A109" s="234"/>
      <c r="B109" s="30"/>
      <c r="C109" s="238"/>
      <c r="E109" s="234"/>
      <c r="F109" s="30"/>
      <c r="G109" s="238"/>
      <c r="I109" s="234"/>
      <c r="J109" s="30"/>
      <c r="K109" s="238"/>
      <c r="M109" s="234"/>
      <c r="N109" s="30"/>
      <c r="O109" s="238"/>
      <c r="Q109" s="40"/>
    </row>
    <row r="110" ht="15.75" customHeight="1">
      <c r="A110" s="234"/>
      <c r="B110" s="30"/>
      <c r="C110" s="238"/>
      <c r="E110" s="234"/>
      <c r="F110" s="30"/>
      <c r="G110" s="238"/>
      <c r="I110" s="234"/>
      <c r="J110" s="30"/>
      <c r="K110" s="238"/>
      <c r="M110" s="234"/>
      <c r="N110" s="30"/>
      <c r="O110" s="238"/>
      <c r="Q110" s="40"/>
    </row>
    <row r="111" ht="15.75" customHeight="1">
      <c r="A111" s="239"/>
      <c r="B111" s="240"/>
      <c r="C111" s="241"/>
      <c r="E111" s="239"/>
      <c r="F111" s="240"/>
      <c r="G111" s="241"/>
      <c r="I111" s="239"/>
      <c r="J111" s="240"/>
      <c r="K111" s="241"/>
      <c r="M111" s="239"/>
      <c r="N111" s="240"/>
      <c r="O111" s="241"/>
      <c r="Q111" s="40"/>
    </row>
    <row r="112" ht="15.75" customHeight="1">
      <c r="A112" s="242"/>
      <c r="B112" s="243"/>
      <c r="C112" s="244"/>
      <c r="E112" s="242"/>
      <c r="F112" s="243"/>
      <c r="G112" s="244"/>
      <c r="I112" s="242"/>
      <c r="J112" s="243"/>
      <c r="K112" s="244"/>
      <c r="M112" s="242"/>
      <c r="N112" s="243"/>
      <c r="O112" s="244"/>
      <c r="Q112" s="40"/>
    </row>
    <row r="113" ht="15.75" customHeight="1">
      <c r="A113" s="234"/>
      <c r="B113" s="30"/>
      <c r="C113" s="238"/>
      <c r="E113" s="234"/>
      <c r="F113" s="30"/>
      <c r="G113" s="238"/>
      <c r="I113" s="234"/>
      <c r="J113" s="30"/>
      <c r="K113" s="238"/>
      <c r="M113" s="234"/>
      <c r="N113" s="30"/>
      <c r="O113" s="238"/>
      <c r="Q113" s="40"/>
    </row>
    <row r="114" ht="15.75" customHeight="1">
      <c r="A114" s="234"/>
      <c r="B114" s="30"/>
      <c r="C114" s="238"/>
      <c r="E114" s="234"/>
      <c r="F114" s="30"/>
      <c r="G114" s="238"/>
      <c r="I114" s="234"/>
      <c r="J114" s="30"/>
      <c r="K114" s="238"/>
      <c r="M114" s="234"/>
      <c r="N114" s="30"/>
      <c r="O114" s="238"/>
      <c r="Q114" s="40"/>
    </row>
    <row r="115" ht="15.75" customHeight="1">
      <c r="A115" s="234"/>
      <c r="B115" s="30"/>
      <c r="C115" s="238"/>
      <c r="E115" s="234"/>
      <c r="F115" s="30"/>
      <c r="G115" s="238"/>
      <c r="I115" s="234"/>
      <c r="J115" s="30"/>
      <c r="K115" s="238"/>
      <c r="M115" s="234"/>
      <c r="N115" s="30"/>
      <c r="O115" s="238"/>
      <c r="Q115" s="40"/>
    </row>
    <row r="116" ht="15.75" customHeight="1">
      <c r="A116" s="239"/>
      <c r="B116" s="240"/>
      <c r="C116" s="241"/>
      <c r="E116" s="239"/>
      <c r="F116" s="240"/>
      <c r="G116" s="241"/>
      <c r="I116" s="239"/>
      <c r="J116" s="240"/>
      <c r="K116" s="241"/>
      <c r="M116" s="239"/>
      <c r="N116" s="240"/>
      <c r="O116" s="241"/>
      <c r="Q116" s="40"/>
    </row>
    <row r="117" ht="15.75" customHeight="1">
      <c r="Q117" s="40"/>
    </row>
    <row r="118" ht="15.75" customHeight="1">
      <c r="A118" s="242"/>
      <c r="B118" s="243"/>
      <c r="C118" s="244"/>
      <c r="E118" s="242"/>
      <c r="F118" s="243"/>
      <c r="G118" s="244"/>
      <c r="I118" s="242"/>
      <c r="J118" s="243"/>
      <c r="K118" s="244"/>
      <c r="M118" s="242"/>
      <c r="N118" s="243"/>
      <c r="O118" s="244"/>
      <c r="Q118" s="40"/>
    </row>
    <row r="119" ht="15.75" customHeight="1">
      <c r="A119" s="234"/>
      <c r="B119" s="30"/>
      <c r="C119" s="238"/>
      <c r="E119" s="234"/>
      <c r="F119" s="30"/>
      <c r="G119" s="238"/>
      <c r="I119" s="234"/>
      <c r="J119" s="30"/>
      <c r="K119" s="238"/>
      <c r="M119" s="234"/>
      <c r="N119" s="30"/>
      <c r="O119" s="238"/>
      <c r="Q119" s="40"/>
    </row>
    <row r="120" ht="15.75" customHeight="1">
      <c r="A120" s="234"/>
      <c r="B120" s="30"/>
      <c r="C120" s="238"/>
      <c r="E120" s="234"/>
      <c r="F120" s="30"/>
      <c r="G120" s="238"/>
      <c r="I120" s="234"/>
      <c r="J120" s="30"/>
      <c r="K120" s="238"/>
      <c r="M120" s="234"/>
      <c r="N120" s="30"/>
      <c r="O120" s="238"/>
      <c r="Q120" s="40"/>
    </row>
    <row r="121" ht="15.75" customHeight="1">
      <c r="A121" s="234"/>
      <c r="B121" s="30"/>
      <c r="C121" s="238"/>
      <c r="E121" s="234"/>
      <c r="F121" s="30"/>
      <c r="G121" s="238"/>
      <c r="I121" s="234"/>
      <c r="J121" s="30"/>
      <c r="K121" s="238"/>
      <c r="M121" s="234"/>
      <c r="N121" s="30"/>
      <c r="O121" s="238"/>
      <c r="Q121" s="40"/>
    </row>
    <row r="122" ht="15.75" customHeight="1">
      <c r="A122" s="239"/>
      <c r="B122" s="240"/>
      <c r="C122" s="241"/>
      <c r="E122" s="239"/>
      <c r="F122" s="240"/>
      <c r="G122" s="241"/>
      <c r="I122" s="239"/>
      <c r="J122" s="240"/>
      <c r="K122" s="241"/>
      <c r="M122" s="239"/>
      <c r="N122" s="240"/>
      <c r="O122" s="241"/>
      <c r="Q122" s="40"/>
    </row>
    <row r="123" ht="15.75" customHeight="1">
      <c r="A123" s="242"/>
      <c r="B123" s="243"/>
      <c r="C123" s="244"/>
      <c r="E123" s="242"/>
      <c r="F123" s="243"/>
      <c r="G123" s="244"/>
      <c r="I123" s="242"/>
      <c r="J123" s="243"/>
      <c r="K123" s="244"/>
      <c r="M123" s="242"/>
      <c r="N123" s="243"/>
      <c r="O123" s="244"/>
      <c r="Q123" s="40"/>
    </row>
    <row r="124" ht="15.75" customHeight="1">
      <c r="A124" s="234"/>
      <c r="B124" s="30"/>
      <c r="C124" s="238"/>
      <c r="E124" s="234"/>
      <c r="F124" s="30"/>
      <c r="G124" s="238"/>
      <c r="I124" s="234"/>
      <c r="J124" s="30"/>
      <c r="K124" s="238"/>
      <c r="M124" s="234"/>
      <c r="N124" s="30"/>
      <c r="O124" s="238"/>
      <c r="Q124" s="40"/>
    </row>
    <row r="125" ht="15.75" customHeight="1">
      <c r="A125" s="234"/>
      <c r="B125" s="30"/>
      <c r="C125" s="238"/>
      <c r="E125" s="234"/>
      <c r="F125" s="30"/>
      <c r="G125" s="238"/>
      <c r="I125" s="234"/>
      <c r="J125" s="30"/>
      <c r="K125" s="238"/>
      <c r="M125" s="234"/>
      <c r="N125" s="30"/>
      <c r="O125" s="238"/>
      <c r="Q125" s="40"/>
    </row>
    <row r="126" ht="15.75" customHeight="1">
      <c r="A126" s="234"/>
      <c r="B126" s="30"/>
      <c r="C126" s="238"/>
      <c r="E126" s="234"/>
      <c r="F126" s="30"/>
      <c r="G126" s="238"/>
      <c r="I126" s="234"/>
      <c r="J126" s="30"/>
      <c r="K126" s="238"/>
      <c r="M126" s="234"/>
      <c r="N126" s="30"/>
      <c r="O126" s="238"/>
      <c r="Q126" s="40"/>
    </row>
    <row r="127" ht="15.75" customHeight="1">
      <c r="A127" s="239"/>
      <c r="B127" s="240"/>
      <c r="C127" s="241"/>
      <c r="E127" s="239"/>
      <c r="F127" s="240"/>
      <c r="G127" s="241"/>
      <c r="I127" s="239"/>
      <c r="J127" s="240"/>
      <c r="K127" s="241"/>
      <c r="M127" s="239"/>
      <c r="N127" s="240"/>
      <c r="O127" s="241"/>
      <c r="Q127" s="40"/>
    </row>
    <row r="128" ht="15.75" customHeight="1">
      <c r="Q128" s="40"/>
    </row>
    <row r="129" ht="15.75" customHeight="1">
      <c r="A129" s="242"/>
      <c r="B129" s="243"/>
      <c r="C129" s="244"/>
      <c r="E129" s="242"/>
      <c r="F129" s="243"/>
      <c r="G129" s="244"/>
      <c r="I129" s="242"/>
      <c r="J129" s="243"/>
      <c r="K129" s="244"/>
      <c r="M129" s="242"/>
      <c r="N129" s="243"/>
      <c r="O129" s="244"/>
      <c r="Q129" s="40"/>
    </row>
    <row r="130" ht="15.75" customHeight="1">
      <c r="A130" s="234"/>
      <c r="B130" s="30"/>
      <c r="C130" s="238"/>
      <c r="E130" s="234"/>
      <c r="F130" s="30"/>
      <c r="G130" s="238"/>
      <c r="I130" s="234"/>
      <c r="J130" s="30"/>
      <c r="K130" s="238"/>
      <c r="M130" s="234"/>
      <c r="N130" s="30"/>
      <c r="O130" s="238"/>
      <c r="Q130" s="40"/>
    </row>
    <row r="131" ht="15.75" customHeight="1">
      <c r="A131" s="234"/>
      <c r="B131" s="30"/>
      <c r="C131" s="238"/>
      <c r="E131" s="234"/>
      <c r="F131" s="30"/>
      <c r="G131" s="238"/>
      <c r="I131" s="234"/>
      <c r="J131" s="30"/>
      <c r="K131" s="238"/>
      <c r="M131" s="234"/>
      <c r="N131" s="30"/>
      <c r="O131" s="238"/>
      <c r="Q131" s="40"/>
    </row>
    <row r="132" ht="15.75" customHeight="1">
      <c r="A132" s="234"/>
      <c r="B132" s="30"/>
      <c r="C132" s="238"/>
      <c r="E132" s="234"/>
      <c r="F132" s="30"/>
      <c r="G132" s="238"/>
      <c r="I132" s="234"/>
      <c r="J132" s="30"/>
      <c r="K132" s="238"/>
      <c r="M132" s="234"/>
      <c r="N132" s="30"/>
      <c r="O132" s="238"/>
      <c r="Q132" s="40"/>
    </row>
    <row r="133" ht="15.75" customHeight="1">
      <c r="A133" s="239"/>
      <c r="B133" s="240"/>
      <c r="C133" s="241"/>
      <c r="E133" s="239"/>
      <c r="F133" s="240"/>
      <c r="G133" s="241"/>
      <c r="I133" s="239"/>
      <c r="J133" s="240"/>
      <c r="K133" s="241"/>
      <c r="M133" s="239"/>
      <c r="N133" s="240"/>
      <c r="O133" s="241"/>
      <c r="Q133" s="40"/>
    </row>
    <row r="134" ht="15.75" customHeight="1">
      <c r="A134" s="242"/>
      <c r="B134" s="243"/>
      <c r="C134" s="244"/>
      <c r="E134" s="242"/>
      <c r="F134" s="243"/>
      <c r="G134" s="244"/>
      <c r="I134" s="242"/>
      <c r="J134" s="243"/>
      <c r="K134" s="244"/>
      <c r="M134" s="242"/>
      <c r="N134" s="243"/>
      <c r="O134" s="244"/>
      <c r="Q134" s="40"/>
    </row>
    <row r="135" ht="15.75" customHeight="1">
      <c r="A135" s="234"/>
      <c r="B135" s="30"/>
      <c r="C135" s="238"/>
      <c r="E135" s="234"/>
      <c r="F135" s="30"/>
      <c r="G135" s="238"/>
      <c r="I135" s="234"/>
      <c r="J135" s="30"/>
      <c r="K135" s="238"/>
      <c r="M135" s="234"/>
      <c r="N135" s="30"/>
      <c r="O135" s="238"/>
      <c r="Q135" s="40"/>
    </row>
    <row r="136" ht="15.75" customHeight="1">
      <c r="A136" s="234"/>
      <c r="B136" s="30"/>
      <c r="C136" s="238"/>
      <c r="E136" s="234"/>
      <c r="F136" s="30"/>
      <c r="G136" s="238"/>
      <c r="I136" s="234"/>
      <c r="J136" s="30"/>
      <c r="K136" s="238"/>
      <c r="M136" s="234"/>
      <c r="N136" s="30"/>
      <c r="O136" s="238"/>
      <c r="Q136" s="40"/>
    </row>
    <row r="137" ht="15.75" customHeight="1">
      <c r="A137" s="234"/>
      <c r="B137" s="30"/>
      <c r="C137" s="238"/>
      <c r="E137" s="234"/>
      <c r="F137" s="30"/>
      <c r="G137" s="238"/>
      <c r="I137" s="234"/>
      <c r="J137" s="30"/>
      <c r="K137" s="238"/>
      <c r="M137" s="234"/>
      <c r="N137" s="30"/>
      <c r="O137" s="238"/>
      <c r="Q137" s="40"/>
    </row>
    <row r="138" ht="15.75" customHeight="1">
      <c r="A138" s="239"/>
      <c r="B138" s="240"/>
      <c r="C138" s="241"/>
      <c r="E138" s="239"/>
      <c r="F138" s="240"/>
      <c r="G138" s="241"/>
      <c r="I138" s="239"/>
      <c r="J138" s="240"/>
      <c r="K138" s="241"/>
      <c r="M138" s="239"/>
      <c r="N138" s="240"/>
      <c r="O138" s="241"/>
      <c r="Q138" s="40"/>
    </row>
    <row r="139" ht="15.75" customHeight="1">
      <c r="Q139" s="40"/>
    </row>
    <row r="140" ht="15.75" customHeight="1">
      <c r="A140" s="242"/>
      <c r="B140" s="243"/>
      <c r="C140" s="244"/>
      <c r="E140" s="242"/>
      <c r="F140" s="243"/>
      <c r="G140" s="244"/>
      <c r="Q140" s="40"/>
    </row>
    <row r="141" ht="15.75" customHeight="1">
      <c r="A141" s="234"/>
      <c r="B141" s="30"/>
      <c r="C141" s="238"/>
      <c r="E141" s="234"/>
      <c r="F141" s="30"/>
      <c r="G141" s="238"/>
      <c r="I141" s="30"/>
      <c r="J141" s="30"/>
      <c r="K141" s="30"/>
      <c r="M141" s="30"/>
      <c r="N141" s="30"/>
      <c r="O141" s="30"/>
      <c r="Q141" s="40"/>
    </row>
    <row r="142" ht="15.75" customHeight="1">
      <c r="A142" s="234"/>
      <c r="B142" s="30"/>
      <c r="C142" s="238"/>
      <c r="E142" s="234"/>
      <c r="F142" s="30"/>
      <c r="G142" s="238"/>
      <c r="I142" s="30"/>
      <c r="J142" s="30"/>
      <c r="K142" s="30"/>
      <c r="M142" s="30"/>
      <c r="N142" s="30"/>
      <c r="O142" s="30"/>
      <c r="Q142" s="40"/>
    </row>
    <row r="143" ht="15.75" customHeight="1">
      <c r="A143" s="234"/>
      <c r="B143" s="30"/>
      <c r="C143" s="238"/>
      <c r="E143" s="234"/>
      <c r="F143" s="30"/>
      <c r="G143" s="238"/>
      <c r="I143" s="30"/>
      <c r="J143" s="30"/>
      <c r="K143" s="30"/>
      <c r="M143" s="30"/>
      <c r="N143" s="30"/>
      <c r="O143" s="30"/>
      <c r="Q143" s="40"/>
    </row>
    <row r="144" ht="15.75" customHeight="1">
      <c r="A144" s="239"/>
      <c r="B144" s="240"/>
      <c r="C144" s="241"/>
      <c r="E144" s="239"/>
      <c r="F144" s="240"/>
      <c r="G144" s="241"/>
      <c r="I144" s="30"/>
      <c r="J144" s="30"/>
      <c r="K144" s="30"/>
      <c r="M144" s="30"/>
      <c r="N144" s="30"/>
      <c r="O144" s="30"/>
      <c r="Q144" s="40"/>
    </row>
    <row r="145" ht="15.75" customHeight="1">
      <c r="A145" s="242"/>
      <c r="B145" s="243"/>
      <c r="C145" s="244"/>
      <c r="E145" s="242"/>
      <c r="F145" s="243"/>
      <c r="G145" s="244"/>
      <c r="Q145" s="40"/>
    </row>
    <row r="146" ht="15.75" customHeight="1">
      <c r="A146" s="234"/>
      <c r="B146" s="30"/>
      <c r="C146" s="238"/>
      <c r="E146" s="234"/>
      <c r="F146" s="30"/>
      <c r="G146" s="238"/>
      <c r="I146" s="30"/>
      <c r="J146" s="30"/>
      <c r="K146" s="30"/>
      <c r="M146" s="30"/>
      <c r="N146" s="30"/>
      <c r="O146" s="30"/>
      <c r="Q146" s="40"/>
    </row>
    <row r="147" ht="15.75" customHeight="1">
      <c r="A147" s="234"/>
      <c r="B147" s="30"/>
      <c r="C147" s="238"/>
      <c r="E147" s="234"/>
      <c r="F147" s="30"/>
      <c r="G147" s="238"/>
      <c r="I147" s="30"/>
      <c r="J147" s="30"/>
      <c r="K147" s="30"/>
      <c r="M147" s="30"/>
      <c r="N147" s="30"/>
      <c r="O147" s="30"/>
      <c r="Q147" s="40"/>
    </row>
    <row r="148" ht="15.75" customHeight="1">
      <c r="A148" s="234"/>
      <c r="B148" s="30"/>
      <c r="C148" s="238"/>
      <c r="E148" s="234"/>
      <c r="F148" s="30"/>
      <c r="G148" s="238"/>
      <c r="I148" s="30"/>
      <c r="J148" s="30"/>
      <c r="K148" s="30"/>
      <c r="M148" s="30"/>
      <c r="N148" s="30"/>
      <c r="O148" s="30"/>
      <c r="Q148" s="40"/>
    </row>
    <row r="149" ht="15.75" customHeight="1">
      <c r="A149" s="239"/>
      <c r="B149" s="240"/>
      <c r="C149" s="241"/>
      <c r="E149" s="239"/>
      <c r="F149" s="240"/>
      <c r="G149" s="241"/>
      <c r="I149" s="30"/>
      <c r="J149" s="30"/>
      <c r="K149" s="30"/>
      <c r="M149" s="30"/>
      <c r="N149" s="30"/>
      <c r="O149" s="30"/>
      <c r="Q149" s="40"/>
    </row>
    <row r="150" ht="15.75" customHeight="1">
      <c r="Q150" s="40"/>
    </row>
    <row r="151" ht="15.75" customHeight="1">
      <c r="Q151" s="40"/>
    </row>
    <row r="152" ht="15.75" customHeight="1">
      <c r="Q152" s="40"/>
    </row>
    <row r="153" ht="15.75" customHeight="1">
      <c r="Q153" s="40"/>
    </row>
    <row r="154" ht="15.75" customHeight="1">
      <c r="Q154" s="40"/>
    </row>
    <row r="155" ht="15.75" customHeight="1">
      <c r="Q155" s="40"/>
    </row>
    <row r="156" ht="15.75" customHeight="1">
      <c r="Q156" s="40"/>
    </row>
    <row r="157" ht="15.75" customHeight="1">
      <c r="Q157" s="40"/>
    </row>
    <row r="158" ht="15.75" customHeight="1">
      <c r="Q158" s="40"/>
    </row>
    <row r="159" ht="15.75" customHeight="1">
      <c r="Q159" s="40"/>
    </row>
    <row r="160" ht="15.75" customHeight="1">
      <c r="Q160" s="40"/>
    </row>
    <row r="161" ht="15.75" customHeight="1">
      <c r="Q161" s="40"/>
    </row>
    <row r="162" ht="15.75" customHeight="1">
      <c r="Q162" s="40"/>
    </row>
    <row r="163" ht="15.75" customHeight="1">
      <c r="Q163" s="40"/>
    </row>
    <row r="164" ht="15.75" customHeight="1">
      <c r="Q164" s="40"/>
    </row>
    <row r="165" ht="15.75" customHeight="1">
      <c r="Q165" s="40"/>
    </row>
    <row r="166" ht="15.75" customHeight="1">
      <c r="Q166" s="40"/>
    </row>
    <row r="167" ht="15.75" customHeight="1">
      <c r="Q167" s="40"/>
    </row>
    <row r="168" ht="15.75" customHeight="1">
      <c r="Q168" s="40"/>
    </row>
    <row r="169" ht="15.75" customHeight="1">
      <c r="Q169" s="40"/>
    </row>
    <row r="170" ht="15.75" customHeight="1">
      <c r="Q170" s="40"/>
    </row>
    <row r="171" ht="15.75" customHeight="1">
      <c r="Q171" s="40"/>
    </row>
    <row r="172" ht="15.75" customHeight="1">
      <c r="Q172" s="40"/>
    </row>
    <row r="173" ht="15.75" customHeight="1">
      <c r="Q173" s="40"/>
    </row>
    <row r="174" ht="15.75" customHeight="1">
      <c r="Q174" s="40"/>
    </row>
    <row r="175" ht="15.75" customHeight="1">
      <c r="Q175" s="40"/>
    </row>
    <row r="176" ht="15.75" customHeight="1">
      <c r="Q176" s="40"/>
    </row>
    <row r="177" ht="15.75" customHeight="1">
      <c r="Q177" s="40"/>
    </row>
    <row r="178" ht="15.75" customHeight="1">
      <c r="Q178" s="40"/>
    </row>
    <row r="179" ht="15.75" customHeight="1">
      <c r="Q179" s="40"/>
    </row>
    <row r="180" ht="15.75" customHeight="1">
      <c r="Q180" s="40"/>
    </row>
    <row r="181" ht="15.75" customHeight="1">
      <c r="Q181" s="40"/>
    </row>
    <row r="182" ht="15.75" customHeight="1">
      <c r="Q182" s="40"/>
    </row>
    <row r="183" ht="15.75" customHeight="1">
      <c r="Q183" s="40"/>
    </row>
    <row r="184" ht="15.75" customHeight="1">
      <c r="Q184" s="40"/>
    </row>
    <row r="185" ht="15.75" customHeight="1">
      <c r="Q185" s="40"/>
    </row>
    <row r="186" ht="15.75" customHeight="1">
      <c r="Q186" s="40"/>
    </row>
    <row r="187" ht="15.75" customHeight="1">
      <c r="Q187" s="40"/>
    </row>
    <row r="188" ht="15.75" customHeight="1">
      <c r="Q188" s="40"/>
    </row>
    <row r="189" ht="15.75" customHeight="1">
      <c r="Q189" s="40"/>
    </row>
    <row r="190" ht="15.75" customHeight="1">
      <c r="Q190" s="40"/>
    </row>
    <row r="191" ht="15.75" customHeight="1">
      <c r="Q191" s="40"/>
    </row>
    <row r="192" ht="15.75" customHeight="1">
      <c r="Q192" s="40"/>
    </row>
    <row r="193" ht="15.75" customHeight="1">
      <c r="Q193" s="40"/>
    </row>
    <row r="194" ht="15.75" customHeight="1">
      <c r="Q194" s="40"/>
    </row>
    <row r="195" ht="15.75" customHeight="1">
      <c r="Q195" s="40"/>
    </row>
    <row r="196" ht="15.75" customHeight="1">
      <c r="Q196" s="40"/>
    </row>
    <row r="197" ht="15.75" customHeight="1">
      <c r="Q197" s="40"/>
    </row>
    <row r="198" ht="15.75" customHeight="1">
      <c r="Q198" s="40"/>
    </row>
    <row r="199" ht="15.75" customHeight="1">
      <c r="Q199" s="40"/>
    </row>
    <row r="200" ht="15.75" customHeight="1">
      <c r="Q200" s="40"/>
    </row>
    <row r="201" ht="15.75" customHeight="1">
      <c r="Q201" s="40"/>
    </row>
    <row r="202" ht="15.75" customHeight="1">
      <c r="Q202" s="40"/>
    </row>
    <row r="203" ht="15.75" customHeight="1">
      <c r="Q203" s="40"/>
    </row>
    <row r="204" ht="15.75" customHeight="1">
      <c r="Q204" s="40"/>
    </row>
    <row r="205" ht="15.75" customHeight="1">
      <c r="Q205" s="40"/>
    </row>
    <row r="206" ht="15.75" customHeight="1">
      <c r="Q206" s="40"/>
    </row>
    <row r="207" ht="15.75" customHeight="1">
      <c r="Q207" s="40"/>
    </row>
    <row r="208" ht="15.75" customHeight="1">
      <c r="Q208" s="40"/>
    </row>
    <row r="209" ht="15.75" customHeight="1">
      <c r="Q209" s="40"/>
    </row>
    <row r="210" ht="15.75" customHeight="1">
      <c r="Q210" s="40"/>
    </row>
    <row r="211" ht="15.75" customHeight="1">
      <c r="Q211" s="40"/>
    </row>
    <row r="212" ht="15.75" customHeight="1">
      <c r="Q212" s="40"/>
    </row>
    <row r="213" ht="15.75" customHeight="1">
      <c r="Q213" s="40"/>
    </row>
    <row r="214" ht="15.75" customHeight="1">
      <c r="Q214" s="40"/>
    </row>
    <row r="215" ht="15.75" customHeight="1">
      <c r="Q215" s="40"/>
    </row>
    <row r="216" ht="15.75" customHeight="1">
      <c r="Q216" s="40"/>
    </row>
    <row r="217" ht="15.75" customHeight="1">
      <c r="Q217" s="40"/>
    </row>
    <row r="218" ht="15.75" customHeight="1">
      <c r="Q218" s="40"/>
    </row>
    <row r="219" ht="15.75" customHeight="1">
      <c r="Q219" s="40"/>
    </row>
    <row r="220" ht="15.75" customHeight="1">
      <c r="Q220" s="40"/>
    </row>
    <row r="221" ht="15.75" customHeight="1">
      <c r="Q221" s="40"/>
    </row>
    <row r="222" ht="15.75" customHeight="1">
      <c r="Q222" s="40"/>
    </row>
    <row r="223" ht="15.75" customHeight="1">
      <c r="Q223" s="40"/>
    </row>
    <row r="224" ht="15.75" customHeight="1">
      <c r="Q224" s="40"/>
    </row>
    <row r="225" ht="15.75" customHeight="1">
      <c r="Q225" s="40"/>
    </row>
    <row r="226" ht="15.75" customHeight="1">
      <c r="Q226" s="40"/>
    </row>
    <row r="227" ht="15.75" customHeight="1">
      <c r="Q227" s="40"/>
    </row>
    <row r="228" ht="15.75" customHeight="1">
      <c r="Q228" s="40"/>
    </row>
    <row r="229" ht="15.75" customHeight="1">
      <c r="Q229" s="40"/>
    </row>
    <row r="230" ht="15.75" customHeight="1">
      <c r="Q230" s="40"/>
    </row>
    <row r="231" ht="15.75" customHeight="1">
      <c r="Q231" s="40"/>
    </row>
    <row r="232" ht="15.75" customHeight="1">
      <c r="Q232" s="40"/>
    </row>
    <row r="233" ht="15.75" customHeight="1">
      <c r="Q233" s="40"/>
    </row>
    <row r="234" ht="15.75" customHeight="1">
      <c r="Q234" s="40"/>
    </row>
    <row r="235" ht="15.75" customHeight="1">
      <c r="Q235" s="40"/>
    </row>
    <row r="236" ht="15.75" customHeight="1">
      <c r="Q236" s="40"/>
    </row>
    <row r="237" ht="15.75" customHeight="1">
      <c r="Q237" s="40"/>
    </row>
    <row r="238" ht="15.75" customHeight="1">
      <c r="Q238" s="40"/>
    </row>
    <row r="239" ht="15.75" customHeight="1">
      <c r="Q239" s="40"/>
    </row>
    <row r="240" ht="15.75" customHeight="1">
      <c r="Q240" s="40"/>
    </row>
    <row r="241" ht="15.75" customHeight="1">
      <c r="Q241" s="40"/>
    </row>
    <row r="242" ht="15.75" customHeight="1">
      <c r="Q242" s="40"/>
    </row>
    <row r="243" ht="15.75" customHeight="1">
      <c r="Q243" s="40"/>
    </row>
    <row r="244" ht="15.75" customHeight="1">
      <c r="Q244" s="40"/>
    </row>
    <row r="245" ht="15.75" customHeight="1">
      <c r="Q245" s="40"/>
    </row>
    <row r="246" ht="15.75" customHeight="1">
      <c r="Q246" s="40"/>
    </row>
    <row r="247" ht="15.75" customHeight="1">
      <c r="Q247" s="40"/>
    </row>
    <row r="248" ht="15.75" customHeight="1">
      <c r="Q248" s="40"/>
    </row>
    <row r="249" ht="15.75" customHeight="1">
      <c r="Q249" s="40"/>
    </row>
    <row r="250" ht="15.75" customHeight="1">
      <c r="Q250" s="40"/>
    </row>
    <row r="251" ht="15.75" customHeight="1">
      <c r="Q251" s="40"/>
    </row>
    <row r="252" ht="15.75" customHeight="1">
      <c r="Q252" s="40"/>
    </row>
    <row r="253" ht="15.75" customHeight="1">
      <c r="Q253" s="40"/>
    </row>
    <row r="254" ht="15.75" customHeight="1">
      <c r="Q254" s="40"/>
    </row>
    <row r="255" ht="15.75" customHeight="1">
      <c r="Q255" s="40"/>
    </row>
    <row r="256" ht="15.75" customHeight="1">
      <c r="Q256" s="40"/>
    </row>
    <row r="257" ht="15.75" customHeight="1">
      <c r="Q257" s="40"/>
    </row>
    <row r="258" ht="15.75" customHeight="1">
      <c r="Q258" s="40"/>
    </row>
    <row r="259" ht="15.75" customHeight="1">
      <c r="Q259" s="40"/>
    </row>
    <row r="260" ht="15.75" customHeight="1">
      <c r="Q260" s="40"/>
    </row>
    <row r="261" ht="15.75" customHeight="1">
      <c r="Q261" s="40"/>
    </row>
    <row r="262" ht="15.75" customHeight="1">
      <c r="Q262" s="40"/>
    </row>
    <row r="263" ht="15.75" customHeight="1">
      <c r="Q263" s="40"/>
    </row>
    <row r="264" ht="15.75" customHeight="1">
      <c r="Q264" s="40"/>
    </row>
    <row r="265" ht="15.75" customHeight="1">
      <c r="Q265" s="40"/>
    </row>
    <row r="266" ht="15.75" customHeight="1">
      <c r="Q266" s="40"/>
    </row>
    <row r="267" ht="15.75" customHeight="1">
      <c r="Q267" s="40"/>
    </row>
    <row r="268" ht="15.75" customHeight="1">
      <c r="Q268" s="40"/>
    </row>
    <row r="269" ht="15.75" customHeight="1">
      <c r="Q269" s="40"/>
    </row>
    <row r="270" ht="15.75" customHeight="1">
      <c r="Q270" s="40"/>
    </row>
    <row r="271" ht="15.75" customHeight="1">
      <c r="Q271" s="40"/>
    </row>
    <row r="272" ht="15.75" customHeight="1">
      <c r="Q272" s="40"/>
    </row>
    <row r="273" ht="15.75" customHeight="1">
      <c r="Q273" s="40"/>
    </row>
    <row r="274" ht="15.75" customHeight="1">
      <c r="Q274" s="40"/>
    </row>
    <row r="275" ht="15.75" customHeight="1">
      <c r="Q275" s="40"/>
    </row>
    <row r="276" ht="15.75" customHeight="1">
      <c r="Q276" s="40"/>
    </row>
    <row r="277" ht="15.75" customHeight="1">
      <c r="Q277" s="40"/>
    </row>
    <row r="278" ht="15.75" customHeight="1">
      <c r="Q278" s="40"/>
    </row>
    <row r="279" ht="15.75" customHeight="1">
      <c r="Q279" s="40"/>
    </row>
    <row r="280" ht="15.75" customHeight="1">
      <c r="Q280" s="40"/>
    </row>
    <row r="281" ht="15.75" customHeight="1">
      <c r="Q281" s="40"/>
    </row>
    <row r="282" ht="15.75" customHeight="1">
      <c r="Q282" s="40"/>
    </row>
    <row r="283" ht="15.75" customHeight="1">
      <c r="Q283" s="40"/>
    </row>
    <row r="284" ht="15.75" customHeight="1">
      <c r="Q284" s="40"/>
    </row>
    <row r="285" ht="15.75" customHeight="1">
      <c r="Q285" s="40"/>
    </row>
    <row r="286" ht="15.75" customHeight="1">
      <c r="Q286" s="40"/>
    </row>
    <row r="287" ht="15.75" customHeight="1">
      <c r="Q287" s="40"/>
    </row>
    <row r="288" ht="15.75" customHeight="1">
      <c r="Q288" s="40"/>
    </row>
    <row r="289" ht="15.75" customHeight="1">
      <c r="Q289" s="40"/>
    </row>
    <row r="290" ht="15.75" customHeight="1">
      <c r="Q290" s="40"/>
    </row>
    <row r="291" ht="15.75" customHeight="1">
      <c r="Q291" s="40"/>
    </row>
    <row r="292" ht="15.75" customHeight="1">
      <c r="Q292" s="40"/>
    </row>
    <row r="293" ht="15.75" customHeight="1">
      <c r="Q293" s="40"/>
    </row>
    <row r="294" ht="15.75" customHeight="1">
      <c r="Q294" s="40"/>
    </row>
    <row r="295" ht="15.75" customHeight="1">
      <c r="Q295" s="40"/>
    </row>
    <row r="296" ht="15.75" customHeight="1">
      <c r="Q296" s="40"/>
    </row>
    <row r="297" ht="15.75" customHeight="1">
      <c r="Q297" s="40"/>
    </row>
    <row r="298" ht="15.75" customHeight="1">
      <c r="Q298" s="40"/>
    </row>
    <row r="299" ht="15.75" customHeight="1">
      <c r="Q299" s="40"/>
    </row>
    <row r="300" ht="15.75" customHeight="1">
      <c r="Q300" s="40"/>
    </row>
    <row r="301" ht="15.75" customHeight="1">
      <c r="Q301" s="40"/>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R$1:$S$101"/>
  <mergeCells count="1">
    <mergeCell ref="E1:J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24" t="s">
        <v>512</v>
      </c>
      <c r="B1" s="224" t="s">
        <v>513</v>
      </c>
      <c r="C1" s="224"/>
      <c r="D1" s="30"/>
      <c r="E1" s="30" t="str">
        <f>M1&amp; " de " &amp;M2&amp; ", " &amp; M3 &amp; " de Nivel " &amp; $L$2</f>
        <v>Humano de Ascaria, Guerrero  de Nivel 30</v>
      </c>
      <c r="L1" s="14" t="s">
        <v>514</v>
      </c>
      <c r="M1" s="14" t="s">
        <v>515</v>
      </c>
      <c r="R1" s="14" t="s">
        <v>516</v>
      </c>
      <c r="S1" s="14" t="s">
        <v>517</v>
      </c>
    </row>
    <row r="2" ht="15.75" customHeight="1">
      <c r="A2" s="225" t="s">
        <v>518</v>
      </c>
      <c r="B2" s="226">
        <v>-7.0</v>
      </c>
      <c r="C2" s="226"/>
      <c r="D2" s="30"/>
      <c r="E2" s="227" t="s">
        <v>519</v>
      </c>
      <c r="F2" s="227" t="s">
        <v>520</v>
      </c>
      <c r="G2" s="227" t="s">
        <v>521</v>
      </c>
      <c r="H2" s="227" t="s">
        <v>522</v>
      </c>
      <c r="I2" s="227" t="s">
        <v>523</v>
      </c>
      <c r="J2" s="227" t="s">
        <v>524</v>
      </c>
      <c r="L2" s="95">
        <f>LVL!N2</f>
        <v>30</v>
      </c>
      <c r="M2" s="14" t="s">
        <v>77</v>
      </c>
      <c r="R2" s="14">
        <v>1.0</v>
      </c>
      <c r="S2" s="40">
        <v>-7.0</v>
      </c>
    </row>
    <row r="3" ht="15.75" customHeight="1">
      <c r="A3" s="228">
        <v>45353.0</v>
      </c>
      <c r="B3" s="226">
        <v>-6.0</v>
      </c>
      <c r="C3" s="226"/>
      <c r="D3" s="30"/>
      <c r="E3" s="229">
        <f t="shared" ref="E3:G3" si="1">A43</f>
        <v>44</v>
      </c>
      <c r="F3" s="230">
        <f t="shared" si="1"/>
        <v>12</v>
      </c>
      <c r="G3" s="229">
        <f t="shared" si="1"/>
        <v>10</v>
      </c>
      <c r="H3" s="231">
        <f t="shared" ref="H3:J3" si="2">A45</f>
        <v>42</v>
      </c>
      <c r="I3" s="229">
        <f t="shared" si="2"/>
        <v>41</v>
      </c>
      <c r="J3" s="232">
        <f t="shared" si="2"/>
        <v>11</v>
      </c>
      <c r="M3" s="14" t="s">
        <v>525</v>
      </c>
      <c r="R3" s="14">
        <v>2.0</v>
      </c>
      <c r="S3" s="40">
        <v>-7.0</v>
      </c>
    </row>
    <row r="4" ht="15.75" customHeight="1">
      <c r="A4" s="228">
        <v>45416.0</v>
      </c>
      <c r="B4" s="226">
        <v>-5.0</v>
      </c>
      <c r="C4" s="226"/>
      <c r="D4" s="30"/>
      <c r="E4" s="233">
        <f t="shared" ref="E4:G4" si="3">LOOKUP(A43,$R$2:$R$101,$S$2:$S$101)</f>
        <v>14.51950741</v>
      </c>
      <c r="F4" s="233">
        <f t="shared" si="3"/>
        <v>-1</v>
      </c>
      <c r="G4" s="233">
        <f t="shared" si="3"/>
        <v>-2</v>
      </c>
      <c r="H4" s="233">
        <f t="shared" ref="H4:J4" si="4">LOOKUP(A45,$R$2:$R$101,$S$2:$S$101)</f>
        <v>13.53604367</v>
      </c>
      <c r="I4" s="233">
        <f t="shared" si="4"/>
        <v>13.0443118</v>
      </c>
      <c r="J4" s="233">
        <f t="shared" si="4"/>
        <v>-2</v>
      </c>
      <c r="R4" s="14">
        <v>3.0</v>
      </c>
      <c r="S4" s="40">
        <v>-6.0</v>
      </c>
    </row>
    <row r="5" ht="15.75" customHeight="1">
      <c r="A5" s="228">
        <v>45479.0</v>
      </c>
      <c r="B5" s="226">
        <v>-4.0</v>
      </c>
      <c r="C5" s="226"/>
      <c r="D5" s="30"/>
      <c r="E5" s="30"/>
      <c r="F5" s="30"/>
      <c r="G5" s="30"/>
      <c r="H5" s="30"/>
      <c r="I5" s="30"/>
      <c r="J5" s="30"/>
      <c r="R5" s="14">
        <v>4.0</v>
      </c>
      <c r="S5" s="40">
        <v>-6.0</v>
      </c>
    </row>
    <row r="6" ht="15.75" customHeight="1">
      <c r="A6" s="228">
        <v>45543.0</v>
      </c>
      <c r="B6" s="226">
        <v>-3.0</v>
      </c>
      <c r="C6" s="226"/>
      <c r="D6" s="30"/>
      <c r="E6" s="30"/>
      <c r="F6" s="30"/>
      <c r="G6" s="30"/>
      <c r="H6" s="30"/>
      <c r="I6" s="30"/>
      <c r="J6" s="30"/>
      <c r="R6" s="14">
        <v>5.0</v>
      </c>
      <c r="S6" s="40">
        <v>-5.0</v>
      </c>
    </row>
    <row r="7" ht="15.75" customHeight="1">
      <c r="A7" s="228">
        <v>45606.0</v>
      </c>
      <c r="B7" s="226">
        <v>-2.0</v>
      </c>
      <c r="C7" s="226"/>
      <c r="D7" s="30"/>
      <c r="E7" s="30"/>
      <c r="F7" s="30"/>
      <c r="G7" s="30"/>
      <c r="H7" s="30"/>
      <c r="I7" s="30"/>
      <c r="J7" s="30"/>
      <c r="R7" s="14">
        <v>6.0</v>
      </c>
      <c r="S7" s="40">
        <v>-4.0</v>
      </c>
    </row>
    <row r="8" ht="15.75" customHeight="1">
      <c r="A8" s="225" t="s">
        <v>526</v>
      </c>
      <c r="B8" s="226">
        <v>-1.0</v>
      </c>
      <c r="C8" s="226"/>
      <c r="D8" s="30"/>
      <c r="E8" s="30"/>
      <c r="F8" s="30"/>
      <c r="G8" s="30"/>
      <c r="H8" s="30"/>
      <c r="I8" s="30"/>
      <c r="J8" s="30"/>
      <c r="R8" s="14">
        <v>7.0</v>
      </c>
      <c r="S8" s="40">
        <v>-4.0</v>
      </c>
    </row>
    <row r="9" ht="15.75" customHeight="1">
      <c r="A9" s="225" t="s">
        <v>527</v>
      </c>
      <c r="B9" s="226">
        <v>0.0</v>
      </c>
      <c r="C9" s="226"/>
      <c r="D9" s="30"/>
      <c r="E9" s="30"/>
      <c r="F9" s="30"/>
      <c r="G9" s="30"/>
      <c r="H9" s="30"/>
      <c r="I9" s="30"/>
      <c r="J9" s="30"/>
      <c r="R9" s="14">
        <v>8.0</v>
      </c>
      <c r="S9" s="40">
        <v>-3.0</v>
      </c>
    </row>
    <row r="10" ht="15.75" customHeight="1">
      <c r="A10" s="225" t="s">
        <v>528</v>
      </c>
      <c r="B10" s="226">
        <f t="shared" ref="B10:B11" si="5">1</f>
        <v>1</v>
      </c>
      <c r="C10" s="226"/>
      <c r="D10" s="30"/>
      <c r="E10" s="30"/>
      <c r="F10" s="30"/>
      <c r="G10" s="30"/>
      <c r="H10" s="30"/>
      <c r="I10" s="30"/>
      <c r="J10" s="30"/>
      <c r="R10" s="14">
        <v>9.0</v>
      </c>
      <c r="S10" s="40">
        <v>-3.0</v>
      </c>
    </row>
    <row r="11" ht="15.75" customHeight="1">
      <c r="A11" s="225" t="s">
        <v>529</v>
      </c>
      <c r="B11" s="226">
        <f t="shared" si="5"/>
        <v>1</v>
      </c>
      <c r="C11" s="226"/>
      <c r="D11" s="30"/>
      <c r="E11" s="30"/>
      <c r="F11" s="30"/>
      <c r="G11" s="30"/>
      <c r="H11" s="30"/>
      <c r="I11" s="30"/>
      <c r="J11" s="30"/>
      <c r="R11" s="14">
        <v>10.0</v>
      </c>
      <c r="S11" s="40">
        <v>-2.0</v>
      </c>
    </row>
    <row r="12" ht="15.75" customHeight="1">
      <c r="A12" s="225" t="s">
        <v>530</v>
      </c>
      <c r="B12" s="226">
        <v>2.0</v>
      </c>
      <c r="C12" s="226"/>
      <c r="D12" s="30"/>
      <c r="E12" s="30"/>
      <c r="F12" s="30"/>
      <c r="G12" s="30"/>
      <c r="H12" s="30"/>
      <c r="I12" s="30"/>
      <c r="J12" s="30"/>
      <c r="R12" s="14">
        <v>11.0</v>
      </c>
      <c r="S12" s="40">
        <v>-2.0</v>
      </c>
    </row>
    <row r="13" ht="15.75" customHeight="1">
      <c r="A13" s="225" t="s">
        <v>531</v>
      </c>
      <c r="B13" s="226">
        <v>2.0</v>
      </c>
      <c r="C13" s="226"/>
      <c r="D13" s="30"/>
      <c r="E13" s="30"/>
      <c r="F13" s="30"/>
      <c r="G13" s="30"/>
      <c r="H13" s="30"/>
      <c r="I13" s="30"/>
      <c r="J13" s="30"/>
      <c r="R13" s="14">
        <v>12.0</v>
      </c>
      <c r="S13" s="40">
        <v>-1.0</v>
      </c>
    </row>
    <row r="14" ht="15.75" customHeight="1">
      <c r="A14" s="225" t="s">
        <v>532</v>
      </c>
      <c r="B14" s="226">
        <v>3.0</v>
      </c>
      <c r="C14" s="226"/>
      <c r="D14" s="30"/>
      <c r="E14" s="30"/>
      <c r="F14" s="30"/>
      <c r="G14" s="30"/>
      <c r="H14" s="30"/>
      <c r="I14" s="30"/>
      <c r="J14" s="30"/>
      <c r="R14" s="14">
        <v>13.0</v>
      </c>
      <c r="S14" s="40">
        <v>-1.0</v>
      </c>
    </row>
    <row r="15" ht="15.75" customHeight="1">
      <c r="A15" s="225" t="s">
        <v>533</v>
      </c>
      <c r="B15" s="226">
        <v>3.0</v>
      </c>
      <c r="C15" s="226"/>
      <c r="D15" s="30"/>
      <c r="E15" s="30"/>
      <c r="F15" s="30"/>
      <c r="G15" s="30"/>
      <c r="H15" s="30"/>
      <c r="I15" s="30"/>
      <c r="J15" s="30"/>
      <c r="R15" s="14">
        <v>14.0</v>
      </c>
      <c r="S15" s="40">
        <v>0.0</v>
      </c>
    </row>
    <row r="16" ht="15.75" customHeight="1">
      <c r="A16" s="225" t="s">
        <v>534</v>
      </c>
      <c r="B16" s="226">
        <f t="shared" ref="B16:B17" si="6">4</f>
        <v>4</v>
      </c>
      <c r="C16" s="226"/>
      <c r="D16" s="30"/>
      <c r="E16" s="30"/>
      <c r="F16" s="30"/>
      <c r="G16" s="30"/>
      <c r="H16" s="30"/>
      <c r="I16" s="30"/>
      <c r="J16" s="30"/>
      <c r="R16" s="14">
        <v>15.0</v>
      </c>
      <c r="S16" s="40">
        <v>0.0</v>
      </c>
    </row>
    <row r="17" ht="15.75" customHeight="1">
      <c r="A17" s="225" t="s">
        <v>535</v>
      </c>
      <c r="B17" s="226">
        <f t="shared" si="6"/>
        <v>4</v>
      </c>
      <c r="C17" s="226"/>
      <c r="D17" s="30"/>
      <c r="E17" s="30"/>
      <c r="F17" s="30"/>
      <c r="G17" s="30"/>
      <c r="H17" s="30"/>
      <c r="I17" s="30"/>
      <c r="J17" s="30"/>
      <c r="R17" s="14">
        <v>16.0</v>
      </c>
      <c r="S17" s="40">
        <v>1.0</v>
      </c>
    </row>
    <row r="18" ht="15.75" customHeight="1">
      <c r="A18" s="225" t="s">
        <v>536</v>
      </c>
      <c r="B18" s="226">
        <v>5.0</v>
      </c>
      <c r="C18" s="226"/>
      <c r="D18" s="30"/>
      <c r="E18" s="30"/>
      <c r="F18" s="30"/>
      <c r="G18" s="30"/>
      <c r="H18" s="30"/>
      <c r="I18" s="30"/>
      <c r="J18" s="30"/>
      <c r="R18" s="14">
        <v>17.0</v>
      </c>
      <c r="S18" s="40">
        <v>1.0</v>
      </c>
    </row>
    <row r="19" ht="15.75" customHeight="1">
      <c r="A19" s="225" t="s">
        <v>537</v>
      </c>
      <c r="B19" s="226">
        <v>5.0</v>
      </c>
      <c r="C19" s="226"/>
      <c r="D19" s="30"/>
      <c r="E19" s="30"/>
      <c r="F19" s="30"/>
      <c r="G19" s="30"/>
      <c r="H19" s="30"/>
      <c r="I19" s="30"/>
      <c r="J19" s="30"/>
      <c r="R19" s="14">
        <v>18.0</v>
      </c>
      <c r="S19" s="40">
        <v>2.0</v>
      </c>
    </row>
    <row r="20" ht="15.75" customHeight="1">
      <c r="A20" s="225" t="s">
        <v>538</v>
      </c>
      <c r="B20" s="226">
        <v>6.0</v>
      </c>
      <c r="C20" s="226"/>
      <c r="D20" s="30"/>
      <c r="E20" s="30"/>
      <c r="F20" s="30"/>
      <c r="G20" s="30"/>
      <c r="H20" s="30"/>
      <c r="I20" s="30"/>
      <c r="J20" s="30"/>
      <c r="R20" s="14">
        <v>19.0</v>
      </c>
      <c r="S20" s="40">
        <v>2.0</v>
      </c>
    </row>
    <row r="21" ht="15.75" customHeight="1">
      <c r="A21" s="225" t="s">
        <v>539</v>
      </c>
      <c r="B21" s="226">
        <v>6.0</v>
      </c>
      <c r="C21" s="226"/>
      <c r="D21" s="30"/>
      <c r="E21" s="30"/>
      <c r="F21" s="30"/>
      <c r="G21" s="30"/>
      <c r="H21" s="30"/>
      <c r="I21" s="30"/>
      <c r="J21" s="30"/>
      <c r="R21" s="14">
        <v>20.0</v>
      </c>
      <c r="S21" s="40">
        <v>3.0</v>
      </c>
    </row>
    <row r="22" ht="15.75" customHeight="1">
      <c r="A22" s="225" t="s">
        <v>540</v>
      </c>
      <c r="B22" s="226">
        <v>7.0</v>
      </c>
      <c r="C22" s="226"/>
      <c r="D22" s="30"/>
      <c r="E22" s="30"/>
      <c r="F22" s="30"/>
      <c r="G22" s="30"/>
      <c r="H22" s="30"/>
      <c r="I22" s="30"/>
      <c r="J22" s="30"/>
      <c r="R22" s="14">
        <v>21.0</v>
      </c>
      <c r="S22" s="40">
        <v>3.0</v>
      </c>
    </row>
    <row r="23" ht="15.75" customHeight="1">
      <c r="A23" s="225" t="s">
        <v>541</v>
      </c>
      <c r="B23" s="226">
        <v>7.0</v>
      </c>
      <c r="C23" s="226"/>
      <c r="D23" s="30"/>
      <c r="E23" s="30"/>
      <c r="F23" s="30"/>
      <c r="G23" s="30"/>
      <c r="H23" s="30"/>
      <c r="I23" s="30"/>
      <c r="J23" s="30"/>
      <c r="R23" s="14">
        <v>22.0</v>
      </c>
      <c r="S23" s="40">
        <v>4.0</v>
      </c>
    </row>
    <row r="24" ht="15.75" customHeight="1">
      <c r="A24" s="225" t="s">
        <v>542</v>
      </c>
      <c r="B24" s="226">
        <v>8.0</v>
      </c>
      <c r="C24" s="226"/>
      <c r="D24" s="30"/>
      <c r="E24" s="30"/>
      <c r="F24" s="30"/>
      <c r="G24" s="30"/>
      <c r="H24" s="30"/>
      <c r="I24" s="30"/>
      <c r="J24" s="30"/>
      <c r="R24" s="14">
        <v>23.0</v>
      </c>
      <c r="S24" s="40">
        <v>4.0</v>
      </c>
    </row>
    <row r="25" ht="15.75" customHeight="1">
      <c r="A25" s="225" t="s">
        <v>543</v>
      </c>
      <c r="B25" s="226">
        <v>8.0</v>
      </c>
      <c r="C25" s="226"/>
      <c r="D25" s="30"/>
      <c r="E25" s="30"/>
      <c r="F25" s="30"/>
      <c r="G25" s="30"/>
      <c r="H25" s="30"/>
      <c r="I25" s="30"/>
      <c r="J25" s="30"/>
      <c r="R25" s="14">
        <v>24.0</v>
      </c>
      <c r="S25" s="40">
        <v>4.642857143</v>
      </c>
    </row>
    <row r="26" ht="15.75" customHeight="1">
      <c r="A26" s="225" t="s">
        <v>544</v>
      </c>
      <c r="B26" s="226">
        <v>9.0</v>
      </c>
      <c r="C26" s="226"/>
      <c r="D26" s="30"/>
      <c r="E26" s="30"/>
      <c r="F26" s="30"/>
      <c r="G26" s="30"/>
      <c r="H26" s="30"/>
      <c r="I26" s="30"/>
      <c r="J26" s="30"/>
      <c r="R26" s="14">
        <v>25.0</v>
      </c>
      <c r="S26" s="40">
        <v>5.119047619</v>
      </c>
    </row>
    <row r="27" ht="15.75" customHeight="1">
      <c r="A27" s="225" t="s">
        <v>545</v>
      </c>
      <c r="B27" s="226">
        <v>9.0</v>
      </c>
      <c r="C27" s="226"/>
      <c r="D27" s="30"/>
      <c r="E27" s="30"/>
      <c r="F27" s="30"/>
      <c r="G27" s="30"/>
      <c r="H27" s="30"/>
      <c r="I27" s="30"/>
      <c r="J27" s="30"/>
      <c r="R27" s="14">
        <v>26.0</v>
      </c>
      <c r="S27" s="40">
        <v>5.595238095</v>
      </c>
    </row>
    <row r="28" ht="15.75" customHeight="1">
      <c r="A28" s="225" t="s">
        <v>546</v>
      </c>
      <c r="B28" s="226">
        <v>10.0</v>
      </c>
      <c r="C28" s="226"/>
      <c r="D28" s="30"/>
      <c r="E28" s="30"/>
      <c r="F28" s="30"/>
      <c r="G28" s="30"/>
      <c r="H28" s="30"/>
      <c r="I28" s="30"/>
      <c r="J28" s="30"/>
      <c r="R28" s="14">
        <v>27.0</v>
      </c>
      <c r="S28" s="40">
        <v>6.071428571</v>
      </c>
    </row>
    <row r="29" ht="15.75" customHeight="1">
      <c r="A29" s="225" t="s">
        <v>547</v>
      </c>
      <c r="B29" s="226">
        <v>10.0</v>
      </c>
      <c r="C29" s="226"/>
      <c r="D29" s="30"/>
      <c r="E29" s="30"/>
      <c r="F29" s="30"/>
      <c r="G29" s="30"/>
      <c r="H29" s="30"/>
      <c r="I29" s="30"/>
      <c r="J29" s="30"/>
      <c r="R29" s="14">
        <v>28.0</v>
      </c>
      <c r="S29" s="40">
        <v>6.547619048</v>
      </c>
    </row>
    <row r="30" ht="15.75" customHeight="1">
      <c r="A30" s="225" t="s">
        <v>548</v>
      </c>
      <c r="B30" s="226">
        <v>11.0</v>
      </c>
      <c r="C30" s="226"/>
      <c r="D30" s="30"/>
      <c r="E30" s="30"/>
      <c r="F30" s="30"/>
      <c r="G30" s="30"/>
      <c r="H30" s="30"/>
      <c r="I30" s="30"/>
      <c r="J30" s="30"/>
      <c r="R30" s="14">
        <v>29.0</v>
      </c>
      <c r="S30" s="40">
        <v>7.023809524</v>
      </c>
    </row>
    <row r="31" ht="15.75" customHeight="1">
      <c r="A31" s="225" t="s">
        <v>549</v>
      </c>
      <c r="B31" s="226">
        <v>11.0</v>
      </c>
      <c r="C31" s="226"/>
      <c r="D31" s="30"/>
      <c r="E31" s="30"/>
      <c r="F31" s="30"/>
      <c r="G31" s="30"/>
      <c r="H31" s="30"/>
      <c r="I31" s="30"/>
      <c r="J31" s="30"/>
      <c r="R31" s="14">
        <v>30.0</v>
      </c>
      <c r="S31" s="40">
        <v>7.5</v>
      </c>
    </row>
    <row r="32" ht="15.75" customHeight="1">
      <c r="A32" s="225" t="s">
        <v>550</v>
      </c>
      <c r="B32" s="226">
        <v>12.0</v>
      </c>
      <c r="C32" s="226"/>
      <c r="D32" s="30"/>
      <c r="E32" s="30"/>
      <c r="F32" s="30"/>
      <c r="G32" s="30"/>
      <c r="H32" s="30"/>
      <c r="I32" s="30"/>
      <c r="J32" s="30"/>
      <c r="R32" s="14">
        <v>31.0</v>
      </c>
      <c r="S32" s="40">
        <v>7.976190476</v>
      </c>
    </row>
    <row r="33" ht="15.75" customHeight="1">
      <c r="A33" s="225" t="s">
        <v>551</v>
      </c>
      <c r="B33" s="226">
        <v>12.0</v>
      </c>
      <c r="C33" s="226"/>
      <c r="D33" s="30"/>
      <c r="E33" s="30"/>
      <c r="F33" s="30"/>
      <c r="G33" s="30"/>
      <c r="H33" s="30"/>
      <c r="I33" s="30"/>
      <c r="J33" s="30"/>
      <c r="R33" s="14">
        <v>32.0</v>
      </c>
      <c r="S33" s="40">
        <v>9.0</v>
      </c>
    </row>
    <row r="34" ht="15.75" customHeight="1">
      <c r="A34" s="225" t="s">
        <v>552</v>
      </c>
      <c r="B34" s="226">
        <v>13.0</v>
      </c>
      <c r="C34" s="226"/>
      <c r="D34" s="30"/>
      <c r="E34" s="30"/>
      <c r="F34" s="30"/>
      <c r="G34" s="30"/>
      <c r="H34" s="30"/>
      <c r="I34" s="30"/>
      <c r="J34" s="30"/>
      <c r="R34" s="14">
        <v>33.0</v>
      </c>
      <c r="S34" s="40">
        <v>9.0</v>
      </c>
    </row>
    <row r="35" ht="15.75" customHeight="1">
      <c r="A35" s="225" t="s">
        <v>553</v>
      </c>
      <c r="B35" s="226">
        <v>13.0</v>
      </c>
      <c r="C35" s="226"/>
      <c r="D35" s="30"/>
      <c r="E35" s="30"/>
      <c r="F35" s="30"/>
      <c r="G35" s="30"/>
      <c r="H35" s="30"/>
      <c r="I35" s="30"/>
      <c r="J35" s="30"/>
      <c r="R35" s="14">
        <v>34.0</v>
      </c>
      <c r="S35" s="40">
        <v>10.0</v>
      </c>
    </row>
    <row r="36" ht="15.75" customHeight="1">
      <c r="A36" s="225" t="s">
        <v>554</v>
      </c>
      <c r="B36" s="226">
        <v>14.0</v>
      </c>
      <c r="C36" s="226"/>
      <c r="D36" s="30"/>
      <c r="E36" s="30"/>
      <c r="F36" s="30"/>
      <c r="G36" s="30"/>
      <c r="H36" s="30"/>
      <c r="I36" s="30"/>
      <c r="J36" s="30"/>
      <c r="R36" s="14">
        <v>35.0</v>
      </c>
      <c r="S36" s="40">
        <v>10.0</v>
      </c>
    </row>
    <row r="37" ht="15.75" customHeight="1">
      <c r="A37" s="225" t="s">
        <v>555</v>
      </c>
      <c r="B37" s="226">
        <v>14.0</v>
      </c>
      <c r="C37" s="226"/>
      <c r="D37" s="30"/>
      <c r="E37" s="30"/>
      <c r="F37" s="30"/>
      <c r="G37" s="30"/>
      <c r="H37" s="30"/>
      <c r="I37" s="30"/>
      <c r="J37" s="30"/>
      <c r="R37" s="14">
        <v>36.0</v>
      </c>
      <c r="S37" s="40">
        <v>10.5856524427792</v>
      </c>
    </row>
    <row r="38" ht="15.75" customHeight="1">
      <c r="A38" s="30"/>
      <c r="B38" s="30"/>
      <c r="C38" s="30"/>
      <c r="D38" s="30"/>
      <c r="E38" s="30"/>
      <c r="F38" s="30"/>
      <c r="G38" s="30"/>
      <c r="H38" s="30"/>
      <c r="I38" s="30"/>
      <c r="J38" s="30"/>
      <c r="R38" s="14">
        <v>37.0</v>
      </c>
      <c r="S38" s="40">
        <v>11.0773843133924</v>
      </c>
    </row>
    <row r="39" ht="15.75" customHeight="1">
      <c r="A39" s="30"/>
      <c r="B39" s="30"/>
      <c r="C39" s="30"/>
      <c r="D39" s="30"/>
      <c r="E39" s="30"/>
      <c r="F39" s="30"/>
      <c r="G39" s="30"/>
      <c r="H39" s="30"/>
      <c r="I39" s="30"/>
      <c r="J39" s="30"/>
      <c r="R39" s="14">
        <v>38.0</v>
      </c>
      <c r="S39" s="40">
        <v>11.5691161840056</v>
      </c>
    </row>
    <row r="40" ht="15.75" customHeight="1">
      <c r="A40" s="234"/>
      <c r="B40" s="30"/>
      <c r="C40" s="30"/>
      <c r="D40" s="30"/>
      <c r="E40" s="30"/>
      <c r="F40" s="30"/>
      <c r="G40" s="30"/>
      <c r="H40" s="30"/>
      <c r="I40" s="30"/>
      <c r="J40" s="30"/>
      <c r="R40" s="14">
        <v>39.0</v>
      </c>
      <c r="S40" s="40">
        <v>12.0608480546189</v>
      </c>
    </row>
    <row r="41" ht="15.75" customHeight="1">
      <c r="A41" s="235" t="s">
        <v>556</v>
      </c>
      <c r="B41" s="236"/>
      <c r="C41" s="237"/>
      <c r="D41" s="30"/>
      <c r="E41" s="30"/>
      <c r="F41" s="30"/>
      <c r="G41" s="30"/>
      <c r="H41" s="30"/>
      <c r="I41" s="30"/>
      <c r="J41" s="30"/>
      <c r="R41" s="14">
        <v>40.0</v>
      </c>
      <c r="S41" s="40">
        <v>12.5525799252321</v>
      </c>
    </row>
    <row r="42" ht="15.75" customHeight="1">
      <c r="A42" s="234" t="s">
        <v>519</v>
      </c>
      <c r="B42" s="30" t="s">
        <v>520</v>
      </c>
      <c r="C42" s="238" t="s">
        <v>557</v>
      </c>
      <c r="D42" s="30"/>
      <c r="E42" s="30"/>
      <c r="F42" s="30"/>
      <c r="G42" s="30"/>
      <c r="H42" s="30"/>
      <c r="I42" s="30"/>
      <c r="J42" s="30"/>
      <c r="R42" s="14">
        <v>41.0</v>
      </c>
      <c r="S42" s="40">
        <v>13.0443117958453</v>
      </c>
    </row>
    <row r="43" ht="15.75" customHeight="1">
      <c r="A43" s="234">
        <f t="shared" ref="A43:C43" si="7">A48+A53+A58</f>
        <v>44</v>
      </c>
      <c r="B43" s="30">
        <f t="shared" si="7"/>
        <v>12</v>
      </c>
      <c r="C43" s="238">
        <f t="shared" si="7"/>
        <v>10</v>
      </c>
      <c r="D43" s="30"/>
      <c r="E43" s="30"/>
      <c r="F43" s="30"/>
      <c r="G43" s="30"/>
      <c r="H43" s="30"/>
      <c r="I43" s="30"/>
      <c r="J43" s="30"/>
      <c r="R43" s="14">
        <v>42.0</v>
      </c>
      <c r="S43" s="40">
        <v>13.5360436664585</v>
      </c>
    </row>
    <row r="44" ht="15.75" customHeight="1">
      <c r="A44" s="234" t="s">
        <v>522</v>
      </c>
      <c r="B44" s="30" t="s">
        <v>523</v>
      </c>
      <c r="C44" s="238" t="s">
        <v>524</v>
      </c>
      <c r="D44" s="30"/>
      <c r="E44" s="30"/>
      <c r="F44" s="30"/>
      <c r="G44" s="30"/>
      <c r="H44" s="30"/>
      <c r="I44" s="30"/>
      <c r="J44" s="30"/>
      <c r="R44" s="14">
        <v>43.0</v>
      </c>
      <c r="S44" s="40">
        <v>14.0277755370717</v>
      </c>
    </row>
    <row r="45" ht="15.75" customHeight="1">
      <c r="A45" s="239">
        <f t="shared" ref="A45:C45" si="8">A50+A55+A60</f>
        <v>42</v>
      </c>
      <c r="B45" s="240">
        <f t="shared" si="8"/>
        <v>41</v>
      </c>
      <c r="C45" s="241">
        <f t="shared" si="8"/>
        <v>11</v>
      </c>
      <c r="D45" s="30"/>
      <c r="E45" s="30"/>
      <c r="F45" s="30"/>
      <c r="G45" s="30"/>
      <c r="H45" s="30"/>
      <c r="I45" s="30"/>
      <c r="J45" s="30"/>
      <c r="R45" s="14">
        <v>44.0</v>
      </c>
      <c r="S45" s="40">
        <v>14.5195074076849</v>
      </c>
    </row>
    <row r="46" ht="15.75" customHeight="1">
      <c r="A46" s="242" t="s">
        <v>558</v>
      </c>
      <c r="B46" s="243"/>
      <c r="C46" s="244" t="s">
        <v>78</v>
      </c>
      <c r="R46" s="14">
        <v>45.0</v>
      </c>
      <c r="S46" s="40">
        <v>15.0112392782981</v>
      </c>
    </row>
    <row r="47" ht="15.75" customHeight="1">
      <c r="A47" s="234" t="s">
        <v>519</v>
      </c>
      <c r="B47" s="30" t="s">
        <v>520</v>
      </c>
      <c r="C47" s="238" t="s">
        <v>557</v>
      </c>
      <c r="E47" s="242" t="s">
        <v>558</v>
      </c>
      <c r="F47" s="243"/>
      <c r="G47" s="244">
        <v>1.0</v>
      </c>
      <c r="R47" s="14">
        <v>46.0</v>
      </c>
      <c r="S47" s="40">
        <v>15.5029711489114</v>
      </c>
    </row>
    <row r="48" ht="15.75" customHeight="1">
      <c r="A48" s="30">
        <f t="shared" ref="A48:C48" si="9">(E49+A65)</f>
        <v>0</v>
      </c>
      <c r="B48" s="30">
        <f t="shared" si="9"/>
        <v>-1</v>
      </c>
      <c r="C48" s="238">
        <f t="shared" si="9"/>
        <v>0</v>
      </c>
      <c r="E48" s="234" t="s">
        <v>519</v>
      </c>
      <c r="F48" s="30" t="s">
        <v>520</v>
      </c>
      <c r="G48" s="238" t="s">
        <v>557</v>
      </c>
      <c r="R48" s="14">
        <v>47.0</v>
      </c>
      <c r="S48" s="40">
        <v>15.9947030195246</v>
      </c>
    </row>
    <row r="49" ht="15.75" customHeight="1">
      <c r="A49" s="234" t="s">
        <v>522</v>
      </c>
      <c r="B49" s="30" t="s">
        <v>523</v>
      </c>
      <c r="C49" s="238" t="s">
        <v>524</v>
      </c>
      <c r="E49" s="234">
        <v>0.0</v>
      </c>
      <c r="F49" s="30">
        <v>-1.0</v>
      </c>
      <c r="G49" s="238">
        <v>0.0</v>
      </c>
      <c r="R49" s="14">
        <v>48.0</v>
      </c>
      <c r="S49" s="40">
        <v>17.0</v>
      </c>
    </row>
    <row r="50" ht="15.75" customHeight="1">
      <c r="A50" s="240">
        <f t="shared" ref="A50:C50" si="10">E51+A67</f>
        <v>32</v>
      </c>
      <c r="B50" s="240">
        <f t="shared" si="10"/>
        <v>31</v>
      </c>
      <c r="C50" s="241">
        <f t="shared" si="10"/>
        <v>0</v>
      </c>
      <c r="E50" s="234" t="s">
        <v>522</v>
      </c>
      <c r="F50" s="30" t="s">
        <v>523</v>
      </c>
      <c r="G50" s="238" t="s">
        <v>524</v>
      </c>
      <c r="R50" s="14">
        <v>49.0</v>
      </c>
      <c r="S50" s="40">
        <v>16.978166760751</v>
      </c>
    </row>
    <row r="51" ht="15.75" customHeight="1">
      <c r="A51" s="245" t="s">
        <v>559</v>
      </c>
      <c r="C51" s="215" t="s">
        <v>560</v>
      </c>
      <c r="E51" s="239">
        <v>3.0</v>
      </c>
      <c r="F51" s="240">
        <v>2.0</v>
      </c>
      <c r="G51" s="241"/>
      <c r="R51" s="14">
        <v>50.0</v>
      </c>
      <c r="S51" s="40">
        <v>18.0</v>
      </c>
    </row>
    <row r="52" ht="15.75" customHeight="1">
      <c r="A52" s="234" t="s">
        <v>519</v>
      </c>
      <c r="B52" s="30" t="s">
        <v>520</v>
      </c>
      <c r="C52" s="238" t="s">
        <v>557</v>
      </c>
      <c r="E52" s="242" t="s">
        <v>559</v>
      </c>
      <c r="F52" s="243"/>
      <c r="G52" s="244">
        <v>1.0</v>
      </c>
      <c r="R52" s="14">
        <v>51.0</v>
      </c>
      <c r="S52" s="40">
        <v>18.4533623725906</v>
      </c>
    </row>
    <row r="53" ht="15.75" customHeight="1">
      <c r="A53" s="234">
        <f t="shared" ref="A53:C53" si="11">E54+A70</f>
        <v>30</v>
      </c>
      <c r="B53" s="234">
        <f t="shared" si="11"/>
        <v>0</v>
      </c>
      <c r="C53" s="234">
        <f t="shared" si="11"/>
        <v>0</v>
      </c>
      <c r="E53" s="234" t="s">
        <v>519</v>
      </c>
      <c r="F53" s="30" t="s">
        <v>520</v>
      </c>
      <c r="G53" s="238" t="s">
        <v>557</v>
      </c>
      <c r="R53" s="14">
        <v>52.0</v>
      </c>
      <c r="S53" s="40">
        <v>18.9450942432038</v>
      </c>
    </row>
    <row r="54" ht="15.75" customHeight="1">
      <c r="A54" s="234" t="s">
        <v>522</v>
      </c>
      <c r="B54" s="30" t="s">
        <v>523</v>
      </c>
      <c r="C54" s="238" t="s">
        <v>524</v>
      </c>
      <c r="E54" s="234">
        <v>1.0</v>
      </c>
      <c r="F54" s="30"/>
      <c r="G54" s="238"/>
      <c r="R54" s="14">
        <v>53.0</v>
      </c>
      <c r="S54" s="40">
        <v>19.4368261138171</v>
      </c>
    </row>
    <row r="55" ht="15.75" customHeight="1">
      <c r="A55" s="240">
        <f t="shared" ref="A55:C55" si="12">A72+E56</f>
        <v>0</v>
      </c>
      <c r="B55" s="240">
        <f t="shared" si="12"/>
        <v>0</v>
      </c>
      <c r="C55" s="241">
        <f t="shared" si="12"/>
        <v>-1</v>
      </c>
      <c r="E55" s="234" t="s">
        <v>522</v>
      </c>
      <c r="F55" s="30" t="s">
        <v>523</v>
      </c>
      <c r="G55" s="238" t="s">
        <v>524</v>
      </c>
      <c r="R55" s="14">
        <v>54.0</v>
      </c>
      <c r="S55" s="40">
        <v>19.9285579844303</v>
      </c>
    </row>
    <row r="56" ht="15.75" customHeight="1">
      <c r="A56" s="245" t="s">
        <v>561</v>
      </c>
      <c r="C56" s="215"/>
      <c r="E56" s="239"/>
      <c r="F56" s="240"/>
      <c r="G56" s="241">
        <v>-1.0</v>
      </c>
      <c r="R56" s="14">
        <v>55.0</v>
      </c>
      <c r="S56" s="40">
        <v>20.4202898550435</v>
      </c>
    </row>
    <row r="57" ht="15.75" customHeight="1">
      <c r="A57" s="234" t="s">
        <v>519</v>
      </c>
      <c r="B57" s="30" t="s">
        <v>520</v>
      </c>
      <c r="C57" s="238" t="s">
        <v>557</v>
      </c>
      <c r="R57" s="14">
        <v>56.0</v>
      </c>
      <c r="S57" s="40">
        <v>20.9120217256567</v>
      </c>
    </row>
    <row r="58" ht="15.75" customHeight="1">
      <c r="A58" s="234">
        <v>14.0</v>
      </c>
      <c r="B58" s="30">
        <v>13.0</v>
      </c>
      <c r="C58" s="238">
        <v>10.0</v>
      </c>
      <c r="R58" s="14">
        <v>57.0</v>
      </c>
      <c r="S58" s="40">
        <v>21.4037535962699</v>
      </c>
    </row>
    <row r="59" ht="15.75" customHeight="1">
      <c r="A59" s="234" t="s">
        <v>522</v>
      </c>
      <c r="B59" s="30" t="s">
        <v>523</v>
      </c>
      <c r="C59" s="238" t="s">
        <v>524</v>
      </c>
      <c r="R59" s="14">
        <v>58.0</v>
      </c>
      <c r="S59" s="40">
        <v>21.8954854668831</v>
      </c>
    </row>
    <row r="60" ht="15.75" customHeight="1">
      <c r="A60" s="239">
        <v>10.0</v>
      </c>
      <c r="B60" s="240">
        <v>10.0</v>
      </c>
      <c r="C60" s="241">
        <v>12.0</v>
      </c>
      <c r="R60" s="14">
        <v>59.0</v>
      </c>
      <c r="S60" s="40">
        <v>22.3872173374963</v>
      </c>
    </row>
    <row r="61" ht="15.75" customHeight="1">
      <c r="R61" s="14">
        <v>60.0</v>
      </c>
      <c r="S61" s="40">
        <v>22.8789492081096</v>
      </c>
    </row>
    <row r="62" ht="15.75" customHeight="1">
      <c r="R62" s="14">
        <v>61.0</v>
      </c>
      <c r="S62" s="40">
        <v>23.3706810787228</v>
      </c>
    </row>
    <row r="63" ht="15.75" customHeight="1">
      <c r="A63" s="242" t="s">
        <v>558</v>
      </c>
      <c r="B63" s="243"/>
      <c r="C63" s="244">
        <f>$L$2</f>
        <v>30</v>
      </c>
      <c r="E63" s="242"/>
      <c r="F63" s="243"/>
      <c r="G63" s="244"/>
      <c r="I63" s="242"/>
      <c r="J63" s="243"/>
      <c r="K63" s="244"/>
      <c r="M63" s="242"/>
      <c r="N63" s="243"/>
      <c r="O63" s="244"/>
      <c r="R63" s="14">
        <v>62.0</v>
      </c>
      <c r="S63" s="40">
        <v>23.862412949336</v>
      </c>
    </row>
    <row r="64" ht="15.75" customHeight="1">
      <c r="A64" s="234" t="s">
        <v>519</v>
      </c>
      <c r="B64" s="30" t="s">
        <v>520</v>
      </c>
      <c r="C64" s="238" t="s">
        <v>557</v>
      </c>
      <c r="E64" s="234"/>
      <c r="F64" s="30"/>
      <c r="G64" s="238"/>
      <c r="I64" s="234"/>
      <c r="J64" s="30"/>
      <c r="K64" s="238"/>
      <c r="M64" s="234"/>
      <c r="N64" s="30"/>
      <c r="O64" s="238"/>
      <c r="R64" s="14">
        <v>63.0</v>
      </c>
      <c r="S64" s="40">
        <v>24.3541448199492</v>
      </c>
    </row>
    <row r="65" ht="15.75" customHeight="1">
      <c r="A65" s="30">
        <f t="shared" ref="A65:C65" si="13">IF(E49&gt;0,$C$63-1,0)</f>
        <v>0</v>
      </c>
      <c r="B65" s="30">
        <f t="shared" si="13"/>
        <v>0</v>
      </c>
      <c r="C65" s="30">
        <f t="shared" si="13"/>
        <v>0</v>
      </c>
      <c r="E65" s="234"/>
      <c r="F65" s="30"/>
      <c r="G65" s="238"/>
      <c r="I65" s="234"/>
      <c r="J65" s="30"/>
      <c r="K65" s="238"/>
      <c r="M65" s="234"/>
      <c r="N65" s="30"/>
      <c r="O65" s="238"/>
      <c r="R65" s="14">
        <v>64.0</v>
      </c>
      <c r="S65" s="40">
        <v>24.8458766905624</v>
      </c>
    </row>
    <row r="66" ht="15.75" customHeight="1">
      <c r="A66" s="234" t="s">
        <v>522</v>
      </c>
      <c r="B66" s="30" t="s">
        <v>523</v>
      </c>
      <c r="C66" s="238" t="s">
        <v>524</v>
      </c>
      <c r="E66" s="234"/>
      <c r="F66" s="30"/>
      <c r="G66" s="238"/>
      <c r="I66" s="234"/>
      <c r="J66" s="30"/>
      <c r="K66" s="238"/>
      <c r="M66" s="234"/>
      <c r="N66" s="30"/>
      <c r="O66" s="238"/>
      <c r="R66" s="14">
        <v>65.0</v>
      </c>
      <c r="S66" s="40">
        <v>25.3376085611756</v>
      </c>
    </row>
    <row r="67" ht="15.75" customHeight="1">
      <c r="A67" s="30">
        <f t="shared" ref="A67:C67" si="14">IF(E51&gt;0,$C$63-1,0)</f>
        <v>29</v>
      </c>
      <c r="B67" s="30">
        <f t="shared" si="14"/>
        <v>29</v>
      </c>
      <c r="C67" s="30">
        <f t="shared" si="14"/>
        <v>0</v>
      </c>
      <c r="E67" s="239"/>
      <c r="F67" s="240"/>
      <c r="G67" s="241"/>
      <c r="I67" s="239"/>
      <c r="J67" s="240"/>
      <c r="K67" s="241"/>
      <c r="M67" s="239"/>
      <c r="N67" s="240"/>
      <c r="O67" s="241"/>
      <c r="R67" s="14">
        <v>66.0</v>
      </c>
      <c r="S67" s="40">
        <v>25.8293404317888</v>
      </c>
    </row>
    <row r="68" ht="15.75" customHeight="1">
      <c r="A68" s="242" t="s">
        <v>559</v>
      </c>
      <c r="B68" s="243"/>
      <c r="C68" s="244">
        <v>2.0</v>
      </c>
      <c r="E68" s="242"/>
      <c r="F68" s="243"/>
      <c r="G68" s="244"/>
      <c r="I68" s="242"/>
      <c r="J68" s="243"/>
      <c r="K68" s="244"/>
      <c r="M68" s="242"/>
      <c r="N68" s="243"/>
      <c r="O68" s="244"/>
      <c r="R68" s="14">
        <v>67.0</v>
      </c>
      <c r="S68" s="40">
        <v>26.321072302402</v>
      </c>
    </row>
    <row r="69" ht="15.75" customHeight="1">
      <c r="A69" s="234" t="s">
        <v>519</v>
      </c>
      <c r="B69" s="30" t="s">
        <v>520</v>
      </c>
      <c r="C69" s="238" t="s">
        <v>557</v>
      </c>
      <c r="E69" s="234"/>
      <c r="F69" s="30"/>
      <c r="G69" s="238"/>
      <c r="I69" s="234"/>
      <c r="J69" s="30"/>
      <c r="K69" s="238"/>
      <c r="M69" s="234"/>
      <c r="N69" s="30"/>
      <c r="O69" s="238"/>
      <c r="R69" s="14">
        <v>68.0</v>
      </c>
      <c r="S69" s="40">
        <v>26.8128041730153</v>
      </c>
    </row>
    <row r="70" ht="15.75" customHeight="1">
      <c r="A70" s="234">
        <f t="shared" ref="A70:C70" si="15">IF(E54&gt;0,$C$63-1,0)</f>
        <v>29</v>
      </c>
      <c r="B70" s="234">
        <f t="shared" si="15"/>
        <v>0</v>
      </c>
      <c r="C70" s="234">
        <f t="shared" si="15"/>
        <v>0</v>
      </c>
      <c r="E70" s="234"/>
      <c r="F70" s="30"/>
      <c r="G70" s="238"/>
      <c r="I70" s="234"/>
      <c r="J70" s="30"/>
      <c r="K70" s="238"/>
      <c r="M70" s="234"/>
      <c r="N70" s="30"/>
      <c r="O70" s="238"/>
      <c r="R70" s="14">
        <v>69.0</v>
      </c>
      <c r="S70" s="40">
        <v>27.3045360436285</v>
      </c>
    </row>
    <row r="71" ht="15.75" customHeight="1">
      <c r="A71" s="234" t="s">
        <v>522</v>
      </c>
      <c r="B71" s="30" t="s">
        <v>523</v>
      </c>
      <c r="C71" s="238" t="s">
        <v>524</v>
      </c>
      <c r="E71" s="234"/>
      <c r="F71" s="30"/>
      <c r="G71" s="238"/>
      <c r="I71" s="234"/>
      <c r="J71" s="30"/>
      <c r="K71" s="238"/>
      <c r="M71" s="234"/>
      <c r="N71" s="30"/>
      <c r="O71" s="238"/>
      <c r="R71" s="14">
        <v>70.0</v>
      </c>
      <c r="S71" s="40">
        <v>27.7962679142417</v>
      </c>
    </row>
    <row r="72" ht="15.75" customHeight="1">
      <c r="A72" s="239">
        <f t="shared" ref="A72:C72" si="16">IF(E56&gt;0,$C$63-1,0)</f>
        <v>0</v>
      </c>
      <c r="B72" s="239">
        <f t="shared" si="16"/>
        <v>0</v>
      </c>
      <c r="C72" s="239">
        <f t="shared" si="16"/>
        <v>0</v>
      </c>
      <c r="E72" s="239"/>
      <c r="F72" s="240"/>
      <c r="G72" s="241"/>
      <c r="I72" s="239"/>
      <c r="J72" s="240"/>
      <c r="K72" s="241"/>
      <c r="M72" s="239"/>
      <c r="N72" s="240"/>
      <c r="O72" s="241"/>
      <c r="R72" s="14">
        <v>71.0</v>
      </c>
      <c r="S72" s="40">
        <v>28.2879997848549</v>
      </c>
    </row>
    <row r="73" ht="15.75" customHeight="1">
      <c r="A73" s="14"/>
      <c r="R73" s="14">
        <v>72.0</v>
      </c>
      <c r="S73" s="40">
        <v>28.7797316554681</v>
      </c>
    </row>
    <row r="74" ht="15.75" customHeight="1">
      <c r="A74" s="242"/>
      <c r="B74" s="243"/>
      <c r="C74" s="244"/>
      <c r="E74" s="242"/>
      <c r="F74" s="243"/>
      <c r="G74" s="244"/>
      <c r="I74" s="242"/>
      <c r="J74" s="243"/>
      <c r="K74" s="244"/>
      <c r="M74" s="242"/>
      <c r="N74" s="243"/>
      <c r="O74" s="244"/>
      <c r="R74" s="14">
        <v>73.0</v>
      </c>
      <c r="S74" s="40">
        <v>29.2714635260813</v>
      </c>
    </row>
    <row r="75" ht="15.75" customHeight="1">
      <c r="A75" s="234"/>
      <c r="B75" s="30"/>
      <c r="C75" s="238"/>
      <c r="E75" s="234"/>
      <c r="F75" s="30"/>
      <c r="G75" s="238"/>
      <c r="I75" s="234"/>
      <c r="J75" s="30"/>
      <c r="K75" s="238"/>
      <c r="M75" s="234"/>
      <c r="N75" s="30"/>
      <c r="O75" s="238"/>
      <c r="R75" s="14">
        <v>74.0</v>
      </c>
      <c r="S75" s="40">
        <v>29.7631953966945</v>
      </c>
    </row>
    <row r="76" ht="15.75" customHeight="1">
      <c r="A76" s="234"/>
      <c r="B76" s="30"/>
      <c r="C76" s="238"/>
      <c r="E76" s="234"/>
      <c r="F76" s="30"/>
      <c r="G76" s="238"/>
      <c r="I76" s="234"/>
      <c r="J76" s="30"/>
      <c r="K76" s="238"/>
      <c r="M76" s="234"/>
      <c r="N76" s="30"/>
      <c r="O76" s="238"/>
      <c r="R76" s="14">
        <v>75.0</v>
      </c>
      <c r="S76" s="40">
        <v>30.2549272673077</v>
      </c>
    </row>
    <row r="77" ht="15.75" customHeight="1">
      <c r="A77" s="234"/>
      <c r="B77" s="30"/>
      <c r="C77" s="238"/>
      <c r="E77" s="234"/>
      <c r="F77" s="30"/>
      <c r="G77" s="238"/>
      <c r="I77" s="234"/>
      <c r="J77" s="30"/>
      <c r="K77" s="238"/>
      <c r="M77" s="234"/>
      <c r="N77" s="30"/>
      <c r="O77" s="238"/>
      <c r="R77" s="14">
        <v>76.0</v>
      </c>
      <c r="S77" s="40">
        <v>30.746659137921</v>
      </c>
    </row>
    <row r="78" ht="15.75" customHeight="1">
      <c r="A78" s="239"/>
      <c r="B78" s="240"/>
      <c r="C78" s="241"/>
      <c r="E78" s="239"/>
      <c r="F78" s="240"/>
      <c r="G78" s="241"/>
      <c r="I78" s="239"/>
      <c r="J78" s="240"/>
      <c r="K78" s="241"/>
      <c r="M78" s="239"/>
      <c r="N78" s="240"/>
      <c r="O78" s="241"/>
      <c r="R78" s="14">
        <v>77.0</v>
      </c>
      <c r="S78" s="40">
        <v>31.2383910085342</v>
      </c>
    </row>
    <row r="79" ht="15.75" customHeight="1">
      <c r="A79" s="242"/>
      <c r="B79" s="243"/>
      <c r="C79" s="244"/>
      <c r="E79" s="242"/>
      <c r="F79" s="243"/>
      <c r="G79" s="244"/>
      <c r="I79" s="242"/>
      <c r="J79" s="243"/>
      <c r="K79" s="244"/>
      <c r="M79" s="242"/>
      <c r="N79" s="243"/>
      <c r="O79" s="244"/>
      <c r="R79" s="14">
        <v>78.0</v>
      </c>
      <c r="S79" s="40">
        <v>31.7301228791474</v>
      </c>
    </row>
    <row r="80" ht="15.75" customHeight="1">
      <c r="A80" s="234"/>
      <c r="B80" s="30"/>
      <c r="C80" s="238"/>
      <c r="E80" s="234"/>
      <c r="F80" s="30"/>
      <c r="G80" s="238"/>
      <c r="I80" s="234"/>
      <c r="J80" s="30"/>
      <c r="K80" s="238"/>
      <c r="M80" s="234"/>
      <c r="N80" s="30"/>
      <c r="O80" s="238"/>
      <c r="R80" s="14">
        <v>79.0</v>
      </c>
      <c r="S80" s="40">
        <v>32.2218547497606</v>
      </c>
    </row>
    <row r="81" ht="15.75" customHeight="1">
      <c r="A81" s="234"/>
      <c r="B81" s="30"/>
      <c r="C81" s="238"/>
      <c r="E81" s="234"/>
      <c r="F81" s="30"/>
      <c r="G81" s="238"/>
      <c r="I81" s="234"/>
      <c r="J81" s="30"/>
      <c r="K81" s="238"/>
      <c r="M81" s="234"/>
      <c r="N81" s="30"/>
      <c r="O81" s="238"/>
      <c r="R81" s="14">
        <v>80.0</v>
      </c>
      <c r="S81" s="40">
        <v>32.7135866203738</v>
      </c>
    </row>
    <row r="82" ht="15.75" customHeight="1">
      <c r="A82" s="234"/>
      <c r="B82" s="30"/>
      <c r="C82" s="238"/>
      <c r="E82" s="234"/>
      <c r="F82" s="30"/>
      <c r="G82" s="238"/>
      <c r="I82" s="234"/>
      <c r="J82" s="30"/>
      <c r="K82" s="238"/>
      <c r="M82" s="234"/>
      <c r="N82" s="30"/>
      <c r="O82" s="238"/>
      <c r="R82" s="14">
        <v>81.0</v>
      </c>
      <c r="S82" s="40">
        <v>33.205318490987</v>
      </c>
    </row>
    <row r="83" ht="15.75" customHeight="1">
      <c r="A83" s="239"/>
      <c r="B83" s="240"/>
      <c r="C83" s="241"/>
      <c r="E83" s="239"/>
      <c r="F83" s="240"/>
      <c r="G83" s="241"/>
      <c r="I83" s="239"/>
      <c r="J83" s="240"/>
      <c r="K83" s="241"/>
      <c r="M83" s="239"/>
      <c r="N83" s="240"/>
      <c r="O83" s="241"/>
      <c r="R83" s="14">
        <v>82.0</v>
      </c>
      <c r="S83" s="40">
        <v>33.6970503616002</v>
      </c>
    </row>
    <row r="84" ht="15.75" customHeight="1">
      <c r="R84" s="14">
        <v>83.0</v>
      </c>
      <c r="S84" s="40">
        <v>34.1887822322135</v>
      </c>
    </row>
    <row r="85" ht="15.75" customHeight="1">
      <c r="A85" s="242"/>
      <c r="B85" s="243"/>
      <c r="C85" s="244"/>
      <c r="E85" s="242"/>
      <c r="F85" s="243"/>
      <c r="G85" s="244"/>
      <c r="I85" s="242"/>
      <c r="J85" s="243"/>
      <c r="K85" s="244"/>
      <c r="M85" s="242"/>
      <c r="N85" s="243"/>
      <c r="O85" s="244"/>
      <c r="R85" s="14">
        <v>84.0</v>
      </c>
      <c r="S85" s="40">
        <v>34.6805141028267</v>
      </c>
    </row>
    <row r="86" ht="15.75" customHeight="1">
      <c r="A86" s="234"/>
      <c r="B86" s="30"/>
      <c r="C86" s="238"/>
      <c r="E86" s="234"/>
      <c r="F86" s="30"/>
      <c r="G86" s="238"/>
      <c r="I86" s="234"/>
      <c r="J86" s="30"/>
      <c r="K86" s="238"/>
      <c r="M86" s="234"/>
      <c r="N86" s="30"/>
      <c r="O86" s="238"/>
      <c r="R86" s="14">
        <v>85.0</v>
      </c>
      <c r="S86" s="40">
        <v>35.1722459734399</v>
      </c>
    </row>
    <row r="87" ht="15.75" customHeight="1">
      <c r="A87" s="234"/>
      <c r="B87" s="30"/>
      <c r="C87" s="238"/>
      <c r="E87" s="234"/>
      <c r="F87" s="30"/>
      <c r="G87" s="238"/>
      <c r="I87" s="234"/>
      <c r="J87" s="30"/>
      <c r="K87" s="238"/>
      <c r="M87" s="234"/>
      <c r="N87" s="30"/>
      <c r="O87" s="238"/>
      <c r="R87" s="14">
        <v>86.0</v>
      </c>
      <c r="S87" s="40">
        <v>35.6639778440531</v>
      </c>
    </row>
    <row r="88" ht="15.75" customHeight="1">
      <c r="A88" s="234"/>
      <c r="B88" s="30"/>
      <c r="C88" s="238"/>
      <c r="E88" s="234"/>
      <c r="F88" s="30"/>
      <c r="G88" s="238"/>
      <c r="I88" s="234"/>
      <c r="J88" s="30"/>
      <c r="K88" s="238"/>
      <c r="M88" s="234"/>
      <c r="N88" s="30"/>
      <c r="O88" s="238"/>
      <c r="R88" s="14">
        <v>87.0</v>
      </c>
      <c r="S88" s="40">
        <v>36.1557097146663</v>
      </c>
    </row>
    <row r="89" ht="15.75" customHeight="1">
      <c r="A89" s="239"/>
      <c r="B89" s="240"/>
      <c r="C89" s="241"/>
      <c r="E89" s="239"/>
      <c r="F89" s="240"/>
      <c r="G89" s="241"/>
      <c r="I89" s="239"/>
      <c r="J89" s="240"/>
      <c r="K89" s="241"/>
      <c r="M89" s="239"/>
      <c r="N89" s="240"/>
      <c r="O89" s="241"/>
      <c r="R89" s="14">
        <v>88.0</v>
      </c>
      <c r="S89" s="40">
        <v>36.6474415852795</v>
      </c>
    </row>
    <row r="90" ht="15.75" customHeight="1">
      <c r="A90" s="242"/>
      <c r="B90" s="243"/>
      <c r="C90" s="244"/>
      <c r="E90" s="242"/>
      <c r="F90" s="243"/>
      <c r="G90" s="244"/>
      <c r="I90" s="242"/>
      <c r="J90" s="243"/>
      <c r="K90" s="244"/>
      <c r="M90" s="242"/>
      <c r="N90" s="243"/>
      <c r="O90" s="244"/>
      <c r="R90" s="14">
        <v>89.0</v>
      </c>
      <c r="S90" s="40">
        <v>37.1391734558927</v>
      </c>
    </row>
    <row r="91" ht="15.75" customHeight="1">
      <c r="A91" s="234"/>
      <c r="B91" s="30"/>
      <c r="C91" s="238"/>
      <c r="E91" s="234"/>
      <c r="F91" s="30"/>
      <c r="G91" s="238"/>
      <c r="I91" s="234"/>
      <c r="J91" s="30"/>
      <c r="K91" s="238"/>
      <c r="M91" s="234"/>
      <c r="N91" s="30"/>
      <c r="O91" s="238"/>
      <c r="R91" s="14">
        <v>90.0</v>
      </c>
      <c r="S91" s="40">
        <v>37.6309053265059</v>
      </c>
    </row>
    <row r="92" ht="15.75" customHeight="1">
      <c r="A92" s="234"/>
      <c r="B92" s="30"/>
      <c r="C92" s="238"/>
      <c r="E92" s="234"/>
      <c r="F92" s="30"/>
      <c r="G92" s="238"/>
      <c r="I92" s="234"/>
      <c r="J92" s="30"/>
      <c r="K92" s="238"/>
      <c r="M92" s="234"/>
      <c r="N92" s="30"/>
      <c r="O92" s="238"/>
      <c r="R92" s="14">
        <v>91.0</v>
      </c>
      <c r="S92" s="40">
        <v>38.1226371971192</v>
      </c>
    </row>
    <row r="93" ht="15.75" customHeight="1">
      <c r="A93" s="234"/>
      <c r="B93" s="30"/>
      <c r="C93" s="238"/>
      <c r="E93" s="234"/>
      <c r="F93" s="30"/>
      <c r="G93" s="238"/>
      <c r="I93" s="234"/>
      <c r="J93" s="30"/>
      <c r="K93" s="238"/>
      <c r="M93" s="234"/>
      <c r="N93" s="30"/>
      <c r="O93" s="238"/>
      <c r="R93" s="14">
        <v>92.0</v>
      </c>
      <c r="S93" s="40">
        <v>38.6143690677324</v>
      </c>
    </row>
    <row r="94" ht="15.75" customHeight="1">
      <c r="A94" s="239"/>
      <c r="B94" s="240"/>
      <c r="C94" s="241"/>
      <c r="E94" s="239"/>
      <c r="F94" s="240"/>
      <c r="G94" s="241"/>
      <c r="I94" s="239"/>
      <c r="J94" s="240"/>
      <c r="K94" s="241"/>
      <c r="M94" s="239"/>
      <c r="N94" s="240"/>
      <c r="O94" s="241"/>
      <c r="R94" s="14">
        <v>93.0</v>
      </c>
      <c r="S94" s="40">
        <v>39.1061009383456</v>
      </c>
    </row>
    <row r="95" ht="15.75" customHeight="1">
      <c r="R95" s="14">
        <v>94.0</v>
      </c>
      <c r="S95" s="40">
        <v>39.5978328089588</v>
      </c>
    </row>
    <row r="96" ht="15.75" customHeight="1">
      <c r="A96" s="242"/>
      <c r="B96" s="243"/>
      <c r="C96" s="244"/>
      <c r="E96" s="242"/>
      <c r="F96" s="243"/>
      <c r="G96" s="244"/>
      <c r="I96" s="242"/>
      <c r="J96" s="243"/>
      <c r="K96" s="244"/>
      <c r="M96" s="242"/>
      <c r="N96" s="243"/>
      <c r="O96" s="244"/>
      <c r="R96" s="14">
        <v>95.0</v>
      </c>
      <c r="S96" s="40">
        <v>40.089564679572</v>
      </c>
    </row>
    <row r="97" ht="15.75" customHeight="1">
      <c r="A97" s="234"/>
      <c r="B97" s="30"/>
      <c r="C97" s="238"/>
      <c r="E97" s="234"/>
      <c r="F97" s="30"/>
      <c r="G97" s="238"/>
      <c r="I97" s="234"/>
      <c r="J97" s="30"/>
      <c r="K97" s="238"/>
      <c r="M97" s="234"/>
      <c r="N97" s="30"/>
      <c r="O97" s="238"/>
      <c r="R97" s="14">
        <v>96.0</v>
      </c>
      <c r="S97" s="40">
        <v>40.5812965501852</v>
      </c>
    </row>
    <row r="98" ht="15.75" customHeight="1">
      <c r="A98" s="234"/>
      <c r="B98" s="30"/>
      <c r="C98" s="238"/>
      <c r="E98" s="234"/>
      <c r="F98" s="30"/>
      <c r="G98" s="238"/>
      <c r="I98" s="234"/>
      <c r="J98" s="30"/>
      <c r="K98" s="238"/>
      <c r="M98" s="234"/>
      <c r="N98" s="30"/>
      <c r="O98" s="238"/>
      <c r="R98" s="14">
        <v>97.0</v>
      </c>
      <c r="S98" s="40">
        <v>41.0730284207984</v>
      </c>
    </row>
    <row r="99" ht="15.75" customHeight="1">
      <c r="A99" s="234"/>
      <c r="B99" s="30"/>
      <c r="C99" s="238"/>
      <c r="E99" s="234"/>
      <c r="F99" s="30"/>
      <c r="G99" s="238"/>
      <c r="I99" s="234"/>
      <c r="J99" s="30"/>
      <c r="K99" s="238"/>
      <c r="M99" s="234"/>
      <c r="N99" s="30"/>
      <c r="O99" s="238"/>
      <c r="R99" s="14">
        <v>98.0</v>
      </c>
      <c r="S99" s="40">
        <v>41.5647602914116</v>
      </c>
    </row>
    <row r="100" ht="15.75" customHeight="1">
      <c r="A100" s="239"/>
      <c r="B100" s="240"/>
      <c r="C100" s="241"/>
      <c r="E100" s="239"/>
      <c r="F100" s="240"/>
      <c r="G100" s="241"/>
      <c r="I100" s="239"/>
      <c r="J100" s="240"/>
      <c r="K100" s="241"/>
      <c r="M100" s="239"/>
      <c r="N100" s="240"/>
      <c r="O100" s="241"/>
      <c r="R100" s="14">
        <v>99.0</v>
      </c>
      <c r="S100" s="40">
        <v>42.0564921620249</v>
      </c>
    </row>
    <row r="101" ht="15.75" customHeight="1">
      <c r="A101" s="242"/>
      <c r="B101" s="243"/>
      <c r="C101" s="244"/>
      <c r="E101" s="242"/>
      <c r="F101" s="243"/>
      <c r="G101" s="244"/>
      <c r="I101" s="242"/>
      <c r="J101" s="243"/>
      <c r="K101" s="244"/>
      <c r="M101" s="242"/>
      <c r="N101" s="243"/>
      <c r="O101" s="244"/>
      <c r="Q101" s="40"/>
      <c r="R101" s="14">
        <v>100.0</v>
      </c>
      <c r="S101" s="14">
        <v>43.0</v>
      </c>
    </row>
    <row r="102" ht="15.75" customHeight="1">
      <c r="A102" s="234"/>
      <c r="B102" s="30"/>
      <c r="C102" s="238"/>
      <c r="E102" s="234"/>
      <c r="F102" s="30"/>
      <c r="G102" s="238"/>
      <c r="I102" s="234"/>
      <c r="J102" s="30"/>
      <c r="K102" s="238"/>
      <c r="M102" s="234"/>
      <c r="N102" s="30"/>
      <c r="O102" s="238"/>
      <c r="Q102" s="40"/>
    </row>
    <row r="103" ht="15.75" customHeight="1">
      <c r="A103" s="234"/>
      <c r="B103" s="30"/>
      <c r="C103" s="238"/>
      <c r="E103" s="234"/>
      <c r="F103" s="30"/>
      <c r="G103" s="238"/>
      <c r="I103" s="234"/>
      <c r="J103" s="30"/>
      <c r="K103" s="238"/>
      <c r="M103" s="234"/>
      <c r="N103" s="30"/>
      <c r="O103" s="238"/>
      <c r="Q103" s="40"/>
    </row>
    <row r="104" ht="15.75" customHeight="1">
      <c r="A104" s="234"/>
      <c r="B104" s="30"/>
      <c r="C104" s="238"/>
      <c r="E104" s="234"/>
      <c r="F104" s="30"/>
      <c r="G104" s="238"/>
      <c r="I104" s="234"/>
      <c r="J104" s="30"/>
      <c r="K104" s="238"/>
      <c r="M104" s="234"/>
      <c r="N104" s="30"/>
      <c r="O104" s="238"/>
      <c r="Q104" s="40"/>
    </row>
    <row r="105" ht="15.75" customHeight="1">
      <c r="A105" s="239"/>
      <c r="B105" s="240"/>
      <c r="C105" s="241"/>
      <c r="E105" s="239"/>
      <c r="F105" s="240"/>
      <c r="G105" s="241"/>
      <c r="I105" s="239"/>
      <c r="J105" s="240"/>
      <c r="K105" s="241"/>
      <c r="M105" s="239"/>
      <c r="N105" s="240"/>
      <c r="O105" s="241"/>
      <c r="Q105" s="40"/>
    </row>
    <row r="106" ht="15.75" customHeight="1">
      <c r="Q106" s="40"/>
    </row>
    <row r="107" ht="15.75" customHeight="1">
      <c r="A107" s="242"/>
      <c r="B107" s="243"/>
      <c r="C107" s="244"/>
      <c r="E107" s="242"/>
      <c r="F107" s="243"/>
      <c r="G107" s="244"/>
      <c r="I107" s="242"/>
      <c r="J107" s="243"/>
      <c r="K107" s="244"/>
      <c r="M107" s="242"/>
      <c r="N107" s="243"/>
      <c r="O107" s="244"/>
      <c r="Q107" s="40"/>
    </row>
    <row r="108" ht="15.75" customHeight="1">
      <c r="A108" s="234"/>
      <c r="B108" s="30"/>
      <c r="C108" s="238"/>
      <c r="E108" s="234"/>
      <c r="F108" s="30"/>
      <c r="G108" s="238"/>
      <c r="I108" s="234"/>
      <c r="J108" s="30"/>
      <c r="K108" s="238"/>
      <c r="M108" s="234"/>
      <c r="N108" s="30"/>
      <c r="O108" s="238"/>
      <c r="Q108" s="40"/>
    </row>
    <row r="109" ht="15.75" customHeight="1">
      <c r="A109" s="234"/>
      <c r="B109" s="30"/>
      <c r="C109" s="238"/>
      <c r="E109" s="234"/>
      <c r="F109" s="30"/>
      <c r="G109" s="238"/>
      <c r="I109" s="234"/>
      <c r="J109" s="30"/>
      <c r="K109" s="238"/>
      <c r="M109" s="234"/>
      <c r="N109" s="30"/>
      <c r="O109" s="238"/>
      <c r="Q109" s="40"/>
    </row>
    <row r="110" ht="15.75" customHeight="1">
      <c r="A110" s="234"/>
      <c r="B110" s="30"/>
      <c r="C110" s="238"/>
      <c r="E110" s="234"/>
      <c r="F110" s="30"/>
      <c r="G110" s="238"/>
      <c r="I110" s="234"/>
      <c r="J110" s="30"/>
      <c r="K110" s="238"/>
      <c r="M110" s="234"/>
      <c r="N110" s="30"/>
      <c r="O110" s="238"/>
      <c r="Q110" s="40"/>
    </row>
    <row r="111" ht="15.75" customHeight="1">
      <c r="A111" s="239"/>
      <c r="B111" s="240"/>
      <c r="C111" s="241"/>
      <c r="E111" s="239"/>
      <c r="F111" s="240"/>
      <c r="G111" s="241"/>
      <c r="I111" s="239"/>
      <c r="J111" s="240"/>
      <c r="K111" s="241"/>
      <c r="M111" s="239"/>
      <c r="N111" s="240"/>
      <c r="O111" s="241"/>
      <c r="Q111" s="40"/>
    </row>
    <row r="112" ht="15.75" customHeight="1">
      <c r="A112" s="242"/>
      <c r="B112" s="243"/>
      <c r="C112" s="244"/>
      <c r="E112" s="242"/>
      <c r="F112" s="243"/>
      <c r="G112" s="244"/>
      <c r="I112" s="242"/>
      <c r="J112" s="243"/>
      <c r="K112" s="244"/>
      <c r="M112" s="242"/>
      <c r="N112" s="243"/>
      <c r="O112" s="244"/>
      <c r="Q112" s="40"/>
    </row>
    <row r="113" ht="15.75" customHeight="1">
      <c r="A113" s="234"/>
      <c r="B113" s="30"/>
      <c r="C113" s="238"/>
      <c r="E113" s="234"/>
      <c r="F113" s="30"/>
      <c r="G113" s="238"/>
      <c r="I113" s="234"/>
      <c r="J113" s="30"/>
      <c r="K113" s="238"/>
      <c r="M113" s="234"/>
      <c r="N113" s="30"/>
      <c r="O113" s="238"/>
      <c r="Q113" s="40"/>
    </row>
    <row r="114" ht="15.75" customHeight="1">
      <c r="A114" s="234"/>
      <c r="B114" s="30"/>
      <c r="C114" s="238"/>
      <c r="E114" s="234"/>
      <c r="F114" s="30"/>
      <c r="G114" s="238"/>
      <c r="I114" s="234"/>
      <c r="J114" s="30"/>
      <c r="K114" s="238"/>
      <c r="M114" s="234"/>
      <c r="N114" s="30"/>
      <c r="O114" s="238"/>
      <c r="Q114" s="40"/>
    </row>
    <row r="115" ht="15.75" customHeight="1">
      <c r="A115" s="234"/>
      <c r="B115" s="30"/>
      <c r="C115" s="238"/>
      <c r="E115" s="234"/>
      <c r="F115" s="30"/>
      <c r="G115" s="238"/>
      <c r="I115" s="234"/>
      <c r="J115" s="30"/>
      <c r="K115" s="238"/>
      <c r="M115" s="234"/>
      <c r="N115" s="30"/>
      <c r="O115" s="238"/>
      <c r="Q115" s="40"/>
    </row>
    <row r="116" ht="15.75" customHeight="1">
      <c r="A116" s="239"/>
      <c r="B116" s="240"/>
      <c r="C116" s="241"/>
      <c r="E116" s="239"/>
      <c r="F116" s="240"/>
      <c r="G116" s="241"/>
      <c r="I116" s="239"/>
      <c r="J116" s="240"/>
      <c r="K116" s="241"/>
      <c r="M116" s="239"/>
      <c r="N116" s="240"/>
      <c r="O116" s="241"/>
      <c r="Q116" s="40"/>
    </row>
    <row r="117" ht="15.75" customHeight="1">
      <c r="Q117" s="40"/>
    </row>
    <row r="118" ht="15.75" customHeight="1">
      <c r="A118" s="242"/>
      <c r="B118" s="243"/>
      <c r="C118" s="244"/>
      <c r="E118" s="242"/>
      <c r="F118" s="243"/>
      <c r="G118" s="244"/>
      <c r="I118" s="242"/>
      <c r="J118" s="243"/>
      <c r="K118" s="244"/>
      <c r="M118" s="242"/>
      <c r="N118" s="243"/>
      <c r="O118" s="244"/>
      <c r="Q118" s="40"/>
    </row>
    <row r="119" ht="15.75" customHeight="1">
      <c r="A119" s="234"/>
      <c r="B119" s="30"/>
      <c r="C119" s="238"/>
      <c r="E119" s="234"/>
      <c r="F119" s="30"/>
      <c r="G119" s="238"/>
      <c r="I119" s="234"/>
      <c r="J119" s="30"/>
      <c r="K119" s="238"/>
      <c r="M119" s="234"/>
      <c r="N119" s="30"/>
      <c r="O119" s="238"/>
      <c r="Q119" s="40"/>
    </row>
    <row r="120" ht="15.75" customHeight="1">
      <c r="A120" s="234"/>
      <c r="B120" s="30"/>
      <c r="C120" s="238"/>
      <c r="E120" s="234"/>
      <c r="F120" s="30"/>
      <c r="G120" s="238"/>
      <c r="I120" s="234"/>
      <c r="J120" s="30"/>
      <c r="K120" s="238"/>
      <c r="M120" s="234"/>
      <c r="N120" s="30"/>
      <c r="O120" s="238"/>
      <c r="Q120" s="40"/>
    </row>
    <row r="121" ht="15.75" customHeight="1">
      <c r="A121" s="234"/>
      <c r="B121" s="30"/>
      <c r="C121" s="238"/>
      <c r="E121" s="234"/>
      <c r="F121" s="30"/>
      <c r="G121" s="238"/>
      <c r="I121" s="234"/>
      <c r="J121" s="30"/>
      <c r="K121" s="238"/>
      <c r="M121" s="234"/>
      <c r="N121" s="30"/>
      <c r="O121" s="238"/>
      <c r="Q121" s="40"/>
    </row>
    <row r="122" ht="15.75" customHeight="1">
      <c r="A122" s="239"/>
      <c r="B122" s="240"/>
      <c r="C122" s="241"/>
      <c r="E122" s="239"/>
      <c r="F122" s="240"/>
      <c r="G122" s="241"/>
      <c r="I122" s="239"/>
      <c r="J122" s="240"/>
      <c r="K122" s="241"/>
      <c r="M122" s="239"/>
      <c r="N122" s="240"/>
      <c r="O122" s="241"/>
      <c r="Q122" s="40"/>
    </row>
    <row r="123" ht="15.75" customHeight="1">
      <c r="A123" s="242"/>
      <c r="B123" s="243"/>
      <c r="C123" s="244"/>
      <c r="E123" s="242"/>
      <c r="F123" s="243"/>
      <c r="G123" s="244"/>
      <c r="I123" s="242"/>
      <c r="J123" s="243"/>
      <c r="K123" s="244"/>
      <c r="M123" s="242"/>
      <c r="N123" s="243"/>
      <c r="O123" s="244"/>
      <c r="Q123" s="40"/>
    </row>
    <row r="124" ht="15.75" customHeight="1">
      <c r="A124" s="234"/>
      <c r="B124" s="30"/>
      <c r="C124" s="238"/>
      <c r="E124" s="234"/>
      <c r="F124" s="30"/>
      <c r="G124" s="238"/>
      <c r="I124" s="234"/>
      <c r="J124" s="30"/>
      <c r="K124" s="238"/>
      <c r="M124" s="234"/>
      <c r="N124" s="30"/>
      <c r="O124" s="238"/>
      <c r="Q124" s="40"/>
    </row>
    <row r="125" ht="15.75" customHeight="1">
      <c r="A125" s="234"/>
      <c r="B125" s="30"/>
      <c r="C125" s="238"/>
      <c r="E125" s="234"/>
      <c r="F125" s="30"/>
      <c r="G125" s="238"/>
      <c r="I125" s="234"/>
      <c r="J125" s="30"/>
      <c r="K125" s="238"/>
      <c r="M125" s="234"/>
      <c r="N125" s="30"/>
      <c r="O125" s="238"/>
      <c r="Q125" s="40"/>
    </row>
    <row r="126" ht="15.75" customHeight="1">
      <c r="A126" s="234"/>
      <c r="B126" s="30"/>
      <c r="C126" s="238"/>
      <c r="E126" s="234"/>
      <c r="F126" s="30"/>
      <c r="G126" s="238"/>
      <c r="I126" s="234"/>
      <c r="J126" s="30"/>
      <c r="K126" s="238"/>
      <c r="M126" s="234"/>
      <c r="N126" s="30"/>
      <c r="O126" s="238"/>
      <c r="Q126" s="40"/>
    </row>
    <row r="127" ht="15.75" customHeight="1">
      <c r="A127" s="239"/>
      <c r="B127" s="240"/>
      <c r="C127" s="241"/>
      <c r="E127" s="239"/>
      <c r="F127" s="240"/>
      <c r="G127" s="241"/>
      <c r="I127" s="239"/>
      <c r="J127" s="240"/>
      <c r="K127" s="241"/>
      <c r="M127" s="239"/>
      <c r="N127" s="240"/>
      <c r="O127" s="241"/>
      <c r="Q127" s="40"/>
    </row>
    <row r="128" ht="15.75" customHeight="1">
      <c r="Q128" s="40"/>
    </row>
    <row r="129" ht="15.75" customHeight="1">
      <c r="A129" s="242"/>
      <c r="B129" s="243"/>
      <c r="C129" s="244"/>
      <c r="E129" s="242"/>
      <c r="F129" s="243"/>
      <c r="G129" s="244"/>
      <c r="I129" s="242"/>
      <c r="J129" s="243"/>
      <c r="K129" s="244"/>
      <c r="M129" s="242"/>
      <c r="N129" s="243"/>
      <c r="O129" s="244"/>
      <c r="Q129" s="40"/>
    </row>
    <row r="130" ht="15.75" customHeight="1">
      <c r="A130" s="234"/>
      <c r="B130" s="30"/>
      <c r="C130" s="238"/>
      <c r="E130" s="234"/>
      <c r="F130" s="30"/>
      <c r="G130" s="238"/>
      <c r="I130" s="234"/>
      <c r="J130" s="30"/>
      <c r="K130" s="238"/>
      <c r="M130" s="234"/>
      <c r="N130" s="30"/>
      <c r="O130" s="238"/>
      <c r="Q130" s="40"/>
    </row>
    <row r="131" ht="15.75" customHeight="1">
      <c r="A131" s="234"/>
      <c r="B131" s="30"/>
      <c r="C131" s="238"/>
      <c r="E131" s="234"/>
      <c r="F131" s="30"/>
      <c r="G131" s="238"/>
      <c r="I131" s="234"/>
      <c r="J131" s="30"/>
      <c r="K131" s="238"/>
      <c r="M131" s="234"/>
      <c r="N131" s="30"/>
      <c r="O131" s="238"/>
      <c r="Q131" s="40"/>
    </row>
    <row r="132" ht="15.75" customHeight="1">
      <c r="A132" s="234"/>
      <c r="B132" s="30"/>
      <c r="C132" s="238"/>
      <c r="E132" s="234"/>
      <c r="F132" s="30"/>
      <c r="G132" s="238"/>
      <c r="I132" s="234"/>
      <c r="J132" s="30"/>
      <c r="K132" s="238"/>
      <c r="M132" s="234"/>
      <c r="N132" s="30"/>
      <c r="O132" s="238"/>
      <c r="Q132" s="40"/>
    </row>
    <row r="133" ht="15.75" customHeight="1">
      <c r="A133" s="239"/>
      <c r="B133" s="240"/>
      <c r="C133" s="241"/>
      <c r="E133" s="239"/>
      <c r="F133" s="240"/>
      <c r="G133" s="241"/>
      <c r="I133" s="239"/>
      <c r="J133" s="240"/>
      <c r="K133" s="241"/>
      <c r="M133" s="239"/>
      <c r="N133" s="240"/>
      <c r="O133" s="241"/>
      <c r="Q133" s="40"/>
    </row>
    <row r="134" ht="15.75" customHeight="1">
      <c r="A134" s="242"/>
      <c r="B134" s="243"/>
      <c r="C134" s="244"/>
      <c r="E134" s="242"/>
      <c r="F134" s="243"/>
      <c r="G134" s="244"/>
      <c r="I134" s="242"/>
      <c r="J134" s="243"/>
      <c r="K134" s="244"/>
      <c r="M134" s="242"/>
      <c r="N134" s="243"/>
      <c r="O134" s="244"/>
      <c r="Q134" s="40"/>
    </row>
    <row r="135" ht="15.75" customHeight="1">
      <c r="A135" s="234"/>
      <c r="B135" s="30"/>
      <c r="C135" s="238"/>
      <c r="E135" s="234"/>
      <c r="F135" s="30"/>
      <c r="G135" s="238"/>
      <c r="I135" s="234"/>
      <c r="J135" s="30"/>
      <c r="K135" s="238"/>
      <c r="M135" s="234"/>
      <c r="N135" s="30"/>
      <c r="O135" s="238"/>
      <c r="Q135" s="40"/>
    </row>
    <row r="136" ht="15.75" customHeight="1">
      <c r="A136" s="234"/>
      <c r="B136" s="30"/>
      <c r="C136" s="238"/>
      <c r="E136" s="234"/>
      <c r="F136" s="30"/>
      <c r="G136" s="238"/>
      <c r="I136" s="234"/>
      <c r="J136" s="30"/>
      <c r="K136" s="238"/>
      <c r="M136" s="234"/>
      <c r="N136" s="30"/>
      <c r="O136" s="238"/>
      <c r="Q136" s="40"/>
    </row>
    <row r="137" ht="15.75" customHeight="1">
      <c r="A137" s="234"/>
      <c r="B137" s="30"/>
      <c r="C137" s="238"/>
      <c r="E137" s="234"/>
      <c r="F137" s="30"/>
      <c r="G137" s="238"/>
      <c r="I137" s="234"/>
      <c r="J137" s="30"/>
      <c r="K137" s="238"/>
      <c r="M137" s="234"/>
      <c r="N137" s="30"/>
      <c r="O137" s="238"/>
      <c r="Q137" s="40"/>
    </row>
    <row r="138" ht="15.75" customHeight="1">
      <c r="A138" s="239"/>
      <c r="B138" s="240"/>
      <c r="C138" s="241"/>
      <c r="E138" s="239"/>
      <c r="F138" s="240"/>
      <c r="G138" s="241"/>
      <c r="I138" s="239"/>
      <c r="J138" s="240"/>
      <c r="K138" s="241"/>
      <c r="M138" s="239"/>
      <c r="N138" s="240"/>
      <c r="O138" s="241"/>
      <c r="Q138" s="40"/>
    </row>
    <row r="139" ht="15.75" customHeight="1">
      <c r="Q139" s="40"/>
    </row>
    <row r="140" ht="15.75" customHeight="1">
      <c r="A140" s="242"/>
      <c r="B140" s="243"/>
      <c r="C140" s="244"/>
      <c r="E140" s="242"/>
      <c r="F140" s="243"/>
      <c r="G140" s="244"/>
      <c r="Q140" s="40"/>
    </row>
    <row r="141" ht="15.75" customHeight="1">
      <c r="A141" s="234"/>
      <c r="B141" s="30"/>
      <c r="C141" s="238"/>
      <c r="E141" s="234"/>
      <c r="F141" s="30"/>
      <c r="G141" s="238"/>
      <c r="I141" s="30"/>
      <c r="J141" s="30"/>
      <c r="K141" s="30"/>
      <c r="M141" s="30"/>
      <c r="N141" s="30"/>
      <c r="O141" s="30"/>
      <c r="Q141" s="40"/>
    </row>
    <row r="142" ht="15.75" customHeight="1">
      <c r="A142" s="234"/>
      <c r="B142" s="30"/>
      <c r="C142" s="238"/>
      <c r="E142" s="234"/>
      <c r="F142" s="30"/>
      <c r="G142" s="238"/>
      <c r="I142" s="30"/>
      <c r="J142" s="30"/>
      <c r="K142" s="30"/>
      <c r="M142" s="30"/>
      <c r="N142" s="30"/>
      <c r="O142" s="30"/>
      <c r="Q142" s="40"/>
    </row>
    <row r="143" ht="15.75" customHeight="1">
      <c r="A143" s="234"/>
      <c r="B143" s="30"/>
      <c r="C143" s="238"/>
      <c r="E143" s="234"/>
      <c r="F143" s="30"/>
      <c r="G143" s="238"/>
      <c r="I143" s="30"/>
      <c r="J143" s="30"/>
      <c r="K143" s="30"/>
      <c r="M143" s="30"/>
      <c r="N143" s="30"/>
      <c r="O143" s="30"/>
      <c r="Q143" s="40"/>
    </row>
    <row r="144" ht="15.75" customHeight="1">
      <c r="A144" s="239"/>
      <c r="B144" s="240"/>
      <c r="C144" s="241"/>
      <c r="E144" s="239"/>
      <c r="F144" s="240"/>
      <c r="G144" s="241"/>
      <c r="I144" s="30"/>
      <c r="J144" s="30"/>
      <c r="K144" s="30"/>
      <c r="M144" s="30"/>
      <c r="N144" s="30"/>
      <c r="O144" s="30"/>
      <c r="Q144" s="40"/>
    </row>
    <row r="145" ht="15.75" customHeight="1">
      <c r="A145" s="242"/>
      <c r="B145" s="243"/>
      <c r="C145" s="244"/>
      <c r="E145" s="242"/>
      <c r="F145" s="243"/>
      <c r="G145" s="244"/>
      <c r="Q145" s="40"/>
    </row>
    <row r="146" ht="15.75" customHeight="1">
      <c r="A146" s="234"/>
      <c r="B146" s="30"/>
      <c r="C146" s="238"/>
      <c r="E146" s="234"/>
      <c r="F146" s="30"/>
      <c r="G146" s="238"/>
      <c r="I146" s="30"/>
      <c r="J146" s="30"/>
      <c r="K146" s="30"/>
      <c r="M146" s="30"/>
      <c r="N146" s="30"/>
      <c r="O146" s="30"/>
      <c r="Q146" s="40"/>
    </row>
    <row r="147" ht="15.75" customHeight="1">
      <c r="A147" s="234"/>
      <c r="B147" s="30"/>
      <c r="C147" s="238"/>
      <c r="E147" s="234"/>
      <c r="F147" s="30"/>
      <c r="G147" s="238"/>
      <c r="I147" s="30"/>
      <c r="J147" s="30"/>
      <c r="K147" s="30"/>
      <c r="M147" s="30"/>
      <c r="N147" s="30"/>
      <c r="O147" s="30"/>
      <c r="Q147" s="40"/>
    </row>
    <row r="148" ht="15.75" customHeight="1">
      <c r="A148" s="234"/>
      <c r="B148" s="30"/>
      <c r="C148" s="238"/>
      <c r="E148" s="234"/>
      <c r="F148" s="30"/>
      <c r="G148" s="238"/>
      <c r="I148" s="30"/>
      <c r="J148" s="30"/>
      <c r="K148" s="30"/>
      <c r="M148" s="30"/>
      <c r="N148" s="30"/>
      <c r="O148" s="30"/>
      <c r="Q148" s="40"/>
    </row>
    <row r="149" ht="15.75" customHeight="1">
      <c r="A149" s="239"/>
      <c r="B149" s="240"/>
      <c r="C149" s="241"/>
      <c r="E149" s="239"/>
      <c r="F149" s="240"/>
      <c r="G149" s="241"/>
      <c r="I149" s="30"/>
      <c r="J149" s="30"/>
      <c r="K149" s="30"/>
      <c r="M149" s="30"/>
      <c r="N149" s="30"/>
      <c r="O149" s="30"/>
      <c r="Q149" s="40"/>
    </row>
    <row r="150" ht="15.75" customHeight="1">
      <c r="Q150" s="40"/>
    </row>
    <row r="151" ht="15.75" customHeight="1">
      <c r="Q151" s="40"/>
    </row>
    <row r="152" ht="15.75" customHeight="1">
      <c r="Q152" s="40"/>
    </row>
    <row r="153" ht="15.75" customHeight="1">
      <c r="Q153" s="40"/>
    </row>
    <row r="154" ht="15.75" customHeight="1">
      <c r="Q154" s="40"/>
    </row>
    <row r="155" ht="15.75" customHeight="1">
      <c r="Q155" s="40"/>
    </row>
    <row r="156" ht="15.75" customHeight="1">
      <c r="Q156" s="40"/>
    </row>
    <row r="157" ht="15.75" customHeight="1">
      <c r="Q157" s="40"/>
    </row>
    <row r="158" ht="15.75" customHeight="1">
      <c r="Q158" s="40"/>
    </row>
    <row r="159" ht="15.75" customHeight="1">
      <c r="Q159" s="40"/>
    </row>
    <row r="160" ht="15.75" customHeight="1">
      <c r="Q160" s="40"/>
    </row>
    <row r="161" ht="15.75" customHeight="1">
      <c r="Q161" s="40"/>
    </row>
    <row r="162" ht="15.75" customHeight="1">
      <c r="Q162" s="40"/>
    </row>
    <row r="163" ht="15.75" customHeight="1">
      <c r="Q163" s="40"/>
    </row>
    <row r="164" ht="15.75" customHeight="1">
      <c r="Q164" s="40"/>
    </row>
    <row r="165" ht="15.75" customHeight="1">
      <c r="Q165" s="40"/>
    </row>
    <row r="166" ht="15.75" customHeight="1">
      <c r="Q166" s="40"/>
    </row>
    <row r="167" ht="15.75" customHeight="1">
      <c r="Q167" s="40"/>
    </row>
    <row r="168" ht="15.75" customHeight="1">
      <c r="Q168" s="40"/>
    </row>
    <row r="169" ht="15.75" customHeight="1">
      <c r="Q169" s="40"/>
    </row>
    <row r="170" ht="15.75" customHeight="1">
      <c r="Q170" s="40"/>
    </row>
    <row r="171" ht="15.75" customHeight="1">
      <c r="Q171" s="40"/>
    </row>
    <row r="172" ht="15.75" customHeight="1">
      <c r="Q172" s="40"/>
    </row>
    <row r="173" ht="15.75" customHeight="1">
      <c r="Q173" s="40"/>
    </row>
    <row r="174" ht="15.75" customHeight="1">
      <c r="Q174" s="40"/>
    </row>
    <row r="175" ht="15.75" customHeight="1">
      <c r="Q175" s="40"/>
    </row>
    <row r="176" ht="15.75" customHeight="1">
      <c r="Q176" s="40"/>
    </row>
    <row r="177" ht="15.75" customHeight="1">
      <c r="Q177" s="40"/>
    </row>
    <row r="178" ht="15.75" customHeight="1">
      <c r="Q178" s="40"/>
    </row>
    <row r="179" ht="15.75" customHeight="1">
      <c r="Q179" s="40"/>
    </row>
    <row r="180" ht="15.75" customHeight="1">
      <c r="Q180" s="40"/>
    </row>
    <row r="181" ht="15.75" customHeight="1">
      <c r="Q181" s="40"/>
    </row>
    <row r="182" ht="15.75" customHeight="1">
      <c r="Q182" s="40"/>
    </row>
    <row r="183" ht="15.75" customHeight="1">
      <c r="Q183" s="40"/>
    </row>
    <row r="184" ht="15.75" customHeight="1">
      <c r="Q184" s="40"/>
    </row>
    <row r="185" ht="15.75" customHeight="1">
      <c r="Q185" s="40"/>
    </row>
    <row r="186" ht="15.75" customHeight="1">
      <c r="Q186" s="40"/>
    </row>
    <row r="187" ht="15.75" customHeight="1">
      <c r="Q187" s="40"/>
    </row>
    <row r="188" ht="15.75" customHeight="1">
      <c r="Q188" s="40"/>
    </row>
    <row r="189" ht="15.75" customHeight="1">
      <c r="Q189" s="40"/>
    </row>
    <row r="190" ht="15.75" customHeight="1">
      <c r="Q190" s="40"/>
    </row>
    <row r="191" ht="15.75" customHeight="1">
      <c r="Q191" s="40"/>
    </row>
    <row r="192" ht="15.75" customHeight="1">
      <c r="Q192" s="40"/>
    </row>
    <row r="193" ht="15.75" customHeight="1">
      <c r="Q193" s="40"/>
    </row>
    <row r="194" ht="15.75" customHeight="1">
      <c r="Q194" s="40"/>
    </row>
    <row r="195" ht="15.75" customHeight="1">
      <c r="Q195" s="40"/>
    </row>
    <row r="196" ht="15.75" customHeight="1">
      <c r="Q196" s="40"/>
    </row>
    <row r="197" ht="15.75" customHeight="1">
      <c r="Q197" s="40"/>
    </row>
    <row r="198" ht="15.75" customHeight="1">
      <c r="Q198" s="40"/>
    </row>
    <row r="199" ht="15.75" customHeight="1">
      <c r="Q199" s="40"/>
    </row>
    <row r="200" ht="15.75" customHeight="1">
      <c r="Q200" s="40"/>
    </row>
    <row r="201" ht="15.75" customHeight="1">
      <c r="Q201" s="40"/>
    </row>
    <row r="202" ht="15.75" customHeight="1">
      <c r="Q202" s="40"/>
    </row>
    <row r="203" ht="15.75" customHeight="1">
      <c r="Q203" s="40"/>
    </row>
    <row r="204" ht="15.75" customHeight="1">
      <c r="Q204" s="40"/>
    </row>
    <row r="205" ht="15.75" customHeight="1">
      <c r="Q205" s="40"/>
    </row>
    <row r="206" ht="15.75" customHeight="1">
      <c r="Q206" s="40"/>
    </row>
    <row r="207" ht="15.75" customHeight="1">
      <c r="Q207" s="40"/>
    </row>
    <row r="208" ht="15.75" customHeight="1">
      <c r="Q208" s="40"/>
    </row>
    <row r="209" ht="15.75" customHeight="1">
      <c r="Q209" s="40"/>
    </row>
    <row r="210" ht="15.75" customHeight="1">
      <c r="Q210" s="40"/>
    </row>
    <row r="211" ht="15.75" customHeight="1">
      <c r="Q211" s="40"/>
    </row>
    <row r="212" ht="15.75" customHeight="1">
      <c r="Q212" s="40"/>
    </row>
    <row r="213" ht="15.75" customHeight="1">
      <c r="Q213" s="40"/>
    </row>
    <row r="214" ht="15.75" customHeight="1">
      <c r="Q214" s="40"/>
    </row>
    <row r="215" ht="15.75" customHeight="1">
      <c r="Q215" s="40"/>
    </row>
    <row r="216" ht="15.75" customHeight="1">
      <c r="Q216" s="40"/>
    </row>
    <row r="217" ht="15.75" customHeight="1">
      <c r="Q217" s="40"/>
    </row>
    <row r="218" ht="15.75" customHeight="1">
      <c r="Q218" s="40"/>
    </row>
    <row r="219" ht="15.75" customHeight="1">
      <c r="Q219" s="40"/>
    </row>
    <row r="220" ht="15.75" customHeight="1">
      <c r="Q220" s="40"/>
    </row>
    <row r="221" ht="15.75" customHeight="1">
      <c r="Q221" s="40"/>
    </row>
    <row r="222" ht="15.75" customHeight="1">
      <c r="Q222" s="40"/>
    </row>
    <row r="223" ht="15.75" customHeight="1">
      <c r="Q223" s="40"/>
    </row>
    <row r="224" ht="15.75" customHeight="1">
      <c r="Q224" s="40"/>
    </row>
    <row r="225" ht="15.75" customHeight="1">
      <c r="Q225" s="40"/>
    </row>
    <row r="226" ht="15.75" customHeight="1">
      <c r="Q226" s="40"/>
    </row>
    <row r="227" ht="15.75" customHeight="1">
      <c r="Q227" s="40"/>
    </row>
    <row r="228" ht="15.75" customHeight="1">
      <c r="Q228" s="40"/>
    </row>
    <row r="229" ht="15.75" customHeight="1">
      <c r="Q229" s="40"/>
    </row>
    <row r="230" ht="15.75" customHeight="1">
      <c r="Q230" s="40"/>
    </row>
    <row r="231" ht="15.75" customHeight="1">
      <c r="Q231" s="40"/>
    </row>
    <row r="232" ht="15.75" customHeight="1">
      <c r="Q232" s="40"/>
    </row>
    <row r="233" ht="15.75" customHeight="1">
      <c r="Q233" s="40"/>
    </row>
    <row r="234" ht="15.75" customHeight="1">
      <c r="Q234" s="40"/>
    </row>
    <row r="235" ht="15.75" customHeight="1">
      <c r="Q235" s="40"/>
    </row>
    <row r="236" ht="15.75" customHeight="1">
      <c r="Q236" s="40"/>
    </row>
    <row r="237" ht="15.75" customHeight="1">
      <c r="Q237" s="40"/>
    </row>
    <row r="238" ht="15.75" customHeight="1">
      <c r="Q238" s="40"/>
    </row>
    <row r="239" ht="15.75" customHeight="1">
      <c r="Q239" s="40"/>
    </row>
    <row r="240" ht="15.75" customHeight="1">
      <c r="Q240" s="40"/>
    </row>
    <row r="241" ht="15.75" customHeight="1">
      <c r="Q241" s="40"/>
    </row>
    <row r="242" ht="15.75" customHeight="1">
      <c r="Q242" s="40"/>
    </row>
    <row r="243" ht="15.75" customHeight="1">
      <c r="Q243" s="40"/>
    </row>
    <row r="244" ht="15.75" customHeight="1">
      <c r="Q244" s="40"/>
    </row>
    <row r="245" ht="15.75" customHeight="1">
      <c r="Q245" s="40"/>
    </row>
    <row r="246" ht="15.75" customHeight="1">
      <c r="Q246" s="40"/>
    </row>
    <row r="247" ht="15.75" customHeight="1">
      <c r="Q247" s="40"/>
    </row>
    <row r="248" ht="15.75" customHeight="1">
      <c r="Q248" s="40"/>
    </row>
    <row r="249" ht="15.75" customHeight="1">
      <c r="Q249" s="40"/>
    </row>
    <row r="250" ht="15.75" customHeight="1">
      <c r="Q250" s="40"/>
    </row>
    <row r="251" ht="15.75" customHeight="1">
      <c r="Q251" s="40"/>
    </row>
    <row r="252" ht="15.75" customHeight="1">
      <c r="Q252" s="40"/>
    </row>
    <row r="253" ht="15.75" customHeight="1">
      <c r="Q253" s="40"/>
    </row>
    <row r="254" ht="15.75" customHeight="1">
      <c r="Q254" s="40"/>
    </row>
    <row r="255" ht="15.75" customHeight="1">
      <c r="Q255" s="40"/>
    </row>
    <row r="256" ht="15.75" customHeight="1">
      <c r="Q256" s="40"/>
    </row>
    <row r="257" ht="15.75" customHeight="1">
      <c r="Q257" s="40"/>
    </row>
    <row r="258" ht="15.75" customHeight="1">
      <c r="Q258" s="40"/>
    </row>
    <row r="259" ht="15.75" customHeight="1">
      <c r="Q259" s="40"/>
    </row>
    <row r="260" ht="15.75" customHeight="1">
      <c r="Q260" s="40"/>
    </row>
    <row r="261" ht="15.75" customHeight="1">
      <c r="Q261" s="40"/>
    </row>
    <row r="262" ht="15.75" customHeight="1">
      <c r="Q262" s="40"/>
    </row>
    <row r="263" ht="15.75" customHeight="1">
      <c r="Q263" s="40"/>
    </row>
    <row r="264" ht="15.75" customHeight="1">
      <c r="Q264" s="40"/>
    </row>
    <row r="265" ht="15.75" customHeight="1">
      <c r="Q265" s="40"/>
    </row>
    <row r="266" ht="15.75" customHeight="1">
      <c r="Q266" s="40"/>
    </row>
    <row r="267" ht="15.75" customHeight="1">
      <c r="Q267" s="40"/>
    </row>
    <row r="268" ht="15.75" customHeight="1">
      <c r="Q268" s="40"/>
    </row>
    <row r="269" ht="15.75" customHeight="1">
      <c r="Q269" s="40"/>
    </row>
    <row r="270" ht="15.75" customHeight="1">
      <c r="Q270" s="40"/>
    </row>
    <row r="271" ht="15.75" customHeight="1">
      <c r="Q271" s="40"/>
    </row>
    <row r="272" ht="15.75" customHeight="1">
      <c r="Q272" s="40"/>
    </row>
    <row r="273" ht="15.75" customHeight="1">
      <c r="Q273" s="40"/>
    </row>
    <row r="274" ht="15.75" customHeight="1">
      <c r="Q274" s="40"/>
    </row>
    <row r="275" ht="15.75" customHeight="1">
      <c r="Q275" s="40"/>
    </row>
    <row r="276" ht="15.75" customHeight="1">
      <c r="Q276" s="40"/>
    </row>
    <row r="277" ht="15.75" customHeight="1">
      <c r="Q277" s="40"/>
    </row>
    <row r="278" ht="15.75" customHeight="1">
      <c r="Q278" s="40"/>
    </row>
    <row r="279" ht="15.75" customHeight="1">
      <c r="Q279" s="40"/>
    </row>
    <row r="280" ht="15.75" customHeight="1">
      <c r="Q280" s="40"/>
    </row>
    <row r="281" ht="15.75" customHeight="1">
      <c r="Q281" s="40"/>
    </row>
    <row r="282" ht="15.75" customHeight="1">
      <c r="Q282" s="40"/>
    </row>
    <row r="283" ht="15.75" customHeight="1">
      <c r="Q283" s="40"/>
    </row>
    <row r="284" ht="15.75" customHeight="1">
      <c r="Q284" s="40"/>
    </row>
    <row r="285" ht="15.75" customHeight="1">
      <c r="Q285" s="40"/>
    </row>
    <row r="286" ht="15.75" customHeight="1">
      <c r="Q286" s="40"/>
    </row>
    <row r="287" ht="15.75" customHeight="1">
      <c r="Q287" s="40"/>
    </row>
    <row r="288" ht="15.75" customHeight="1">
      <c r="Q288" s="40"/>
    </row>
    <row r="289" ht="15.75" customHeight="1">
      <c r="Q289" s="40"/>
    </row>
    <row r="290" ht="15.75" customHeight="1">
      <c r="Q290" s="40"/>
    </row>
    <row r="291" ht="15.75" customHeight="1">
      <c r="Q291" s="40"/>
    </row>
    <row r="292" ht="15.75" customHeight="1">
      <c r="Q292" s="40"/>
    </row>
    <row r="293" ht="15.75" customHeight="1">
      <c r="Q293" s="40"/>
    </row>
    <row r="294" ht="15.75" customHeight="1">
      <c r="Q294" s="40"/>
    </row>
    <row r="295" ht="15.75" customHeight="1">
      <c r="Q295" s="40"/>
    </row>
    <row r="296" ht="15.75" customHeight="1">
      <c r="Q296" s="40"/>
    </row>
    <row r="297" ht="15.75" customHeight="1">
      <c r="Q297" s="40"/>
    </row>
    <row r="298" ht="15.75" customHeight="1">
      <c r="Q298" s="40"/>
    </row>
    <row r="299" ht="15.75" customHeight="1">
      <c r="Q299" s="40"/>
    </row>
    <row r="300" ht="15.75" customHeight="1">
      <c r="Q300" s="40"/>
    </row>
    <row r="301" ht="15.75" customHeight="1">
      <c r="Q301" s="40"/>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R$1:$S$101"/>
  <mergeCells count="1">
    <mergeCell ref="E1:J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24" t="s">
        <v>512</v>
      </c>
      <c r="B1" s="224" t="s">
        <v>513</v>
      </c>
      <c r="C1" s="224"/>
      <c r="D1" s="30"/>
      <c r="E1" s="30" t="str">
        <f>M1&amp; " de " &amp;M2&amp; ", " &amp; M3 &amp; " de Nivel " &amp; $L$2</f>
        <v>Humano de Bastrea, Paladin de Nivel 30</v>
      </c>
      <c r="L1" s="14" t="s">
        <v>514</v>
      </c>
      <c r="M1" s="14" t="s">
        <v>515</v>
      </c>
      <c r="R1" s="14" t="s">
        <v>516</v>
      </c>
      <c r="S1" s="14" t="s">
        <v>517</v>
      </c>
    </row>
    <row r="2" ht="15.75" customHeight="1">
      <c r="A2" s="225" t="s">
        <v>518</v>
      </c>
      <c r="B2" s="226">
        <v>-7.0</v>
      </c>
      <c r="C2" s="226"/>
      <c r="D2" s="30"/>
      <c r="E2" s="227" t="s">
        <v>519</v>
      </c>
      <c r="F2" s="227" t="s">
        <v>520</v>
      </c>
      <c r="G2" s="227" t="s">
        <v>521</v>
      </c>
      <c r="H2" s="227" t="s">
        <v>522</v>
      </c>
      <c r="I2" s="227" t="s">
        <v>523</v>
      </c>
      <c r="J2" s="227" t="s">
        <v>524</v>
      </c>
      <c r="L2" s="95">
        <f>LVL!G7</f>
        <v>30</v>
      </c>
      <c r="M2" s="14" t="s">
        <v>78</v>
      </c>
      <c r="R2" s="14">
        <v>1.0</v>
      </c>
      <c r="S2" s="40">
        <v>-7.0</v>
      </c>
    </row>
    <row r="3" ht="15.75" customHeight="1">
      <c r="A3" s="228">
        <v>45353.0</v>
      </c>
      <c r="B3" s="226">
        <v>-6.0</v>
      </c>
      <c r="C3" s="226"/>
      <c r="D3" s="30"/>
      <c r="E3" s="229">
        <f t="shared" ref="E3:G3" si="1">A43</f>
        <v>44</v>
      </c>
      <c r="F3" s="230">
        <f t="shared" si="1"/>
        <v>43</v>
      </c>
      <c r="G3" s="229">
        <f t="shared" si="1"/>
        <v>39</v>
      </c>
      <c r="H3" s="231">
        <f t="shared" ref="H3:J3" si="2">A45</f>
        <v>10</v>
      </c>
      <c r="I3" s="229">
        <f t="shared" si="2"/>
        <v>42</v>
      </c>
      <c r="J3" s="232">
        <f t="shared" si="2"/>
        <v>12</v>
      </c>
      <c r="M3" s="14" t="s">
        <v>562</v>
      </c>
      <c r="R3" s="14">
        <v>2.0</v>
      </c>
      <c r="S3" s="40">
        <v>-7.0</v>
      </c>
    </row>
    <row r="4" ht="15.75" customHeight="1">
      <c r="A4" s="228">
        <v>45416.0</v>
      </c>
      <c r="B4" s="226">
        <v>-5.0</v>
      </c>
      <c r="C4" s="226"/>
      <c r="D4" s="30"/>
      <c r="E4" s="233">
        <f t="shared" ref="E4:G4" si="3">LOOKUP(A43,$R$2:$R$101,$S$2:$S$101)</f>
        <v>14.51950741</v>
      </c>
      <c r="F4" s="233">
        <f t="shared" si="3"/>
        <v>14.02777554</v>
      </c>
      <c r="G4" s="233">
        <f t="shared" si="3"/>
        <v>12.06084805</v>
      </c>
      <c r="H4" s="233">
        <f t="shared" ref="H4:J4" si="4">LOOKUP(A45,$R$2:$R$101,$S$2:$S$101)</f>
        <v>-2</v>
      </c>
      <c r="I4" s="233">
        <f t="shared" si="4"/>
        <v>13.53604367</v>
      </c>
      <c r="J4" s="233">
        <f t="shared" si="4"/>
        <v>-1</v>
      </c>
      <c r="R4" s="14">
        <v>3.0</v>
      </c>
      <c r="S4" s="40">
        <v>-6.0</v>
      </c>
    </row>
    <row r="5" ht="15.75" customHeight="1">
      <c r="A5" s="228">
        <v>45479.0</v>
      </c>
      <c r="B5" s="226">
        <v>-4.0</v>
      </c>
      <c r="C5" s="226"/>
      <c r="D5" s="30"/>
      <c r="E5" s="30"/>
      <c r="F5" s="30"/>
      <c r="G5" s="30"/>
      <c r="H5" s="30"/>
      <c r="I5" s="30"/>
      <c r="J5" s="30"/>
      <c r="R5" s="14">
        <v>4.0</v>
      </c>
      <c r="S5" s="40">
        <v>-6.0</v>
      </c>
    </row>
    <row r="6" ht="15.75" customHeight="1">
      <c r="A6" s="228">
        <v>45543.0</v>
      </c>
      <c r="B6" s="226">
        <v>-3.0</v>
      </c>
      <c r="C6" s="226"/>
      <c r="D6" s="30"/>
      <c r="E6" s="30"/>
      <c r="F6" s="30"/>
      <c r="G6" s="30"/>
      <c r="H6" s="30"/>
      <c r="I6" s="30"/>
      <c r="J6" s="30"/>
      <c r="R6" s="14">
        <v>5.0</v>
      </c>
      <c r="S6" s="40">
        <v>-5.0</v>
      </c>
    </row>
    <row r="7" ht="15.75" customHeight="1">
      <c r="A7" s="228">
        <v>45606.0</v>
      </c>
      <c r="B7" s="226">
        <v>-2.0</v>
      </c>
      <c r="C7" s="226"/>
      <c r="D7" s="30"/>
      <c r="E7" s="30"/>
      <c r="F7" s="30"/>
      <c r="G7" s="30"/>
      <c r="H7" s="30"/>
      <c r="I7" s="30"/>
      <c r="J7" s="30"/>
      <c r="R7" s="14">
        <v>6.0</v>
      </c>
      <c r="S7" s="40">
        <v>-4.0</v>
      </c>
    </row>
    <row r="8" ht="15.75" customHeight="1">
      <c r="A8" s="225" t="s">
        <v>526</v>
      </c>
      <c r="B8" s="226">
        <v>-1.0</v>
      </c>
      <c r="C8" s="226"/>
      <c r="D8" s="30"/>
      <c r="E8" s="30"/>
      <c r="F8" s="30"/>
      <c r="G8" s="30"/>
      <c r="H8" s="30"/>
      <c r="I8" s="30"/>
      <c r="J8" s="30"/>
      <c r="R8" s="14">
        <v>7.0</v>
      </c>
      <c r="S8" s="40">
        <v>-4.0</v>
      </c>
    </row>
    <row r="9" ht="15.75" customHeight="1">
      <c r="A9" s="225" t="s">
        <v>527</v>
      </c>
      <c r="B9" s="226">
        <v>0.0</v>
      </c>
      <c r="C9" s="226"/>
      <c r="D9" s="30"/>
      <c r="E9" s="30"/>
      <c r="F9" s="30"/>
      <c r="G9" s="30"/>
      <c r="H9" s="30"/>
      <c r="I9" s="30"/>
      <c r="J9" s="30"/>
      <c r="R9" s="14">
        <v>8.0</v>
      </c>
      <c r="S9" s="40">
        <v>-3.0</v>
      </c>
    </row>
    <row r="10" ht="15.75" customHeight="1">
      <c r="A10" s="225" t="s">
        <v>528</v>
      </c>
      <c r="B10" s="226">
        <f t="shared" ref="B10:B11" si="5">1</f>
        <v>1</v>
      </c>
      <c r="C10" s="226"/>
      <c r="D10" s="30"/>
      <c r="E10" s="30"/>
      <c r="F10" s="30"/>
      <c r="G10" s="30"/>
      <c r="H10" s="30"/>
      <c r="I10" s="30"/>
      <c r="J10" s="30"/>
      <c r="R10" s="14">
        <v>9.0</v>
      </c>
      <c r="S10" s="40">
        <v>-3.0</v>
      </c>
    </row>
    <row r="11" ht="15.75" customHeight="1">
      <c r="A11" s="225" t="s">
        <v>529</v>
      </c>
      <c r="B11" s="226">
        <f t="shared" si="5"/>
        <v>1</v>
      </c>
      <c r="C11" s="226"/>
      <c r="D11" s="30"/>
      <c r="E11" s="30"/>
      <c r="F11" s="30"/>
      <c r="G11" s="30"/>
      <c r="H11" s="30"/>
      <c r="I11" s="30"/>
      <c r="J11" s="30"/>
      <c r="R11" s="14">
        <v>10.0</v>
      </c>
      <c r="S11" s="40">
        <v>-2.0</v>
      </c>
    </row>
    <row r="12" ht="15.75" customHeight="1">
      <c r="A12" s="225" t="s">
        <v>530</v>
      </c>
      <c r="B12" s="226">
        <v>2.0</v>
      </c>
      <c r="C12" s="226"/>
      <c r="D12" s="30"/>
      <c r="E12" s="30"/>
      <c r="F12" s="30"/>
      <c r="G12" s="30"/>
      <c r="H12" s="30"/>
      <c r="I12" s="30"/>
      <c r="J12" s="30"/>
      <c r="R12" s="14">
        <v>11.0</v>
      </c>
      <c r="S12" s="40">
        <v>-2.0</v>
      </c>
    </row>
    <row r="13" ht="15.75" customHeight="1">
      <c r="A13" s="225" t="s">
        <v>531</v>
      </c>
      <c r="B13" s="226">
        <v>2.0</v>
      </c>
      <c r="C13" s="226"/>
      <c r="D13" s="30"/>
      <c r="E13" s="30"/>
      <c r="F13" s="30"/>
      <c r="G13" s="30"/>
      <c r="H13" s="30"/>
      <c r="I13" s="30"/>
      <c r="J13" s="30"/>
      <c r="R13" s="14">
        <v>12.0</v>
      </c>
      <c r="S13" s="40">
        <v>-1.0</v>
      </c>
    </row>
    <row r="14" ht="15.75" customHeight="1">
      <c r="A14" s="225" t="s">
        <v>532</v>
      </c>
      <c r="B14" s="226">
        <v>3.0</v>
      </c>
      <c r="C14" s="226"/>
      <c r="D14" s="30"/>
      <c r="E14" s="30"/>
      <c r="F14" s="30"/>
      <c r="G14" s="30"/>
      <c r="H14" s="30"/>
      <c r="I14" s="30"/>
      <c r="J14" s="30"/>
      <c r="R14" s="14">
        <v>13.0</v>
      </c>
      <c r="S14" s="40">
        <v>-1.0</v>
      </c>
    </row>
    <row r="15" ht="15.75" customHeight="1">
      <c r="A15" s="225" t="s">
        <v>533</v>
      </c>
      <c r="B15" s="226">
        <v>3.0</v>
      </c>
      <c r="C15" s="226"/>
      <c r="D15" s="30"/>
      <c r="E15" s="30"/>
      <c r="F15" s="30"/>
      <c r="G15" s="30"/>
      <c r="H15" s="30"/>
      <c r="I15" s="30"/>
      <c r="J15" s="30"/>
      <c r="R15" s="14">
        <v>14.0</v>
      </c>
      <c r="S15" s="40">
        <v>0.0</v>
      </c>
    </row>
    <row r="16" ht="15.75" customHeight="1">
      <c r="A16" s="225" t="s">
        <v>534</v>
      </c>
      <c r="B16" s="226">
        <f t="shared" ref="B16:B17" si="6">4</f>
        <v>4</v>
      </c>
      <c r="C16" s="226"/>
      <c r="D16" s="30"/>
      <c r="E16" s="30"/>
      <c r="F16" s="30"/>
      <c r="G16" s="30"/>
      <c r="H16" s="30"/>
      <c r="I16" s="30"/>
      <c r="J16" s="30"/>
      <c r="R16" s="14">
        <v>15.0</v>
      </c>
      <c r="S16" s="40">
        <v>0.0</v>
      </c>
    </row>
    <row r="17" ht="15.75" customHeight="1">
      <c r="A17" s="225" t="s">
        <v>535</v>
      </c>
      <c r="B17" s="226">
        <f t="shared" si="6"/>
        <v>4</v>
      </c>
      <c r="C17" s="226"/>
      <c r="D17" s="30"/>
      <c r="E17" s="30"/>
      <c r="F17" s="30"/>
      <c r="G17" s="30"/>
      <c r="H17" s="30"/>
      <c r="I17" s="30"/>
      <c r="J17" s="30"/>
      <c r="R17" s="14">
        <v>16.0</v>
      </c>
      <c r="S17" s="40">
        <v>1.0</v>
      </c>
    </row>
    <row r="18" ht="15.75" customHeight="1">
      <c r="A18" s="225" t="s">
        <v>536</v>
      </c>
      <c r="B18" s="226">
        <v>5.0</v>
      </c>
      <c r="C18" s="226"/>
      <c r="D18" s="30"/>
      <c r="E18" s="30"/>
      <c r="F18" s="30"/>
      <c r="G18" s="30"/>
      <c r="H18" s="30"/>
      <c r="I18" s="30"/>
      <c r="J18" s="30"/>
      <c r="R18" s="14">
        <v>17.0</v>
      </c>
      <c r="S18" s="40">
        <v>1.0</v>
      </c>
    </row>
    <row r="19" ht="15.75" customHeight="1">
      <c r="A19" s="225" t="s">
        <v>537</v>
      </c>
      <c r="B19" s="226">
        <v>5.0</v>
      </c>
      <c r="C19" s="226"/>
      <c r="D19" s="30"/>
      <c r="E19" s="30"/>
      <c r="F19" s="30"/>
      <c r="G19" s="30"/>
      <c r="H19" s="30"/>
      <c r="I19" s="30"/>
      <c r="J19" s="30"/>
      <c r="R19" s="14">
        <v>18.0</v>
      </c>
      <c r="S19" s="40">
        <v>2.0</v>
      </c>
    </row>
    <row r="20" ht="15.75" customHeight="1">
      <c r="A20" s="225" t="s">
        <v>538</v>
      </c>
      <c r="B20" s="226">
        <v>6.0</v>
      </c>
      <c r="C20" s="226"/>
      <c r="D20" s="30"/>
      <c r="E20" s="30"/>
      <c r="F20" s="30"/>
      <c r="G20" s="30"/>
      <c r="H20" s="30"/>
      <c r="I20" s="30"/>
      <c r="J20" s="30"/>
      <c r="R20" s="14">
        <v>19.0</v>
      </c>
      <c r="S20" s="40">
        <v>2.0</v>
      </c>
    </row>
    <row r="21" ht="15.75" customHeight="1">
      <c r="A21" s="225" t="s">
        <v>539</v>
      </c>
      <c r="B21" s="226">
        <v>6.0</v>
      </c>
      <c r="C21" s="226"/>
      <c r="D21" s="30"/>
      <c r="E21" s="30"/>
      <c r="F21" s="30"/>
      <c r="G21" s="30"/>
      <c r="H21" s="30"/>
      <c r="I21" s="30"/>
      <c r="J21" s="30"/>
      <c r="R21" s="14">
        <v>20.0</v>
      </c>
      <c r="S21" s="40">
        <v>3.0</v>
      </c>
    </row>
    <row r="22" ht="15.75" customHeight="1">
      <c r="A22" s="225" t="s">
        <v>540</v>
      </c>
      <c r="B22" s="226">
        <v>7.0</v>
      </c>
      <c r="C22" s="226"/>
      <c r="D22" s="30"/>
      <c r="E22" s="30"/>
      <c r="F22" s="30"/>
      <c r="G22" s="30"/>
      <c r="H22" s="30"/>
      <c r="I22" s="30"/>
      <c r="J22" s="30"/>
      <c r="R22" s="14">
        <v>21.0</v>
      </c>
      <c r="S22" s="40">
        <v>3.0</v>
      </c>
    </row>
    <row r="23" ht="15.75" customHeight="1">
      <c r="A23" s="225" t="s">
        <v>541</v>
      </c>
      <c r="B23" s="226">
        <v>7.0</v>
      </c>
      <c r="C23" s="226"/>
      <c r="D23" s="30"/>
      <c r="E23" s="30"/>
      <c r="F23" s="30"/>
      <c r="G23" s="30"/>
      <c r="H23" s="30"/>
      <c r="I23" s="30"/>
      <c r="J23" s="30"/>
      <c r="R23" s="14">
        <v>22.0</v>
      </c>
      <c r="S23" s="40">
        <v>4.0</v>
      </c>
    </row>
    <row r="24" ht="15.75" customHeight="1">
      <c r="A24" s="225" t="s">
        <v>542</v>
      </c>
      <c r="B24" s="226">
        <v>8.0</v>
      </c>
      <c r="C24" s="226"/>
      <c r="D24" s="30"/>
      <c r="E24" s="30"/>
      <c r="F24" s="30"/>
      <c r="G24" s="30"/>
      <c r="H24" s="30"/>
      <c r="I24" s="30"/>
      <c r="J24" s="30"/>
      <c r="R24" s="14">
        <v>23.0</v>
      </c>
      <c r="S24" s="40">
        <v>4.0</v>
      </c>
    </row>
    <row r="25" ht="15.75" customHeight="1">
      <c r="A25" s="225" t="s">
        <v>543</v>
      </c>
      <c r="B25" s="226">
        <v>8.0</v>
      </c>
      <c r="C25" s="226"/>
      <c r="D25" s="30"/>
      <c r="E25" s="30"/>
      <c r="F25" s="30"/>
      <c r="G25" s="30"/>
      <c r="H25" s="30"/>
      <c r="I25" s="30"/>
      <c r="J25" s="30"/>
      <c r="R25" s="14">
        <v>24.0</v>
      </c>
      <c r="S25" s="40">
        <v>4.642857143</v>
      </c>
    </row>
    <row r="26" ht="15.75" customHeight="1">
      <c r="A26" s="225" t="s">
        <v>544</v>
      </c>
      <c r="B26" s="226">
        <v>9.0</v>
      </c>
      <c r="C26" s="226"/>
      <c r="D26" s="30"/>
      <c r="E26" s="30"/>
      <c r="F26" s="30"/>
      <c r="G26" s="30"/>
      <c r="H26" s="30"/>
      <c r="I26" s="30"/>
      <c r="J26" s="30"/>
      <c r="R26" s="14">
        <v>25.0</v>
      </c>
      <c r="S26" s="40">
        <v>5.119047619</v>
      </c>
    </row>
    <row r="27" ht="15.75" customHeight="1">
      <c r="A27" s="225" t="s">
        <v>545</v>
      </c>
      <c r="B27" s="226">
        <v>9.0</v>
      </c>
      <c r="C27" s="226"/>
      <c r="D27" s="30"/>
      <c r="E27" s="30"/>
      <c r="F27" s="30"/>
      <c r="G27" s="30"/>
      <c r="H27" s="30"/>
      <c r="I27" s="30"/>
      <c r="J27" s="30"/>
      <c r="R27" s="14">
        <v>26.0</v>
      </c>
      <c r="S27" s="40">
        <v>5.595238095</v>
      </c>
    </row>
    <row r="28" ht="15.75" customHeight="1">
      <c r="A28" s="225" t="s">
        <v>546</v>
      </c>
      <c r="B28" s="226">
        <v>10.0</v>
      </c>
      <c r="C28" s="226"/>
      <c r="D28" s="30"/>
      <c r="E28" s="30"/>
      <c r="F28" s="30"/>
      <c r="G28" s="30"/>
      <c r="H28" s="30"/>
      <c r="I28" s="30"/>
      <c r="J28" s="30"/>
      <c r="R28" s="14">
        <v>27.0</v>
      </c>
      <c r="S28" s="40">
        <v>6.071428571</v>
      </c>
    </row>
    <row r="29" ht="15.75" customHeight="1">
      <c r="A29" s="225" t="s">
        <v>547</v>
      </c>
      <c r="B29" s="226">
        <v>10.0</v>
      </c>
      <c r="C29" s="226"/>
      <c r="D29" s="30"/>
      <c r="E29" s="30"/>
      <c r="F29" s="30"/>
      <c r="G29" s="30"/>
      <c r="H29" s="30"/>
      <c r="I29" s="30"/>
      <c r="J29" s="30"/>
      <c r="R29" s="14">
        <v>28.0</v>
      </c>
      <c r="S29" s="40">
        <v>6.547619048</v>
      </c>
    </row>
    <row r="30" ht="15.75" customHeight="1">
      <c r="A30" s="225" t="s">
        <v>548</v>
      </c>
      <c r="B30" s="226">
        <v>11.0</v>
      </c>
      <c r="C30" s="226"/>
      <c r="D30" s="30"/>
      <c r="E30" s="30"/>
      <c r="F30" s="30"/>
      <c r="G30" s="30"/>
      <c r="H30" s="30"/>
      <c r="I30" s="30"/>
      <c r="J30" s="30"/>
      <c r="R30" s="14">
        <v>29.0</v>
      </c>
      <c r="S30" s="40">
        <v>7.023809524</v>
      </c>
    </row>
    <row r="31" ht="15.75" customHeight="1">
      <c r="A31" s="225" t="s">
        <v>549</v>
      </c>
      <c r="B31" s="226">
        <v>11.0</v>
      </c>
      <c r="C31" s="226"/>
      <c r="D31" s="30"/>
      <c r="E31" s="30"/>
      <c r="F31" s="30"/>
      <c r="G31" s="30"/>
      <c r="H31" s="30"/>
      <c r="I31" s="30"/>
      <c r="J31" s="30"/>
      <c r="R31" s="14">
        <v>30.0</v>
      </c>
      <c r="S31" s="40">
        <v>7.5</v>
      </c>
    </row>
    <row r="32" ht="15.75" customHeight="1">
      <c r="A32" s="225" t="s">
        <v>550</v>
      </c>
      <c r="B32" s="226">
        <v>12.0</v>
      </c>
      <c r="C32" s="226"/>
      <c r="D32" s="30"/>
      <c r="E32" s="30"/>
      <c r="F32" s="30"/>
      <c r="G32" s="30"/>
      <c r="H32" s="30"/>
      <c r="I32" s="30"/>
      <c r="J32" s="30"/>
      <c r="R32" s="14">
        <v>31.0</v>
      </c>
      <c r="S32" s="40">
        <v>7.976190476</v>
      </c>
    </row>
    <row r="33" ht="15.75" customHeight="1">
      <c r="A33" s="225" t="s">
        <v>551</v>
      </c>
      <c r="B33" s="226">
        <v>12.0</v>
      </c>
      <c r="C33" s="226"/>
      <c r="D33" s="30"/>
      <c r="E33" s="30"/>
      <c r="F33" s="30"/>
      <c r="G33" s="30"/>
      <c r="H33" s="30"/>
      <c r="I33" s="30"/>
      <c r="J33" s="30"/>
      <c r="R33" s="14">
        <v>32.0</v>
      </c>
      <c r="S33" s="40">
        <v>9.0</v>
      </c>
    </row>
    <row r="34" ht="15.75" customHeight="1">
      <c r="A34" s="225" t="s">
        <v>552</v>
      </c>
      <c r="B34" s="226">
        <v>13.0</v>
      </c>
      <c r="C34" s="226"/>
      <c r="D34" s="30"/>
      <c r="E34" s="30"/>
      <c r="F34" s="30"/>
      <c r="G34" s="30"/>
      <c r="H34" s="30"/>
      <c r="I34" s="30"/>
      <c r="J34" s="30"/>
      <c r="R34" s="14">
        <v>33.0</v>
      </c>
      <c r="S34" s="40">
        <v>9.0</v>
      </c>
    </row>
    <row r="35" ht="15.75" customHeight="1">
      <c r="A35" s="225" t="s">
        <v>553</v>
      </c>
      <c r="B35" s="226">
        <v>13.0</v>
      </c>
      <c r="C35" s="226"/>
      <c r="D35" s="30"/>
      <c r="E35" s="30"/>
      <c r="F35" s="30"/>
      <c r="G35" s="30"/>
      <c r="H35" s="30"/>
      <c r="I35" s="30"/>
      <c r="J35" s="30"/>
      <c r="R35" s="14">
        <v>34.0</v>
      </c>
      <c r="S35" s="40">
        <v>10.0</v>
      </c>
    </row>
    <row r="36" ht="15.75" customHeight="1">
      <c r="A36" s="225" t="s">
        <v>554</v>
      </c>
      <c r="B36" s="226">
        <v>14.0</v>
      </c>
      <c r="C36" s="226"/>
      <c r="D36" s="30"/>
      <c r="E36" s="30"/>
      <c r="F36" s="30"/>
      <c r="G36" s="30"/>
      <c r="H36" s="30"/>
      <c r="I36" s="30"/>
      <c r="J36" s="30"/>
      <c r="R36" s="14">
        <v>35.0</v>
      </c>
      <c r="S36" s="40">
        <v>10.0</v>
      </c>
    </row>
    <row r="37" ht="15.75" customHeight="1">
      <c r="A37" s="225" t="s">
        <v>555</v>
      </c>
      <c r="B37" s="226">
        <v>14.0</v>
      </c>
      <c r="C37" s="226"/>
      <c r="D37" s="30"/>
      <c r="E37" s="30"/>
      <c r="F37" s="30"/>
      <c r="G37" s="30"/>
      <c r="H37" s="30"/>
      <c r="I37" s="30"/>
      <c r="J37" s="30"/>
      <c r="R37" s="14">
        <v>36.0</v>
      </c>
      <c r="S37" s="40">
        <v>10.5856524427792</v>
      </c>
    </row>
    <row r="38" ht="15.75" customHeight="1">
      <c r="A38" s="30"/>
      <c r="B38" s="30"/>
      <c r="C38" s="30"/>
      <c r="D38" s="30"/>
      <c r="E38" s="30"/>
      <c r="F38" s="30"/>
      <c r="G38" s="30"/>
      <c r="H38" s="30"/>
      <c r="I38" s="30"/>
      <c r="J38" s="30"/>
      <c r="R38" s="14">
        <v>37.0</v>
      </c>
      <c r="S38" s="40">
        <v>11.0773843133924</v>
      </c>
    </row>
    <row r="39" ht="15.75" customHeight="1">
      <c r="A39" s="30"/>
      <c r="B39" s="30"/>
      <c r="C39" s="30"/>
      <c r="D39" s="30"/>
      <c r="E39" s="30"/>
      <c r="F39" s="30"/>
      <c r="G39" s="30"/>
      <c r="H39" s="30"/>
      <c r="I39" s="30"/>
      <c r="J39" s="30"/>
      <c r="R39" s="14">
        <v>38.0</v>
      </c>
      <c r="S39" s="40">
        <v>11.5691161840056</v>
      </c>
    </row>
    <row r="40" ht="15.75" customHeight="1">
      <c r="A40" s="234"/>
      <c r="B40" s="30"/>
      <c r="C40" s="30"/>
      <c r="D40" s="30"/>
      <c r="E40" s="30"/>
      <c r="F40" s="30"/>
      <c r="G40" s="30"/>
      <c r="H40" s="30"/>
      <c r="I40" s="30"/>
      <c r="J40" s="30"/>
      <c r="R40" s="14">
        <v>39.0</v>
      </c>
      <c r="S40" s="40">
        <v>12.0608480546189</v>
      </c>
    </row>
    <row r="41" ht="15.75" customHeight="1">
      <c r="A41" s="235" t="s">
        <v>556</v>
      </c>
      <c r="B41" s="236"/>
      <c r="C41" s="237"/>
      <c r="D41" s="30"/>
      <c r="E41" s="30"/>
      <c r="F41" s="30"/>
      <c r="G41" s="30"/>
      <c r="H41" s="30"/>
      <c r="I41" s="30"/>
      <c r="J41" s="30"/>
      <c r="R41" s="14">
        <v>40.0</v>
      </c>
      <c r="S41" s="40">
        <v>12.5525799252321</v>
      </c>
    </row>
    <row r="42" ht="15.75" customHeight="1">
      <c r="A42" s="234" t="s">
        <v>519</v>
      </c>
      <c r="B42" s="30" t="s">
        <v>520</v>
      </c>
      <c r="C42" s="238" t="s">
        <v>557</v>
      </c>
      <c r="D42" s="30"/>
      <c r="E42" s="30"/>
      <c r="F42" s="30"/>
      <c r="G42" s="30"/>
      <c r="H42" s="30"/>
      <c r="I42" s="30"/>
      <c r="J42" s="30"/>
      <c r="R42" s="14">
        <v>41.0</v>
      </c>
      <c r="S42" s="40">
        <v>13.0443117958453</v>
      </c>
    </row>
    <row r="43" ht="15.75" customHeight="1">
      <c r="A43" s="234">
        <f t="shared" ref="A43:C43" si="7">A48+A53+A58</f>
        <v>44</v>
      </c>
      <c r="B43" s="30">
        <f t="shared" si="7"/>
        <v>43</v>
      </c>
      <c r="C43" s="238">
        <f t="shared" si="7"/>
        <v>39</v>
      </c>
      <c r="D43" s="30"/>
      <c r="E43" s="30"/>
      <c r="F43" s="30"/>
      <c r="G43" s="30"/>
      <c r="H43" s="30"/>
      <c r="I43" s="30"/>
      <c r="J43" s="30"/>
      <c r="R43" s="14">
        <v>42.0</v>
      </c>
      <c r="S43" s="40">
        <v>13.5360436664585</v>
      </c>
    </row>
    <row r="44" ht="15.75" customHeight="1">
      <c r="A44" s="234" t="s">
        <v>522</v>
      </c>
      <c r="B44" s="30" t="s">
        <v>523</v>
      </c>
      <c r="C44" s="238" t="s">
        <v>524</v>
      </c>
      <c r="D44" s="30"/>
      <c r="E44" s="30"/>
      <c r="F44" s="30"/>
      <c r="G44" s="30"/>
      <c r="H44" s="30"/>
      <c r="I44" s="30"/>
      <c r="J44" s="30"/>
      <c r="R44" s="14">
        <v>43.0</v>
      </c>
      <c r="S44" s="40">
        <v>14.0277755370717</v>
      </c>
    </row>
    <row r="45" ht="15.75" customHeight="1">
      <c r="A45" s="239">
        <f t="shared" ref="A45:C45" si="8">A50+A55+A60</f>
        <v>10</v>
      </c>
      <c r="B45" s="240">
        <f t="shared" si="8"/>
        <v>42</v>
      </c>
      <c r="C45" s="241">
        <f t="shared" si="8"/>
        <v>12</v>
      </c>
      <c r="D45" s="30"/>
      <c r="E45" s="30"/>
      <c r="F45" s="30"/>
      <c r="G45" s="30"/>
      <c r="H45" s="30"/>
      <c r="I45" s="30"/>
      <c r="J45" s="30"/>
      <c r="R45" s="14">
        <v>44.0</v>
      </c>
      <c r="S45" s="40">
        <v>14.5195074076849</v>
      </c>
    </row>
    <row r="46" ht="15.75" customHeight="1">
      <c r="A46" s="242" t="s">
        <v>558</v>
      </c>
      <c r="B46" s="243"/>
      <c r="C46" s="244" t="s">
        <v>78</v>
      </c>
      <c r="R46" s="14">
        <v>45.0</v>
      </c>
      <c r="S46" s="40">
        <v>15.0112392782981</v>
      </c>
    </row>
    <row r="47" ht="15.75" customHeight="1">
      <c r="A47" s="234" t="s">
        <v>519</v>
      </c>
      <c r="B47" s="30" t="s">
        <v>520</v>
      </c>
      <c r="C47" s="238" t="s">
        <v>557</v>
      </c>
      <c r="E47" s="242" t="s">
        <v>558</v>
      </c>
      <c r="F47" s="243"/>
      <c r="G47" s="244">
        <v>1.0</v>
      </c>
      <c r="R47" s="14">
        <v>46.0</v>
      </c>
      <c r="S47" s="40">
        <v>15.5029711489114</v>
      </c>
    </row>
    <row r="48" ht="15.75" customHeight="1">
      <c r="A48" s="30">
        <f t="shared" ref="A48:C48" si="9">(E49+A65)</f>
        <v>30</v>
      </c>
      <c r="B48" s="30">
        <f t="shared" si="9"/>
        <v>31</v>
      </c>
      <c r="C48" s="238">
        <f t="shared" si="9"/>
        <v>-1</v>
      </c>
      <c r="E48" s="234" t="s">
        <v>519</v>
      </c>
      <c r="F48" s="30" t="s">
        <v>520</v>
      </c>
      <c r="G48" s="238" t="s">
        <v>557</v>
      </c>
      <c r="R48" s="14">
        <v>47.0</v>
      </c>
      <c r="S48" s="40">
        <v>15.9947030195246</v>
      </c>
    </row>
    <row r="49" ht="15.75" customHeight="1">
      <c r="A49" s="234" t="s">
        <v>522</v>
      </c>
      <c r="B49" s="30" t="s">
        <v>523</v>
      </c>
      <c r="C49" s="238" t="s">
        <v>524</v>
      </c>
      <c r="E49" s="234">
        <v>1.0</v>
      </c>
      <c r="F49" s="30">
        <v>2.0</v>
      </c>
      <c r="G49" s="238">
        <v>-1.0</v>
      </c>
      <c r="R49" s="14">
        <v>48.0</v>
      </c>
      <c r="S49" s="40">
        <v>17.0</v>
      </c>
    </row>
    <row r="50" ht="15.75" customHeight="1">
      <c r="A50" s="240">
        <f t="shared" ref="A50:C50" si="10">E51+A67</f>
        <v>0</v>
      </c>
      <c r="B50" s="240">
        <f t="shared" si="10"/>
        <v>32</v>
      </c>
      <c r="C50" s="241">
        <f t="shared" si="10"/>
        <v>0</v>
      </c>
      <c r="E50" s="234" t="s">
        <v>522</v>
      </c>
      <c r="F50" s="30" t="s">
        <v>523</v>
      </c>
      <c r="G50" s="238" t="s">
        <v>524</v>
      </c>
      <c r="R50" s="14">
        <v>49.0</v>
      </c>
      <c r="S50" s="40">
        <v>16.978166760751</v>
      </c>
    </row>
    <row r="51" ht="15.75" customHeight="1">
      <c r="A51" s="245" t="s">
        <v>559</v>
      </c>
      <c r="C51" s="215" t="s">
        <v>560</v>
      </c>
      <c r="E51" s="239"/>
      <c r="F51" s="240">
        <v>3.0</v>
      </c>
      <c r="G51" s="241"/>
      <c r="R51" s="14">
        <v>50.0</v>
      </c>
      <c r="S51" s="40">
        <v>18.0</v>
      </c>
    </row>
    <row r="52" ht="15.75" customHeight="1">
      <c r="A52" s="234" t="s">
        <v>519</v>
      </c>
      <c r="B52" s="30" t="s">
        <v>520</v>
      </c>
      <c r="C52" s="238" t="s">
        <v>557</v>
      </c>
      <c r="E52" s="242" t="s">
        <v>559</v>
      </c>
      <c r="F52" s="243"/>
      <c r="G52" s="244">
        <v>1.0</v>
      </c>
      <c r="R52" s="14">
        <v>51.0</v>
      </c>
      <c r="S52" s="40">
        <v>18.4533623725906</v>
      </c>
    </row>
    <row r="53" ht="15.75" customHeight="1">
      <c r="A53" s="234">
        <f t="shared" ref="A53:C53" si="11">E54+A70</f>
        <v>0</v>
      </c>
      <c r="B53" s="234">
        <f t="shared" si="11"/>
        <v>-1</v>
      </c>
      <c r="C53" s="234">
        <f t="shared" si="11"/>
        <v>30</v>
      </c>
      <c r="E53" s="234" t="s">
        <v>519</v>
      </c>
      <c r="F53" s="30" t="s">
        <v>520</v>
      </c>
      <c r="G53" s="238" t="s">
        <v>557</v>
      </c>
      <c r="R53" s="14">
        <v>52.0</v>
      </c>
      <c r="S53" s="40">
        <v>18.9450942432038</v>
      </c>
    </row>
    <row r="54" ht="15.75" customHeight="1">
      <c r="A54" s="234" t="s">
        <v>522</v>
      </c>
      <c r="B54" s="30" t="s">
        <v>523</v>
      </c>
      <c r="C54" s="238" t="s">
        <v>524</v>
      </c>
      <c r="E54" s="234">
        <v>0.0</v>
      </c>
      <c r="F54" s="30">
        <v>-1.0</v>
      </c>
      <c r="G54" s="238">
        <v>1.0</v>
      </c>
      <c r="R54" s="14">
        <v>53.0</v>
      </c>
      <c r="S54" s="40">
        <v>19.4368261138171</v>
      </c>
    </row>
    <row r="55" ht="15.75" customHeight="1">
      <c r="A55" s="240">
        <f t="shared" ref="A55:C55" si="12">A72+E56</f>
        <v>0</v>
      </c>
      <c r="B55" s="240">
        <f t="shared" si="12"/>
        <v>0</v>
      </c>
      <c r="C55" s="241">
        <f t="shared" si="12"/>
        <v>0</v>
      </c>
      <c r="E55" s="234" t="s">
        <v>522</v>
      </c>
      <c r="F55" s="30" t="s">
        <v>523</v>
      </c>
      <c r="G55" s="238" t="s">
        <v>524</v>
      </c>
      <c r="R55" s="14">
        <v>54.0</v>
      </c>
      <c r="S55" s="40">
        <v>19.9285579844303</v>
      </c>
    </row>
    <row r="56" ht="15.75" customHeight="1">
      <c r="A56" s="245" t="s">
        <v>561</v>
      </c>
      <c r="C56" s="215"/>
      <c r="E56" s="239">
        <v>0.0</v>
      </c>
      <c r="F56" s="240">
        <v>0.0</v>
      </c>
      <c r="G56" s="241">
        <v>0.0</v>
      </c>
      <c r="R56" s="14">
        <v>55.0</v>
      </c>
      <c r="S56" s="40">
        <v>20.4202898550435</v>
      </c>
    </row>
    <row r="57" ht="15.75" customHeight="1">
      <c r="A57" s="234" t="s">
        <v>519</v>
      </c>
      <c r="B57" s="30" t="s">
        <v>520</v>
      </c>
      <c r="C57" s="238" t="s">
        <v>557</v>
      </c>
      <c r="R57" s="14">
        <v>56.0</v>
      </c>
      <c r="S57" s="40">
        <v>20.9120217256567</v>
      </c>
    </row>
    <row r="58" ht="15.75" customHeight="1">
      <c r="A58" s="234">
        <v>14.0</v>
      </c>
      <c r="B58" s="30">
        <v>13.0</v>
      </c>
      <c r="C58" s="238">
        <v>10.0</v>
      </c>
      <c r="R58" s="14">
        <v>57.0</v>
      </c>
      <c r="S58" s="40">
        <v>21.4037535962699</v>
      </c>
    </row>
    <row r="59" ht="15.75" customHeight="1">
      <c r="A59" s="234" t="s">
        <v>522</v>
      </c>
      <c r="B59" s="30" t="s">
        <v>523</v>
      </c>
      <c r="C59" s="238" t="s">
        <v>524</v>
      </c>
      <c r="R59" s="14">
        <v>58.0</v>
      </c>
      <c r="S59" s="40">
        <v>21.8954854668831</v>
      </c>
    </row>
    <row r="60" ht="15.75" customHeight="1">
      <c r="A60" s="239">
        <v>10.0</v>
      </c>
      <c r="B60" s="240">
        <v>10.0</v>
      </c>
      <c r="C60" s="241">
        <v>12.0</v>
      </c>
      <c r="R60" s="14">
        <v>59.0</v>
      </c>
      <c r="S60" s="40">
        <v>22.3872173374963</v>
      </c>
    </row>
    <row r="61" ht="15.75" customHeight="1">
      <c r="R61" s="14">
        <v>60.0</v>
      </c>
      <c r="S61" s="40">
        <v>22.8789492081096</v>
      </c>
    </row>
    <row r="62" ht="15.75" customHeight="1">
      <c r="R62" s="14">
        <v>61.0</v>
      </c>
      <c r="S62" s="40">
        <v>23.3706810787228</v>
      </c>
    </row>
    <row r="63" ht="15.75" customHeight="1">
      <c r="A63" s="242" t="s">
        <v>558</v>
      </c>
      <c r="B63" s="243"/>
      <c r="C63" s="244">
        <f>$L$2</f>
        <v>30</v>
      </c>
      <c r="E63" s="242"/>
      <c r="F63" s="243"/>
      <c r="G63" s="244"/>
      <c r="I63" s="242"/>
      <c r="J63" s="243"/>
      <c r="K63" s="244"/>
      <c r="M63" s="242"/>
      <c r="N63" s="243"/>
      <c r="O63" s="244"/>
      <c r="R63" s="14">
        <v>62.0</v>
      </c>
      <c r="S63" s="40">
        <v>23.862412949336</v>
      </c>
    </row>
    <row r="64" ht="15.75" customHeight="1">
      <c r="A64" s="234" t="s">
        <v>519</v>
      </c>
      <c r="B64" s="30" t="s">
        <v>520</v>
      </c>
      <c r="C64" s="238" t="s">
        <v>557</v>
      </c>
      <c r="E64" s="234"/>
      <c r="F64" s="30"/>
      <c r="G64" s="238"/>
      <c r="I64" s="234"/>
      <c r="J64" s="30"/>
      <c r="K64" s="238"/>
      <c r="M64" s="234"/>
      <c r="N64" s="30"/>
      <c r="O64" s="238"/>
      <c r="R64" s="14">
        <v>63.0</v>
      </c>
      <c r="S64" s="40">
        <v>24.3541448199492</v>
      </c>
    </row>
    <row r="65" ht="15.75" customHeight="1">
      <c r="A65" s="30">
        <f t="shared" ref="A65:C65" si="13">IF(E49&gt;0,$C$63-1,0)</f>
        <v>29</v>
      </c>
      <c r="B65" s="30">
        <f t="shared" si="13"/>
        <v>29</v>
      </c>
      <c r="C65" s="30">
        <f t="shared" si="13"/>
        <v>0</v>
      </c>
      <c r="E65" s="234"/>
      <c r="F65" s="30"/>
      <c r="G65" s="238"/>
      <c r="I65" s="234"/>
      <c r="J65" s="30"/>
      <c r="K65" s="238"/>
      <c r="M65" s="234"/>
      <c r="N65" s="30"/>
      <c r="O65" s="238"/>
      <c r="R65" s="14">
        <v>64.0</v>
      </c>
      <c r="S65" s="40">
        <v>24.8458766905624</v>
      </c>
    </row>
    <row r="66" ht="15.75" customHeight="1">
      <c r="A66" s="234" t="s">
        <v>522</v>
      </c>
      <c r="B66" s="30" t="s">
        <v>523</v>
      </c>
      <c r="C66" s="238" t="s">
        <v>524</v>
      </c>
      <c r="E66" s="234"/>
      <c r="F66" s="30"/>
      <c r="G66" s="238"/>
      <c r="I66" s="234"/>
      <c r="J66" s="30"/>
      <c r="K66" s="238"/>
      <c r="M66" s="234"/>
      <c r="N66" s="30"/>
      <c r="O66" s="238"/>
      <c r="R66" s="14">
        <v>65.0</v>
      </c>
      <c r="S66" s="40">
        <v>25.3376085611756</v>
      </c>
    </row>
    <row r="67" ht="15.75" customHeight="1">
      <c r="A67" s="30">
        <f t="shared" ref="A67:C67" si="14">IF(E51&gt;0,$C$63-1,0)</f>
        <v>0</v>
      </c>
      <c r="B67" s="30">
        <f t="shared" si="14"/>
        <v>29</v>
      </c>
      <c r="C67" s="30">
        <f t="shared" si="14"/>
        <v>0</v>
      </c>
      <c r="E67" s="239"/>
      <c r="F67" s="240"/>
      <c r="G67" s="241"/>
      <c r="I67" s="239"/>
      <c r="J67" s="240"/>
      <c r="K67" s="241"/>
      <c r="M67" s="239"/>
      <c r="N67" s="240"/>
      <c r="O67" s="241"/>
      <c r="R67" s="14">
        <v>66.0</v>
      </c>
      <c r="S67" s="40">
        <v>25.8293404317888</v>
      </c>
    </row>
    <row r="68" ht="15.75" customHeight="1">
      <c r="A68" s="242" t="s">
        <v>559</v>
      </c>
      <c r="B68" s="243"/>
      <c r="C68" s="244">
        <v>2.0</v>
      </c>
      <c r="E68" s="242"/>
      <c r="F68" s="243"/>
      <c r="G68" s="244"/>
      <c r="I68" s="242"/>
      <c r="J68" s="243"/>
      <c r="K68" s="244"/>
      <c r="M68" s="242"/>
      <c r="N68" s="243"/>
      <c r="O68" s="244"/>
      <c r="R68" s="14">
        <v>67.0</v>
      </c>
      <c r="S68" s="40">
        <v>26.321072302402</v>
      </c>
    </row>
    <row r="69" ht="15.75" customHeight="1">
      <c r="A69" s="234" t="s">
        <v>519</v>
      </c>
      <c r="B69" s="30" t="s">
        <v>520</v>
      </c>
      <c r="C69" s="238" t="s">
        <v>557</v>
      </c>
      <c r="E69" s="234"/>
      <c r="F69" s="30"/>
      <c r="G69" s="238"/>
      <c r="I69" s="234"/>
      <c r="J69" s="30"/>
      <c r="K69" s="238"/>
      <c r="M69" s="234"/>
      <c r="N69" s="30"/>
      <c r="O69" s="238"/>
      <c r="R69" s="14">
        <v>68.0</v>
      </c>
      <c r="S69" s="40">
        <v>26.8128041730153</v>
      </c>
    </row>
    <row r="70" ht="15.75" customHeight="1">
      <c r="A70" s="234">
        <f t="shared" ref="A70:C70" si="15">IF(E54&gt;0,$C$63-1,0)</f>
        <v>0</v>
      </c>
      <c r="B70" s="234">
        <f t="shared" si="15"/>
        <v>0</v>
      </c>
      <c r="C70" s="234">
        <f t="shared" si="15"/>
        <v>29</v>
      </c>
      <c r="E70" s="234"/>
      <c r="F70" s="30"/>
      <c r="G70" s="238"/>
      <c r="I70" s="234"/>
      <c r="J70" s="30"/>
      <c r="K70" s="238"/>
      <c r="M70" s="234"/>
      <c r="N70" s="30"/>
      <c r="O70" s="238"/>
      <c r="R70" s="14">
        <v>69.0</v>
      </c>
      <c r="S70" s="40">
        <v>27.3045360436285</v>
      </c>
    </row>
    <row r="71" ht="15.75" customHeight="1">
      <c r="A71" s="234" t="s">
        <v>522</v>
      </c>
      <c r="B71" s="30" t="s">
        <v>523</v>
      </c>
      <c r="C71" s="238" t="s">
        <v>524</v>
      </c>
      <c r="E71" s="234"/>
      <c r="F71" s="30"/>
      <c r="G71" s="238"/>
      <c r="I71" s="234"/>
      <c r="J71" s="30"/>
      <c r="K71" s="238"/>
      <c r="M71" s="234"/>
      <c r="N71" s="30"/>
      <c r="O71" s="238"/>
      <c r="R71" s="14">
        <v>70.0</v>
      </c>
      <c r="S71" s="40">
        <v>27.7962679142417</v>
      </c>
    </row>
    <row r="72" ht="15.75" customHeight="1">
      <c r="A72" s="239">
        <f t="shared" ref="A72:C72" si="16">IF(E56&gt;0,$C$63-1,0)</f>
        <v>0</v>
      </c>
      <c r="B72" s="239">
        <f t="shared" si="16"/>
        <v>0</v>
      </c>
      <c r="C72" s="239">
        <f t="shared" si="16"/>
        <v>0</v>
      </c>
      <c r="E72" s="239"/>
      <c r="F72" s="240"/>
      <c r="G72" s="241"/>
      <c r="I72" s="239"/>
      <c r="J72" s="240"/>
      <c r="K72" s="241"/>
      <c r="M72" s="239"/>
      <c r="N72" s="240"/>
      <c r="O72" s="241"/>
      <c r="R72" s="14">
        <v>71.0</v>
      </c>
      <c r="S72" s="40">
        <v>28.2879997848549</v>
      </c>
    </row>
    <row r="73" ht="15.75" customHeight="1">
      <c r="A73" s="14"/>
      <c r="R73" s="14">
        <v>72.0</v>
      </c>
      <c r="S73" s="40">
        <v>28.7797316554681</v>
      </c>
    </row>
    <row r="74" ht="15.75" customHeight="1">
      <c r="A74" s="242"/>
      <c r="B74" s="243"/>
      <c r="C74" s="244"/>
      <c r="E74" s="242"/>
      <c r="F74" s="243"/>
      <c r="G74" s="244"/>
      <c r="I74" s="242"/>
      <c r="J74" s="243"/>
      <c r="K74" s="244"/>
      <c r="M74" s="242"/>
      <c r="N74" s="243"/>
      <c r="O74" s="244"/>
      <c r="R74" s="14">
        <v>73.0</v>
      </c>
      <c r="S74" s="40">
        <v>29.2714635260813</v>
      </c>
    </row>
    <row r="75" ht="15.75" customHeight="1">
      <c r="A75" s="234"/>
      <c r="B75" s="30"/>
      <c r="C75" s="238"/>
      <c r="E75" s="234"/>
      <c r="F75" s="30"/>
      <c r="G75" s="238"/>
      <c r="I75" s="234"/>
      <c r="J75" s="30"/>
      <c r="K75" s="238"/>
      <c r="M75" s="234"/>
      <c r="N75" s="30"/>
      <c r="O75" s="238"/>
      <c r="R75" s="14">
        <v>74.0</v>
      </c>
      <c r="S75" s="40">
        <v>29.7631953966945</v>
      </c>
    </row>
    <row r="76" ht="15.75" customHeight="1">
      <c r="A76" s="234"/>
      <c r="B76" s="30"/>
      <c r="C76" s="238"/>
      <c r="E76" s="234"/>
      <c r="F76" s="30"/>
      <c r="G76" s="238"/>
      <c r="I76" s="234"/>
      <c r="J76" s="30"/>
      <c r="K76" s="238"/>
      <c r="M76" s="234"/>
      <c r="N76" s="30"/>
      <c r="O76" s="238"/>
      <c r="R76" s="14">
        <v>75.0</v>
      </c>
      <c r="S76" s="40">
        <v>30.2549272673077</v>
      </c>
    </row>
    <row r="77" ht="15.75" customHeight="1">
      <c r="A77" s="234"/>
      <c r="B77" s="30"/>
      <c r="C77" s="238"/>
      <c r="E77" s="234"/>
      <c r="F77" s="30"/>
      <c r="G77" s="238"/>
      <c r="I77" s="234"/>
      <c r="J77" s="30"/>
      <c r="K77" s="238"/>
      <c r="M77" s="234"/>
      <c r="N77" s="30"/>
      <c r="O77" s="238"/>
      <c r="R77" s="14">
        <v>76.0</v>
      </c>
      <c r="S77" s="40">
        <v>30.746659137921</v>
      </c>
    </row>
    <row r="78" ht="15.75" customHeight="1">
      <c r="A78" s="239"/>
      <c r="B78" s="240"/>
      <c r="C78" s="241"/>
      <c r="E78" s="239"/>
      <c r="F78" s="240"/>
      <c r="G78" s="241"/>
      <c r="I78" s="239"/>
      <c r="J78" s="240"/>
      <c r="K78" s="241"/>
      <c r="M78" s="239"/>
      <c r="N78" s="240"/>
      <c r="O78" s="241"/>
      <c r="R78" s="14">
        <v>77.0</v>
      </c>
      <c r="S78" s="40">
        <v>31.2383910085342</v>
      </c>
    </row>
    <row r="79" ht="15.75" customHeight="1">
      <c r="A79" s="242"/>
      <c r="B79" s="243"/>
      <c r="C79" s="244"/>
      <c r="E79" s="242"/>
      <c r="F79" s="243"/>
      <c r="G79" s="244"/>
      <c r="I79" s="242"/>
      <c r="J79" s="243"/>
      <c r="K79" s="244"/>
      <c r="M79" s="242"/>
      <c r="N79" s="243"/>
      <c r="O79" s="244"/>
      <c r="R79" s="14">
        <v>78.0</v>
      </c>
      <c r="S79" s="40">
        <v>31.7301228791474</v>
      </c>
    </row>
    <row r="80" ht="15.75" customHeight="1">
      <c r="A80" s="234"/>
      <c r="B80" s="30"/>
      <c r="C80" s="238"/>
      <c r="E80" s="234"/>
      <c r="F80" s="30"/>
      <c r="G80" s="238"/>
      <c r="I80" s="234"/>
      <c r="J80" s="30"/>
      <c r="K80" s="238"/>
      <c r="M80" s="234"/>
      <c r="N80" s="30"/>
      <c r="O80" s="238"/>
      <c r="R80" s="14">
        <v>79.0</v>
      </c>
      <c r="S80" s="40">
        <v>32.2218547497606</v>
      </c>
    </row>
    <row r="81" ht="15.75" customHeight="1">
      <c r="A81" s="234"/>
      <c r="B81" s="30"/>
      <c r="C81" s="238"/>
      <c r="E81" s="234"/>
      <c r="F81" s="30"/>
      <c r="G81" s="238"/>
      <c r="I81" s="234"/>
      <c r="J81" s="30"/>
      <c r="K81" s="238"/>
      <c r="M81" s="234"/>
      <c r="N81" s="30"/>
      <c r="O81" s="238"/>
      <c r="R81" s="14">
        <v>80.0</v>
      </c>
      <c r="S81" s="40">
        <v>32.7135866203738</v>
      </c>
    </row>
    <row r="82" ht="15.75" customHeight="1">
      <c r="A82" s="234"/>
      <c r="B82" s="30"/>
      <c r="C82" s="238"/>
      <c r="E82" s="234"/>
      <c r="F82" s="30"/>
      <c r="G82" s="238"/>
      <c r="I82" s="234"/>
      <c r="J82" s="30"/>
      <c r="K82" s="238"/>
      <c r="M82" s="234"/>
      <c r="N82" s="30"/>
      <c r="O82" s="238"/>
      <c r="R82" s="14">
        <v>81.0</v>
      </c>
      <c r="S82" s="40">
        <v>33.205318490987</v>
      </c>
    </row>
    <row r="83" ht="15.75" customHeight="1">
      <c r="A83" s="239"/>
      <c r="B83" s="240"/>
      <c r="C83" s="241"/>
      <c r="E83" s="239"/>
      <c r="F83" s="240"/>
      <c r="G83" s="241"/>
      <c r="I83" s="239"/>
      <c r="J83" s="240"/>
      <c r="K83" s="241"/>
      <c r="M83" s="239"/>
      <c r="N83" s="240"/>
      <c r="O83" s="241"/>
      <c r="R83" s="14">
        <v>82.0</v>
      </c>
      <c r="S83" s="40">
        <v>33.6970503616002</v>
      </c>
    </row>
    <row r="84" ht="15.75" customHeight="1">
      <c r="R84" s="14">
        <v>83.0</v>
      </c>
      <c r="S84" s="40">
        <v>34.1887822322135</v>
      </c>
    </row>
    <row r="85" ht="15.75" customHeight="1">
      <c r="A85" s="242"/>
      <c r="B85" s="243"/>
      <c r="C85" s="244"/>
      <c r="E85" s="242"/>
      <c r="F85" s="243"/>
      <c r="G85" s="244"/>
      <c r="I85" s="242"/>
      <c r="J85" s="243"/>
      <c r="K85" s="244"/>
      <c r="M85" s="242"/>
      <c r="N85" s="243"/>
      <c r="O85" s="244"/>
      <c r="R85" s="14">
        <v>84.0</v>
      </c>
      <c r="S85" s="40">
        <v>34.6805141028267</v>
      </c>
    </row>
    <row r="86" ht="15.75" customHeight="1">
      <c r="A86" s="234"/>
      <c r="B86" s="30"/>
      <c r="C86" s="238"/>
      <c r="E86" s="234"/>
      <c r="F86" s="30"/>
      <c r="G86" s="238"/>
      <c r="I86" s="234"/>
      <c r="J86" s="30"/>
      <c r="K86" s="238"/>
      <c r="M86" s="234"/>
      <c r="N86" s="30"/>
      <c r="O86" s="238"/>
      <c r="R86" s="14">
        <v>85.0</v>
      </c>
      <c r="S86" s="40">
        <v>35.1722459734399</v>
      </c>
    </row>
    <row r="87" ht="15.75" customHeight="1">
      <c r="A87" s="234"/>
      <c r="B87" s="30"/>
      <c r="C87" s="238"/>
      <c r="E87" s="234"/>
      <c r="F87" s="30"/>
      <c r="G87" s="238"/>
      <c r="I87" s="234"/>
      <c r="J87" s="30"/>
      <c r="K87" s="238"/>
      <c r="M87" s="234"/>
      <c r="N87" s="30"/>
      <c r="O87" s="238"/>
      <c r="R87" s="14">
        <v>86.0</v>
      </c>
      <c r="S87" s="40">
        <v>35.6639778440531</v>
      </c>
    </row>
    <row r="88" ht="15.75" customHeight="1">
      <c r="A88" s="234"/>
      <c r="B88" s="30"/>
      <c r="C88" s="238"/>
      <c r="E88" s="234"/>
      <c r="F88" s="30"/>
      <c r="G88" s="238"/>
      <c r="I88" s="234"/>
      <c r="J88" s="30"/>
      <c r="K88" s="238"/>
      <c r="M88" s="234"/>
      <c r="N88" s="30"/>
      <c r="O88" s="238"/>
      <c r="R88" s="14">
        <v>87.0</v>
      </c>
      <c r="S88" s="40">
        <v>36.1557097146663</v>
      </c>
    </row>
    <row r="89" ht="15.75" customHeight="1">
      <c r="A89" s="239"/>
      <c r="B89" s="240"/>
      <c r="C89" s="241"/>
      <c r="E89" s="239"/>
      <c r="F89" s="240"/>
      <c r="G89" s="241"/>
      <c r="I89" s="239"/>
      <c r="J89" s="240"/>
      <c r="K89" s="241"/>
      <c r="M89" s="239"/>
      <c r="N89" s="240"/>
      <c r="O89" s="241"/>
      <c r="R89" s="14">
        <v>88.0</v>
      </c>
      <c r="S89" s="40">
        <v>36.6474415852795</v>
      </c>
    </row>
    <row r="90" ht="15.75" customHeight="1">
      <c r="A90" s="242"/>
      <c r="B90" s="243"/>
      <c r="C90" s="244"/>
      <c r="E90" s="242"/>
      <c r="F90" s="243"/>
      <c r="G90" s="244"/>
      <c r="I90" s="242"/>
      <c r="J90" s="243"/>
      <c r="K90" s="244"/>
      <c r="M90" s="242"/>
      <c r="N90" s="243"/>
      <c r="O90" s="244"/>
      <c r="R90" s="14">
        <v>89.0</v>
      </c>
      <c r="S90" s="40">
        <v>37.1391734558927</v>
      </c>
    </row>
    <row r="91" ht="15.75" customHeight="1">
      <c r="A91" s="234"/>
      <c r="B91" s="30"/>
      <c r="C91" s="238"/>
      <c r="E91" s="234"/>
      <c r="F91" s="30"/>
      <c r="G91" s="238"/>
      <c r="I91" s="234"/>
      <c r="J91" s="30"/>
      <c r="K91" s="238"/>
      <c r="M91" s="234"/>
      <c r="N91" s="30"/>
      <c r="O91" s="238"/>
      <c r="R91" s="14">
        <v>90.0</v>
      </c>
      <c r="S91" s="40">
        <v>37.6309053265059</v>
      </c>
    </row>
    <row r="92" ht="15.75" customHeight="1">
      <c r="A92" s="234"/>
      <c r="B92" s="30"/>
      <c r="C92" s="238"/>
      <c r="E92" s="234"/>
      <c r="F92" s="30"/>
      <c r="G92" s="238"/>
      <c r="I92" s="234"/>
      <c r="J92" s="30"/>
      <c r="K92" s="238"/>
      <c r="M92" s="234"/>
      <c r="N92" s="30"/>
      <c r="O92" s="238"/>
      <c r="R92" s="14">
        <v>91.0</v>
      </c>
      <c r="S92" s="40">
        <v>38.1226371971192</v>
      </c>
    </row>
    <row r="93" ht="15.75" customHeight="1">
      <c r="A93" s="234"/>
      <c r="B93" s="30"/>
      <c r="C93" s="238"/>
      <c r="E93" s="234"/>
      <c r="F93" s="30"/>
      <c r="G93" s="238"/>
      <c r="I93" s="234"/>
      <c r="J93" s="30"/>
      <c r="K93" s="238"/>
      <c r="M93" s="234"/>
      <c r="N93" s="30"/>
      <c r="O93" s="238"/>
      <c r="R93" s="14">
        <v>92.0</v>
      </c>
      <c r="S93" s="40">
        <v>38.6143690677324</v>
      </c>
    </row>
    <row r="94" ht="15.75" customHeight="1">
      <c r="A94" s="239"/>
      <c r="B94" s="240"/>
      <c r="C94" s="241"/>
      <c r="E94" s="239"/>
      <c r="F94" s="240"/>
      <c r="G94" s="241"/>
      <c r="I94" s="239"/>
      <c r="J94" s="240"/>
      <c r="K94" s="241"/>
      <c r="M94" s="239"/>
      <c r="N94" s="240"/>
      <c r="O94" s="241"/>
      <c r="R94" s="14">
        <v>93.0</v>
      </c>
      <c r="S94" s="40">
        <v>39.1061009383456</v>
      </c>
    </row>
    <row r="95" ht="15.75" customHeight="1">
      <c r="R95" s="14">
        <v>94.0</v>
      </c>
      <c r="S95" s="40">
        <v>39.5978328089588</v>
      </c>
    </row>
    <row r="96" ht="15.75" customHeight="1">
      <c r="A96" s="242"/>
      <c r="B96" s="243"/>
      <c r="C96" s="244"/>
      <c r="E96" s="242"/>
      <c r="F96" s="243"/>
      <c r="G96" s="244"/>
      <c r="I96" s="242"/>
      <c r="J96" s="243"/>
      <c r="K96" s="244"/>
      <c r="M96" s="242"/>
      <c r="N96" s="243"/>
      <c r="O96" s="244"/>
      <c r="R96" s="14">
        <v>95.0</v>
      </c>
      <c r="S96" s="40">
        <v>40.089564679572</v>
      </c>
    </row>
    <row r="97" ht="15.75" customHeight="1">
      <c r="A97" s="234"/>
      <c r="B97" s="30"/>
      <c r="C97" s="238"/>
      <c r="E97" s="234"/>
      <c r="F97" s="30"/>
      <c r="G97" s="238"/>
      <c r="I97" s="234"/>
      <c r="J97" s="30"/>
      <c r="K97" s="238"/>
      <c r="M97" s="234"/>
      <c r="N97" s="30"/>
      <c r="O97" s="238"/>
      <c r="R97" s="14">
        <v>96.0</v>
      </c>
      <c r="S97" s="40">
        <v>40.5812965501852</v>
      </c>
    </row>
    <row r="98" ht="15.75" customHeight="1">
      <c r="A98" s="234"/>
      <c r="B98" s="30"/>
      <c r="C98" s="238"/>
      <c r="E98" s="234"/>
      <c r="F98" s="30"/>
      <c r="G98" s="238"/>
      <c r="I98" s="234"/>
      <c r="J98" s="30"/>
      <c r="K98" s="238"/>
      <c r="M98" s="234"/>
      <c r="N98" s="30"/>
      <c r="O98" s="238"/>
      <c r="R98" s="14">
        <v>97.0</v>
      </c>
      <c r="S98" s="40">
        <v>41.0730284207984</v>
      </c>
    </row>
    <row r="99" ht="15.75" customHeight="1">
      <c r="A99" s="234"/>
      <c r="B99" s="30"/>
      <c r="C99" s="238"/>
      <c r="E99" s="234"/>
      <c r="F99" s="30"/>
      <c r="G99" s="238"/>
      <c r="I99" s="234"/>
      <c r="J99" s="30"/>
      <c r="K99" s="238"/>
      <c r="M99" s="234"/>
      <c r="N99" s="30"/>
      <c r="O99" s="238"/>
      <c r="R99" s="14">
        <v>98.0</v>
      </c>
      <c r="S99" s="40">
        <v>41.5647602914116</v>
      </c>
    </row>
    <row r="100" ht="15.75" customHeight="1">
      <c r="A100" s="239"/>
      <c r="B100" s="240"/>
      <c r="C100" s="241"/>
      <c r="E100" s="239"/>
      <c r="F100" s="240"/>
      <c r="G100" s="241"/>
      <c r="I100" s="239"/>
      <c r="J100" s="240"/>
      <c r="K100" s="241"/>
      <c r="M100" s="239"/>
      <c r="N100" s="240"/>
      <c r="O100" s="241"/>
      <c r="R100" s="14">
        <v>99.0</v>
      </c>
      <c r="S100" s="40">
        <v>42.0564921620249</v>
      </c>
    </row>
    <row r="101" ht="15.75" customHeight="1">
      <c r="A101" s="242"/>
      <c r="B101" s="243"/>
      <c r="C101" s="244"/>
      <c r="E101" s="242"/>
      <c r="F101" s="243"/>
      <c r="G101" s="244"/>
      <c r="I101" s="242"/>
      <c r="J101" s="243"/>
      <c r="K101" s="244"/>
      <c r="M101" s="242"/>
      <c r="N101" s="243"/>
      <c r="O101" s="244"/>
      <c r="Q101" s="40"/>
      <c r="R101" s="14">
        <v>100.0</v>
      </c>
      <c r="S101" s="14">
        <v>43.0</v>
      </c>
    </row>
    <row r="102" ht="15.75" customHeight="1">
      <c r="A102" s="234"/>
      <c r="B102" s="30"/>
      <c r="C102" s="238"/>
      <c r="E102" s="234"/>
      <c r="F102" s="30"/>
      <c r="G102" s="238"/>
      <c r="I102" s="234"/>
      <c r="J102" s="30"/>
      <c r="K102" s="238"/>
      <c r="M102" s="234"/>
      <c r="N102" s="30"/>
      <c r="O102" s="238"/>
      <c r="Q102" s="40"/>
    </row>
    <row r="103" ht="15.75" customHeight="1">
      <c r="A103" s="234"/>
      <c r="B103" s="30"/>
      <c r="C103" s="238"/>
      <c r="E103" s="234"/>
      <c r="F103" s="30"/>
      <c r="G103" s="238"/>
      <c r="I103" s="234"/>
      <c r="J103" s="30"/>
      <c r="K103" s="238"/>
      <c r="M103" s="234"/>
      <c r="N103" s="30"/>
      <c r="O103" s="238"/>
      <c r="Q103" s="40"/>
    </row>
    <row r="104" ht="15.75" customHeight="1">
      <c r="A104" s="234"/>
      <c r="B104" s="30"/>
      <c r="C104" s="238"/>
      <c r="E104" s="234"/>
      <c r="F104" s="30"/>
      <c r="G104" s="238"/>
      <c r="I104" s="234"/>
      <c r="J104" s="30"/>
      <c r="K104" s="238"/>
      <c r="M104" s="234"/>
      <c r="N104" s="30"/>
      <c r="O104" s="238"/>
      <c r="Q104" s="40"/>
    </row>
    <row r="105" ht="15.75" customHeight="1">
      <c r="A105" s="239"/>
      <c r="B105" s="240"/>
      <c r="C105" s="241"/>
      <c r="E105" s="239"/>
      <c r="F105" s="240"/>
      <c r="G105" s="241"/>
      <c r="I105" s="239"/>
      <c r="J105" s="240"/>
      <c r="K105" s="241"/>
      <c r="M105" s="239"/>
      <c r="N105" s="240"/>
      <c r="O105" s="241"/>
      <c r="Q105" s="40"/>
    </row>
    <row r="106" ht="15.75" customHeight="1">
      <c r="Q106" s="40"/>
    </row>
    <row r="107" ht="15.75" customHeight="1">
      <c r="A107" s="242"/>
      <c r="B107" s="243"/>
      <c r="C107" s="244"/>
      <c r="E107" s="242"/>
      <c r="F107" s="243"/>
      <c r="G107" s="244"/>
      <c r="I107" s="242"/>
      <c r="J107" s="243"/>
      <c r="K107" s="244"/>
      <c r="M107" s="242"/>
      <c r="N107" s="243"/>
      <c r="O107" s="244"/>
      <c r="Q107" s="40"/>
    </row>
    <row r="108" ht="15.75" customHeight="1">
      <c r="A108" s="234"/>
      <c r="B108" s="30"/>
      <c r="C108" s="238"/>
      <c r="E108" s="234"/>
      <c r="F108" s="30"/>
      <c r="G108" s="238"/>
      <c r="I108" s="234"/>
      <c r="J108" s="30"/>
      <c r="K108" s="238"/>
      <c r="M108" s="234"/>
      <c r="N108" s="30"/>
      <c r="O108" s="238"/>
      <c r="Q108" s="40"/>
    </row>
    <row r="109" ht="15.75" customHeight="1">
      <c r="A109" s="234"/>
      <c r="B109" s="30"/>
      <c r="C109" s="238"/>
      <c r="E109" s="234"/>
      <c r="F109" s="30"/>
      <c r="G109" s="238"/>
      <c r="I109" s="234"/>
      <c r="J109" s="30"/>
      <c r="K109" s="238"/>
      <c r="M109" s="234"/>
      <c r="N109" s="30"/>
      <c r="O109" s="238"/>
      <c r="Q109" s="40"/>
    </row>
    <row r="110" ht="15.75" customHeight="1">
      <c r="A110" s="234"/>
      <c r="B110" s="30"/>
      <c r="C110" s="238"/>
      <c r="E110" s="234"/>
      <c r="F110" s="30"/>
      <c r="G110" s="238"/>
      <c r="I110" s="234"/>
      <c r="J110" s="30"/>
      <c r="K110" s="238"/>
      <c r="M110" s="234"/>
      <c r="N110" s="30"/>
      <c r="O110" s="238"/>
      <c r="Q110" s="40"/>
    </row>
    <row r="111" ht="15.75" customHeight="1">
      <c r="A111" s="239"/>
      <c r="B111" s="240"/>
      <c r="C111" s="241"/>
      <c r="E111" s="239"/>
      <c r="F111" s="240"/>
      <c r="G111" s="241"/>
      <c r="I111" s="239"/>
      <c r="J111" s="240"/>
      <c r="K111" s="241"/>
      <c r="M111" s="239"/>
      <c r="N111" s="240"/>
      <c r="O111" s="241"/>
      <c r="Q111" s="40"/>
    </row>
    <row r="112" ht="15.75" customHeight="1">
      <c r="A112" s="242"/>
      <c r="B112" s="243"/>
      <c r="C112" s="244"/>
      <c r="E112" s="242"/>
      <c r="F112" s="243"/>
      <c r="G112" s="244"/>
      <c r="I112" s="242"/>
      <c r="J112" s="243"/>
      <c r="K112" s="244"/>
      <c r="M112" s="242"/>
      <c r="N112" s="243"/>
      <c r="O112" s="244"/>
      <c r="Q112" s="40"/>
    </row>
    <row r="113" ht="15.75" customHeight="1">
      <c r="A113" s="234"/>
      <c r="B113" s="30"/>
      <c r="C113" s="238"/>
      <c r="E113" s="234"/>
      <c r="F113" s="30"/>
      <c r="G113" s="238"/>
      <c r="I113" s="234"/>
      <c r="J113" s="30"/>
      <c r="K113" s="238"/>
      <c r="M113" s="234"/>
      <c r="N113" s="30"/>
      <c r="O113" s="238"/>
      <c r="Q113" s="40"/>
    </row>
    <row r="114" ht="15.75" customHeight="1">
      <c r="A114" s="234"/>
      <c r="B114" s="30"/>
      <c r="C114" s="238"/>
      <c r="E114" s="234"/>
      <c r="F114" s="30"/>
      <c r="G114" s="238"/>
      <c r="I114" s="234"/>
      <c r="J114" s="30"/>
      <c r="K114" s="238"/>
      <c r="M114" s="234"/>
      <c r="N114" s="30"/>
      <c r="O114" s="238"/>
      <c r="Q114" s="40"/>
    </row>
    <row r="115" ht="15.75" customHeight="1">
      <c r="A115" s="234"/>
      <c r="B115" s="30"/>
      <c r="C115" s="238"/>
      <c r="E115" s="234"/>
      <c r="F115" s="30"/>
      <c r="G115" s="238"/>
      <c r="I115" s="234"/>
      <c r="J115" s="30"/>
      <c r="K115" s="238"/>
      <c r="M115" s="234"/>
      <c r="N115" s="30"/>
      <c r="O115" s="238"/>
      <c r="Q115" s="40"/>
    </row>
    <row r="116" ht="15.75" customHeight="1">
      <c r="A116" s="239"/>
      <c r="B116" s="240"/>
      <c r="C116" s="241"/>
      <c r="E116" s="239"/>
      <c r="F116" s="240"/>
      <c r="G116" s="241"/>
      <c r="I116" s="239"/>
      <c r="J116" s="240"/>
      <c r="K116" s="241"/>
      <c r="M116" s="239"/>
      <c r="N116" s="240"/>
      <c r="O116" s="241"/>
      <c r="Q116" s="40"/>
    </row>
    <row r="117" ht="15.75" customHeight="1">
      <c r="Q117" s="40"/>
    </row>
    <row r="118" ht="15.75" customHeight="1">
      <c r="A118" s="242"/>
      <c r="B118" s="243"/>
      <c r="C118" s="244"/>
      <c r="E118" s="242"/>
      <c r="F118" s="243"/>
      <c r="G118" s="244"/>
      <c r="I118" s="242"/>
      <c r="J118" s="243"/>
      <c r="K118" s="244"/>
      <c r="M118" s="242"/>
      <c r="N118" s="243"/>
      <c r="O118" s="244"/>
      <c r="Q118" s="40"/>
    </row>
    <row r="119" ht="15.75" customHeight="1">
      <c r="A119" s="234"/>
      <c r="B119" s="30"/>
      <c r="C119" s="238"/>
      <c r="E119" s="234"/>
      <c r="F119" s="30"/>
      <c r="G119" s="238"/>
      <c r="I119" s="234"/>
      <c r="J119" s="30"/>
      <c r="K119" s="238"/>
      <c r="M119" s="234"/>
      <c r="N119" s="30"/>
      <c r="O119" s="238"/>
      <c r="Q119" s="40"/>
    </row>
    <row r="120" ht="15.75" customHeight="1">
      <c r="A120" s="234"/>
      <c r="B120" s="30"/>
      <c r="C120" s="238"/>
      <c r="E120" s="234"/>
      <c r="F120" s="30"/>
      <c r="G120" s="238"/>
      <c r="I120" s="234"/>
      <c r="J120" s="30"/>
      <c r="K120" s="238"/>
      <c r="M120" s="234"/>
      <c r="N120" s="30"/>
      <c r="O120" s="238"/>
      <c r="Q120" s="40"/>
    </row>
    <row r="121" ht="15.75" customHeight="1">
      <c r="A121" s="234"/>
      <c r="B121" s="30"/>
      <c r="C121" s="238"/>
      <c r="E121" s="234"/>
      <c r="F121" s="30"/>
      <c r="G121" s="238"/>
      <c r="I121" s="234"/>
      <c r="J121" s="30"/>
      <c r="K121" s="238"/>
      <c r="M121" s="234"/>
      <c r="N121" s="30"/>
      <c r="O121" s="238"/>
      <c r="Q121" s="40"/>
    </row>
    <row r="122" ht="15.75" customHeight="1">
      <c r="A122" s="239"/>
      <c r="B122" s="240"/>
      <c r="C122" s="241"/>
      <c r="E122" s="239"/>
      <c r="F122" s="240"/>
      <c r="G122" s="241"/>
      <c r="I122" s="239"/>
      <c r="J122" s="240"/>
      <c r="K122" s="241"/>
      <c r="M122" s="239"/>
      <c r="N122" s="240"/>
      <c r="O122" s="241"/>
      <c r="Q122" s="40"/>
    </row>
    <row r="123" ht="15.75" customHeight="1">
      <c r="A123" s="242"/>
      <c r="B123" s="243"/>
      <c r="C123" s="244"/>
      <c r="E123" s="242"/>
      <c r="F123" s="243"/>
      <c r="G123" s="244"/>
      <c r="I123" s="242"/>
      <c r="J123" s="243"/>
      <c r="K123" s="244"/>
      <c r="M123" s="242"/>
      <c r="N123" s="243"/>
      <c r="O123" s="244"/>
      <c r="Q123" s="40"/>
    </row>
    <row r="124" ht="15.75" customHeight="1">
      <c r="A124" s="234"/>
      <c r="B124" s="30"/>
      <c r="C124" s="238"/>
      <c r="E124" s="234"/>
      <c r="F124" s="30"/>
      <c r="G124" s="238"/>
      <c r="I124" s="234"/>
      <c r="J124" s="30"/>
      <c r="K124" s="238"/>
      <c r="M124" s="234"/>
      <c r="N124" s="30"/>
      <c r="O124" s="238"/>
      <c r="Q124" s="40"/>
    </row>
    <row r="125" ht="15.75" customHeight="1">
      <c r="A125" s="234"/>
      <c r="B125" s="30"/>
      <c r="C125" s="238"/>
      <c r="E125" s="234"/>
      <c r="F125" s="30"/>
      <c r="G125" s="238"/>
      <c r="I125" s="234"/>
      <c r="J125" s="30"/>
      <c r="K125" s="238"/>
      <c r="M125" s="234"/>
      <c r="N125" s="30"/>
      <c r="O125" s="238"/>
      <c r="Q125" s="40"/>
    </row>
    <row r="126" ht="15.75" customHeight="1">
      <c r="A126" s="234"/>
      <c r="B126" s="30"/>
      <c r="C126" s="238"/>
      <c r="E126" s="234"/>
      <c r="F126" s="30"/>
      <c r="G126" s="238"/>
      <c r="I126" s="234"/>
      <c r="J126" s="30"/>
      <c r="K126" s="238"/>
      <c r="M126" s="234"/>
      <c r="N126" s="30"/>
      <c r="O126" s="238"/>
      <c r="Q126" s="40"/>
    </row>
    <row r="127" ht="15.75" customHeight="1">
      <c r="A127" s="239"/>
      <c r="B127" s="240"/>
      <c r="C127" s="241"/>
      <c r="E127" s="239"/>
      <c r="F127" s="240"/>
      <c r="G127" s="241"/>
      <c r="I127" s="239"/>
      <c r="J127" s="240"/>
      <c r="K127" s="241"/>
      <c r="M127" s="239"/>
      <c r="N127" s="240"/>
      <c r="O127" s="241"/>
      <c r="Q127" s="40"/>
    </row>
    <row r="128" ht="15.75" customHeight="1">
      <c r="Q128" s="40"/>
    </row>
    <row r="129" ht="15.75" customHeight="1">
      <c r="A129" s="242"/>
      <c r="B129" s="243"/>
      <c r="C129" s="244"/>
      <c r="E129" s="242"/>
      <c r="F129" s="243"/>
      <c r="G129" s="244"/>
      <c r="I129" s="242"/>
      <c r="J129" s="243"/>
      <c r="K129" s="244"/>
      <c r="M129" s="242"/>
      <c r="N129" s="243"/>
      <c r="O129" s="244"/>
      <c r="Q129" s="40"/>
    </row>
    <row r="130" ht="15.75" customHeight="1">
      <c r="A130" s="234"/>
      <c r="B130" s="30"/>
      <c r="C130" s="238"/>
      <c r="E130" s="234"/>
      <c r="F130" s="30"/>
      <c r="G130" s="238"/>
      <c r="I130" s="234"/>
      <c r="J130" s="30"/>
      <c r="K130" s="238"/>
      <c r="M130" s="234"/>
      <c r="N130" s="30"/>
      <c r="O130" s="238"/>
      <c r="Q130" s="40"/>
    </row>
    <row r="131" ht="15.75" customHeight="1">
      <c r="A131" s="234"/>
      <c r="B131" s="30"/>
      <c r="C131" s="238"/>
      <c r="E131" s="234"/>
      <c r="F131" s="30"/>
      <c r="G131" s="238"/>
      <c r="I131" s="234"/>
      <c r="J131" s="30"/>
      <c r="K131" s="238"/>
      <c r="M131" s="234"/>
      <c r="N131" s="30"/>
      <c r="O131" s="238"/>
      <c r="Q131" s="40"/>
    </row>
    <row r="132" ht="15.75" customHeight="1">
      <c r="A132" s="234"/>
      <c r="B132" s="30"/>
      <c r="C132" s="238"/>
      <c r="E132" s="234"/>
      <c r="F132" s="30"/>
      <c r="G132" s="238"/>
      <c r="I132" s="234"/>
      <c r="J132" s="30"/>
      <c r="K132" s="238"/>
      <c r="M132" s="234"/>
      <c r="N132" s="30"/>
      <c r="O132" s="238"/>
      <c r="Q132" s="40"/>
    </row>
    <row r="133" ht="15.75" customHeight="1">
      <c r="A133" s="239"/>
      <c r="B133" s="240"/>
      <c r="C133" s="241"/>
      <c r="E133" s="239"/>
      <c r="F133" s="240"/>
      <c r="G133" s="241"/>
      <c r="I133" s="239"/>
      <c r="J133" s="240"/>
      <c r="K133" s="241"/>
      <c r="M133" s="239"/>
      <c r="N133" s="240"/>
      <c r="O133" s="241"/>
      <c r="Q133" s="40"/>
    </row>
    <row r="134" ht="15.75" customHeight="1">
      <c r="A134" s="242"/>
      <c r="B134" s="243"/>
      <c r="C134" s="244"/>
      <c r="E134" s="242"/>
      <c r="F134" s="243"/>
      <c r="G134" s="244"/>
      <c r="I134" s="242"/>
      <c r="J134" s="243"/>
      <c r="K134" s="244"/>
      <c r="M134" s="242"/>
      <c r="N134" s="243"/>
      <c r="O134" s="244"/>
      <c r="Q134" s="40"/>
    </row>
    <row r="135" ht="15.75" customHeight="1">
      <c r="A135" s="234"/>
      <c r="B135" s="30"/>
      <c r="C135" s="238"/>
      <c r="E135" s="234"/>
      <c r="F135" s="30"/>
      <c r="G135" s="238"/>
      <c r="I135" s="234"/>
      <c r="J135" s="30"/>
      <c r="K135" s="238"/>
      <c r="M135" s="234"/>
      <c r="N135" s="30"/>
      <c r="O135" s="238"/>
      <c r="Q135" s="40"/>
    </row>
    <row r="136" ht="15.75" customHeight="1">
      <c r="A136" s="234"/>
      <c r="B136" s="30"/>
      <c r="C136" s="238"/>
      <c r="E136" s="234"/>
      <c r="F136" s="30"/>
      <c r="G136" s="238"/>
      <c r="I136" s="234"/>
      <c r="J136" s="30"/>
      <c r="K136" s="238"/>
      <c r="M136" s="234"/>
      <c r="N136" s="30"/>
      <c r="O136" s="238"/>
      <c r="Q136" s="40"/>
    </row>
    <row r="137" ht="15.75" customHeight="1">
      <c r="A137" s="234"/>
      <c r="B137" s="30"/>
      <c r="C137" s="238"/>
      <c r="E137" s="234"/>
      <c r="F137" s="30"/>
      <c r="G137" s="238"/>
      <c r="I137" s="234"/>
      <c r="J137" s="30"/>
      <c r="K137" s="238"/>
      <c r="M137" s="234"/>
      <c r="N137" s="30"/>
      <c r="O137" s="238"/>
      <c r="Q137" s="40"/>
    </row>
    <row r="138" ht="15.75" customHeight="1">
      <c r="A138" s="239"/>
      <c r="B138" s="240"/>
      <c r="C138" s="241"/>
      <c r="E138" s="239"/>
      <c r="F138" s="240"/>
      <c r="G138" s="241"/>
      <c r="I138" s="239"/>
      <c r="J138" s="240"/>
      <c r="K138" s="241"/>
      <c r="M138" s="239"/>
      <c r="N138" s="240"/>
      <c r="O138" s="241"/>
      <c r="Q138" s="40"/>
    </row>
    <row r="139" ht="15.75" customHeight="1">
      <c r="Q139" s="40"/>
    </row>
    <row r="140" ht="15.75" customHeight="1">
      <c r="A140" s="242"/>
      <c r="B140" s="243"/>
      <c r="C140" s="244"/>
      <c r="E140" s="242"/>
      <c r="F140" s="243"/>
      <c r="G140" s="244"/>
      <c r="Q140" s="40"/>
    </row>
    <row r="141" ht="15.75" customHeight="1">
      <c r="A141" s="234"/>
      <c r="B141" s="30"/>
      <c r="C141" s="238"/>
      <c r="E141" s="234"/>
      <c r="F141" s="30"/>
      <c r="G141" s="238"/>
      <c r="I141" s="30"/>
      <c r="J141" s="30"/>
      <c r="K141" s="30"/>
      <c r="M141" s="30"/>
      <c r="N141" s="30"/>
      <c r="O141" s="30"/>
      <c r="Q141" s="40"/>
    </row>
    <row r="142" ht="15.75" customHeight="1">
      <c r="A142" s="234"/>
      <c r="B142" s="30"/>
      <c r="C142" s="238"/>
      <c r="E142" s="234"/>
      <c r="F142" s="30"/>
      <c r="G142" s="238"/>
      <c r="I142" s="30"/>
      <c r="J142" s="30"/>
      <c r="K142" s="30"/>
      <c r="M142" s="30"/>
      <c r="N142" s="30"/>
      <c r="O142" s="30"/>
      <c r="Q142" s="40"/>
    </row>
    <row r="143" ht="15.75" customHeight="1">
      <c r="A143" s="234"/>
      <c r="B143" s="30"/>
      <c r="C143" s="238"/>
      <c r="E143" s="234"/>
      <c r="F143" s="30"/>
      <c r="G143" s="238"/>
      <c r="I143" s="30"/>
      <c r="J143" s="30"/>
      <c r="K143" s="30"/>
      <c r="M143" s="30"/>
      <c r="N143" s="30"/>
      <c r="O143" s="30"/>
      <c r="Q143" s="40"/>
    </row>
    <row r="144" ht="15.75" customHeight="1">
      <c r="A144" s="239"/>
      <c r="B144" s="240"/>
      <c r="C144" s="241"/>
      <c r="E144" s="239"/>
      <c r="F144" s="240"/>
      <c r="G144" s="241"/>
      <c r="I144" s="30"/>
      <c r="J144" s="30"/>
      <c r="K144" s="30"/>
      <c r="M144" s="30"/>
      <c r="N144" s="30"/>
      <c r="O144" s="30"/>
      <c r="Q144" s="40"/>
    </row>
    <row r="145" ht="15.75" customHeight="1">
      <c r="A145" s="242"/>
      <c r="B145" s="243"/>
      <c r="C145" s="244"/>
      <c r="E145" s="242"/>
      <c r="F145" s="243"/>
      <c r="G145" s="244"/>
      <c r="Q145" s="40"/>
    </row>
    <row r="146" ht="15.75" customHeight="1">
      <c r="A146" s="234"/>
      <c r="B146" s="30"/>
      <c r="C146" s="238"/>
      <c r="E146" s="234"/>
      <c r="F146" s="30"/>
      <c r="G146" s="238"/>
      <c r="I146" s="30"/>
      <c r="J146" s="30"/>
      <c r="K146" s="30"/>
      <c r="M146" s="30"/>
      <c r="N146" s="30"/>
      <c r="O146" s="30"/>
      <c r="Q146" s="40"/>
    </row>
    <row r="147" ht="15.75" customHeight="1">
      <c r="A147" s="234"/>
      <c r="B147" s="30"/>
      <c r="C147" s="238"/>
      <c r="E147" s="234"/>
      <c r="F147" s="30"/>
      <c r="G147" s="238"/>
      <c r="I147" s="30"/>
      <c r="J147" s="30"/>
      <c r="K147" s="30"/>
      <c r="M147" s="30"/>
      <c r="N147" s="30"/>
      <c r="O147" s="30"/>
      <c r="Q147" s="40"/>
    </row>
    <row r="148" ht="15.75" customHeight="1">
      <c r="A148" s="234"/>
      <c r="B148" s="30"/>
      <c r="C148" s="238"/>
      <c r="E148" s="234"/>
      <c r="F148" s="30"/>
      <c r="G148" s="238"/>
      <c r="I148" s="30"/>
      <c r="J148" s="30"/>
      <c r="K148" s="30"/>
      <c r="M148" s="30"/>
      <c r="N148" s="30"/>
      <c r="O148" s="30"/>
      <c r="Q148" s="40"/>
    </row>
    <row r="149" ht="15.75" customHeight="1">
      <c r="A149" s="239"/>
      <c r="B149" s="240"/>
      <c r="C149" s="241"/>
      <c r="E149" s="239"/>
      <c r="F149" s="240"/>
      <c r="G149" s="241"/>
      <c r="I149" s="30"/>
      <c r="J149" s="30"/>
      <c r="K149" s="30"/>
      <c r="M149" s="30"/>
      <c r="N149" s="30"/>
      <c r="O149" s="30"/>
      <c r="Q149" s="40"/>
    </row>
    <row r="150" ht="15.75" customHeight="1">
      <c r="Q150" s="40"/>
    </row>
    <row r="151" ht="15.75" customHeight="1">
      <c r="Q151" s="40"/>
    </row>
    <row r="152" ht="15.75" customHeight="1">
      <c r="Q152" s="40"/>
    </row>
    <row r="153" ht="15.75" customHeight="1">
      <c r="Q153" s="40"/>
    </row>
    <row r="154" ht="15.75" customHeight="1">
      <c r="Q154" s="40"/>
    </row>
    <row r="155" ht="15.75" customHeight="1">
      <c r="Q155" s="40"/>
    </row>
    <row r="156" ht="15.75" customHeight="1">
      <c r="Q156" s="40"/>
    </row>
    <row r="157" ht="15.75" customHeight="1">
      <c r="Q157" s="40"/>
    </row>
    <row r="158" ht="15.75" customHeight="1">
      <c r="Q158" s="40"/>
    </row>
    <row r="159" ht="15.75" customHeight="1">
      <c r="Q159" s="40"/>
    </row>
    <row r="160" ht="15.75" customHeight="1">
      <c r="Q160" s="40"/>
    </row>
    <row r="161" ht="15.75" customHeight="1">
      <c r="Q161" s="40"/>
    </row>
    <row r="162" ht="15.75" customHeight="1">
      <c r="Q162" s="40"/>
    </row>
    <row r="163" ht="15.75" customHeight="1">
      <c r="Q163" s="40"/>
    </row>
    <row r="164" ht="15.75" customHeight="1">
      <c r="Q164" s="40"/>
    </row>
    <row r="165" ht="15.75" customHeight="1">
      <c r="Q165" s="40"/>
    </row>
    <row r="166" ht="15.75" customHeight="1">
      <c r="Q166" s="40"/>
    </row>
    <row r="167" ht="15.75" customHeight="1">
      <c r="Q167" s="40"/>
    </row>
    <row r="168" ht="15.75" customHeight="1">
      <c r="Q168" s="40"/>
    </row>
    <row r="169" ht="15.75" customHeight="1">
      <c r="Q169" s="40"/>
    </row>
    <row r="170" ht="15.75" customHeight="1">
      <c r="Q170" s="40"/>
    </row>
    <row r="171" ht="15.75" customHeight="1">
      <c r="Q171" s="40"/>
    </row>
    <row r="172" ht="15.75" customHeight="1">
      <c r="Q172" s="40"/>
    </row>
    <row r="173" ht="15.75" customHeight="1">
      <c r="Q173" s="40"/>
    </row>
    <row r="174" ht="15.75" customHeight="1">
      <c r="Q174" s="40"/>
    </row>
    <row r="175" ht="15.75" customHeight="1">
      <c r="Q175" s="40"/>
    </row>
    <row r="176" ht="15.75" customHeight="1">
      <c r="Q176" s="40"/>
    </row>
    <row r="177" ht="15.75" customHeight="1">
      <c r="Q177" s="40"/>
    </row>
    <row r="178" ht="15.75" customHeight="1">
      <c r="Q178" s="40"/>
    </row>
    <row r="179" ht="15.75" customHeight="1">
      <c r="Q179" s="40"/>
    </row>
    <row r="180" ht="15.75" customHeight="1">
      <c r="Q180" s="40"/>
    </row>
    <row r="181" ht="15.75" customHeight="1">
      <c r="Q181" s="40"/>
    </row>
    <row r="182" ht="15.75" customHeight="1">
      <c r="Q182" s="40"/>
    </row>
    <row r="183" ht="15.75" customHeight="1">
      <c r="Q183" s="40"/>
    </row>
    <row r="184" ht="15.75" customHeight="1">
      <c r="Q184" s="40"/>
    </row>
    <row r="185" ht="15.75" customHeight="1">
      <c r="Q185" s="40"/>
    </row>
    <row r="186" ht="15.75" customHeight="1">
      <c r="Q186" s="40"/>
    </row>
    <row r="187" ht="15.75" customHeight="1">
      <c r="Q187" s="40"/>
    </row>
    <row r="188" ht="15.75" customHeight="1">
      <c r="Q188" s="40"/>
    </row>
    <row r="189" ht="15.75" customHeight="1">
      <c r="Q189" s="40"/>
    </row>
    <row r="190" ht="15.75" customHeight="1">
      <c r="Q190" s="40"/>
    </row>
    <row r="191" ht="15.75" customHeight="1">
      <c r="Q191" s="40"/>
    </row>
    <row r="192" ht="15.75" customHeight="1">
      <c r="Q192" s="40"/>
    </row>
    <row r="193" ht="15.75" customHeight="1">
      <c r="Q193" s="40"/>
    </row>
    <row r="194" ht="15.75" customHeight="1">
      <c r="Q194" s="40"/>
    </row>
    <row r="195" ht="15.75" customHeight="1">
      <c r="Q195" s="40"/>
    </row>
    <row r="196" ht="15.75" customHeight="1">
      <c r="Q196" s="40"/>
    </row>
    <row r="197" ht="15.75" customHeight="1">
      <c r="Q197" s="40"/>
    </row>
    <row r="198" ht="15.75" customHeight="1">
      <c r="Q198" s="40"/>
    </row>
    <row r="199" ht="15.75" customHeight="1">
      <c r="Q199" s="40"/>
    </row>
    <row r="200" ht="15.75" customHeight="1">
      <c r="Q200" s="40"/>
    </row>
    <row r="201" ht="15.75" customHeight="1">
      <c r="Q201" s="40"/>
    </row>
    <row r="202" ht="15.75" customHeight="1">
      <c r="Q202" s="40"/>
    </row>
    <row r="203" ht="15.75" customHeight="1">
      <c r="Q203" s="40"/>
    </row>
    <row r="204" ht="15.75" customHeight="1">
      <c r="Q204" s="40"/>
    </row>
    <row r="205" ht="15.75" customHeight="1">
      <c r="Q205" s="40"/>
    </row>
    <row r="206" ht="15.75" customHeight="1">
      <c r="Q206" s="40"/>
    </row>
    <row r="207" ht="15.75" customHeight="1">
      <c r="Q207" s="40"/>
    </row>
    <row r="208" ht="15.75" customHeight="1">
      <c r="Q208" s="40"/>
    </row>
    <row r="209" ht="15.75" customHeight="1">
      <c r="Q209" s="40"/>
    </row>
    <row r="210" ht="15.75" customHeight="1">
      <c r="Q210" s="40"/>
    </row>
    <row r="211" ht="15.75" customHeight="1">
      <c r="Q211" s="40"/>
    </row>
    <row r="212" ht="15.75" customHeight="1">
      <c r="Q212" s="40"/>
    </row>
    <row r="213" ht="15.75" customHeight="1">
      <c r="Q213" s="40"/>
    </row>
    <row r="214" ht="15.75" customHeight="1">
      <c r="Q214" s="40"/>
    </row>
    <row r="215" ht="15.75" customHeight="1">
      <c r="Q215" s="40"/>
    </row>
    <row r="216" ht="15.75" customHeight="1">
      <c r="Q216" s="40"/>
    </row>
    <row r="217" ht="15.75" customHeight="1">
      <c r="Q217" s="40"/>
    </row>
    <row r="218" ht="15.75" customHeight="1">
      <c r="Q218" s="40"/>
    </row>
    <row r="219" ht="15.75" customHeight="1">
      <c r="Q219" s="40"/>
    </row>
    <row r="220" ht="15.75" customHeight="1">
      <c r="Q220" s="40"/>
    </row>
    <row r="221" ht="15.75" customHeight="1">
      <c r="Q221" s="40"/>
    </row>
    <row r="222" ht="15.75" customHeight="1">
      <c r="Q222" s="40"/>
    </row>
    <row r="223" ht="15.75" customHeight="1">
      <c r="Q223" s="40"/>
    </row>
    <row r="224" ht="15.75" customHeight="1">
      <c r="Q224" s="40"/>
    </row>
    <row r="225" ht="15.75" customHeight="1">
      <c r="Q225" s="40"/>
    </row>
    <row r="226" ht="15.75" customHeight="1">
      <c r="Q226" s="40"/>
    </row>
    <row r="227" ht="15.75" customHeight="1">
      <c r="Q227" s="40"/>
    </row>
    <row r="228" ht="15.75" customHeight="1">
      <c r="Q228" s="40"/>
    </row>
    <row r="229" ht="15.75" customHeight="1">
      <c r="Q229" s="40"/>
    </row>
    <row r="230" ht="15.75" customHeight="1">
      <c r="Q230" s="40"/>
    </row>
    <row r="231" ht="15.75" customHeight="1">
      <c r="Q231" s="40"/>
    </row>
    <row r="232" ht="15.75" customHeight="1">
      <c r="Q232" s="40"/>
    </row>
    <row r="233" ht="15.75" customHeight="1">
      <c r="Q233" s="40"/>
    </row>
    <row r="234" ht="15.75" customHeight="1">
      <c r="Q234" s="40"/>
    </row>
    <row r="235" ht="15.75" customHeight="1">
      <c r="Q235" s="40"/>
    </row>
    <row r="236" ht="15.75" customHeight="1">
      <c r="Q236" s="40"/>
    </row>
    <row r="237" ht="15.75" customHeight="1">
      <c r="Q237" s="40"/>
    </row>
    <row r="238" ht="15.75" customHeight="1">
      <c r="Q238" s="40"/>
    </row>
    <row r="239" ht="15.75" customHeight="1">
      <c r="Q239" s="40"/>
    </row>
    <row r="240" ht="15.75" customHeight="1">
      <c r="Q240" s="40"/>
    </row>
    <row r="241" ht="15.75" customHeight="1">
      <c r="Q241" s="40"/>
    </row>
    <row r="242" ht="15.75" customHeight="1">
      <c r="Q242" s="40"/>
    </row>
    <row r="243" ht="15.75" customHeight="1">
      <c r="Q243" s="40"/>
    </row>
    <row r="244" ht="15.75" customHeight="1">
      <c r="Q244" s="40"/>
    </row>
    <row r="245" ht="15.75" customHeight="1">
      <c r="Q245" s="40"/>
    </row>
    <row r="246" ht="15.75" customHeight="1">
      <c r="Q246" s="40"/>
    </row>
    <row r="247" ht="15.75" customHeight="1">
      <c r="Q247" s="40"/>
    </row>
    <row r="248" ht="15.75" customHeight="1">
      <c r="Q248" s="40"/>
    </row>
    <row r="249" ht="15.75" customHeight="1">
      <c r="Q249" s="40"/>
    </row>
    <row r="250" ht="15.75" customHeight="1">
      <c r="Q250" s="40"/>
    </row>
    <row r="251" ht="15.75" customHeight="1">
      <c r="Q251" s="40"/>
    </row>
    <row r="252" ht="15.75" customHeight="1">
      <c r="Q252" s="40"/>
    </row>
    <row r="253" ht="15.75" customHeight="1">
      <c r="Q253" s="40"/>
    </row>
    <row r="254" ht="15.75" customHeight="1">
      <c r="Q254" s="40"/>
    </row>
    <row r="255" ht="15.75" customHeight="1">
      <c r="Q255" s="40"/>
    </row>
    <row r="256" ht="15.75" customHeight="1">
      <c r="Q256" s="40"/>
    </row>
    <row r="257" ht="15.75" customHeight="1">
      <c r="Q257" s="40"/>
    </row>
    <row r="258" ht="15.75" customHeight="1">
      <c r="Q258" s="40"/>
    </row>
    <row r="259" ht="15.75" customHeight="1">
      <c r="Q259" s="40"/>
    </row>
    <row r="260" ht="15.75" customHeight="1">
      <c r="Q260" s="40"/>
    </row>
    <row r="261" ht="15.75" customHeight="1">
      <c r="Q261" s="40"/>
    </row>
    <row r="262" ht="15.75" customHeight="1">
      <c r="Q262" s="40"/>
    </row>
    <row r="263" ht="15.75" customHeight="1">
      <c r="Q263" s="40"/>
    </row>
    <row r="264" ht="15.75" customHeight="1">
      <c r="Q264" s="40"/>
    </row>
    <row r="265" ht="15.75" customHeight="1">
      <c r="Q265" s="40"/>
    </row>
    <row r="266" ht="15.75" customHeight="1">
      <c r="Q266" s="40"/>
    </row>
    <row r="267" ht="15.75" customHeight="1">
      <c r="Q267" s="40"/>
    </row>
    <row r="268" ht="15.75" customHeight="1">
      <c r="Q268" s="40"/>
    </row>
    <row r="269" ht="15.75" customHeight="1">
      <c r="Q269" s="40"/>
    </row>
    <row r="270" ht="15.75" customHeight="1">
      <c r="Q270" s="40"/>
    </row>
    <row r="271" ht="15.75" customHeight="1">
      <c r="Q271" s="40"/>
    </row>
    <row r="272" ht="15.75" customHeight="1">
      <c r="Q272" s="40"/>
    </row>
    <row r="273" ht="15.75" customHeight="1">
      <c r="Q273" s="40"/>
    </row>
    <row r="274" ht="15.75" customHeight="1">
      <c r="Q274" s="40"/>
    </row>
    <row r="275" ht="15.75" customHeight="1">
      <c r="Q275" s="40"/>
    </row>
    <row r="276" ht="15.75" customHeight="1">
      <c r="Q276" s="40"/>
    </row>
    <row r="277" ht="15.75" customHeight="1">
      <c r="Q277" s="40"/>
    </row>
    <row r="278" ht="15.75" customHeight="1">
      <c r="Q278" s="40"/>
    </row>
    <row r="279" ht="15.75" customHeight="1">
      <c r="Q279" s="40"/>
    </row>
    <row r="280" ht="15.75" customHeight="1">
      <c r="Q280" s="40"/>
    </row>
    <row r="281" ht="15.75" customHeight="1">
      <c r="Q281" s="40"/>
    </row>
    <row r="282" ht="15.75" customHeight="1">
      <c r="Q282" s="40"/>
    </row>
    <row r="283" ht="15.75" customHeight="1">
      <c r="Q283" s="40"/>
    </row>
    <row r="284" ht="15.75" customHeight="1">
      <c r="Q284" s="40"/>
    </row>
    <row r="285" ht="15.75" customHeight="1">
      <c r="Q285" s="40"/>
    </row>
    <row r="286" ht="15.75" customHeight="1">
      <c r="Q286" s="40"/>
    </row>
    <row r="287" ht="15.75" customHeight="1">
      <c r="Q287" s="40"/>
    </row>
    <row r="288" ht="15.75" customHeight="1">
      <c r="Q288" s="40"/>
    </row>
    <row r="289" ht="15.75" customHeight="1">
      <c r="Q289" s="40"/>
    </row>
    <row r="290" ht="15.75" customHeight="1">
      <c r="Q290" s="40"/>
    </row>
    <row r="291" ht="15.75" customHeight="1">
      <c r="Q291" s="40"/>
    </row>
    <row r="292" ht="15.75" customHeight="1">
      <c r="Q292" s="40"/>
    </row>
    <row r="293" ht="15.75" customHeight="1">
      <c r="Q293" s="40"/>
    </row>
    <row r="294" ht="15.75" customHeight="1">
      <c r="Q294" s="40"/>
    </row>
    <row r="295" ht="15.75" customHeight="1">
      <c r="Q295" s="40"/>
    </row>
    <row r="296" ht="15.75" customHeight="1">
      <c r="Q296" s="40"/>
    </row>
    <row r="297" ht="15.75" customHeight="1">
      <c r="Q297" s="40"/>
    </row>
    <row r="298" ht="15.75" customHeight="1">
      <c r="Q298" s="40"/>
    </row>
    <row r="299" ht="15.75" customHeight="1">
      <c r="Q299" s="40"/>
    </row>
    <row r="300" ht="15.75" customHeight="1">
      <c r="Q300" s="40"/>
    </row>
    <row r="301" ht="15.75" customHeight="1">
      <c r="Q301" s="40"/>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R$1:$S$101"/>
  <mergeCells count="1">
    <mergeCell ref="E1:J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24" t="s">
        <v>512</v>
      </c>
      <c r="B1" s="224" t="s">
        <v>513</v>
      </c>
      <c r="C1" s="224"/>
      <c r="D1" s="30"/>
      <c r="E1" s="30" t="str">
        <f>M1&amp; " de " &amp;M2&amp; ", " &amp; M3 &amp; " de Nivel " &amp; $L$2</f>
        <v>Humano de Ascaria, Paladin de Nivel 30</v>
      </c>
      <c r="L1" s="14" t="s">
        <v>514</v>
      </c>
      <c r="M1" s="14" t="s">
        <v>515</v>
      </c>
      <c r="R1" s="14" t="s">
        <v>516</v>
      </c>
      <c r="S1" s="14" t="s">
        <v>517</v>
      </c>
    </row>
    <row r="2" ht="15.75" customHeight="1">
      <c r="A2" s="225" t="s">
        <v>518</v>
      </c>
      <c r="B2" s="226">
        <v>-7.0</v>
      </c>
      <c r="C2" s="226"/>
      <c r="D2" s="30"/>
      <c r="E2" s="227" t="s">
        <v>519</v>
      </c>
      <c r="F2" s="227" t="s">
        <v>520</v>
      </c>
      <c r="G2" s="227" t="s">
        <v>521</v>
      </c>
      <c r="H2" s="227" t="s">
        <v>522</v>
      </c>
      <c r="I2" s="227" t="s">
        <v>523</v>
      </c>
      <c r="J2" s="227" t="s">
        <v>524</v>
      </c>
      <c r="L2" s="95">
        <f>LVL!N7</f>
        <v>30</v>
      </c>
      <c r="M2" s="14" t="s">
        <v>77</v>
      </c>
      <c r="R2" s="14">
        <v>1.0</v>
      </c>
      <c r="S2" s="40">
        <v>-7.0</v>
      </c>
    </row>
    <row r="3" ht="15.75" customHeight="1">
      <c r="A3" s="228">
        <v>45353.0</v>
      </c>
      <c r="B3" s="226">
        <v>-6.0</v>
      </c>
      <c r="C3" s="226"/>
      <c r="D3" s="30"/>
      <c r="E3" s="229">
        <f t="shared" ref="E3:G3" si="1">A43</f>
        <v>14</v>
      </c>
      <c r="F3" s="230">
        <f t="shared" si="1"/>
        <v>11</v>
      </c>
      <c r="G3" s="229">
        <f t="shared" si="1"/>
        <v>40</v>
      </c>
      <c r="H3" s="231">
        <f t="shared" ref="H3:J3" si="2">A45</f>
        <v>42</v>
      </c>
      <c r="I3" s="229">
        <f t="shared" si="2"/>
        <v>41</v>
      </c>
      <c r="J3" s="232">
        <f t="shared" si="2"/>
        <v>12</v>
      </c>
      <c r="M3" s="14" t="s">
        <v>562</v>
      </c>
      <c r="R3" s="14">
        <v>2.0</v>
      </c>
      <c r="S3" s="40">
        <v>-7.0</v>
      </c>
    </row>
    <row r="4" ht="15.75" customHeight="1">
      <c r="A4" s="228">
        <v>45416.0</v>
      </c>
      <c r="B4" s="226">
        <v>-5.0</v>
      </c>
      <c r="C4" s="226"/>
      <c r="D4" s="30"/>
      <c r="E4" s="233">
        <f t="shared" ref="E4:G4" si="3">LOOKUP(A43,$R$2:$R$101,$S$2:$S$101)</f>
        <v>0</v>
      </c>
      <c r="F4" s="233">
        <f t="shared" si="3"/>
        <v>-2</v>
      </c>
      <c r="G4" s="233">
        <f t="shared" si="3"/>
        <v>12.55257993</v>
      </c>
      <c r="H4" s="233">
        <f t="shared" ref="H4:J4" si="4">LOOKUP(A45,$R$2:$R$101,$S$2:$S$101)</f>
        <v>13.53604367</v>
      </c>
      <c r="I4" s="233">
        <f t="shared" si="4"/>
        <v>13.0443118</v>
      </c>
      <c r="J4" s="233">
        <f t="shared" si="4"/>
        <v>-1</v>
      </c>
      <c r="R4" s="14">
        <v>3.0</v>
      </c>
      <c r="S4" s="40">
        <v>-6.0</v>
      </c>
    </row>
    <row r="5" ht="15.75" customHeight="1">
      <c r="A5" s="228">
        <v>45479.0</v>
      </c>
      <c r="B5" s="226">
        <v>-4.0</v>
      </c>
      <c r="C5" s="226"/>
      <c r="D5" s="30"/>
      <c r="E5" s="30"/>
      <c r="F5" s="30"/>
      <c r="G5" s="30"/>
      <c r="H5" s="30"/>
      <c r="I5" s="30"/>
      <c r="J5" s="30"/>
      <c r="R5" s="14">
        <v>4.0</v>
      </c>
      <c r="S5" s="40">
        <v>-6.0</v>
      </c>
    </row>
    <row r="6" ht="15.75" customHeight="1">
      <c r="A6" s="228">
        <v>45543.0</v>
      </c>
      <c r="B6" s="226">
        <v>-3.0</v>
      </c>
      <c r="C6" s="226"/>
      <c r="D6" s="30"/>
      <c r="E6" s="30"/>
      <c r="F6" s="30"/>
      <c r="G6" s="30"/>
      <c r="H6" s="30"/>
      <c r="I6" s="30"/>
      <c r="J6" s="30"/>
      <c r="R6" s="14">
        <v>5.0</v>
      </c>
      <c r="S6" s="40">
        <v>-5.0</v>
      </c>
    </row>
    <row r="7" ht="15.75" customHeight="1">
      <c r="A7" s="228">
        <v>45606.0</v>
      </c>
      <c r="B7" s="226">
        <v>-2.0</v>
      </c>
      <c r="C7" s="226"/>
      <c r="D7" s="30"/>
      <c r="E7" s="30"/>
      <c r="F7" s="30"/>
      <c r="G7" s="30"/>
      <c r="H7" s="30"/>
      <c r="I7" s="30"/>
      <c r="J7" s="30"/>
      <c r="R7" s="14">
        <v>6.0</v>
      </c>
      <c r="S7" s="40">
        <v>-4.0</v>
      </c>
    </row>
    <row r="8" ht="15.75" customHeight="1">
      <c r="A8" s="225" t="s">
        <v>526</v>
      </c>
      <c r="B8" s="226">
        <v>-1.0</v>
      </c>
      <c r="C8" s="226"/>
      <c r="D8" s="30"/>
      <c r="E8" s="30"/>
      <c r="F8" s="30"/>
      <c r="G8" s="30"/>
      <c r="H8" s="30"/>
      <c r="I8" s="30"/>
      <c r="J8" s="30"/>
      <c r="R8" s="14">
        <v>7.0</v>
      </c>
      <c r="S8" s="40">
        <v>-4.0</v>
      </c>
    </row>
    <row r="9" ht="15.75" customHeight="1">
      <c r="A9" s="225" t="s">
        <v>527</v>
      </c>
      <c r="B9" s="226">
        <v>0.0</v>
      </c>
      <c r="C9" s="226"/>
      <c r="D9" s="30"/>
      <c r="E9" s="30"/>
      <c r="F9" s="30"/>
      <c r="G9" s="30"/>
      <c r="H9" s="30"/>
      <c r="I9" s="30"/>
      <c r="J9" s="30"/>
      <c r="R9" s="14">
        <v>8.0</v>
      </c>
      <c r="S9" s="40">
        <v>-3.0</v>
      </c>
    </row>
    <row r="10" ht="15.75" customHeight="1">
      <c r="A10" s="225" t="s">
        <v>528</v>
      </c>
      <c r="B10" s="226">
        <f t="shared" ref="B10:B11" si="5">1</f>
        <v>1</v>
      </c>
      <c r="C10" s="226"/>
      <c r="D10" s="30"/>
      <c r="E10" s="30"/>
      <c r="F10" s="30"/>
      <c r="G10" s="30"/>
      <c r="H10" s="30"/>
      <c r="I10" s="30"/>
      <c r="J10" s="30"/>
      <c r="R10" s="14">
        <v>9.0</v>
      </c>
      <c r="S10" s="40">
        <v>-3.0</v>
      </c>
    </row>
    <row r="11" ht="15.75" customHeight="1">
      <c r="A11" s="225" t="s">
        <v>529</v>
      </c>
      <c r="B11" s="226">
        <f t="shared" si="5"/>
        <v>1</v>
      </c>
      <c r="C11" s="226"/>
      <c r="D11" s="30"/>
      <c r="E11" s="30"/>
      <c r="F11" s="30"/>
      <c r="G11" s="30"/>
      <c r="H11" s="30"/>
      <c r="I11" s="30"/>
      <c r="J11" s="30"/>
      <c r="R11" s="14">
        <v>10.0</v>
      </c>
      <c r="S11" s="40">
        <v>-2.0</v>
      </c>
    </row>
    <row r="12" ht="15.75" customHeight="1">
      <c r="A12" s="225" t="s">
        <v>530</v>
      </c>
      <c r="B12" s="226">
        <v>2.0</v>
      </c>
      <c r="C12" s="226"/>
      <c r="D12" s="30"/>
      <c r="E12" s="30"/>
      <c r="F12" s="30"/>
      <c r="G12" s="30"/>
      <c r="H12" s="30"/>
      <c r="I12" s="30"/>
      <c r="J12" s="30"/>
      <c r="R12" s="14">
        <v>11.0</v>
      </c>
      <c r="S12" s="40">
        <v>-2.0</v>
      </c>
    </row>
    <row r="13" ht="15.75" customHeight="1">
      <c r="A13" s="225" t="s">
        <v>531</v>
      </c>
      <c r="B13" s="226">
        <v>2.0</v>
      </c>
      <c r="C13" s="226"/>
      <c r="D13" s="30"/>
      <c r="E13" s="30"/>
      <c r="F13" s="30"/>
      <c r="G13" s="30"/>
      <c r="H13" s="30"/>
      <c r="I13" s="30"/>
      <c r="J13" s="30"/>
      <c r="R13" s="14">
        <v>12.0</v>
      </c>
      <c r="S13" s="40">
        <v>-1.0</v>
      </c>
    </row>
    <row r="14" ht="15.75" customHeight="1">
      <c r="A14" s="225" t="s">
        <v>532</v>
      </c>
      <c r="B14" s="226">
        <v>3.0</v>
      </c>
      <c r="C14" s="226"/>
      <c r="D14" s="30"/>
      <c r="E14" s="30"/>
      <c r="F14" s="30"/>
      <c r="G14" s="30"/>
      <c r="H14" s="30"/>
      <c r="I14" s="30"/>
      <c r="J14" s="30"/>
      <c r="R14" s="14">
        <v>13.0</v>
      </c>
      <c r="S14" s="40">
        <v>-1.0</v>
      </c>
    </row>
    <row r="15" ht="15.75" customHeight="1">
      <c r="A15" s="225" t="s">
        <v>533</v>
      </c>
      <c r="B15" s="226">
        <v>3.0</v>
      </c>
      <c r="C15" s="226"/>
      <c r="D15" s="30"/>
      <c r="E15" s="30"/>
      <c r="F15" s="30"/>
      <c r="G15" s="30"/>
      <c r="H15" s="30"/>
      <c r="I15" s="30"/>
      <c r="J15" s="30"/>
      <c r="R15" s="14">
        <v>14.0</v>
      </c>
      <c r="S15" s="40">
        <v>0.0</v>
      </c>
    </row>
    <row r="16" ht="15.75" customHeight="1">
      <c r="A16" s="225" t="s">
        <v>534</v>
      </c>
      <c r="B16" s="226">
        <f t="shared" ref="B16:B17" si="6">4</f>
        <v>4</v>
      </c>
      <c r="C16" s="226"/>
      <c r="D16" s="30"/>
      <c r="E16" s="30"/>
      <c r="F16" s="30"/>
      <c r="G16" s="30"/>
      <c r="H16" s="30"/>
      <c r="I16" s="30"/>
      <c r="J16" s="30"/>
      <c r="R16" s="14">
        <v>15.0</v>
      </c>
      <c r="S16" s="40">
        <v>0.0</v>
      </c>
    </row>
    <row r="17" ht="15.75" customHeight="1">
      <c r="A17" s="225" t="s">
        <v>535</v>
      </c>
      <c r="B17" s="226">
        <f t="shared" si="6"/>
        <v>4</v>
      </c>
      <c r="C17" s="226"/>
      <c r="D17" s="30"/>
      <c r="E17" s="30"/>
      <c r="F17" s="30"/>
      <c r="G17" s="30"/>
      <c r="H17" s="30"/>
      <c r="I17" s="30"/>
      <c r="J17" s="30"/>
      <c r="R17" s="14">
        <v>16.0</v>
      </c>
      <c r="S17" s="40">
        <v>1.0</v>
      </c>
    </row>
    <row r="18" ht="15.75" customHeight="1">
      <c r="A18" s="225" t="s">
        <v>536</v>
      </c>
      <c r="B18" s="226">
        <v>5.0</v>
      </c>
      <c r="C18" s="226"/>
      <c r="D18" s="30"/>
      <c r="E18" s="30"/>
      <c r="F18" s="30"/>
      <c r="G18" s="30"/>
      <c r="H18" s="30"/>
      <c r="I18" s="30"/>
      <c r="J18" s="30"/>
      <c r="R18" s="14">
        <v>17.0</v>
      </c>
      <c r="S18" s="40">
        <v>1.0</v>
      </c>
    </row>
    <row r="19" ht="15.75" customHeight="1">
      <c r="A19" s="225" t="s">
        <v>537</v>
      </c>
      <c r="B19" s="226">
        <v>5.0</v>
      </c>
      <c r="C19" s="226"/>
      <c r="D19" s="30"/>
      <c r="E19" s="30"/>
      <c r="F19" s="30"/>
      <c r="G19" s="30"/>
      <c r="H19" s="30"/>
      <c r="I19" s="30"/>
      <c r="J19" s="30"/>
      <c r="R19" s="14">
        <v>18.0</v>
      </c>
      <c r="S19" s="40">
        <v>2.0</v>
      </c>
    </row>
    <row r="20" ht="15.75" customHeight="1">
      <c r="A20" s="225" t="s">
        <v>538</v>
      </c>
      <c r="B20" s="226">
        <v>6.0</v>
      </c>
      <c r="C20" s="226"/>
      <c r="D20" s="30"/>
      <c r="E20" s="30"/>
      <c r="F20" s="30"/>
      <c r="G20" s="30"/>
      <c r="H20" s="30"/>
      <c r="I20" s="30"/>
      <c r="J20" s="30"/>
      <c r="R20" s="14">
        <v>19.0</v>
      </c>
      <c r="S20" s="40">
        <v>2.0</v>
      </c>
    </row>
    <row r="21" ht="15.75" customHeight="1">
      <c r="A21" s="225" t="s">
        <v>539</v>
      </c>
      <c r="B21" s="226">
        <v>6.0</v>
      </c>
      <c r="C21" s="226"/>
      <c r="D21" s="30"/>
      <c r="E21" s="30"/>
      <c r="F21" s="30"/>
      <c r="G21" s="30"/>
      <c r="H21" s="30"/>
      <c r="I21" s="30"/>
      <c r="J21" s="30"/>
      <c r="R21" s="14">
        <v>20.0</v>
      </c>
      <c r="S21" s="40">
        <v>3.0</v>
      </c>
    </row>
    <row r="22" ht="15.75" customHeight="1">
      <c r="A22" s="225" t="s">
        <v>540</v>
      </c>
      <c r="B22" s="226">
        <v>7.0</v>
      </c>
      <c r="C22" s="226"/>
      <c r="D22" s="30"/>
      <c r="E22" s="30"/>
      <c r="F22" s="30"/>
      <c r="G22" s="30"/>
      <c r="H22" s="30"/>
      <c r="I22" s="30"/>
      <c r="J22" s="30"/>
      <c r="R22" s="14">
        <v>21.0</v>
      </c>
      <c r="S22" s="40">
        <v>3.0</v>
      </c>
    </row>
    <row r="23" ht="15.75" customHeight="1">
      <c r="A23" s="225" t="s">
        <v>541</v>
      </c>
      <c r="B23" s="226">
        <v>7.0</v>
      </c>
      <c r="C23" s="226"/>
      <c r="D23" s="30"/>
      <c r="E23" s="30"/>
      <c r="F23" s="30"/>
      <c r="G23" s="30"/>
      <c r="H23" s="30"/>
      <c r="I23" s="30"/>
      <c r="J23" s="30"/>
      <c r="R23" s="14">
        <v>22.0</v>
      </c>
      <c r="S23" s="40">
        <v>4.0</v>
      </c>
    </row>
    <row r="24" ht="15.75" customHeight="1">
      <c r="A24" s="225" t="s">
        <v>542</v>
      </c>
      <c r="B24" s="226">
        <v>8.0</v>
      </c>
      <c r="C24" s="226"/>
      <c r="D24" s="30"/>
      <c r="E24" s="30"/>
      <c r="F24" s="30"/>
      <c r="G24" s="30"/>
      <c r="H24" s="30"/>
      <c r="I24" s="30"/>
      <c r="J24" s="30"/>
      <c r="R24" s="14">
        <v>23.0</v>
      </c>
      <c r="S24" s="40">
        <v>4.0</v>
      </c>
    </row>
    <row r="25" ht="15.75" customHeight="1">
      <c r="A25" s="225" t="s">
        <v>543</v>
      </c>
      <c r="B25" s="226">
        <v>8.0</v>
      </c>
      <c r="C25" s="226"/>
      <c r="D25" s="30"/>
      <c r="E25" s="30"/>
      <c r="F25" s="30"/>
      <c r="G25" s="30"/>
      <c r="H25" s="30"/>
      <c r="I25" s="30"/>
      <c r="J25" s="30"/>
      <c r="R25" s="14">
        <v>24.0</v>
      </c>
      <c r="S25" s="40">
        <v>4.642857143</v>
      </c>
    </row>
    <row r="26" ht="15.75" customHeight="1">
      <c r="A26" s="225" t="s">
        <v>544</v>
      </c>
      <c r="B26" s="226">
        <v>9.0</v>
      </c>
      <c r="C26" s="226"/>
      <c r="D26" s="30"/>
      <c r="E26" s="30"/>
      <c r="F26" s="30"/>
      <c r="G26" s="30"/>
      <c r="H26" s="30"/>
      <c r="I26" s="30"/>
      <c r="J26" s="30"/>
      <c r="R26" s="14">
        <v>25.0</v>
      </c>
      <c r="S26" s="40">
        <v>5.119047619</v>
      </c>
    </row>
    <row r="27" ht="15.75" customHeight="1">
      <c r="A27" s="225" t="s">
        <v>545</v>
      </c>
      <c r="B27" s="226">
        <v>9.0</v>
      </c>
      <c r="C27" s="226"/>
      <c r="D27" s="30"/>
      <c r="E27" s="30"/>
      <c r="F27" s="30"/>
      <c r="G27" s="30"/>
      <c r="H27" s="30"/>
      <c r="I27" s="30"/>
      <c r="J27" s="30"/>
      <c r="R27" s="14">
        <v>26.0</v>
      </c>
      <c r="S27" s="40">
        <v>5.595238095</v>
      </c>
    </row>
    <row r="28" ht="15.75" customHeight="1">
      <c r="A28" s="225" t="s">
        <v>546</v>
      </c>
      <c r="B28" s="226">
        <v>10.0</v>
      </c>
      <c r="C28" s="226"/>
      <c r="D28" s="30"/>
      <c r="E28" s="30"/>
      <c r="F28" s="30"/>
      <c r="G28" s="30"/>
      <c r="H28" s="30"/>
      <c r="I28" s="30"/>
      <c r="J28" s="30"/>
      <c r="R28" s="14">
        <v>27.0</v>
      </c>
      <c r="S28" s="40">
        <v>6.071428571</v>
      </c>
    </row>
    <row r="29" ht="15.75" customHeight="1">
      <c r="A29" s="225" t="s">
        <v>547</v>
      </c>
      <c r="B29" s="226">
        <v>10.0</v>
      </c>
      <c r="C29" s="226"/>
      <c r="D29" s="30"/>
      <c r="E29" s="30"/>
      <c r="F29" s="30"/>
      <c r="G29" s="30"/>
      <c r="H29" s="30"/>
      <c r="I29" s="30"/>
      <c r="J29" s="30"/>
      <c r="R29" s="14">
        <v>28.0</v>
      </c>
      <c r="S29" s="40">
        <v>6.547619048</v>
      </c>
    </row>
    <row r="30" ht="15.75" customHeight="1">
      <c r="A30" s="225" t="s">
        <v>548</v>
      </c>
      <c r="B30" s="226">
        <v>11.0</v>
      </c>
      <c r="C30" s="226"/>
      <c r="D30" s="30"/>
      <c r="E30" s="30"/>
      <c r="F30" s="30"/>
      <c r="G30" s="30"/>
      <c r="H30" s="30"/>
      <c r="I30" s="30"/>
      <c r="J30" s="30"/>
      <c r="R30" s="14">
        <v>29.0</v>
      </c>
      <c r="S30" s="40">
        <v>7.023809524</v>
      </c>
    </row>
    <row r="31" ht="15.75" customHeight="1">
      <c r="A31" s="225" t="s">
        <v>549</v>
      </c>
      <c r="B31" s="226">
        <v>11.0</v>
      </c>
      <c r="C31" s="226"/>
      <c r="D31" s="30"/>
      <c r="E31" s="30"/>
      <c r="F31" s="30"/>
      <c r="G31" s="30"/>
      <c r="H31" s="30"/>
      <c r="I31" s="30"/>
      <c r="J31" s="30"/>
      <c r="R31" s="14">
        <v>30.0</v>
      </c>
      <c r="S31" s="40">
        <v>7.5</v>
      </c>
    </row>
    <row r="32" ht="15.75" customHeight="1">
      <c r="A32" s="225" t="s">
        <v>550</v>
      </c>
      <c r="B32" s="226">
        <v>12.0</v>
      </c>
      <c r="C32" s="226"/>
      <c r="D32" s="30"/>
      <c r="E32" s="30"/>
      <c r="F32" s="30"/>
      <c r="G32" s="30"/>
      <c r="H32" s="30"/>
      <c r="I32" s="30"/>
      <c r="J32" s="30"/>
      <c r="R32" s="14">
        <v>31.0</v>
      </c>
      <c r="S32" s="40">
        <v>7.976190476</v>
      </c>
    </row>
    <row r="33" ht="15.75" customHeight="1">
      <c r="A33" s="225" t="s">
        <v>551</v>
      </c>
      <c r="B33" s="226">
        <v>12.0</v>
      </c>
      <c r="C33" s="226"/>
      <c r="D33" s="30"/>
      <c r="E33" s="30"/>
      <c r="F33" s="30"/>
      <c r="G33" s="30"/>
      <c r="H33" s="30"/>
      <c r="I33" s="30"/>
      <c r="J33" s="30"/>
      <c r="R33" s="14">
        <v>32.0</v>
      </c>
      <c r="S33" s="40">
        <v>9.0</v>
      </c>
    </row>
    <row r="34" ht="15.75" customHeight="1">
      <c r="A34" s="225" t="s">
        <v>552</v>
      </c>
      <c r="B34" s="226">
        <v>13.0</v>
      </c>
      <c r="C34" s="226"/>
      <c r="D34" s="30"/>
      <c r="E34" s="30"/>
      <c r="F34" s="30"/>
      <c r="G34" s="30"/>
      <c r="H34" s="30"/>
      <c r="I34" s="30"/>
      <c r="J34" s="30"/>
      <c r="R34" s="14">
        <v>33.0</v>
      </c>
      <c r="S34" s="40">
        <v>9.0</v>
      </c>
    </row>
    <row r="35" ht="15.75" customHeight="1">
      <c r="A35" s="225" t="s">
        <v>553</v>
      </c>
      <c r="B35" s="226">
        <v>13.0</v>
      </c>
      <c r="C35" s="226"/>
      <c r="D35" s="30"/>
      <c r="E35" s="30"/>
      <c r="F35" s="30"/>
      <c r="G35" s="30"/>
      <c r="H35" s="30"/>
      <c r="I35" s="30"/>
      <c r="J35" s="30"/>
      <c r="R35" s="14">
        <v>34.0</v>
      </c>
      <c r="S35" s="40">
        <v>10.0</v>
      </c>
    </row>
    <row r="36" ht="15.75" customHeight="1">
      <c r="A36" s="225" t="s">
        <v>554</v>
      </c>
      <c r="B36" s="226">
        <v>14.0</v>
      </c>
      <c r="C36" s="226"/>
      <c r="D36" s="30"/>
      <c r="E36" s="30"/>
      <c r="F36" s="30"/>
      <c r="G36" s="30"/>
      <c r="H36" s="30"/>
      <c r="I36" s="30"/>
      <c r="J36" s="30"/>
      <c r="R36" s="14">
        <v>35.0</v>
      </c>
      <c r="S36" s="40">
        <v>10.0</v>
      </c>
    </row>
    <row r="37" ht="15.75" customHeight="1">
      <c r="A37" s="225" t="s">
        <v>555</v>
      </c>
      <c r="B37" s="226">
        <v>14.0</v>
      </c>
      <c r="C37" s="226"/>
      <c r="D37" s="30"/>
      <c r="E37" s="30"/>
      <c r="F37" s="30"/>
      <c r="G37" s="30"/>
      <c r="H37" s="30"/>
      <c r="I37" s="30"/>
      <c r="J37" s="30"/>
      <c r="R37" s="14">
        <v>36.0</v>
      </c>
      <c r="S37" s="40">
        <v>10.5856524427792</v>
      </c>
    </row>
    <row r="38" ht="15.75" customHeight="1">
      <c r="A38" s="30"/>
      <c r="B38" s="30"/>
      <c r="C38" s="30"/>
      <c r="D38" s="30"/>
      <c r="E38" s="30"/>
      <c r="F38" s="30"/>
      <c r="G38" s="30"/>
      <c r="H38" s="30"/>
      <c r="I38" s="30"/>
      <c r="J38" s="30"/>
      <c r="R38" s="14">
        <v>37.0</v>
      </c>
      <c r="S38" s="40">
        <v>11.0773843133924</v>
      </c>
    </row>
    <row r="39" ht="15.75" customHeight="1">
      <c r="A39" s="30"/>
      <c r="B39" s="30"/>
      <c r="C39" s="30"/>
      <c r="D39" s="30"/>
      <c r="E39" s="30"/>
      <c r="F39" s="30"/>
      <c r="G39" s="30"/>
      <c r="H39" s="30"/>
      <c r="I39" s="30"/>
      <c r="J39" s="30"/>
      <c r="R39" s="14">
        <v>38.0</v>
      </c>
      <c r="S39" s="40">
        <v>11.5691161840056</v>
      </c>
    </row>
    <row r="40" ht="15.75" customHeight="1">
      <c r="A40" s="234"/>
      <c r="B40" s="30"/>
      <c r="C40" s="30"/>
      <c r="D40" s="30"/>
      <c r="E40" s="30"/>
      <c r="F40" s="30"/>
      <c r="G40" s="30"/>
      <c r="H40" s="30"/>
      <c r="I40" s="30"/>
      <c r="J40" s="30"/>
      <c r="R40" s="14">
        <v>39.0</v>
      </c>
      <c r="S40" s="40">
        <v>12.0608480546189</v>
      </c>
    </row>
    <row r="41" ht="15.75" customHeight="1">
      <c r="A41" s="235" t="s">
        <v>556</v>
      </c>
      <c r="B41" s="236"/>
      <c r="C41" s="237"/>
      <c r="D41" s="30"/>
      <c r="E41" s="30"/>
      <c r="F41" s="30"/>
      <c r="G41" s="30"/>
      <c r="H41" s="30"/>
      <c r="I41" s="30"/>
      <c r="J41" s="30"/>
      <c r="R41" s="14">
        <v>40.0</v>
      </c>
      <c r="S41" s="40">
        <v>12.5525799252321</v>
      </c>
    </row>
    <row r="42" ht="15.75" customHeight="1">
      <c r="A42" s="234" t="s">
        <v>519</v>
      </c>
      <c r="B42" s="30" t="s">
        <v>520</v>
      </c>
      <c r="C42" s="238" t="s">
        <v>557</v>
      </c>
      <c r="D42" s="30"/>
      <c r="E42" s="30"/>
      <c r="F42" s="30"/>
      <c r="G42" s="30"/>
      <c r="H42" s="30"/>
      <c r="I42" s="30"/>
      <c r="J42" s="30"/>
      <c r="R42" s="14">
        <v>41.0</v>
      </c>
      <c r="S42" s="40">
        <v>13.0443117958453</v>
      </c>
    </row>
    <row r="43" ht="15.75" customHeight="1">
      <c r="A43" s="234">
        <f t="shared" ref="A43:C43" si="7">A48+A53+A58</f>
        <v>14</v>
      </c>
      <c r="B43" s="30">
        <f t="shared" si="7"/>
        <v>11</v>
      </c>
      <c r="C43" s="238">
        <f t="shared" si="7"/>
        <v>40</v>
      </c>
      <c r="D43" s="30"/>
      <c r="E43" s="30"/>
      <c r="F43" s="30"/>
      <c r="G43" s="30"/>
      <c r="H43" s="30"/>
      <c r="I43" s="30"/>
      <c r="J43" s="30"/>
      <c r="R43" s="14">
        <v>42.0</v>
      </c>
      <c r="S43" s="40">
        <v>13.5360436664585</v>
      </c>
    </row>
    <row r="44" ht="15.75" customHeight="1">
      <c r="A44" s="234" t="s">
        <v>522</v>
      </c>
      <c r="B44" s="30" t="s">
        <v>523</v>
      </c>
      <c r="C44" s="238" t="s">
        <v>524</v>
      </c>
      <c r="D44" s="30"/>
      <c r="E44" s="30"/>
      <c r="F44" s="30"/>
      <c r="G44" s="30"/>
      <c r="H44" s="30"/>
      <c r="I44" s="30"/>
      <c r="J44" s="30"/>
      <c r="R44" s="14">
        <v>43.0</v>
      </c>
      <c r="S44" s="40">
        <v>14.0277755370717</v>
      </c>
    </row>
    <row r="45" ht="15.75" customHeight="1">
      <c r="A45" s="239">
        <f t="shared" ref="A45:C45" si="8">A50+A55+A60</f>
        <v>42</v>
      </c>
      <c r="B45" s="240">
        <f t="shared" si="8"/>
        <v>41</v>
      </c>
      <c r="C45" s="241">
        <f t="shared" si="8"/>
        <v>12</v>
      </c>
      <c r="D45" s="30"/>
      <c r="E45" s="30"/>
      <c r="F45" s="30"/>
      <c r="G45" s="30"/>
      <c r="H45" s="30"/>
      <c r="I45" s="30"/>
      <c r="J45" s="30"/>
      <c r="R45" s="14">
        <v>44.0</v>
      </c>
      <c r="S45" s="40">
        <v>14.5195074076849</v>
      </c>
    </row>
    <row r="46" ht="15.75" customHeight="1">
      <c r="A46" s="242" t="s">
        <v>558</v>
      </c>
      <c r="B46" s="243"/>
      <c r="C46" s="244" t="s">
        <v>78</v>
      </c>
      <c r="R46" s="14">
        <v>45.0</v>
      </c>
      <c r="S46" s="40">
        <v>15.0112392782981</v>
      </c>
    </row>
    <row r="47" ht="15.75" customHeight="1">
      <c r="A47" s="234" t="s">
        <v>519</v>
      </c>
      <c r="B47" s="30" t="s">
        <v>520</v>
      </c>
      <c r="C47" s="238" t="s">
        <v>557</v>
      </c>
      <c r="E47" s="242" t="s">
        <v>558</v>
      </c>
      <c r="F47" s="243"/>
      <c r="G47" s="244">
        <v>1.0</v>
      </c>
      <c r="R47" s="14">
        <v>46.0</v>
      </c>
      <c r="S47" s="40">
        <v>15.5029711489114</v>
      </c>
    </row>
    <row r="48" ht="15.75" customHeight="1">
      <c r="A48" s="30">
        <f t="shared" ref="A48:C48" si="9">(E49+A65)</f>
        <v>0</v>
      </c>
      <c r="B48" s="30">
        <f t="shared" si="9"/>
        <v>-1</v>
      </c>
      <c r="C48" s="238">
        <f t="shared" si="9"/>
        <v>0</v>
      </c>
      <c r="E48" s="234" t="s">
        <v>519</v>
      </c>
      <c r="F48" s="30" t="s">
        <v>520</v>
      </c>
      <c r="G48" s="238" t="s">
        <v>557</v>
      </c>
      <c r="R48" s="14">
        <v>47.0</v>
      </c>
      <c r="S48" s="40">
        <v>15.9947030195246</v>
      </c>
    </row>
    <row r="49" ht="15.75" customHeight="1">
      <c r="A49" s="234" t="s">
        <v>522</v>
      </c>
      <c r="B49" s="30" t="s">
        <v>523</v>
      </c>
      <c r="C49" s="238" t="s">
        <v>524</v>
      </c>
      <c r="E49" s="234">
        <v>0.0</v>
      </c>
      <c r="F49" s="30">
        <v>-1.0</v>
      </c>
      <c r="G49" s="238">
        <v>0.0</v>
      </c>
      <c r="R49" s="14">
        <v>48.0</v>
      </c>
      <c r="S49" s="40">
        <v>17.0</v>
      </c>
    </row>
    <row r="50" ht="15.75" customHeight="1">
      <c r="A50" s="240">
        <f t="shared" ref="A50:C50" si="10">E51+A67</f>
        <v>32</v>
      </c>
      <c r="B50" s="240">
        <f t="shared" si="10"/>
        <v>31</v>
      </c>
      <c r="C50" s="241">
        <f t="shared" si="10"/>
        <v>0</v>
      </c>
      <c r="E50" s="234" t="s">
        <v>522</v>
      </c>
      <c r="F50" s="30" t="s">
        <v>523</v>
      </c>
      <c r="G50" s="238" t="s">
        <v>524</v>
      </c>
      <c r="R50" s="14">
        <v>49.0</v>
      </c>
      <c r="S50" s="40">
        <v>16.978166760751</v>
      </c>
    </row>
    <row r="51" ht="15.75" customHeight="1">
      <c r="A51" s="245" t="s">
        <v>559</v>
      </c>
      <c r="C51" s="215" t="s">
        <v>560</v>
      </c>
      <c r="E51" s="239">
        <v>3.0</v>
      </c>
      <c r="F51" s="240">
        <v>2.0</v>
      </c>
      <c r="G51" s="241"/>
      <c r="R51" s="14">
        <v>50.0</v>
      </c>
      <c r="S51" s="40">
        <v>18.0</v>
      </c>
    </row>
    <row r="52" ht="15.75" customHeight="1">
      <c r="A52" s="234" t="s">
        <v>519</v>
      </c>
      <c r="B52" s="30" t="s">
        <v>520</v>
      </c>
      <c r="C52" s="238" t="s">
        <v>557</v>
      </c>
      <c r="E52" s="242" t="s">
        <v>559</v>
      </c>
      <c r="F52" s="243"/>
      <c r="G52" s="244">
        <v>1.0</v>
      </c>
      <c r="R52" s="14">
        <v>51.0</v>
      </c>
      <c r="S52" s="40">
        <v>18.4533623725906</v>
      </c>
    </row>
    <row r="53" ht="15.75" customHeight="1">
      <c r="A53" s="234">
        <f t="shared" ref="A53:C53" si="11">E54+A70</f>
        <v>0</v>
      </c>
      <c r="B53" s="234">
        <f t="shared" si="11"/>
        <v>-1</v>
      </c>
      <c r="C53" s="234">
        <f t="shared" si="11"/>
        <v>30</v>
      </c>
      <c r="E53" s="234" t="s">
        <v>519</v>
      </c>
      <c r="F53" s="30" t="s">
        <v>520</v>
      </c>
      <c r="G53" s="238" t="s">
        <v>557</v>
      </c>
      <c r="R53" s="14">
        <v>52.0</v>
      </c>
      <c r="S53" s="40">
        <v>18.9450942432038</v>
      </c>
    </row>
    <row r="54" ht="15.75" customHeight="1">
      <c r="A54" s="234" t="s">
        <v>522</v>
      </c>
      <c r="B54" s="30" t="s">
        <v>523</v>
      </c>
      <c r="C54" s="238" t="s">
        <v>524</v>
      </c>
      <c r="E54" s="234">
        <v>0.0</v>
      </c>
      <c r="F54" s="30">
        <v>-1.0</v>
      </c>
      <c r="G54" s="238">
        <v>1.0</v>
      </c>
      <c r="R54" s="14">
        <v>53.0</v>
      </c>
      <c r="S54" s="40">
        <v>19.4368261138171</v>
      </c>
    </row>
    <row r="55" ht="15.75" customHeight="1">
      <c r="A55" s="240">
        <f t="shared" ref="A55:C55" si="12">A72+E56</f>
        <v>0</v>
      </c>
      <c r="B55" s="240">
        <f t="shared" si="12"/>
        <v>0</v>
      </c>
      <c r="C55" s="241">
        <f t="shared" si="12"/>
        <v>0</v>
      </c>
      <c r="E55" s="234" t="s">
        <v>522</v>
      </c>
      <c r="F55" s="30" t="s">
        <v>523</v>
      </c>
      <c r="G55" s="238" t="s">
        <v>524</v>
      </c>
      <c r="R55" s="14">
        <v>54.0</v>
      </c>
      <c r="S55" s="40">
        <v>19.9285579844303</v>
      </c>
    </row>
    <row r="56" ht="15.75" customHeight="1">
      <c r="A56" s="245" t="s">
        <v>561</v>
      </c>
      <c r="C56" s="215"/>
      <c r="E56" s="239">
        <v>0.0</v>
      </c>
      <c r="F56" s="240">
        <v>0.0</v>
      </c>
      <c r="G56" s="241">
        <v>0.0</v>
      </c>
      <c r="R56" s="14">
        <v>55.0</v>
      </c>
      <c r="S56" s="40">
        <v>20.4202898550435</v>
      </c>
    </row>
    <row r="57" ht="15.75" customHeight="1">
      <c r="A57" s="234" t="s">
        <v>519</v>
      </c>
      <c r="B57" s="30" t="s">
        <v>520</v>
      </c>
      <c r="C57" s="238" t="s">
        <v>557</v>
      </c>
      <c r="R57" s="14">
        <v>56.0</v>
      </c>
      <c r="S57" s="40">
        <v>20.9120217256567</v>
      </c>
    </row>
    <row r="58" ht="15.75" customHeight="1">
      <c r="A58" s="234">
        <v>14.0</v>
      </c>
      <c r="B58" s="30">
        <v>13.0</v>
      </c>
      <c r="C58" s="238">
        <v>10.0</v>
      </c>
      <c r="R58" s="14">
        <v>57.0</v>
      </c>
      <c r="S58" s="40">
        <v>21.4037535962699</v>
      </c>
    </row>
    <row r="59" ht="15.75" customHeight="1">
      <c r="A59" s="234" t="s">
        <v>522</v>
      </c>
      <c r="B59" s="30" t="s">
        <v>523</v>
      </c>
      <c r="C59" s="238" t="s">
        <v>524</v>
      </c>
      <c r="R59" s="14">
        <v>58.0</v>
      </c>
      <c r="S59" s="40">
        <v>21.8954854668831</v>
      </c>
    </row>
    <row r="60" ht="15.75" customHeight="1">
      <c r="A60" s="239">
        <v>10.0</v>
      </c>
      <c r="B60" s="240">
        <v>10.0</v>
      </c>
      <c r="C60" s="241">
        <v>12.0</v>
      </c>
      <c r="R60" s="14">
        <v>59.0</v>
      </c>
      <c r="S60" s="40">
        <v>22.3872173374963</v>
      </c>
    </row>
    <row r="61" ht="15.75" customHeight="1">
      <c r="R61" s="14">
        <v>60.0</v>
      </c>
      <c r="S61" s="40">
        <v>22.8789492081096</v>
      </c>
    </row>
    <row r="62" ht="15.75" customHeight="1">
      <c r="R62" s="14">
        <v>61.0</v>
      </c>
      <c r="S62" s="40">
        <v>23.3706810787228</v>
      </c>
    </row>
    <row r="63" ht="15.75" customHeight="1">
      <c r="A63" s="242" t="s">
        <v>558</v>
      </c>
      <c r="B63" s="243"/>
      <c r="C63" s="244">
        <f>$L$2</f>
        <v>30</v>
      </c>
      <c r="E63" s="242"/>
      <c r="F63" s="243"/>
      <c r="G63" s="244"/>
      <c r="I63" s="242"/>
      <c r="J63" s="243"/>
      <c r="K63" s="244"/>
      <c r="M63" s="242"/>
      <c r="N63" s="243"/>
      <c r="O63" s="244"/>
      <c r="R63" s="14">
        <v>62.0</v>
      </c>
      <c r="S63" s="40">
        <v>23.862412949336</v>
      </c>
    </row>
    <row r="64" ht="15.75" customHeight="1">
      <c r="A64" s="234" t="s">
        <v>519</v>
      </c>
      <c r="B64" s="30" t="s">
        <v>520</v>
      </c>
      <c r="C64" s="238" t="s">
        <v>557</v>
      </c>
      <c r="E64" s="234"/>
      <c r="F64" s="30"/>
      <c r="G64" s="238"/>
      <c r="I64" s="234"/>
      <c r="J64" s="30"/>
      <c r="K64" s="238"/>
      <c r="M64" s="234"/>
      <c r="N64" s="30"/>
      <c r="O64" s="238"/>
      <c r="R64" s="14">
        <v>63.0</v>
      </c>
      <c r="S64" s="40">
        <v>24.3541448199492</v>
      </c>
    </row>
    <row r="65" ht="15.75" customHeight="1">
      <c r="A65" s="30">
        <f t="shared" ref="A65:C65" si="13">IF(E49&gt;0,$C$63-1,0)</f>
        <v>0</v>
      </c>
      <c r="B65" s="30">
        <f t="shared" si="13"/>
        <v>0</v>
      </c>
      <c r="C65" s="30">
        <f t="shared" si="13"/>
        <v>0</v>
      </c>
      <c r="E65" s="234"/>
      <c r="F65" s="30"/>
      <c r="G65" s="238"/>
      <c r="I65" s="234"/>
      <c r="J65" s="30"/>
      <c r="K65" s="238"/>
      <c r="M65" s="234"/>
      <c r="N65" s="30"/>
      <c r="O65" s="238"/>
      <c r="R65" s="14">
        <v>64.0</v>
      </c>
      <c r="S65" s="40">
        <v>24.8458766905624</v>
      </c>
    </row>
    <row r="66" ht="15.75" customHeight="1">
      <c r="A66" s="234" t="s">
        <v>522</v>
      </c>
      <c r="B66" s="30" t="s">
        <v>523</v>
      </c>
      <c r="C66" s="238" t="s">
        <v>524</v>
      </c>
      <c r="E66" s="234"/>
      <c r="F66" s="30"/>
      <c r="G66" s="238"/>
      <c r="I66" s="234"/>
      <c r="J66" s="30"/>
      <c r="K66" s="238"/>
      <c r="M66" s="234"/>
      <c r="N66" s="30"/>
      <c r="O66" s="238"/>
      <c r="R66" s="14">
        <v>65.0</v>
      </c>
      <c r="S66" s="40">
        <v>25.3376085611756</v>
      </c>
    </row>
    <row r="67" ht="15.75" customHeight="1">
      <c r="A67" s="30">
        <f t="shared" ref="A67:C67" si="14">IF(E51&gt;0,$C$63-1,0)</f>
        <v>29</v>
      </c>
      <c r="B67" s="30">
        <f t="shared" si="14"/>
        <v>29</v>
      </c>
      <c r="C67" s="30">
        <f t="shared" si="14"/>
        <v>0</v>
      </c>
      <c r="E67" s="239"/>
      <c r="F67" s="240"/>
      <c r="G67" s="241"/>
      <c r="I67" s="239"/>
      <c r="J67" s="240"/>
      <c r="K67" s="241"/>
      <c r="M67" s="239"/>
      <c r="N67" s="240"/>
      <c r="O67" s="241"/>
      <c r="R67" s="14">
        <v>66.0</v>
      </c>
      <c r="S67" s="40">
        <v>25.8293404317888</v>
      </c>
    </row>
    <row r="68" ht="15.75" customHeight="1">
      <c r="A68" s="242" t="s">
        <v>559</v>
      </c>
      <c r="B68" s="243"/>
      <c r="C68" s="244">
        <v>2.0</v>
      </c>
      <c r="E68" s="242"/>
      <c r="F68" s="243"/>
      <c r="G68" s="244"/>
      <c r="I68" s="242"/>
      <c r="J68" s="243"/>
      <c r="K68" s="244"/>
      <c r="M68" s="242"/>
      <c r="N68" s="243"/>
      <c r="O68" s="244"/>
      <c r="R68" s="14">
        <v>67.0</v>
      </c>
      <c r="S68" s="40">
        <v>26.321072302402</v>
      </c>
    </row>
    <row r="69" ht="15.75" customHeight="1">
      <c r="A69" s="234" t="s">
        <v>519</v>
      </c>
      <c r="B69" s="30" t="s">
        <v>520</v>
      </c>
      <c r="C69" s="238" t="s">
        <v>557</v>
      </c>
      <c r="E69" s="234"/>
      <c r="F69" s="30"/>
      <c r="G69" s="238"/>
      <c r="I69" s="234"/>
      <c r="J69" s="30"/>
      <c r="K69" s="238"/>
      <c r="M69" s="234"/>
      <c r="N69" s="30"/>
      <c r="O69" s="238"/>
      <c r="R69" s="14">
        <v>68.0</v>
      </c>
      <c r="S69" s="40">
        <v>26.8128041730153</v>
      </c>
    </row>
    <row r="70" ht="15.75" customHeight="1">
      <c r="A70" s="234">
        <f t="shared" ref="A70:C70" si="15">IF(E54&gt;0,$C$63-1,0)</f>
        <v>0</v>
      </c>
      <c r="B70" s="234">
        <f t="shared" si="15"/>
        <v>0</v>
      </c>
      <c r="C70" s="234">
        <f t="shared" si="15"/>
        <v>29</v>
      </c>
      <c r="E70" s="234"/>
      <c r="F70" s="30"/>
      <c r="G70" s="238"/>
      <c r="I70" s="234"/>
      <c r="J70" s="30"/>
      <c r="K70" s="238"/>
      <c r="M70" s="234"/>
      <c r="N70" s="30"/>
      <c r="O70" s="238"/>
      <c r="R70" s="14">
        <v>69.0</v>
      </c>
      <c r="S70" s="40">
        <v>27.3045360436285</v>
      </c>
    </row>
    <row r="71" ht="15.75" customHeight="1">
      <c r="A71" s="234" t="s">
        <v>522</v>
      </c>
      <c r="B71" s="30" t="s">
        <v>523</v>
      </c>
      <c r="C71" s="238" t="s">
        <v>524</v>
      </c>
      <c r="E71" s="234"/>
      <c r="F71" s="30"/>
      <c r="G71" s="238"/>
      <c r="I71" s="234"/>
      <c r="J71" s="30"/>
      <c r="K71" s="238"/>
      <c r="M71" s="234"/>
      <c r="N71" s="30"/>
      <c r="O71" s="238"/>
      <c r="R71" s="14">
        <v>70.0</v>
      </c>
      <c r="S71" s="40">
        <v>27.7962679142417</v>
      </c>
    </row>
    <row r="72" ht="15.75" customHeight="1">
      <c r="A72" s="239">
        <f t="shared" ref="A72:C72" si="16">IF(E56&gt;0,$C$63-1,0)</f>
        <v>0</v>
      </c>
      <c r="B72" s="239">
        <f t="shared" si="16"/>
        <v>0</v>
      </c>
      <c r="C72" s="239">
        <f t="shared" si="16"/>
        <v>0</v>
      </c>
      <c r="E72" s="239"/>
      <c r="F72" s="240"/>
      <c r="G72" s="241"/>
      <c r="I72" s="239"/>
      <c r="J72" s="240"/>
      <c r="K72" s="241"/>
      <c r="M72" s="239"/>
      <c r="N72" s="240"/>
      <c r="O72" s="241"/>
      <c r="R72" s="14">
        <v>71.0</v>
      </c>
      <c r="S72" s="40">
        <v>28.2879997848549</v>
      </c>
    </row>
    <row r="73" ht="15.75" customHeight="1">
      <c r="A73" s="14"/>
      <c r="R73" s="14">
        <v>72.0</v>
      </c>
      <c r="S73" s="40">
        <v>28.7797316554681</v>
      </c>
    </row>
    <row r="74" ht="15.75" customHeight="1">
      <c r="A74" s="242"/>
      <c r="B74" s="243"/>
      <c r="C74" s="244"/>
      <c r="E74" s="242"/>
      <c r="F74" s="243"/>
      <c r="G74" s="244"/>
      <c r="I74" s="242"/>
      <c r="J74" s="243"/>
      <c r="K74" s="244"/>
      <c r="M74" s="242"/>
      <c r="N74" s="243"/>
      <c r="O74" s="244"/>
      <c r="R74" s="14">
        <v>73.0</v>
      </c>
      <c r="S74" s="40">
        <v>29.2714635260813</v>
      </c>
    </row>
    <row r="75" ht="15.75" customHeight="1">
      <c r="A75" s="234"/>
      <c r="B75" s="30"/>
      <c r="C75" s="238"/>
      <c r="E75" s="234"/>
      <c r="F75" s="30"/>
      <c r="G75" s="238"/>
      <c r="I75" s="234"/>
      <c r="J75" s="30"/>
      <c r="K75" s="238"/>
      <c r="M75" s="234"/>
      <c r="N75" s="30"/>
      <c r="O75" s="238"/>
      <c r="R75" s="14">
        <v>74.0</v>
      </c>
      <c r="S75" s="40">
        <v>29.7631953966945</v>
      </c>
    </row>
    <row r="76" ht="15.75" customHeight="1">
      <c r="A76" s="234"/>
      <c r="B76" s="30"/>
      <c r="C76" s="238"/>
      <c r="E76" s="234"/>
      <c r="F76" s="30"/>
      <c r="G76" s="238"/>
      <c r="I76" s="234"/>
      <c r="J76" s="30"/>
      <c r="K76" s="238"/>
      <c r="M76" s="234"/>
      <c r="N76" s="30"/>
      <c r="O76" s="238"/>
      <c r="R76" s="14">
        <v>75.0</v>
      </c>
      <c r="S76" s="40">
        <v>30.2549272673077</v>
      </c>
    </row>
    <row r="77" ht="15.75" customHeight="1">
      <c r="A77" s="234"/>
      <c r="B77" s="30"/>
      <c r="C77" s="238"/>
      <c r="E77" s="234"/>
      <c r="F77" s="30"/>
      <c r="G77" s="238"/>
      <c r="I77" s="234"/>
      <c r="J77" s="30"/>
      <c r="K77" s="238"/>
      <c r="M77" s="234"/>
      <c r="N77" s="30"/>
      <c r="O77" s="238"/>
      <c r="R77" s="14">
        <v>76.0</v>
      </c>
      <c r="S77" s="40">
        <v>30.746659137921</v>
      </c>
    </row>
    <row r="78" ht="15.75" customHeight="1">
      <c r="A78" s="239"/>
      <c r="B78" s="240"/>
      <c r="C78" s="241"/>
      <c r="E78" s="239"/>
      <c r="F78" s="240"/>
      <c r="G78" s="241"/>
      <c r="I78" s="239"/>
      <c r="J78" s="240"/>
      <c r="K78" s="241"/>
      <c r="M78" s="239"/>
      <c r="N78" s="240"/>
      <c r="O78" s="241"/>
      <c r="R78" s="14">
        <v>77.0</v>
      </c>
      <c r="S78" s="40">
        <v>31.2383910085342</v>
      </c>
    </row>
    <row r="79" ht="15.75" customHeight="1">
      <c r="A79" s="242"/>
      <c r="B79" s="243"/>
      <c r="C79" s="244"/>
      <c r="E79" s="242"/>
      <c r="F79" s="243"/>
      <c r="G79" s="244"/>
      <c r="I79" s="242"/>
      <c r="J79" s="243"/>
      <c r="K79" s="244"/>
      <c r="M79" s="242"/>
      <c r="N79" s="243"/>
      <c r="O79" s="244"/>
      <c r="R79" s="14">
        <v>78.0</v>
      </c>
      <c r="S79" s="40">
        <v>31.7301228791474</v>
      </c>
    </row>
    <row r="80" ht="15.75" customHeight="1">
      <c r="A80" s="234"/>
      <c r="B80" s="30"/>
      <c r="C80" s="238"/>
      <c r="E80" s="234"/>
      <c r="F80" s="30"/>
      <c r="G80" s="238"/>
      <c r="I80" s="234"/>
      <c r="J80" s="30"/>
      <c r="K80" s="238"/>
      <c r="M80" s="234"/>
      <c r="N80" s="30"/>
      <c r="O80" s="238"/>
      <c r="R80" s="14">
        <v>79.0</v>
      </c>
      <c r="S80" s="40">
        <v>32.2218547497606</v>
      </c>
    </row>
    <row r="81" ht="15.75" customHeight="1">
      <c r="A81" s="234"/>
      <c r="B81" s="30"/>
      <c r="C81" s="238"/>
      <c r="E81" s="234"/>
      <c r="F81" s="30"/>
      <c r="G81" s="238"/>
      <c r="I81" s="234"/>
      <c r="J81" s="30"/>
      <c r="K81" s="238"/>
      <c r="M81" s="234"/>
      <c r="N81" s="30"/>
      <c r="O81" s="238"/>
      <c r="R81" s="14">
        <v>80.0</v>
      </c>
      <c r="S81" s="40">
        <v>32.7135866203738</v>
      </c>
    </row>
    <row r="82" ht="15.75" customHeight="1">
      <c r="A82" s="234"/>
      <c r="B82" s="30"/>
      <c r="C82" s="238"/>
      <c r="E82" s="234"/>
      <c r="F82" s="30"/>
      <c r="G82" s="238"/>
      <c r="I82" s="234"/>
      <c r="J82" s="30"/>
      <c r="K82" s="238"/>
      <c r="M82" s="234"/>
      <c r="N82" s="30"/>
      <c r="O82" s="238"/>
      <c r="R82" s="14">
        <v>81.0</v>
      </c>
      <c r="S82" s="40">
        <v>33.205318490987</v>
      </c>
    </row>
    <row r="83" ht="15.75" customHeight="1">
      <c r="A83" s="239"/>
      <c r="B83" s="240"/>
      <c r="C83" s="241"/>
      <c r="E83" s="239"/>
      <c r="F83" s="240"/>
      <c r="G83" s="241"/>
      <c r="I83" s="239"/>
      <c r="J83" s="240"/>
      <c r="K83" s="241"/>
      <c r="M83" s="239"/>
      <c r="N83" s="240"/>
      <c r="O83" s="241"/>
      <c r="R83" s="14">
        <v>82.0</v>
      </c>
      <c r="S83" s="40">
        <v>33.6970503616002</v>
      </c>
    </row>
    <row r="84" ht="15.75" customHeight="1">
      <c r="R84" s="14">
        <v>83.0</v>
      </c>
      <c r="S84" s="40">
        <v>34.1887822322135</v>
      </c>
    </row>
    <row r="85" ht="15.75" customHeight="1">
      <c r="A85" s="242"/>
      <c r="B85" s="243"/>
      <c r="C85" s="244"/>
      <c r="E85" s="242"/>
      <c r="F85" s="243"/>
      <c r="G85" s="244"/>
      <c r="I85" s="242"/>
      <c r="J85" s="243"/>
      <c r="K85" s="244"/>
      <c r="M85" s="242"/>
      <c r="N85" s="243"/>
      <c r="O85" s="244"/>
      <c r="R85" s="14">
        <v>84.0</v>
      </c>
      <c r="S85" s="40">
        <v>34.6805141028267</v>
      </c>
    </row>
    <row r="86" ht="15.75" customHeight="1">
      <c r="A86" s="234"/>
      <c r="B86" s="30"/>
      <c r="C86" s="238"/>
      <c r="E86" s="234"/>
      <c r="F86" s="30"/>
      <c r="G86" s="238"/>
      <c r="I86" s="234"/>
      <c r="J86" s="30"/>
      <c r="K86" s="238"/>
      <c r="M86" s="234"/>
      <c r="N86" s="30"/>
      <c r="O86" s="238"/>
      <c r="R86" s="14">
        <v>85.0</v>
      </c>
      <c r="S86" s="40">
        <v>35.1722459734399</v>
      </c>
    </row>
    <row r="87" ht="15.75" customHeight="1">
      <c r="A87" s="234"/>
      <c r="B87" s="30"/>
      <c r="C87" s="238"/>
      <c r="E87" s="234"/>
      <c r="F87" s="30"/>
      <c r="G87" s="238"/>
      <c r="I87" s="234"/>
      <c r="J87" s="30"/>
      <c r="K87" s="238"/>
      <c r="M87" s="234"/>
      <c r="N87" s="30"/>
      <c r="O87" s="238"/>
      <c r="R87" s="14">
        <v>86.0</v>
      </c>
      <c r="S87" s="40">
        <v>35.6639778440531</v>
      </c>
    </row>
    <row r="88" ht="15.75" customHeight="1">
      <c r="A88" s="234"/>
      <c r="B88" s="30"/>
      <c r="C88" s="238"/>
      <c r="E88" s="234"/>
      <c r="F88" s="30"/>
      <c r="G88" s="238"/>
      <c r="I88" s="234"/>
      <c r="J88" s="30"/>
      <c r="K88" s="238"/>
      <c r="M88" s="234"/>
      <c r="N88" s="30"/>
      <c r="O88" s="238"/>
      <c r="R88" s="14">
        <v>87.0</v>
      </c>
      <c r="S88" s="40">
        <v>36.1557097146663</v>
      </c>
    </row>
    <row r="89" ht="15.75" customHeight="1">
      <c r="A89" s="239"/>
      <c r="B89" s="240"/>
      <c r="C89" s="241"/>
      <c r="E89" s="239"/>
      <c r="F89" s="240"/>
      <c r="G89" s="241"/>
      <c r="I89" s="239"/>
      <c r="J89" s="240"/>
      <c r="K89" s="241"/>
      <c r="M89" s="239"/>
      <c r="N89" s="240"/>
      <c r="O89" s="241"/>
      <c r="R89" s="14">
        <v>88.0</v>
      </c>
      <c r="S89" s="40">
        <v>36.6474415852795</v>
      </c>
    </row>
    <row r="90" ht="15.75" customHeight="1">
      <c r="A90" s="242"/>
      <c r="B90" s="243"/>
      <c r="C90" s="244"/>
      <c r="E90" s="242"/>
      <c r="F90" s="243"/>
      <c r="G90" s="244"/>
      <c r="I90" s="242"/>
      <c r="J90" s="243"/>
      <c r="K90" s="244"/>
      <c r="M90" s="242"/>
      <c r="N90" s="243"/>
      <c r="O90" s="244"/>
      <c r="R90" s="14">
        <v>89.0</v>
      </c>
      <c r="S90" s="40">
        <v>37.1391734558927</v>
      </c>
    </row>
    <row r="91" ht="15.75" customHeight="1">
      <c r="A91" s="234"/>
      <c r="B91" s="30"/>
      <c r="C91" s="238"/>
      <c r="E91" s="234"/>
      <c r="F91" s="30"/>
      <c r="G91" s="238"/>
      <c r="I91" s="234"/>
      <c r="J91" s="30"/>
      <c r="K91" s="238"/>
      <c r="M91" s="234"/>
      <c r="N91" s="30"/>
      <c r="O91" s="238"/>
      <c r="R91" s="14">
        <v>90.0</v>
      </c>
      <c r="S91" s="40">
        <v>37.6309053265059</v>
      </c>
    </row>
    <row r="92" ht="15.75" customHeight="1">
      <c r="A92" s="234"/>
      <c r="B92" s="30"/>
      <c r="C92" s="238"/>
      <c r="E92" s="234"/>
      <c r="F92" s="30"/>
      <c r="G92" s="238"/>
      <c r="I92" s="234"/>
      <c r="J92" s="30"/>
      <c r="K92" s="238"/>
      <c r="M92" s="234"/>
      <c r="N92" s="30"/>
      <c r="O92" s="238"/>
      <c r="R92" s="14">
        <v>91.0</v>
      </c>
      <c r="S92" s="40">
        <v>38.1226371971192</v>
      </c>
    </row>
    <row r="93" ht="15.75" customHeight="1">
      <c r="A93" s="234"/>
      <c r="B93" s="30"/>
      <c r="C93" s="238"/>
      <c r="E93" s="234"/>
      <c r="F93" s="30"/>
      <c r="G93" s="238"/>
      <c r="I93" s="234"/>
      <c r="J93" s="30"/>
      <c r="K93" s="238"/>
      <c r="M93" s="234"/>
      <c r="N93" s="30"/>
      <c r="O93" s="238"/>
      <c r="R93" s="14">
        <v>92.0</v>
      </c>
      <c r="S93" s="40">
        <v>38.6143690677324</v>
      </c>
    </row>
    <row r="94" ht="15.75" customHeight="1">
      <c r="A94" s="239"/>
      <c r="B94" s="240"/>
      <c r="C94" s="241"/>
      <c r="E94" s="239"/>
      <c r="F94" s="240"/>
      <c r="G94" s="241"/>
      <c r="I94" s="239"/>
      <c r="J94" s="240"/>
      <c r="K94" s="241"/>
      <c r="M94" s="239"/>
      <c r="N94" s="240"/>
      <c r="O94" s="241"/>
      <c r="R94" s="14">
        <v>93.0</v>
      </c>
      <c r="S94" s="40">
        <v>39.1061009383456</v>
      </c>
    </row>
    <row r="95" ht="15.75" customHeight="1">
      <c r="R95" s="14">
        <v>94.0</v>
      </c>
      <c r="S95" s="40">
        <v>39.5978328089588</v>
      </c>
    </row>
    <row r="96" ht="15.75" customHeight="1">
      <c r="A96" s="242"/>
      <c r="B96" s="243"/>
      <c r="C96" s="244"/>
      <c r="E96" s="242"/>
      <c r="F96" s="243"/>
      <c r="G96" s="244"/>
      <c r="I96" s="242"/>
      <c r="J96" s="243"/>
      <c r="K96" s="244"/>
      <c r="M96" s="242"/>
      <c r="N96" s="243"/>
      <c r="O96" s="244"/>
      <c r="R96" s="14">
        <v>95.0</v>
      </c>
      <c r="S96" s="40">
        <v>40.089564679572</v>
      </c>
    </row>
    <row r="97" ht="15.75" customHeight="1">
      <c r="A97" s="234"/>
      <c r="B97" s="30"/>
      <c r="C97" s="238"/>
      <c r="E97" s="234"/>
      <c r="F97" s="30"/>
      <c r="G97" s="238"/>
      <c r="I97" s="234"/>
      <c r="J97" s="30"/>
      <c r="K97" s="238"/>
      <c r="M97" s="234"/>
      <c r="N97" s="30"/>
      <c r="O97" s="238"/>
      <c r="R97" s="14">
        <v>96.0</v>
      </c>
      <c r="S97" s="40">
        <v>40.5812965501852</v>
      </c>
    </row>
    <row r="98" ht="15.75" customHeight="1">
      <c r="A98" s="234"/>
      <c r="B98" s="30"/>
      <c r="C98" s="238"/>
      <c r="E98" s="234"/>
      <c r="F98" s="30"/>
      <c r="G98" s="238"/>
      <c r="I98" s="234"/>
      <c r="J98" s="30"/>
      <c r="K98" s="238"/>
      <c r="M98" s="234"/>
      <c r="N98" s="30"/>
      <c r="O98" s="238"/>
      <c r="R98" s="14">
        <v>97.0</v>
      </c>
      <c r="S98" s="40">
        <v>41.0730284207984</v>
      </c>
    </row>
    <row r="99" ht="15.75" customHeight="1">
      <c r="A99" s="234"/>
      <c r="B99" s="30"/>
      <c r="C99" s="238"/>
      <c r="E99" s="234"/>
      <c r="F99" s="30"/>
      <c r="G99" s="238"/>
      <c r="I99" s="234"/>
      <c r="J99" s="30"/>
      <c r="K99" s="238"/>
      <c r="M99" s="234"/>
      <c r="N99" s="30"/>
      <c r="O99" s="238"/>
      <c r="R99" s="14">
        <v>98.0</v>
      </c>
      <c r="S99" s="40">
        <v>41.5647602914116</v>
      </c>
    </row>
    <row r="100" ht="15.75" customHeight="1">
      <c r="A100" s="239"/>
      <c r="B100" s="240"/>
      <c r="C100" s="241"/>
      <c r="E100" s="239"/>
      <c r="F100" s="240"/>
      <c r="G100" s="241"/>
      <c r="I100" s="239"/>
      <c r="J100" s="240"/>
      <c r="K100" s="241"/>
      <c r="M100" s="239"/>
      <c r="N100" s="240"/>
      <c r="O100" s="241"/>
      <c r="R100" s="14">
        <v>99.0</v>
      </c>
      <c r="S100" s="40">
        <v>42.0564921620249</v>
      </c>
    </row>
    <row r="101" ht="15.75" customHeight="1">
      <c r="A101" s="242"/>
      <c r="B101" s="243"/>
      <c r="C101" s="244"/>
      <c r="E101" s="242"/>
      <c r="F101" s="243"/>
      <c r="G101" s="244"/>
      <c r="I101" s="242"/>
      <c r="J101" s="243"/>
      <c r="K101" s="244"/>
      <c r="M101" s="242"/>
      <c r="N101" s="243"/>
      <c r="O101" s="244"/>
      <c r="Q101" s="40"/>
      <c r="R101" s="14">
        <v>100.0</v>
      </c>
      <c r="S101" s="14">
        <v>43.0</v>
      </c>
    </row>
    <row r="102" ht="15.75" customHeight="1">
      <c r="A102" s="234"/>
      <c r="B102" s="30"/>
      <c r="C102" s="238"/>
      <c r="E102" s="234"/>
      <c r="F102" s="30"/>
      <c r="G102" s="238"/>
      <c r="I102" s="234"/>
      <c r="J102" s="30"/>
      <c r="K102" s="238"/>
      <c r="M102" s="234"/>
      <c r="N102" s="30"/>
      <c r="O102" s="238"/>
      <c r="Q102" s="40"/>
    </row>
    <row r="103" ht="15.75" customHeight="1">
      <c r="A103" s="234"/>
      <c r="B103" s="30"/>
      <c r="C103" s="238"/>
      <c r="E103" s="234"/>
      <c r="F103" s="30"/>
      <c r="G103" s="238"/>
      <c r="I103" s="234"/>
      <c r="J103" s="30"/>
      <c r="K103" s="238"/>
      <c r="M103" s="234"/>
      <c r="N103" s="30"/>
      <c r="O103" s="238"/>
      <c r="Q103" s="40"/>
    </row>
    <row r="104" ht="15.75" customHeight="1">
      <c r="A104" s="234"/>
      <c r="B104" s="30"/>
      <c r="C104" s="238"/>
      <c r="E104" s="234"/>
      <c r="F104" s="30"/>
      <c r="G104" s="238"/>
      <c r="I104" s="234"/>
      <c r="J104" s="30"/>
      <c r="K104" s="238"/>
      <c r="M104" s="234"/>
      <c r="N104" s="30"/>
      <c r="O104" s="238"/>
      <c r="Q104" s="40"/>
    </row>
    <row r="105" ht="15.75" customHeight="1">
      <c r="A105" s="239"/>
      <c r="B105" s="240"/>
      <c r="C105" s="241"/>
      <c r="E105" s="239"/>
      <c r="F105" s="240"/>
      <c r="G105" s="241"/>
      <c r="I105" s="239"/>
      <c r="J105" s="240"/>
      <c r="K105" s="241"/>
      <c r="M105" s="239"/>
      <c r="N105" s="240"/>
      <c r="O105" s="241"/>
      <c r="Q105" s="40"/>
    </row>
    <row r="106" ht="15.75" customHeight="1">
      <c r="Q106" s="40"/>
    </row>
    <row r="107" ht="15.75" customHeight="1">
      <c r="A107" s="242"/>
      <c r="B107" s="243"/>
      <c r="C107" s="244"/>
      <c r="E107" s="242"/>
      <c r="F107" s="243"/>
      <c r="G107" s="244"/>
      <c r="I107" s="242"/>
      <c r="J107" s="243"/>
      <c r="K107" s="244"/>
      <c r="M107" s="242"/>
      <c r="N107" s="243"/>
      <c r="O107" s="244"/>
      <c r="Q107" s="40"/>
    </row>
    <row r="108" ht="15.75" customHeight="1">
      <c r="A108" s="234"/>
      <c r="B108" s="30"/>
      <c r="C108" s="238"/>
      <c r="E108" s="234"/>
      <c r="F108" s="30"/>
      <c r="G108" s="238"/>
      <c r="I108" s="234"/>
      <c r="J108" s="30"/>
      <c r="K108" s="238"/>
      <c r="M108" s="234"/>
      <c r="N108" s="30"/>
      <c r="O108" s="238"/>
      <c r="Q108" s="40"/>
    </row>
    <row r="109" ht="15.75" customHeight="1">
      <c r="A109" s="234"/>
      <c r="B109" s="30"/>
      <c r="C109" s="238"/>
      <c r="E109" s="234"/>
      <c r="F109" s="30"/>
      <c r="G109" s="238"/>
      <c r="I109" s="234"/>
      <c r="J109" s="30"/>
      <c r="K109" s="238"/>
      <c r="M109" s="234"/>
      <c r="N109" s="30"/>
      <c r="O109" s="238"/>
      <c r="Q109" s="40"/>
    </row>
    <row r="110" ht="15.75" customHeight="1">
      <c r="A110" s="234"/>
      <c r="B110" s="30"/>
      <c r="C110" s="238"/>
      <c r="E110" s="234"/>
      <c r="F110" s="30"/>
      <c r="G110" s="238"/>
      <c r="I110" s="234"/>
      <c r="J110" s="30"/>
      <c r="K110" s="238"/>
      <c r="M110" s="234"/>
      <c r="N110" s="30"/>
      <c r="O110" s="238"/>
      <c r="Q110" s="40"/>
    </row>
    <row r="111" ht="15.75" customHeight="1">
      <c r="A111" s="239"/>
      <c r="B111" s="240"/>
      <c r="C111" s="241"/>
      <c r="E111" s="239"/>
      <c r="F111" s="240"/>
      <c r="G111" s="241"/>
      <c r="I111" s="239"/>
      <c r="J111" s="240"/>
      <c r="K111" s="241"/>
      <c r="M111" s="239"/>
      <c r="N111" s="240"/>
      <c r="O111" s="241"/>
      <c r="Q111" s="40"/>
    </row>
    <row r="112" ht="15.75" customHeight="1">
      <c r="A112" s="242"/>
      <c r="B112" s="243"/>
      <c r="C112" s="244"/>
      <c r="E112" s="242"/>
      <c r="F112" s="243"/>
      <c r="G112" s="244"/>
      <c r="I112" s="242"/>
      <c r="J112" s="243"/>
      <c r="K112" s="244"/>
      <c r="M112" s="242"/>
      <c r="N112" s="243"/>
      <c r="O112" s="244"/>
      <c r="Q112" s="40"/>
    </row>
    <row r="113" ht="15.75" customHeight="1">
      <c r="A113" s="234"/>
      <c r="B113" s="30"/>
      <c r="C113" s="238"/>
      <c r="E113" s="234"/>
      <c r="F113" s="30"/>
      <c r="G113" s="238"/>
      <c r="I113" s="234"/>
      <c r="J113" s="30"/>
      <c r="K113" s="238"/>
      <c r="M113" s="234"/>
      <c r="N113" s="30"/>
      <c r="O113" s="238"/>
      <c r="Q113" s="40"/>
    </row>
    <row r="114" ht="15.75" customHeight="1">
      <c r="A114" s="234"/>
      <c r="B114" s="30"/>
      <c r="C114" s="238"/>
      <c r="E114" s="234"/>
      <c r="F114" s="30"/>
      <c r="G114" s="238"/>
      <c r="I114" s="234"/>
      <c r="J114" s="30"/>
      <c r="K114" s="238"/>
      <c r="M114" s="234"/>
      <c r="N114" s="30"/>
      <c r="O114" s="238"/>
      <c r="Q114" s="40"/>
    </row>
    <row r="115" ht="15.75" customHeight="1">
      <c r="A115" s="234"/>
      <c r="B115" s="30"/>
      <c r="C115" s="238"/>
      <c r="E115" s="234"/>
      <c r="F115" s="30"/>
      <c r="G115" s="238"/>
      <c r="I115" s="234"/>
      <c r="J115" s="30"/>
      <c r="K115" s="238"/>
      <c r="M115" s="234"/>
      <c r="N115" s="30"/>
      <c r="O115" s="238"/>
      <c r="Q115" s="40"/>
    </row>
    <row r="116" ht="15.75" customHeight="1">
      <c r="A116" s="239"/>
      <c r="B116" s="240"/>
      <c r="C116" s="241"/>
      <c r="E116" s="239"/>
      <c r="F116" s="240"/>
      <c r="G116" s="241"/>
      <c r="I116" s="239"/>
      <c r="J116" s="240"/>
      <c r="K116" s="241"/>
      <c r="M116" s="239"/>
      <c r="N116" s="240"/>
      <c r="O116" s="241"/>
      <c r="Q116" s="40"/>
    </row>
    <row r="117" ht="15.75" customHeight="1">
      <c r="Q117" s="40"/>
    </row>
    <row r="118" ht="15.75" customHeight="1">
      <c r="A118" s="242"/>
      <c r="B118" s="243"/>
      <c r="C118" s="244"/>
      <c r="E118" s="242"/>
      <c r="F118" s="243"/>
      <c r="G118" s="244"/>
      <c r="I118" s="242"/>
      <c r="J118" s="243"/>
      <c r="K118" s="244"/>
      <c r="M118" s="242"/>
      <c r="N118" s="243"/>
      <c r="O118" s="244"/>
      <c r="Q118" s="40"/>
    </row>
    <row r="119" ht="15.75" customHeight="1">
      <c r="A119" s="234"/>
      <c r="B119" s="30"/>
      <c r="C119" s="238"/>
      <c r="E119" s="234"/>
      <c r="F119" s="30"/>
      <c r="G119" s="238"/>
      <c r="I119" s="234"/>
      <c r="J119" s="30"/>
      <c r="K119" s="238"/>
      <c r="M119" s="234"/>
      <c r="N119" s="30"/>
      <c r="O119" s="238"/>
      <c r="Q119" s="40"/>
    </row>
    <row r="120" ht="15.75" customHeight="1">
      <c r="A120" s="234"/>
      <c r="B120" s="30"/>
      <c r="C120" s="238"/>
      <c r="E120" s="234"/>
      <c r="F120" s="30"/>
      <c r="G120" s="238"/>
      <c r="I120" s="234"/>
      <c r="J120" s="30"/>
      <c r="K120" s="238"/>
      <c r="M120" s="234"/>
      <c r="N120" s="30"/>
      <c r="O120" s="238"/>
      <c r="Q120" s="40"/>
    </row>
    <row r="121" ht="15.75" customHeight="1">
      <c r="A121" s="234"/>
      <c r="B121" s="30"/>
      <c r="C121" s="238"/>
      <c r="E121" s="234"/>
      <c r="F121" s="30"/>
      <c r="G121" s="238"/>
      <c r="I121" s="234"/>
      <c r="J121" s="30"/>
      <c r="K121" s="238"/>
      <c r="M121" s="234"/>
      <c r="N121" s="30"/>
      <c r="O121" s="238"/>
      <c r="Q121" s="40"/>
    </row>
    <row r="122" ht="15.75" customHeight="1">
      <c r="A122" s="239"/>
      <c r="B122" s="240"/>
      <c r="C122" s="241"/>
      <c r="E122" s="239"/>
      <c r="F122" s="240"/>
      <c r="G122" s="241"/>
      <c r="I122" s="239"/>
      <c r="J122" s="240"/>
      <c r="K122" s="241"/>
      <c r="M122" s="239"/>
      <c r="N122" s="240"/>
      <c r="O122" s="241"/>
      <c r="Q122" s="40"/>
    </row>
    <row r="123" ht="15.75" customHeight="1">
      <c r="A123" s="242"/>
      <c r="B123" s="243"/>
      <c r="C123" s="244"/>
      <c r="E123" s="242"/>
      <c r="F123" s="243"/>
      <c r="G123" s="244"/>
      <c r="I123" s="242"/>
      <c r="J123" s="243"/>
      <c r="K123" s="244"/>
      <c r="M123" s="242"/>
      <c r="N123" s="243"/>
      <c r="O123" s="244"/>
      <c r="Q123" s="40"/>
    </row>
    <row r="124" ht="15.75" customHeight="1">
      <c r="A124" s="234"/>
      <c r="B124" s="30"/>
      <c r="C124" s="238"/>
      <c r="E124" s="234"/>
      <c r="F124" s="30"/>
      <c r="G124" s="238"/>
      <c r="I124" s="234"/>
      <c r="J124" s="30"/>
      <c r="K124" s="238"/>
      <c r="M124" s="234"/>
      <c r="N124" s="30"/>
      <c r="O124" s="238"/>
      <c r="Q124" s="40"/>
    </row>
    <row r="125" ht="15.75" customHeight="1">
      <c r="A125" s="234"/>
      <c r="B125" s="30"/>
      <c r="C125" s="238"/>
      <c r="E125" s="234"/>
      <c r="F125" s="30"/>
      <c r="G125" s="238"/>
      <c r="I125" s="234"/>
      <c r="J125" s="30"/>
      <c r="K125" s="238"/>
      <c r="M125" s="234"/>
      <c r="N125" s="30"/>
      <c r="O125" s="238"/>
      <c r="Q125" s="40"/>
    </row>
    <row r="126" ht="15.75" customHeight="1">
      <c r="A126" s="234"/>
      <c r="B126" s="30"/>
      <c r="C126" s="238"/>
      <c r="E126" s="234"/>
      <c r="F126" s="30"/>
      <c r="G126" s="238"/>
      <c r="I126" s="234"/>
      <c r="J126" s="30"/>
      <c r="K126" s="238"/>
      <c r="M126" s="234"/>
      <c r="N126" s="30"/>
      <c r="O126" s="238"/>
      <c r="Q126" s="40"/>
    </row>
    <row r="127" ht="15.75" customHeight="1">
      <c r="A127" s="239"/>
      <c r="B127" s="240"/>
      <c r="C127" s="241"/>
      <c r="E127" s="239"/>
      <c r="F127" s="240"/>
      <c r="G127" s="241"/>
      <c r="I127" s="239"/>
      <c r="J127" s="240"/>
      <c r="K127" s="241"/>
      <c r="M127" s="239"/>
      <c r="N127" s="240"/>
      <c r="O127" s="241"/>
      <c r="Q127" s="40"/>
    </row>
    <row r="128" ht="15.75" customHeight="1">
      <c r="Q128" s="40"/>
    </row>
    <row r="129" ht="15.75" customHeight="1">
      <c r="A129" s="242"/>
      <c r="B129" s="243"/>
      <c r="C129" s="244"/>
      <c r="E129" s="242"/>
      <c r="F129" s="243"/>
      <c r="G129" s="244"/>
      <c r="I129" s="242"/>
      <c r="J129" s="243"/>
      <c r="K129" s="244"/>
      <c r="M129" s="242"/>
      <c r="N129" s="243"/>
      <c r="O129" s="244"/>
      <c r="Q129" s="40"/>
    </row>
    <row r="130" ht="15.75" customHeight="1">
      <c r="A130" s="234"/>
      <c r="B130" s="30"/>
      <c r="C130" s="238"/>
      <c r="E130" s="234"/>
      <c r="F130" s="30"/>
      <c r="G130" s="238"/>
      <c r="I130" s="234"/>
      <c r="J130" s="30"/>
      <c r="K130" s="238"/>
      <c r="M130" s="234"/>
      <c r="N130" s="30"/>
      <c r="O130" s="238"/>
      <c r="Q130" s="40"/>
    </row>
    <row r="131" ht="15.75" customHeight="1">
      <c r="A131" s="234"/>
      <c r="B131" s="30"/>
      <c r="C131" s="238"/>
      <c r="E131" s="234"/>
      <c r="F131" s="30"/>
      <c r="G131" s="238"/>
      <c r="I131" s="234"/>
      <c r="J131" s="30"/>
      <c r="K131" s="238"/>
      <c r="M131" s="234"/>
      <c r="N131" s="30"/>
      <c r="O131" s="238"/>
      <c r="Q131" s="40"/>
    </row>
    <row r="132" ht="15.75" customHeight="1">
      <c r="A132" s="234"/>
      <c r="B132" s="30"/>
      <c r="C132" s="238"/>
      <c r="E132" s="234"/>
      <c r="F132" s="30"/>
      <c r="G132" s="238"/>
      <c r="I132" s="234"/>
      <c r="J132" s="30"/>
      <c r="K132" s="238"/>
      <c r="M132" s="234"/>
      <c r="N132" s="30"/>
      <c r="O132" s="238"/>
      <c r="Q132" s="40"/>
    </row>
    <row r="133" ht="15.75" customHeight="1">
      <c r="A133" s="239"/>
      <c r="B133" s="240"/>
      <c r="C133" s="241"/>
      <c r="E133" s="239"/>
      <c r="F133" s="240"/>
      <c r="G133" s="241"/>
      <c r="I133" s="239"/>
      <c r="J133" s="240"/>
      <c r="K133" s="241"/>
      <c r="M133" s="239"/>
      <c r="N133" s="240"/>
      <c r="O133" s="241"/>
      <c r="Q133" s="40"/>
    </row>
    <row r="134" ht="15.75" customHeight="1">
      <c r="A134" s="242"/>
      <c r="B134" s="243"/>
      <c r="C134" s="244"/>
      <c r="E134" s="242"/>
      <c r="F134" s="243"/>
      <c r="G134" s="244"/>
      <c r="I134" s="242"/>
      <c r="J134" s="243"/>
      <c r="K134" s="244"/>
      <c r="M134" s="242"/>
      <c r="N134" s="243"/>
      <c r="O134" s="244"/>
      <c r="Q134" s="40"/>
    </row>
    <row r="135" ht="15.75" customHeight="1">
      <c r="A135" s="234"/>
      <c r="B135" s="30"/>
      <c r="C135" s="238"/>
      <c r="E135" s="234"/>
      <c r="F135" s="30"/>
      <c r="G135" s="238"/>
      <c r="I135" s="234"/>
      <c r="J135" s="30"/>
      <c r="K135" s="238"/>
      <c r="M135" s="234"/>
      <c r="N135" s="30"/>
      <c r="O135" s="238"/>
      <c r="Q135" s="40"/>
    </row>
    <row r="136" ht="15.75" customHeight="1">
      <c r="A136" s="234"/>
      <c r="B136" s="30"/>
      <c r="C136" s="238"/>
      <c r="E136" s="234"/>
      <c r="F136" s="30"/>
      <c r="G136" s="238"/>
      <c r="I136" s="234"/>
      <c r="J136" s="30"/>
      <c r="K136" s="238"/>
      <c r="M136" s="234"/>
      <c r="N136" s="30"/>
      <c r="O136" s="238"/>
      <c r="Q136" s="40"/>
    </row>
    <row r="137" ht="15.75" customHeight="1">
      <c r="A137" s="234"/>
      <c r="B137" s="30"/>
      <c r="C137" s="238"/>
      <c r="E137" s="234"/>
      <c r="F137" s="30"/>
      <c r="G137" s="238"/>
      <c r="I137" s="234"/>
      <c r="J137" s="30"/>
      <c r="K137" s="238"/>
      <c r="M137" s="234"/>
      <c r="N137" s="30"/>
      <c r="O137" s="238"/>
      <c r="Q137" s="40"/>
    </row>
    <row r="138" ht="15.75" customHeight="1">
      <c r="A138" s="239"/>
      <c r="B138" s="240"/>
      <c r="C138" s="241"/>
      <c r="E138" s="239"/>
      <c r="F138" s="240"/>
      <c r="G138" s="241"/>
      <c r="I138" s="239"/>
      <c r="J138" s="240"/>
      <c r="K138" s="241"/>
      <c r="M138" s="239"/>
      <c r="N138" s="240"/>
      <c r="O138" s="241"/>
      <c r="Q138" s="40"/>
    </row>
    <row r="139" ht="15.75" customHeight="1">
      <c r="Q139" s="40"/>
    </row>
    <row r="140" ht="15.75" customHeight="1">
      <c r="A140" s="242"/>
      <c r="B140" s="243"/>
      <c r="C140" s="244"/>
      <c r="E140" s="242"/>
      <c r="F140" s="243"/>
      <c r="G140" s="244"/>
      <c r="Q140" s="40"/>
    </row>
    <row r="141" ht="15.75" customHeight="1">
      <c r="A141" s="234"/>
      <c r="B141" s="30"/>
      <c r="C141" s="238"/>
      <c r="E141" s="234"/>
      <c r="F141" s="30"/>
      <c r="G141" s="238"/>
      <c r="I141" s="30"/>
      <c r="J141" s="30"/>
      <c r="K141" s="30"/>
      <c r="M141" s="30"/>
      <c r="N141" s="30"/>
      <c r="O141" s="30"/>
      <c r="Q141" s="40"/>
    </row>
    <row r="142" ht="15.75" customHeight="1">
      <c r="A142" s="234"/>
      <c r="B142" s="30"/>
      <c r="C142" s="238"/>
      <c r="E142" s="234"/>
      <c r="F142" s="30"/>
      <c r="G142" s="238"/>
      <c r="I142" s="30"/>
      <c r="J142" s="30"/>
      <c r="K142" s="30"/>
      <c r="M142" s="30"/>
      <c r="N142" s="30"/>
      <c r="O142" s="30"/>
      <c r="Q142" s="40"/>
    </row>
    <row r="143" ht="15.75" customHeight="1">
      <c r="A143" s="234"/>
      <c r="B143" s="30"/>
      <c r="C143" s="238"/>
      <c r="E143" s="234"/>
      <c r="F143" s="30"/>
      <c r="G143" s="238"/>
      <c r="I143" s="30"/>
      <c r="J143" s="30"/>
      <c r="K143" s="30"/>
      <c r="M143" s="30"/>
      <c r="N143" s="30"/>
      <c r="O143" s="30"/>
      <c r="Q143" s="40"/>
    </row>
    <row r="144" ht="15.75" customHeight="1">
      <c r="A144" s="239"/>
      <c r="B144" s="240"/>
      <c r="C144" s="241"/>
      <c r="E144" s="239"/>
      <c r="F144" s="240"/>
      <c r="G144" s="241"/>
      <c r="I144" s="30"/>
      <c r="J144" s="30"/>
      <c r="K144" s="30"/>
      <c r="M144" s="30"/>
      <c r="N144" s="30"/>
      <c r="O144" s="30"/>
      <c r="Q144" s="40"/>
    </row>
    <row r="145" ht="15.75" customHeight="1">
      <c r="A145" s="242"/>
      <c r="B145" s="243"/>
      <c r="C145" s="244"/>
      <c r="E145" s="242"/>
      <c r="F145" s="243"/>
      <c r="G145" s="244"/>
      <c r="Q145" s="40"/>
    </row>
    <row r="146" ht="15.75" customHeight="1">
      <c r="A146" s="234"/>
      <c r="B146" s="30"/>
      <c r="C146" s="238"/>
      <c r="E146" s="234"/>
      <c r="F146" s="30"/>
      <c r="G146" s="238"/>
      <c r="I146" s="30"/>
      <c r="J146" s="30"/>
      <c r="K146" s="30"/>
      <c r="M146" s="30"/>
      <c r="N146" s="30"/>
      <c r="O146" s="30"/>
      <c r="Q146" s="40"/>
    </row>
    <row r="147" ht="15.75" customHeight="1">
      <c r="A147" s="234"/>
      <c r="B147" s="30"/>
      <c r="C147" s="238"/>
      <c r="E147" s="234"/>
      <c r="F147" s="30"/>
      <c r="G147" s="238"/>
      <c r="I147" s="30"/>
      <c r="J147" s="30"/>
      <c r="K147" s="30"/>
      <c r="M147" s="30"/>
      <c r="N147" s="30"/>
      <c r="O147" s="30"/>
      <c r="Q147" s="40"/>
    </row>
    <row r="148" ht="15.75" customHeight="1">
      <c r="A148" s="234"/>
      <c r="B148" s="30"/>
      <c r="C148" s="238"/>
      <c r="E148" s="234"/>
      <c r="F148" s="30"/>
      <c r="G148" s="238"/>
      <c r="I148" s="30"/>
      <c r="J148" s="30"/>
      <c r="K148" s="30"/>
      <c r="M148" s="30"/>
      <c r="N148" s="30"/>
      <c r="O148" s="30"/>
      <c r="Q148" s="40"/>
    </row>
    <row r="149" ht="15.75" customHeight="1">
      <c r="A149" s="239"/>
      <c r="B149" s="240"/>
      <c r="C149" s="241"/>
      <c r="E149" s="239"/>
      <c r="F149" s="240"/>
      <c r="G149" s="241"/>
      <c r="I149" s="30"/>
      <c r="J149" s="30"/>
      <c r="K149" s="30"/>
      <c r="M149" s="30"/>
      <c r="N149" s="30"/>
      <c r="O149" s="30"/>
      <c r="Q149" s="40"/>
    </row>
    <row r="150" ht="15.75" customHeight="1">
      <c r="Q150" s="40"/>
    </row>
    <row r="151" ht="15.75" customHeight="1">
      <c r="Q151" s="40"/>
    </row>
    <row r="152" ht="15.75" customHeight="1">
      <c r="Q152" s="40"/>
    </row>
    <row r="153" ht="15.75" customHeight="1">
      <c r="Q153" s="40"/>
    </row>
    <row r="154" ht="15.75" customHeight="1">
      <c r="Q154" s="40"/>
    </row>
    <row r="155" ht="15.75" customHeight="1">
      <c r="Q155" s="40"/>
    </row>
    <row r="156" ht="15.75" customHeight="1">
      <c r="Q156" s="40"/>
    </row>
    <row r="157" ht="15.75" customHeight="1">
      <c r="Q157" s="40"/>
    </row>
    <row r="158" ht="15.75" customHeight="1">
      <c r="Q158" s="40"/>
    </row>
    <row r="159" ht="15.75" customHeight="1">
      <c r="Q159" s="40"/>
    </row>
    <row r="160" ht="15.75" customHeight="1">
      <c r="Q160" s="40"/>
    </row>
    <row r="161" ht="15.75" customHeight="1">
      <c r="Q161" s="40"/>
    </row>
    <row r="162" ht="15.75" customHeight="1">
      <c r="Q162" s="40"/>
    </row>
    <row r="163" ht="15.75" customHeight="1">
      <c r="Q163" s="40"/>
    </row>
    <row r="164" ht="15.75" customHeight="1">
      <c r="Q164" s="40"/>
    </row>
    <row r="165" ht="15.75" customHeight="1">
      <c r="Q165" s="40"/>
    </row>
    <row r="166" ht="15.75" customHeight="1">
      <c r="Q166" s="40"/>
    </row>
    <row r="167" ht="15.75" customHeight="1">
      <c r="Q167" s="40"/>
    </row>
    <row r="168" ht="15.75" customHeight="1">
      <c r="Q168" s="40"/>
    </row>
    <row r="169" ht="15.75" customHeight="1">
      <c r="Q169" s="40"/>
    </row>
    <row r="170" ht="15.75" customHeight="1">
      <c r="Q170" s="40"/>
    </row>
    <row r="171" ht="15.75" customHeight="1">
      <c r="Q171" s="40"/>
    </row>
    <row r="172" ht="15.75" customHeight="1">
      <c r="Q172" s="40"/>
    </row>
    <row r="173" ht="15.75" customHeight="1">
      <c r="Q173" s="40"/>
    </row>
    <row r="174" ht="15.75" customHeight="1">
      <c r="Q174" s="40"/>
    </row>
    <row r="175" ht="15.75" customHeight="1">
      <c r="Q175" s="40"/>
    </row>
    <row r="176" ht="15.75" customHeight="1">
      <c r="Q176" s="40"/>
    </row>
    <row r="177" ht="15.75" customHeight="1">
      <c r="Q177" s="40"/>
    </row>
    <row r="178" ht="15.75" customHeight="1">
      <c r="Q178" s="40"/>
    </row>
    <row r="179" ht="15.75" customHeight="1">
      <c r="Q179" s="40"/>
    </row>
    <row r="180" ht="15.75" customHeight="1">
      <c r="Q180" s="40"/>
    </row>
    <row r="181" ht="15.75" customHeight="1">
      <c r="Q181" s="40"/>
    </row>
    <row r="182" ht="15.75" customHeight="1">
      <c r="Q182" s="40"/>
    </row>
    <row r="183" ht="15.75" customHeight="1">
      <c r="Q183" s="40"/>
    </row>
    <row r="184" ht="15.75" customHeight="1">
      <c r="Q184" s="40"/>
    </row>
    <row r="185" ht="15.75" customHeight="1">
      <c r="Q185" s="40"/>
    </row>
    <row r="186" ht="15.75" customHeight="1">
      <c r="Q186" s="40"/>
    </row>
    <row r="187" ht="15.75" customHeight="1">
      <c r="Q187" s="40"/>
    </row>
    <row r="188" ht="15.75" customHeight="1">
      <c r="Q188" s="40"/>
    </row>
    <row r="189" ht="15.75" customHeight="1">
      <c r="Q189" s="40"/>
    </row>
    <row r="190" ht="15.75" customHeight="1">
      <c r="Q190" s="40"/>
    </row>
    <row r="191" ht="15.75" customHeight="1">
      <c r="Q191" s="40"/>
    </row>
    <row r="192" ht="15.75" customHeight="1">
      <c r="Q192" s="40"/>
    </row>
    <row r="193" ht="15.75" customHeight="1">
      <c r="Q193" s="40"/>
    </row>
    <row r="194" ht="15.75" customHeight="1">
      <c r="Q194" s="40"/>
    </row>
    <row r="195" ht="15.75" customHeight="1">
      <c r="Q195" s="40"/>
    </row>
    <row r="196" ht="15.75" customHeight="1">
      <c r="Q196" s="40"/>
    </row>
    <row r="197" ht="15.75" customHeight="1">
      <c r="Q197" s="40"/>
    </row>
    <row r="198" ht="15.75" customHeight="1">
      <c r="Q198" s="40"/>
    </row>
    <row r="199" ht="15.75" customHeight="1">
      <c r="Q199" s="40"/>
    </row>
    <row r="200" ht="15.75" customHeight="1">
      <c r="Q200" s="40"/>
    </row>
    <row r="201" ht="15.75" customHeight="1">
      <c r="Q201" s="40"/>
    </row>
    <row r="202" ht="15.75" customHeight="1">
      <c r="Q202" s="40"/>
    </row>
    <row r="203" ht="15.75" customHeight="1">
      <c r="Q203" s="40"/>
    </row>
    <row r="204" ht="15.75" customHeight="1">
      <c r="Q204" s="40"/>
    </row>
    <row r="205" ht="15.75" customHeight="1">
      <c r="Q205" s="40"/>
    </row>
    <row r="206" ht="15.75" customHeight="1">
      <c r="Q206" s="40"/>
    </row>
    <row r="207" ht="15.75" customHeight="1">
      <c r="Q207" s="40"/>
    </row>
    <row r="208" ht="15.75" customHeight="1">
      <c r="Q208" s="40"/>
    </row>
    <row r="209" ht="15.75" customHeight="1">
      <c r="Q209" s="40"/>
    </row>
    <row r="210" ht="15.75" customHeight="1">
      <c r="Q210" s="40"/>
    </row>
    <row r="211" ht="15.75" customHeight="1">
      <c r="Q211" s="40"/>
    </row>
    <row r="212" ht="15.75" customHeight="1">
      <c r="Q212" s="40"/>
    </row>
    <row r="213" ht="15.75" customHeight="1">
      <c r="Q213" s="40"/>
    </row>
    <row r="214" ht="15.75" customHeight="1">
      <c r="Q214" s="40"/>
    </row>
    <row r="215" ht="15.75" customHeight="1">
      <c r="Q215" s="40"/>
    </row>
    <row r="216" ht="15.75" customHeight="1">
      <c r="Q216" s="40"/>
    </row>
    <row r="217" ht="15.75" customHeight="1">
      <c r="Q217" s="40"/>
    </row>
    <row r="218" ht="15.75" customHeight="1">
      <c r="Q218" s="40"/>
    </row>
    <row r="219" ht="15.75" customHeight="1">
      <c r="Q219" s="40"/>
    </row>
    <row r="220" ht="15.75" customHeight="1">
      <c r="Q220" s="40"/>
    </row>
    <row r="221" ht="15.75" customHeight="1">
      <c r="Q221" s="40"/>
    </row>
    <row r="222" ht="15.75" customHeight="1">
      <c r="Q222" s="40"/>
    </row>
    <row r="223" ht="15.75" customHeight="1">
      <c r="Q223" s="40"/>
    </row>
    <row r="224" ht="15.75" customHeight="1">
      <c r="Q224" s="40"/>
    </row>
    <row r="225" ht="15.75" customHeight="1">
      <c r="Q225" s="40"/>
    </row>
    <row r="226" ht="15.75" customHeight="1">
      <c r="Q226" s="40"/>
    </row>
    <row r="227" ht="15.75" customHeight="1">
      <c r="Q227" s="40"/>
    </row>
    <row r="228" ht="15.75" customHeight="1">
      <c r="Q228" s="40"/>
    </row>
    <row r="229" ht="15.75" customHeight="1">
      <c r="Q229" s="40"/>
    </row>
    <row r="230" ht="15.75" customHeight="1">
      <c r="Q230" s="40"/>
    </row>
    <row r="231" ht="15.75" customHeight="1">
      <c r="Q231" s="40"/>
    </row>
    <row r="232" ht="15.75" customHeight="1">
      <c r="Q232" s="40"/>
    </row>
    <row r="233" ht="15.75" customHeight="1">
      <c r="Q233" s="40"/>
    </row>
    <row r="234" ht="15.75" customHeight="1">
      <c r="Q234" s="40"/>
    </row>
    <row r="235" ht="15.75" customHeight="1">
      <c r="Q235" s="40"/>
    </row>
    <row r="236" ht="15.75" customHeight="1">
      <c r="Q236" s="40"/>
    </row>
    <row r="237" ht="15.75" customHeight="1">
      <c r="Q237" s="40"/>
    </row>
    <row r="238" ht="15.75" customHeight="1">
      <c r="Q238" s="40"/>
    </row>
    <row r="239" ht="15.75" customHeight="1">
      <c r="Q239" s="40"/>
    </row>
    <row r="240" ht="15.75" customHeight="1">
      <c r="Q240" s="40"/>
    </row>
    <row r="241" ht="15.75" customHeight="1">
      <c r="Q241" s="40"/>
    </row>
    <row r="242" ht="15.75" customHeight="1">
      <c r="Q242" s="40"/>
    </row>
    <row r="243" ht="15.75" customHeight="1">
      <c r="Q243" s="40"/>
    </row>
    <row r="244" ht="15.75" customHeight="1">
      <c r="Q244" s="40"/>
    </row>
    <row r="245" ht="15.75" customHeight="1">
      <c r="Q245" s="40"/>
    </row>
    <row r="246" ht="15.75" customHeight="1">
      <c r="Q246" s="40"/>
    </row>
    <row r="247" ht="15.75" customHeight="1">
      <c r="Q247" s="40"/>
    </row>
    <row r="248" ht="15.75" customHeight="1">
      <c r="Q248" s="40"/>
    </row>
    <row r="249" ht="15.75" customHeight="1">
      <c r="Q249" s="40"/>
    </row>
    <row r="250" ht="15.75" customHeight="1">
      <c r="Q250" s="40"/>
    </row>
    <row r="251" ht="15.75" customHeight="1">
      <c r="Q251" s="40"/>
    </row>
    <row r="252" ht="15.75" customHeight="1">
      <c r="Q252" s="40"/>
    </row>
    <row r="253" ht="15.75" customHeight="1">
      <c r="Q253" s="40"/>
    </row>
    <row r="254" ht="15.75" customHeight="1">
      <c r="Q254" s="40"/>
    </row>
    <row r="255" ht="15.75" customHeight="1">
      <c r="Q255" s="40"/>
    </row>
    <row r="256" ht="15.75" customHeight="1">
      <c r="Q256" s="40"/>
    </row>
    <row r="257" ht="15.75" customHeight="1">
      <c r="Q257" s="40"/>
    </row>
    <row r="258" ht="15.75" customHeight="1">
      <c r="Q258" s="40"/>
    </row>
    <row r="259" ht="15.75" customHeight="1">
      <c r="Q259" s="40"/>
    </row>
    <row r="260" ht="15.75" customHeight="1">
      <c r="Q260" s="40"/>
    </row>
    <row r="261" ht="15.75" customHeight="1">
      <c r="Q261" s="40"/>
    </row>
    <row r="262" ht="15.75" customHeight="1">
      <c r="Q262" s="40"/>
    </row>
    <row r="263" ht="15.75" customHeight="1">
      <c r="Q263" s="40"/>
    </row>
    <row r="264" ht="15.75" customHeight="1">
      <c r="Q264" s="40"/>
    </row>
    <row r="265" ht="15.75" customHeight="1">
      <c r="Q265" s="40"/>
    </row>
    <row r="266" ht="15.75" customHeight="1">
      <c r="Q266" s="40"/>
    </row>
    <row r="267" ht="15.75" customHeight="1">
      <c r="Q267" s="40"/>
    </row>
    <row r="268" ht="15.75" customHeight="1">
      <c r="Q268" s="40"/>
    </row>
    <row r="269" ht="15.75" customHeight="1">
      <c r="Q269" s="40"/>
    </row>
    <row r="270" ht="15.75" customHeight="1">
      <c r="Q270" s="40"/>
    </row>
    <row r="271" ht="15.75" customHeight="1">
      <c r="Q271" s="40"/>
    </row>
    <row r="272" ht="15.75" customHeight="1">
      <c r="Q272" s="40"/>
    </row>
    <row r="273" ht="15.75" customHeight="1">
      <c r="Q273" s="40"/>
    </row>
    <row r="274" ht="15.75" customHeight="1">
      <c r="Q274" s="40"/>
    </row>
    <row r="275" ht="15.75" customHeight="1">
      <c r="Q275" s="40"/>
    </row>
    <row r="276" ht="15.75" customHeight="1">
      <c r="Q276" s="40"/>
    </row>
    <row r="277" ht="15.75" customHeight="1">
      <c r="Q277" s="40"/>
    </row>
    <row r="278" ht="15.75" customHeight="1">
      <c r="Q278" s="40"/>
    </row>
    <row r="279" ht="15.75" customHeight="1">
      <c r="Q279" s="40"/>
    </row>
    <row r="280" ht="15.75" customHeight="1">
      <c r="Q280" s="40"/>
    </row>
    <row r="281" ht="15.75" customHeight="1">
      <c r="Q281" s="40"/>
    </row>
    <row r="282" ht="15.75" customHeight="1">
      <c r="Q282" s="40"/>
    </row>
    <row r="283" ht="15.75" customHeight="1">
      <c r="Q283" s="40"/>
    </row>
    <row r="284" ht="15.75" customHeight="1">
      <c r="Q284" s="40"/>
    </row>
    <row r="285" ht="15.75" customHeight="1">
      <c r="Q285" s="40"/>
    </row>
    <row r="286" ht="15.75" customHeight="1">
      <c r="Q286" s="40"/>
    </row>
    <row r="287" ht="15.75" customHeight="1">
      <c r="Q287" s="40"/>
    </row>
    <row r="288" ht="15.75" customHeight="1">
      <c r="Q288" s="40"/>
    </row>
    <row r="289" ht="15.75" customHeight="1">
      <c r="Q289" s="40"/>
    </row>
    <row r="290" ht="15.75" customHeight="1">
      <c r="Q290" s="40"/>
    </row>
    <row r="291" ht="15.75" customHeight="1">
      <c r="Q291" s="40"/>
    </row>
    <row r="292" ht="15.75" customHeight="1">
      <c r="Q292" s="40"/>
    </row>
    <row r="293" ht="15.75" customHeight="1">
      <c r="Q293" s="40"/>
    </row>
    <row r="294" ht="15.75" customHeight="1">
      <c r="Q294" s="40"/>
    </row>
    <row r="295" ht="15.75" customHeight="1">
      <c r="Q295" s="40"/>
    </row>
    <row r="296" ht="15.75" customHeight="1">
      <c r="Q296" s="40"/>
    </row>
    <row r="297" ht="15.75" customHeight="1">
      <c r="Q297" s="40"/>
    </row>
    <row r="298" ht="15.75" customHeight="1">
      <c r="Q298" s="40"/>
    </row>
    <row r="299" ht="15.75" customHeight="1">
      <c r="Q299" s="40"/>
    </row>
    <row r="300" ht="15.75" customHeight="1">
      <c r="Q300" s="40"/>
    </row>
    <row r="301" ht="15.75" customHeight="1">
      <c r="Q301" s="40"/>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R$1:$S$101"/>
  <mergeCells count="1">
    <mergeCell ref="E1:J1"/>
  </mergeCells>
  <drawing r:id="rId1"/>
</worksheet>
</file>