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a Voskezorik (Ascaria)" sheetId="1" state="visible" r:id="rId3"/>
    <sheet name="Casa de Venides" sheetId="2" state="visible" r:id="rId4"/>
    <sheet name="Cronología d.e. ↔ b.f.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<sst xmlns="http://schemas.openxmlformats.org/spreadsheetml/2006/main" count="164" uniqueCount="132">
  <si>
    <t xml:space="preserve">CASA VOSKEZORIK — dinastía real de Ascaria</t>
  </si>
  <si>
    <t xml:space="preserve">Calendario: d.e. = Despertar Elemental · b.f. = before the Fracture · offset confirmado 2738 (b.f. = 2738 − d.e.)</t>
  </si>
  <si>
    <t xml:space="preserve">#</t>
  </si>
  <si>
    <t xml:space="preserve">Rey</t>
  </si>
  <si>
    <t xml:space="preserve">Reinado (d.e.)</t>
  </si>
  <si>
    <t xml:space="preserve">Reinado (b.f.)</t>
  </si>
  <si>
    <t xml:space="preserve">Vida (d.e.)</t>
  </si>
  <si>
    <t xml:space="preserve">Edad al morir</t>
  </si>
  <si>
    <t xml:space="preserve">Reina</t>
  </si>
  <si>
    <t xml:space="preserve">Vida de la reina (d.e.)</t>
  </si>
  <si>
    <t xml:space="preserve">Gon Voskezorik</t>
  </si>
  <si>
    <t xml:space="preserve">—</t>
  </si>
  <si>
    <t xml:space="preserve">Natia (noble)</t>
  </si>
  <si>
    <t xml:space="preserve">Seigebert Voskezorik «El Inmortal»</t>
  </si>
  <si>
    <t xml:space="preserve">732-759</t>
  </si>
  <si>
    <t xml:space="preserve">712-759</t>
  </si>
  <si>
    <t xml:space="preserve">Feiana Voskerozik</t>
  </si>
  <si>
    <t xml:space="preserve">721-770</t>
  </si>
  <si>
    <t xml:space="preserve">Lambert Voskezorik</t>
  </si>
  <si>
    <t xml:space="preserve">770-807</t>
  </si>
  <si>
    <t xml:space="preserve">749-807</t>
  </si>
  <si>
    <t xml:space="preserve">Xeamia Matajia</t>
  </si>
  <si>
    <t xml:space="preserve">743-805</t>
  </si>
  <si>
    <t xml:space="preserve">Gyrid Voskezorik «El Renacido»</t>
  </si>
  <si>
    <t xml:space="preserve">807-835</t>
  </si>
  <si>
    <t xml:space="preserve">772-835</t>
  </si>
  <si>
    <t xml:space="preserve">Senoiga Voskezorik</t>
  </si>
  <si>
    <t xml:space="preserve">775-829</t>
  </si>
  <si>
    <t xml:space="preserve">Nerseh Voskezorik «El Unificador»</t>
  </si>
  <si>
    <t xml:space="preserve">836-864</t>
  </si>
  <si>
    <t xml:space="preserve">800-864</t>
  </si>
  <si>
    <t xml:space="preserve">Alda Voskezorik</t>
  </si>
  <si>
    <t xml:space="preserve">805-852</t>
  </si>
  <si>
    <t xml:space="preserve">Irumka Voskezorik «El Santo»</t>
  </si>
  <si>
    <t xml:space="preserve">865-880</t>
  </si>
  <si>
    <t xml:space="preserve">822-882</t>
  </si>
  <si>
    <t xml:space="preserve">La regencia que el Excel encierra sin decirlo</t>
  </si>
  <si>
    <t xml:space="preserve">Seigebert deja de reinar en 759 y Lambert no es coronado hasta 770: hay once años sin rey.</t>
  </si>
  <si>
    <t xml:space="preserve">Feiana Voskerozik muere justo en 770. La regencia de Feiana ocupa exactamente ese hueco,</t>
  </si>
  <si>
    <t xml:space="preserve">y su muerte es lo que pone la corona en la cabeza de su hijo. El dato ya estaba en la hoja.</t>
  </si>
  <si>
    <t xml:space="preserve">Xeamia Matajia (743-805) es 6 años mayor que Lambert. Llega a Ascaria con 27 y se casa con él, que tiene 21.</t>
  </si>
  <si>
    <t xml:space="preserve">CASA DE VENIDES — el linaje de Villena</t>
  </si>
  <si>
    <t xml:space="preserve">✅ RESUELTO: Villena es NIETO de Venides. El eslabón que faltaba es Vendel, su padre — herrero y estudioso de magia rúnica.</t>
  </si>
  <si>
    <t xml:space="preserve">Gen.</t>
  </si>
  <si>
    <t xml:space="preserve">Quién</t>
  </si>
  <si>
    <t xml:space="preserve">Nace (d.e.)</t>
  </si>
  <si>
    <t xml:space="preserve">Nace (b.f.)</t>
  </si>
  <si>
    <t xml:space="preserve">Qué sabemos</t>
  </si>
  <si>
    <t xml:space="preserve">Estado</t>
  </si>
  <si>
    <t xml:space="preserve">1</t>
  </si>
  <si>
    <t xml:space="preserve">Venides, hijo de Nefaria</t>
  </si>
  <si>
    <t xml:space="preserve">≈736</t>
  </si>
  <si>
    <t xml:space="preserve">Armado caballero en Ceaseton 756. Alto general 820.</t>
  </si>
  <si>
    <t xml:space="preserve">del canon</t>
  </si>
  <si>
    <t xml:space="preserve">Verina, hija de Perishton</t>
  </si>
  <si>
    <t xml:space="preserve">Se casa con Venides en 780 d.e. ⚠️ ¿es la abuela?</t>
  </si>
  <si>
    <t xml:space="preserve">por confirmar</t>
  </si>
  <si>
    <t xml:space="preserve">2</t>
  </si>
  <si>
    <t xml:space="preserve">Vendel, hijo de Nefaria</t>
  </si>
  <si>
    <t xml:space="preserve">≈754</t>
  </si>
  <si>
    <t xml:space="preserve">Herrero extraordinario y hombre instruido. Deja el ejército a los 22 y se va a una aldea enana: forja y magia rúnica. Amable, siempre dispuesto a ayudar.</t>
  </si>
  <si>
    <t xml:space="preserve">RESUELTO · nombre provisional</t>
  </si>
  <si>
    <t xml:space="preserve">3</t>
  </si>
  <si>
    <t xml:space="preserve">hermano mayor — sin nombre</t>
  </si>
  <si>
    <t xml:space="preserve">≈777</t>
  </si>
  <si>
    <t xml:space="preserve">Pescador de renombre.</t>
  </si>
  <si>
    <t xml:space="preserve">falta el nombre</t>
  </si>
  <si>
    <t xml:space="preserve">Villena, hijo de Finesaux</t>
  </si>
  <si>
    <t xml:space="preserve">780</t>
  </si>
  <si>
    <t xml:space="preserve">Hijo MEDIANO. Comandante de Ascaria, monje de Chronos. 20 años en Ranmont.</t>
  </si>
  <si>
    <t xml:space="preserve">hermana pequeña — sin nombre</t>
  </si>
  <si>
    <t xml:space="preserve">≈783</t>
  </si>
  <si>
    <t xml:space="preserve">Casada con un noble. Franquicia de costura de fama continental; nobles de Bastrea y Udrax compran sus telas.</t>
  </si>
  <si>
    <t xml:space="preserve">4</t>
  </si>
  <si>
    <t xml:space="preserve">Edul jr.</t>
  </si>
  <si>
    <t xml:space="preserve">Hijo de Villena y Xenia.</t>
  </si>
  <si>
    <t xml:space="preserve">solo el nombre</t>
  </si>
  <si>
    <t xml:space="preserve">LO QUE SIGUE ABIERTO</t>
  </si>
  <si>
    <t xml:space="preserve">El nombre de Vendel es provisional (alternativas: Vorien, Verold, Valen).</t>
  </si>
  <si>
    <t xml:space="preserve">Los dos hermanos de Villena no tienen nombre.</t>
  </si>
  <si>
    <t xml:space="preserve">Venides se casa con Verina en 780, cuando Vendel ya tiene 26: o Verina no es su madre, o la boda formaliza una relación antigua.</t>
  </si>
  <si>
    <t xml:space="preserve">ese hijo de 780 ya no puede ser Villena, tiene que ser la generación del medio o un segundo hijo.</t>
  </si>
  <si>
    <t xml:space="preserve">CRONOLOGÍA DE LA PRIMERA CRUZADA — la hoja original, cruzada con la Cronología Maestra</t>
  </si>
  <si>
    <t xml:space="preserve">La columna b.f. es fórmula: =2738−(año d.e.). Seis de once eventos caen exactos sobre una entrada existente.</t>
  </si>
  <si>
    <t xml:space="preserve">Año (d.e.)</t>
  </si>
  <si>
    <t xml:space="preserve">Año (b.f.)</t>
  </si>
  <si>
    <t xml:space="preserve">Evento</t>
  </si>
  <si>
    <t xml:space="preserve">Lugar</t>
  </si>
  <si>
    <t xml:space="preserve">ID en la Cronología Maestra</t>
  </si>
  <si>
    <t xml:space="preserve">¿Cuadra?</t>
  </si>
  <si>
    <t xml:space="preserve">Venides salva a la familia real de Aegroum</t>
  </si>
  <si>
    <t xml:space="preserve">Aegroum</t>
  </si>
  <si>
    <t xml:space="preserve">NO — 27 años antes de ser armado caballero</t>
  </si>
  <si>
    <t xml:space="preserve">Seigebert gana el título de «El Inmortal»</t>
  </si>
  <si>
    <t xml:space="preserve">Ascaria</t>
  </si>
  <si>
    <t xml:space="preserve">Muerte de la Familia Real de Aegroum, salvo Xeamia</t>
  </si>
  <si>
    <t xml:space="preserve">Doomsbury</t>
  </si>
  <si>
    <t xml:space="preserve">EV-1976-PUENTETRAICION</t>
  </si>
  <si>
    <t xml:space="preserve">exacto</t>
  </si>
  <si>
    <t xml:space="preserve">Xeamia sobrevive y se casa con Lambert</t>
  </si>
  <si>
    <t xml:space="preserve">Finesaux</t>
  </si>
  <si>
    <t xml:space="preserve">EV-1968-XEAMIA</t>
  </si>
  <si>
    <t xml:space="preserve">Venides se casa con Verina y tienen un hijo</t>
  </si>
  <si>
    <t xml:space="preserve">ese hijo ya no puede ser Villena</t>
  </si>
  <si>
    <t xml:space="preserve">Batalla de Ranmont</t>
  </si>
  <si>
    <t xml:space="preserve">Ranmont</t>
  </si>
  <si>
    <t xml:space="preserve">EV-1938-RANMONT</t>
  </si>
  <si>
    <t xml:space="preserve">Primera Asamblea Templaria</t>
  </si>
  <si>
    <t xml:space="preserve">Gran Batalla de Doomsbury</t>
  </si>
  <si>
    <t xml:space="preserve">EV-1933-DOOMSBURY</t>
  </si>
  <si>
    <t xml:space="preserve">desfase de 1 año</t>
  </si>
  <si>
    <t xml:space="preserve">Asedio de Argent</t>
  </si>
  <si>
    <t xml:space="preserve">Argent</t>
  </si>
  <si>
    <t xml:space="preserve">EV-1924-ASEDIOARGENT</t>
  </si>
  <si>
    <t xml:space="preserve">Batalla Nocturna de Velours</t>
  </si>
  <si>
    <t xml:space="preserve">Velours</t>
  </si>
  <si>
    <t xml:space="preserve">EV-1921-VELOURS</t>
  </si>
  <si>
    <t xml:space="preserve">Venides se consagra como alto general</t>
  </si>
  <si>
    <t xml:space="preserve">Carga de los Muertos · Gyrid «El Renacido»</t>
  </si>
  <si>
    <t xml:space="preserve">EV-1916-CARGAMUERTOS</t>
  </si>
  <si>
    <t xml:space="preserve">Nerseh «El Unificador»</t>
  </si>
  <si>
    <t xml:space="preserve">Corrupción y surgimiento de los Adalides</t>
  </si>
  <si>
    <t xml:space="preserve">Gendrazul</t>
  </si>
  <si>
    <t xml:space="preserve">Segunda Capital de Ascaria a Ranmont</t>
  </si>
  <si>
    <t xml:space="preserve">Segundo Asedio de Ranmont</t>
  </si>
  <si>
    <t xml:space="preserve">EV-1874-SEGUNDOASEDIO</t>
  </si>
  <si>
    <t xml:space="preserve">la Maestra lo pone en 1874 = 864 d.e.</t>
  </si>
  <si>
    <t xml:space="preserve">Irumka «El Santo»</t>
  </si>
  <si>
    <t xml:space="preserve">Templo del Sol</t>
  </si>
  <si>
    <t xml:space="preserve">EV-1873-TEMPLOSOL</t>
  </si>
  <si>
    <t xml:space="preserve">la Maestra lo pone en 1873 = 865 d.e.</t>
  </si>
  <si>
    <t xml:space="preserve">Fuente: «Árboles genealogicos.xlsx», hojas 1, 2 y Sheet1 · cruzado con «Onegai_Cronologia_Maestra.md»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</si>
</sst>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sz val="10"/>
      <color rgb="FFC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F4F6F"/>
        <bgColor rgb="FF333333"/>
      </patternFill>
    </fill>
    <fill>
      <patternFill patternType="solid">
        <fgColor rgb="FFE2EFDA"/>
        <bgColor rgb="FFFCE4E4"/>
      </patternFill>
    </fill>
    <fill>
      <patternFill patternType="solid">
        <fgColor rgb="FFFCE4E4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E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4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4"/>
    <col collapsed="false" customWidth="true" hidden="false" outlineLevel="0" max="6" min="6" style="1" width="13"/>
    <col collapsed="false" customWidth="true" hidden="false" outlineLevel="0" max="7" min="7" style="1" width="26"/>
    <col collapsed="false" customWidth="true" hidden="false" outlineLevel="0" max="8" min="8" style="1" width="2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6.2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5" hidden="false" customHeight="true" outlineLevel="0" collapsed="false">
      <c r="A5" s="5" t="n">
        <v>1</v>
      </c>
      <c r="B5" s="6" t="s">
        <v>10</v>
      </c>
      <c r="C5" s="5" t="s">
        <v>11</v>
      </c>
      <c r="D5" s="5" t="s">
        <v>11</v>
      </c>
      <c r="E5" s="5" t="s">
        <v>11</v>
      </c>
      <c r="F5" s="5" t="s">
        <v>11</v>
      </c>
      <c r="G5" s="5" t="s">
        <v>12</v>
      </c>
      <c r="H5" s="5" t="s">
        <v>11</v>
      </c>
    </row>
    <row r="6" customFormat="false" ht="15" hidden="false" customHeight="true" outlineLevel="0" collapsed="false">
      <c r="A6" s="5" t="n">
        <v>2</v>
      </c>
      <c r="B6" s="6" t="s">
        <v>13</v>
      </c>
      <c r="C6" s="5" t="s">
        <v>14</v>
      </c>
      <c r="D6" s="5" t="str">
        <f aca="false">2738-732&amp;"-"&amp;2738-759</f>
        <v>2006-1979</v>
      </c>
      <c r="E6" s="5" t="s">
        <v>15</v>
      </c>
      <c r="F6" s="5" t="n">
        <f aca="false">759-712</f>
        <v>47</v>
      </c>
      <c r="G6" s="5" t="s">
        <v>16</v>
      </c>
      <c r="H6" s="5" t="s">
        <v>17</v>
      </c>
    </row>
    <row r="7" customFormat="false" ht="15" hidden="false" customHeight="true" outlineLevel="0" collapsed="false">
      <c r="A7" s="5" t="n">
        <v>3</v>
      </c>
      <c r="B7" s="6" t="s">
        <v>18</v>
      </c>
      <c r="C7" s="5" t="s">
        <v>19</v>
      </c>
      <c r="D7" s="5" t="str">
        <f aca="false">2738-770&amp;"-"&amp;2738-807</f>
        <v>1968-1931</v>
      </c>
      <c r="E7" s="5" t="s">
        <v>20</v>
      </c>
      <c r="F7" s="5" t="n">
        <f aca="false">807-749</f>
        <v>58</v>
      </c>
      <c r="G7" s="5" t="s">
        <v>21</v>
      </c>
      <c r="H7" s="5" t="s">
        <v>22</v>
      </c>
    </row>
    <row r="8" customFormat="false" ht="15" hidden="false" customHeight="true" outlineLevel="0" collapsed="false">
      <c r="A8" s="5" t="n">
        <v>4</v>
      </c>
      <c r="B8" s="6" t="s">
        <v>23</v>
      </c>
      <c r="C8" s="5" t="s">
        <v>24</v>
      </c>
      <c r="D8" s="5" t="str">
        <f aca="false">2738-807&amp;"-"&amp;2738-835</f>
        <v>1931-1903</v>
      </c>
      <c r="E8" s="5" t="s">
        <v>25</v>
      </c>
      <c r="F8" s="5" t="n">
        <f aca="false">835-772</f>
        <v>63</v>
      </c>
      <c r="G8" s="5" t="s">
        <v>26</v>
      </c>
      <c r="H8" s="5" t="s">
        <v>27</v>
      </c>
    </row>
    <row r="9" customFormat="false" ht="15" hidden="false" customHeight="true" outlineLevel="0" collapsed="false">
      <c r="A9" s="5" t="n">
        <v>5</v>
      </c>
      <c r="B9" s="6" t="s">
        <v>28</v>
      </c>
      <c r="C9" s="5" t="s">
        <v>29</v>
      </c>
      <c r="D9" s="5" t="str">
        <f aca="false">2738-836&amp;"-"&amp;2738-864</f>
        <v>1902-1874</v>
      </c>
      <c r="E9" s="5" t="s">
        <v>30</v>
      </c>
      <c r="F9" s="5" t="n">
        <f aca="false">864-800</f>
        <v>64</v>
      </c>
      <c r="G9" s="5" t="s">
        <v>31</v>
      </c>
      <c r="H9" s="5" t="s">
        <v>32</v>
      </c>
    </row>
    <row r="10" customFormat="false" ht="15" hidden="false" customHeight="true" outlineLevel="0" collapsed="false">
      <c r="A10" s="5" t="n">
        <v>6</v>
      </c>
      <c r="B10" s="6" t="s">
        <v>33</v>
      </c>
      <c r="C10" s="5" t="s">
        <v>34</v>
      </c>
      <c r="D10" s="5" t="str">
        <f aca="false">2738-865&amp;"-"&amp;2738-880</f>
        <v>1873-1858</v>
      </c>
      <c r="E10" s="5" t="s">
        <v>35</v>
      </c>
      <c r="F10" s="5" t="n">
        <f aca="false">882-822</f>
        <v>60</v>
      </c>
      <c r="G10" s="5" t="s">
        <v>11</v>
      </c>
      <c r="H10" s="5" t="s">
        <v>11</v>
      </c>
    </row>
    <row r="12" customFormat="false" ht="15" hidden="false" customHeight="true" outlineLevel="0" collapsed="false">
      <c r="B12" s="7" t="s">
        <v>36</v>
      </c>
    </row>
    <row r="13" customFormat="false" ht="15" hidden="false" customHeight="true" outlineLevel="0" collapsed="false">
      <c r="B13" s="8" t="s">
        <v>37</v>
      </c>
    </row>
    <row r="14" customFormat="false" ht="15" hidden="false" customHeight="true" outlineLevel="0" collapsed="false">
      <c r="B14" s="8" t="s">
        <v>38</v>
      </c>
    </row>
    <row r="15" customFormat="false" ht="15" hidden="false" customHeight="true" outlineLevel="0" collapsed="false">
      <c r="B15" s="8" t="s">
        <v>39</v>
      </c>
    </row>
    <row r="17" customFormat="false" ht="15" hidden="false" customHeight="true" outlineLevel="0" collapsed="false">
      <c r="B17" s="8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2"/>
    <col collapsed="false" customWidth="true" hidden="false" outlineLevel="0" max="4" min="3" style="1" width="13"/>
    <col collapsed="false" customWidth="true" hidden="false" outlineLevel="0" max="5" min="5" style="1" width="64"/>
    <col collapsed="false" customWidth="true" hidden="false" outlineLevel="0" max="6" min="6" style="1" width="26"/>
  </cols>
  <sheetData>
    <row r="1" customFormat="false" ht="17.25" hidden="false" customHeight="true" outlineLevel="0" collapsed="false">
      <c r="A1" s="2" t="s">
        <v>41</v>
      </c>
    </row>
    <row r="2" customFormat="false" ht="15" hidden="false" customHeight="true" outlineLevel="0" collapsed="false">
      <c r="A2" s="9" t="s">
        <v>42</v>
      </c>
    </row>
    <row r="4" customFormat="false" ht="15" hidden="false" customHeight="true" outlineLevel="0" collapsed="false">
      <c r="A4" s="4" t="s">
        <v>43</v>
      </c>
      <c r="B4" s="4" t="s">
        <v>44</v>
      </c>
      <c r="C4" s="4" t="s">
        <v>45</v>
      </c>
      <c r="D4" s="4" t="s">
        <v>46</v>
      </c>
      <c r="E4" s="4" t="s">
        <v>47</v>
      </c>
      <c r="F4" s="4" t="s">
        <v>48</v>
      </c>
    </row>
    <row r="5" customFormat="false" ht="15" hidden="false" customHeight="true" outlineLevel="0" collapsed="false">
      <c r="A5" s="10" t="s">
        <v>49</v>
      </c>
      <c r="B5" s="11" t="s">
        <v>50</v>
      </c>
      <c r="C5" s="10" t="s">
        <v>51</v>
      </c>
      <c r="D5" s="10" t="n">
        <f aca="false">2738-736</f>
        <v>2002</v>
      </c>
      <c r="E5" s="10" t="s">
        <v>52</v>
      </c>
      <c r="F5" s="10" t="s">
        <v>53</v>
      </c>
    </row>
    <row r="6" customFormat="false" ht="15" hidden="false" customHeight="true" outlineLevel="0" collapsed="false">
      <c r="A6" s="10" t="s">
        <v>49</v>
      </c>
      <c r="B6" s="11" t="s">
        <v>54</v>
      </c>
      <c r="C6" s="10" t="s">
        <v>11</v>
      </c>
      <c r="D6" s="10" t="s">
        <v>11</v>
      </c>
      <c r="E6" s="10" t="s">
        <v>55</v>
      </c>
      <c r="F6" s="12" t="s">
        <v>56</v>
      </c>
    </row>
    <row r="7" customFormat="false" ht="15" hidden="false" customHeight="true" outlineLevel="0" collapsed="false">
      <c r="A7" s="13" t="s">
        <v>57</v>
      </c>
      <c r="B7" s="14" t="s">
        <v>58</v>
      </c>
      <c r="C7" s="13" t="s">
        <v>59</v>
      </c>
      <c r="D7" s="13" t="n">
        <f aca="false">2738-754</f>
        <v>1984</v>
      </c>
      <c r="E7" s="13" t="s">
        <v>60</v>
      </c>
      <c r="F7" s="15" t="s">
        <v>61</v>
      </c>
    </row>
    <row r="8" customFormat="false" ht="15" hidden="false" customHeight="true" outlineLevel="0" collapsed="false">
      <c r="A8" s="10" t="s">
        <v>62</v>
      </c>
      <c r="B8" s="11" t="s">
        <v>63</v>
      </c>
      <c r="C8" s="10" t="s">
        <v>64</v>
      </c>
      <c r="D8" s="10" t="n">
        <f aca="false">2738-777</f>
        <v>1961</v>
      </c>
      <c r="E8" s="10" t="s">
        <v>65</v>
      </c>
      <c r="F8" s="12" t="s">
        <v>66</v>
      </c>
    </row>
    <row r="9" customFormat="false" ht="15" hidden="false" customHeight="true" outlineLevel="0" collapsed="false">
      <c r="A9" s="13" t="s">
        <v>62</v>
      </c>
      <c r="B9" s="14" t="s">
        <v>67</v>
      </c>
      <c r="C9" s="13" t="s">
        <v>68</v>
      </c>
      <c r="D9" s="13" t="n">
        <f aca="false">2738-780</f>
        <v>1958</v>
      </c>
      <c r="E9" s="13" t="s">
        <v>69</v>
      </c>
      <c r="F9" s="13" t="s">
        <v>53</v>
      </c>
    </row>
    <row r="10" customFormat="false" ht="15" hidden="false" customHeight="true" outlineLevel="0" collapsed="false">
      <c r="A10" s="10" t="s">
        <v>62</v>
      </c>
      <c r="B10" s="11" t="s">
        <v>70</v>
      </c>
      <c r="C10" s="10" t="s">
        <v>71</v>
      </c>
      <c r="D10" s="10" t="n">
        <f aca="false">2738-783</f>
        <v>1955</v>
      </c>
      <c r="E10" s="10" t="s">
        <v>72</v>
      </c>
      <c r="F10" s="12" t="s">
        <v>66</v>
      </c>
    </row>
    <row r="11" customFormat="false" ht="15" hidden="false" customHeight="true" outlineLevel="0" collapsed="false">
      <c r="A11" s="10" t="s">
        <v>73</v>
      </c>
      <c r="B11" s="11" t="s">
        <v>74</v>
      </c>
      <c r="C11" s="10" t="s">
        <v>11</v>
      </c>
      <c r="D11" s="10" t="s">
        <v>11</v>
      </c>
      <c r="E11" s="10" t="s">
        <v>75</v>
      </c>
      <c r="F11" s="10" t="s">
        <v>76</v>
      </c>
    </row>
    <row r="13" customFormat="false" ht="15" hidden="false" customHeight="true" outlineLevel="0" collapsed="false">
      <c r="A13" s="16"/>
      <c r="B13" s="17"/>
      <c r="C13" s="17"/>
      <c r="D13" s="17"/>
      <c r="E13" s="17"/>
      <c r="F13" s="17"/>
      <c r="G13" s="17"/>
    </row>
    <row r="14" customFormat="false" ht="15" hidden="false" customHeight="true" outlineLevel="0" collapsed="false">
      <c r="A14" s="18"/>
      <c r="B14" s="16"/>
      <c r="C14" s="16"/>
      <c r="D14" s="16"/>
      <c r="E14" s="16"/>
      <c r="F14" s="17"/>
      <c r="G14" s="17"/>
    </row>
    <row r="15" customFormat="false" ht="15" hidden="false" customHeight="true" outlineLevel="0" collapsed="false">
      <c r="A15" s="18"/>
      <c r="B15" s="18"/>
      <c r="C15" s="18"/>
      <c r="D15" s="18"/>
      <c r="E15" s="18"/>
      <c r="F15" s="17"/>
      <c r="G15" s="17"/>
    </row>
    <row r="16" customFormat="false" ht="15" hidden="false" customHeight="true" outlineLevel="0" collapsed="false">
      <c r="A16" s="18"/>
      <c r="B16" s="18"/>
      <c r="C16" s="18"/>
      <c r="D16" s="18"/>
      <c r="E16" s="18"/>
      <c r="F16" s="17"/>
      <c r="G16" s="17"/>
    </row>
    <row r="17" customFormat="false" ht="15" hidden="false" customHeight="true" outlineLevel="0" collapsed="false">
      <c r="A17" s="18"/>
      <c r="B17" s="18"/>
      <c r="C17" s="18"/>
      <c r="D17" s="18"/>
      <c r="E17" s="18"/>
      <c r="F17" s="17"/>
      <c r="G17" s="17"/>
    </row>
    <row r="18" customFormat="false" ht="15" hidden="false" customHeight="true" outlineLevel="0" collapsed="false">
      <c r="A18" s="18"/>
      <c r="B18" s="17"/>
      <c r="C18" s="17"/>
      <c r="D18" s="17"/>
      <c r="E18" s="17"/>
      <c r="F18" s="17"/>
      <c r="G18" s="17"/>
    </row>
    <row r="20" customFormat="false" ht="15" hidden="false" customHeight="true" outlineLevel="0" collapsed="false">
      <c r="A20" s="7" t="s">
        <v>77</v>
      </c>
    </row>
    <row r="21" customFormat="false" ht="15" hidden="false" customHeight="true" outlineLevel="0" collapsed="false">
      <c r="A21" s="19" t="s">
        <v>78</v>
      </c>
    </row>
    <row r="22" customFormat="false" ht="15" hidden="false" customHeight="true" outlineLevel="0" collapsed="false">
      <c r="A22" s="19" t="s">
        <v>79</v>
      </c>
    </row>
    <row r="23" customFormat="false" ht="15" hidden="false" customHeight="true" outlineLevel="0" collapsed="false">
      <c r="A23" s="19" t="s">
        <v>80</v>
      </c>
    </row>
    <row r="24" customFormat="false" ht="15" hidden="false" customHeight="true" outlineLevel="0" collapsed="false">
      <c r="A24" s="19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46"/>
    <col collapsed="false" customWidth="true" hidden="false" outlineLevel="0" max="4" min="4" style="1" width="22"/>
    <col collapsed="false" customWidth="true" hidden="false" outlineLevel="0" max="5" min="5" style="1" width="26"/>
    <col collapsed="false" customWidth="true" hidden="false" outlineLevel="0" max="6" min="6" style="1" width="34"/>
  </cols>
  <sheetData>
    <row r="1" customFormat="false" ht="17.25" hidden="false" customHeight="true" outlineLevel="0" collapsed="false">
      <c r="A1" s="2" t="s">
        <v>82</v>
      </c>
    </row>
    <row r="2" customFormat="false" ht="15" hidden="false" customHeight="true" outlineLevel="0" collapsed="false">
      <c r="A2" s="3" t="s">
        <v>83</v>
      </c>
    </row>
    <row r="4" customFormat="false" ht="26.25" hidden="false" customHeight="true" outlineLevel="0" collapsed="false">
      <c r="A4" s="4" t="s">
        <v>84</v>
      </c>
      <c r="B4" s="4" t="s">
        <v>85</v>
      </c>
      <c r="C4" s="4" t="s">
        <v>86</v>
      </c>
      <c r="D4" s="4" t="s">
        <v>87</v>
      </c>
      <c r="E4" s="4" t="s">
        <v>88</v>
      </c>
      <c r="F4" s="4" t="s">
        <v>89</v>
      </c>
    </row>
    <row r="5" customFormat="false" ht="15" hidden="false" customHeight="true" outlineLevel="0" collapsed="false">
      <c r="A5" s="20" t="n">
        <v>729</v>
      </c>
      <c r="B5" s="20" t="n">
        <f aca="false">2738-A5</f>
        <v>2009</v>
      </c>
      <c r="C5" s="20" t="s">
        <v>90</v>
      </c>
      <c r="D5" s="20" t="s">
        <v>91</v>
      </c>
      <c r="E5" s="20"/>
      <c r="F5" s="21" t="s">
        <v>92</v>
      </c>
    </row>
    <row r="6" customFormat="false" ht="15" hidden="false" customHeight="true" outlineLevel="0" collapsed="false">
      <c r="A6" s="5" t="n">
        <v>750</v>
      </c>
      <c r="B6" s="5" t="n">
        <f aca="false">2738-A6</f>
        <v>1988</v>
      </c>
      <c r="C6" s="5" t="s">
        <v>93</v>
      </c>
      <c r="D6" s="5" t="s">
        <v>94</v>
      </c>
      <c r="E6" s="5"/>
      <c r="F6" s="5"/>
    </row>
    <row r="7" customFormat="false" ht="15" hidden="false" customHeight="true" outlineLevel="0" collapsed="false">
      <c r="A7" s="5" t="n">
        <v>762</v>
      </c>
      <c r="B7" s="5" t="n">
        <f aca="false">2738-A7</f>
        <v>1976</v>
      </c>
      <c r="C7" s="5" t="s">
        <v>95</v>
      </c>
      <c r="D7" s="5" t="s">
        <v>96</v>
      </c>
      <c r="E7" s="5" t="s">
        <v>97</v>
      </c>
      <c r="F7" s="5" t="s">
        <v>98</v>
      </c>
    </row>
    <row r="8" customFormat="false" ht="15" hidden="false" customHeight="true" outlineLevel="0" collapsed="false">
      <c r="A8" s="5" t="n">
        <v>770</v>
      </c>
      <c r="B8" s="5" t="n">
        <f aca="false">2738-A8</f>
        <v>1968</v>
      </c>
      <c r="C8" s="5" t="s">
        <v>99</v>
      </c>
      <c r="D8" s="5" t="s">
        <v>100</v>
      </c>
      <c r="E8" s="5" t="s">
        <v>101</v>
      </c>
      <c r="F8" s="5" t="s">
        <v>98</v>
      </c>
    </row>
    <row r="9" customFormat="false" ht="15" hidden="false" customHeight="true" outlineLevel="0" collapsed="false">
      <c r="A9" s="20" t="n">
        <v>780</v>
      </c>
      <c r="B9" s="20" t="n">
        <f aca="false">2738-A9</f>
        <v>1958</v>
      </c>
      <c r="C9" s="20" t="s">
        <v>102</v>
      </c>
      <c r="D9" s="20" t="s">
        <v>94</v>
      </c>
      <c r="E9" s="20"/>
      <c r="F9" s="21" t="s">
        <v>103</v>
      </c>
    </row>
    <row r="10" customFormat="false" ht="15" hidden="false" customHeight="true" outlineLevel="0" collapsed="false">
      <c r="A10" s="5" t="n">
        <v>800</v>
      </c>
      <c r="B10" s="5" t="n">
        <f aca="false">2738-A10</f>
        <v>1938</v>
      </c>
      <c r="C10" s="5" t="s">
        <v>104</v>
      </c>
      <c r="D10" s="5" t="s">
        <v>105</v>
      </c>
      <c r="E10" s="5" t="s">
        <v>106</v>
      </c>
      <c r="F10" s="5" t="s">
        <v>98</v>
      </c>
    </row>
    <row r="11" customFormat="false" ht="15" hidden="false" customHeight="true" outlineLevel="0" collapsed="false">
      <c r="A11" s="5" t="n">
        <v>801</v>
      </c>
      <c r="B11" s="5" t="n">
        <f aca="false">2738-A11</f>
        <v>1937</v>
      </c>
      <c r="C11" s="5" t="s">
        <v>107</v>
      </c>
      <c r="D11" s="5" t="s">
        <v>105</v>
      </c>
      <c r="E11" s="5"/>
      <c r="F11" s="5"/>
    </row>
    <row r="12" customFormat="false" ht="15" hidden="false" customHeight="true" outlineLevel="0" collapsed="false">
      <c r="A12" s="20" t="n">
        <v>806</v>
      </c>
      <c r="B12" s="20" t="n">
        <f aca="false">2738-A12</f>
        <v>1932</v>
      </c>
      <c r="C12" s="20" t="s">
        <v>108</v>
      </c>
      <c r="D12" s="20" t="s">
        <v>96</v>
      </c>
      <c r="E12" s="20" t="s">
        <v>109</v>
      </c>
      <c r="F12" s="21" t="s">
        <v>110</v>
      </c>
    </row>
    <row r="13" customFormat="false" ht="15" hidden="false" customHeight="true" outlineLevel="0" collapsed="false">
      <c r="A13" s="5" t="n">
        <v>814</v>
      </c>
      <c r="B13" s="5" t="n">
        <f aca="false">2738-A13</f>
        <v>1924</v>
      </c>
      <c r="C13" s="5" t="s">
        <v>111</v>
      </c>
      <c r="D13" s="5" t="s">
        <v>112</v>
      </c>
      <c r="E13" s="5" t="s">
        <v>113</v>
      </c>
      <c r="F13" s="5" t="s">
        <v>98</v>
      </c>
    </row>
    <row r="14" customFormat="false" ht="15" hidden="false" customHeight="true" outlineLevel="0" collapsed="false">
      <c r="A14" s="5" t="n">
        <v>817</v>
      </c>
      <c r="B14" s="5" t="n">
        <f aca="false">2738-A14</f>
        <v>1921</v>
      </c>
      <c r="C14" s="5" t="s">
        <v>114</v>
      </c>
      <c r="D14" s="5" t="s">
        <v>115</v>
      </c>
      <c r="E14" s="5" t="s">
        <v>116</v>
      </c>
      <c r="F14" s="5" t="s">
        <v>98</v>
      </c>
    </row>
    <row r="15" customFormat="false" ht="15" hidden="false" customHeight="true" outlineLevel="0" collapsed="false">
      <c r="A15" s="5" t="n">
        <v>820</v>
      </c>
      <c r="B15" s="5" t="n">
        <f aca="false">2738-A15</f>
        <v>1918</v>
      </c>
      <c r="C15" s="5" t="s">
        <v>117</v>
      </c>
      <c r="D15" s="5" t="s">
        <v>94</v>
      </c>
      <c r="E15" s="5"/>
      <c r="F15" s="5"/>
    </row>
    <row r="16" customFormat="false" ht="15" hidden="false" customHeight="true" outlineLevel="0" collapsed="false">
      <c r="A16" s="5" t="n">
        <v>822</v>
      </c>
      <c r="B16" s="5" t="n">
        <f aca="false">2738-A16</f>
        <v>1916</v>
      </c>
      <c r="C16" s="5" t="s">
        <v>118</v>
      </c>
      <c r="D16" s="5" t="s">
        <v>105</v>
      </c>
      <c r="E16" s="5" t="s">
        <v>119</v>
      </c>
      <c r="F16" s="5" t="s">
        <v>98</v>
      </c>
    </row>
    <row r="17" customFormat="false" ht="15" hidden="false" customHeight="true" outlineLevel="0" collapsed="false">
      <c r="A17" s="5" t="n">
        <v>850</v>
      </c>
      <c r="B17" s="5" t="n">
        <f aca="false">2738-A17</f>
        <v>1888</v>
      </c>
      <c r="C17" s="5" t="s">
        <v>120</v>
      </c>
      <c r="D17" s="5" t="s">
        <v>94</v>
      </c>
      <c r="E17" s="5"/>
      <c r="F17" s="5"/>
    </row>
    <row r="18" customFormat="false" ht="15" hidden="false" customHeight="true" outlineLevel="0" collapsed="false">
      <c r="A18" s="5" t="n">
        <v>860</v>
      </c>
      <c r="B18" s="5" t="n">
        <f aca="false">2738-A18</f>
        <v>1878</v>
      </c>
      <c r="C18" s="5" t="s">
        <v>121</v>
      </c>
      <c r="D18" s="5" t="s">
        <v>91</v>
      </c>
      <c r="E18" s="5"/>
      <c r="F18" s="5"/>
    </row>
    <row r="19" customFormat="false" ht="15" hidden="false" customHeight="true" outlineLevel="0" collapsed="false">
      <c r="A19" s="5" t="n">
        <v>870</v>
      </c>
      <c r="B19" s="5" t="n">
        <f aca="false">2738-A19</f>
        <v>1868</v>
      </c>
      <c r="C19" s="5" t="s">
        <v>122</v>
      </c>
      <c r="D19" s="5" t="s">
        <v>91</v>
      </c>
      <c r="E19" s="5"/>
      <c r="F19" s="5"/>
    </row>
    <row r="20" customFormat="false" ht="15" hidden="false" customHeight="true" outlineLevel="0" collapsed="false">
      <c r="A20" s="5" t="n">
        <v>880</v>
      </c>
      <c r="B20" s="5" t="n">
        <f aca="false">2738-A20</f>
        <v>1858</v>
      </c>
      <c r="C20" s="5" t="s">
        <v>123</v>
      </c>
      <c r="D20" s="5" t="s">
        <v>105</v>
      </c>
      <c r="E20" s="5"/>
      <c r="F20" s="5"/>
    </row>
    <row r="21" customFormat="false" ht="15" hidden="false" customHeight="true" outlineLevel="0" collapsed="false">
      <c r="A21" s="20" t="n">
        <v>885</v>
      </c>
      <c r="B21" s="20" t="n">
        <f aca="false">2738-A21</f>
        <v>1853</v>
      </c>
      <c r="C21" s="20" t="s">
        <v>124</v>
      </c>
      <c r="D21" s="20" t="s">
        <v>105</v>
      </c>
      <c r="E21" s="20" t="s">
        <v>125</v>
      </c>
      <c r="F21" s="21" t="s">
        <v>126</v>
      </c>
    </row>
    <row r="22" customFormat="false" ht="15" hidden="false" customHeight="true" outlineLevel="0" collapsed="false">
      <c r="A22" s="5" t="n">
        <v>890</v>
      </c>
      <c r="B22" s="5" t="n">
        <f aca="false">2738-A22</f>
        <v>1848</v>
      </c>
      <c r="C22" s="5" t="s">
        <v>127</v>
      </c>
      <c r="D22" s="5" t="s">
        <v>94</v>
      </c>
      <c r="E22" s="5"/>
      <c r="F22" s="5"/>
    </row>
    <row r="23" customFormat="false" ht="15" hidden="false" customHeight="true" outlineLevel="0" collapsed="false">
      <c r="A23" s="20" t="n">
        <v>900</v>
      </c>
      <c r="B23" s="20" t="n">
        <f aca="false">2738-A23</f>
        <v>1838</v>
      </c>
      <c r="C23" s="20" t="s">
        <v>128</v>
      </c>
      <c r="D23" s="20" t="s">
        <v>94</v>
      </c>
      <c r="E23" s="20" t="s">
        <v>129</v>
      </c>
      <c r="F23" s="21" t="s">
        <v>130</v>
      </c>
    </row>
    <row r="25" customFormat="false" ht="15" hidden="false" customHeight="true" outlineLevel="0" collapsed="false">
      <c r="A25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2026-08-14T22:30:08Z</dcterms:created>
  <dc:creator>openpyxl</dc:creator>
  <dc:description/>
  <dc:language>en-US</dc:language>
  <cp:lastModifiedBy/>
  <dcterms:modified xsi:type="dcterms:W3CDTF">2026-08-14T22:36:50Z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