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Bonificadores - Bastrea Paladin" sheetId="2" r:id="rId5"/>
    <sheet state="visible" name="Clases" sheetId="3" r:id="rId6"/>
    <sheet state="visible" name="Sheet1" sheetId="4" r:id="rId7"/>
    <sheet state="visible" name="Razas" sheetId="5" r:id="rId8"/>
    <sheet state="visible" name="Habilidades de Rol" sheetId="6" r:id="rId9"/>
  </sheets>
  <definedNames>
    <definedName hidden="1" localSheetId="1" name="_xlnm._FilterDatabase">'Bonificadores - Bastrea Paladin'!$X$1:$Y$101</definedName>
    <definedName hidden="1" localSheetId="2" name="_xlnm._FilterDatabase">Clases!$A$1:$AK$145</definedName>
    <definedName hidden="1" localSheetId="4" name="_xlnm._FilterDatabase">Razas!$A$1:$T$81</definedName>
  </definedNames>
  <calcPr/>
  <extLst>
    <ext uri="GoogleSheetsCustomDataVersion2">
      <go:sheetsCustomData xmlns:go="http://customooxmlschemas.google.com/" r:id="rId10" roundtripDataChecksum="B6RgDMaEFNNz2+O+OQHKI6L4UFKFy6cOLbVaRdVcOU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30">
      <text>
        <t xml:space="preserve">======
ID#AAABTH-VnTI
    (2024-09-06 12:59:04)
Player's Handbook</t>
      </text>
    </comment>
    <comment authorId="0" ref="T79">
      <text>
        <t xml:space="preserve">======
ID#AAABTH-VnTM
    (2024-09-06 12:59:04)
Plane Shift: Zendikar</t>
      </text>
    </comment>
    <comment authorId="0" ref="T19">
      <text>
        <t xml:space="preserve">======
ID#AAABTH-VnTA
    (2024-09-06 12:59:04)
Volo's Guide to Monsters</t>
      </text>
    </comment>
    <comment authorId="0" ref="T60">
      <text>
        <t xml:space="preserve">======
ID#AAABTH-VnTE
    (2024-09-06 12:59:04)
Plane Shift: Zendikar</t>
      </text>
    </comment>
    <comment authorId="0" ref="T26">
      <text>
        <t xml:space="preserve">======
ID#AAABTH-VnS4
    (2024-09-06 12:59:04)
Sword Coast Adventurer's Guide (p. 104), and Mordenkainen's Tome of Foes</t>
      </text>
    </comment>
    <comment authorId="0" ref="T58">
      <text>
        <t xml:space="preserve">======
ID#AAABTH-VnS8
    (2024-09-06 12:59:04)
Unearthed Arcana: Elf Subraces</t>
      </text>
    </comment>
    <comment authorId="0" ref="T25">
      <text>
        <t xml:space="preserve">======
ID#AAABTH-VnSw
    (2024-09-06 12:59:04)
Player's Handbook</t>
      </text>
    </comment>
    <comment authorId="0" ref="T59">
      <text>
        <t xml:space="preserve">======
ID#AAABTH-VnS0
    (2024-09-06 12:59:04)
Plane Shift: Zendikar</t>
      </text>
    </comment>
    <comment authorId="0" ref="T12">
      <text>
        <t xml:space="preserve">======
ID#AAABTH-VkmI
    (2024-09-06 12:59:04)
Guildmasters' Guide to Ravnica (supercedes Unearthed Arcana: Races of Ravnica)</t>
      </text>
    </comment>
    <comment authorId="0" ref="T50">
      <text>
        <t xml:space="preserve">======
ID#AAABTH-VkmM
    (2024-09-06 12:59:04)
Plane Shift: Zendikar</t>
      </text>
    </comment>
    <comment authorId="0" ref="T49">
      <text>
        <t xml:space="preserve">======
ID#AAABTH-VkmE
    (2024-09-06 12:59:04)
Unearthed Arcana: That Old Black Magic</t>
      </text>
    </comment>
    <comment authorId="0" ref="T28">
      <text>
        <t xml:space="preserve">======
ID#AAABTH-VkmA
    (2024-09-06 12:59:04)
Player's Handbook</t>
      </text>
    </comment>
    <comment authorId="0" ref="T57">
      <text>
        <t xml:space="preserve">======
ID#AAABTH-Vkl4
    (2024-09-06 12:59:04)
Unearthed Arcana: Elf Subraces</t>
      </text>
    </comment>
    <comment authorId="0" ref="T78">
      <text>
        <t xml:space="preserve">======
ID#AAABTH-Vkl8
    (2024-09-06 12:59:04)
Plane Shift: Zendikar</t>
      </text>
    </comment>
    <comment authorId="0" ref="T29">
      <text>
        <t xml:space="preserve">======
ID#AAABTH-Vkl0
    (2024-09-06 12:59:04)
Player's Handbook</t>
      </text>
    </comment>
    <comment authorId="0" ref="T56">
      <text>
        <t xml:space="preserve">======
ID#AAABTH-Vklw
    (2024-09-06 12:59:04)
Player's Handbook</t>
      </text>
    </comment>
    <comment authorId="0" ref="T31">
      <text>
        <t xml:space="preserve">======
ID#AAABTH-Vkls
    (2024-09-06 12:59:04)
Dungeon Master's Guide -- 
Note: As this race does not occur among the official materials provided to _players_ (the Dungeon Master's Guide being provided to DMs), some DMs may not permit its use by players.</t>
      </text>
    </comment>
    <comment authorId="0" ref="T24">
      <text>
        <t xml:space="preserve">======
ID#AAABTH-Vklo
    (2024-09-06 12:59:04)
Player's Handbook</t>
      </text>
    </comment>
    <comment authorId="0" ref="T23">
      <text>
        <t xml:space="preserve">======
ID#AAABTH-Vklk
    (2024-09-06 12:59:04)
Player's Handbook</t>
      </text>
    </comment>
  </commentList>
  <extLst>
    <ext uri="GoogleSheetsCustomDataVersion2">
      <go:sheetsCustomData xmlns:go="http://customooxmlschemas.google.com/" r:id="rId1" roundtripDataSignature="AMtx7mixqfn7dRsfY6JMG0YXRGMbmOXVDA=="/>
    </ext>
  </extLst>
</comments>
</file>

<file path=xl/sharedStrings.xml><?xml version="1.0" encoding="utf-8"?>
<sst xmlns="http://schemas.openxmlformats.org/spreadsheetml/2006/main" count="3246" uniqueCount="1008">
  <si>
    <t>Tiradas</t>
  </si>
  <si>
    <t>Bonificadores</t>
  </si>
  <si>
    <t>Nivel</t>
  </si>
  <si>
    <t>Humano</t>
  </si>
  <si>
    <t>Bonus Actual Fuerza</t>
  </si>
  <si>
    <t>Bonus Actual Destreza</t>
  </si>
  <si>
    <t>Bonus Actual Constitucion</t>
  </si>
  <si>
    <t>Bonus Actual Inteligencia</t>
  </si>
  <si>
    <t>Bonus Actual Sabiduria</t>
  </si>
  <si>
    <t>Bonus Actual Carisma</t>
  </si>
  <si>
    <t>LVL</t>
  </si>
  <si>
    <t>Bonus</t>
  </si>
  <si>
    <t>0-1</t>
  </si>
  <si>
    <t>Fue</t>
  </si>
  <si>
    <t>Des</t>
  </si>
  <si>
    <t>Con</t>
  </si>
  <si>
    <t>Int</t>
  </si>
  <si>
    <t>Sab</t>
  </si>
  <si>
    <t>Car</t>
  </si>
  <si>
    <t>Bastrea</t>
  </si>
  <si>
    <t>Paladin</t>
  </si>
  <si>
    <t>Vida</t>
  </si>
  <si>
    <t>Armadura</t>
  </si>
  <si>
    <t>Armadura Objeto</t>
  </si>
  <si>
    <t>Armadura De Placas Sencilla</t>
  </si>
  <si>
    <t>12-13</t>
  </si>
  <si>
    <t>14-15</t>
  </si>
  <si>
    <t>16-17</t>
  </si>
  <si>
    <t>/ Habilidad + Nivel Creador + Bonus Inicial</t>
  </si>
  <si>
    <t>Creador 1</t>
  </si>
  <si>
    <t>1 + habilidad</t>
  </si>
  <si>
    <t>18-19</t>
  </si>
  <si>
    <t>/ Habilidad + Nivel Creador</t>
  </si>
  <si>
    <t>Creador 2</t>
  </si>
  <si>
    <t>2 + habilidad</t>
  </si>
  <si>
    <t>20-21</t>
  </si>
  <si>
    <t>Creador 3</t>
  </si>
  <si>
    <t>3 + habilidad</t>
  </si>
  <si>
    <t>22-23</t>
  </si>
  <si>
    <t>Creador 4</t>
  </si>
  <si>
    <t>4 + habilidad</t>
  </si>
  <si>
    <t>24-25</t>
  </si>
  <si>
    <t>Creador 5</t>
  </si>
  <si>
    <t>5 + habilidad</t>
  </si>
  <si>
    <t>26-27</t>
  </si>
  <si>
    <t>28-29</t>
  </si>
  <si>
    <t>/ Habilidad de Subclase</t>
  </si>
  <si>
    <t>Subclase 1</t>
  </si>
  <si>
    <t>30-31</t>
  </si>
  <si>
    <t>Subclase 2</t>
  </si>
  <si>
    <t>32-33</t>
  </si>
  <si>
    <t>Subclase 3</t>
  </si>
  <si>
    <t>34-35</t>
  </si>
  <si>
    <t>Subclase 4</t>
  </si>
  <si>
    <t>36-37</t>
  </si>
  <si>
    <t>Subclase 5</t>
  </si>
  <si>
    <t>38-39</t>
  </si>
  <si>
    <t>Subclase 6</t>
  </si>
  <si>
    <t>40-41</t>
  </si>
  <si>
    <t>Subclase 7</t>
  </si>
  <si>
    <t>42-43</t>
  </si>
  <si>
    <t>Subclase 8</t>
  </si>
  <si>
    <t>44-45</t>
  </si>
  <si>
    <t>46-47</t>
  </si>
  <si>
    <t>48-49</t>
  </si>
  <si>
    <t>50-51</t>
  </si>
  <si>
    <t>52-53</t>
  </si>
  <si>
    <t>54-55</t>
  </si>
  <si>
    <t>56-57</t>
  </si>
  <si>
    <t>58-59</t>
  </si>
  <si>
    <t>60-61</t>
  </si>
  <si>
    <t>62-63</t>
  </si>
  <si>
    <t>64-65</t>
  </si>
  <si>
    <t>66-67</t>
  </si>
  <si>
    <t>68-69</t>
  </si>
  <si>
    <t>70-71</t>
  </si>
  <si>
    <t>Resultado final</t>
  </si>
  <si>
    <t>Cons</t>
  </si>
  <si>
    <t>Bonificacion por raza</t>
  </si>
  <si>
    <t>Bonificacion por clase</t>
  </si>
  <si>
    <t>Guerrero</t>
  </si>
  <si>
    <t xml:space="preserve">Tiradas </t>
  </si>
  <si>
    <t>Class</t>
  </si>
  <si>
    <t>Subclass</t>
  </si>
  <si>
    <t>Proficiencies</t>
  </si>
  <si>
    <t>Hit Dice</t>
  </si>
  <si>
    <t>Saving Throws</t>
  </si>
  <si>
    <t>Weapon Proficiencies</t>
  </si>
  <si>
    <t>Armor Proficiency</t>
  </si>
  <si>
    <t>Starting Equipment</t>
  </si>
  <si>
    <t>Funciones</t>
  </si>
  <si>
    <t>Caster;</t>
  </si>
  <si>
    <t>spell modifier</t>
  </si>
  <si>
    <t>PALADIN</t>
  </si>
  <si>
    <t>SAB</t>
  </si>
  <si>
    <t>CAR</t>
  </si>
  <si>
    <t>SAB + CAR</t>
  </si>
  <si>
    <t>simple, martial</t>
  </si>
  <si>
    <t>Todo tipo de Armadura y escudos</t>
  </si>
  <si>
    <r>
      <rPr>
        <rFont val="Arial"/>
        <b/>
        <color theme="1"/>
        <sz val="10.0"/>
      </rPr>
      <t xml:space="preserve">Any Martial Weapon and Shield; </t>
    </r>
    <r>
      <rPr>
        <rFont val="Arial"/>
        <b/>
        <i/>
        <color theme="1"/>
        <sz val="10.0"/>
      </rPr>
      <t>Any Two Martial Weapons</t>
    </r>
    <r>
      <rPr>
        <rFont val="Arial"/>
        <b/>
        <color theme="1"/>
        <sz val="10.0"/>
      </rPr>
      <t>, Javelin;</t>
    </r>
    <r>
      <rPr>
        <rFont val="Arial"/>
        <b/>
        <i/>
        <color theme="1"/>
        <sz val="10.0"/>
      </rPr>
      <t xml:space="preserve"> (x5)</t>
    </r>
    <r>
      <rPr>
        <rFont val="Arial"/>
        <b/>
        <color theme="1"/>
        <sz val="10.0"/>
      </rPr>
      <t xml:space="preserve">; Any Simple Melee Weapon, Priest's Pack; </t>
    </r>
    <r>
      <rPr>
        <rFont val="Arial"/>
        <b/>
        <i/>
        <color theme="1"/>
        <sz val="10.0"/>
      </rPr>
      <t>Explorer's Pack, Chain mail, holy symbol</t>
    </r>
  </si>
  <si>
    <t>Divine Sense,Lay on Hands</t>
  </si>
  <si>
    <t>Fighting Style,Divine Smite</t>
  </si>
  <si>
    <t>Divine Health, Channel Divinity</t>
  </si>
  <si>
    <t>Ability Score Improvement</t>
  </si>
  <si>
    <t>Extra Attack</t>
  </si>
  <si>
    <t>Aura of Protection</t>
  </si>
  <si>
    <t>Aura of Devotion</t>
  </si>
  <si>
    <t>-</t>
  </si>
  <si>
    <t>Aura of Courage</t>
  </si>
  <si>
    <t>Improved Divine Smite</t>
  </si>
  <si>
    <t>Cleansing Touch</t>
  </si>
  <si>
    <t>Aura Improvement</t>
  </si>
  <si>
    <t>Holy Nimbus</t>
  </si>
  <si>
    <t>Half</t>
  </si>
  <si>
    <t>--</t>
  </si>
  <si>
    <t>GUERRERO</t>
  </si>
  <si>
    <t>Caballero templario</t>
  </si>
  <si>
    <t>CONS</t>
  </si>
  <si>
    <t>CONS + FUE + SAB</t>
  </si>
  <si>
    <t>Simple, Marcial, Experto en dos Armas</t>
  </si>
  <si>
    <t>Armas con filo. Pelea sin armas. Moral.</t>
  </si>
  <si>
    <t>MAGO</t>
  </si>
  <si>
    <t>Guardian elemental</t>
  </si>
  <si>
    <t>INT, SAB</t>
  </si>
  <si>
    <t>SAB, CAR</t>
  </si>
  <si>
    <t>INT + CAR +SAB</t>
  </si>
  <si>
    <t>HECHICERO</t>
  </si>
  <si>
    <t>Gladiador arcano</t>
  </si>
  <si>
    <t>CON, CAR</t>
  </si>
  <si>
    <t>CAR + SAB +CON</t>
  </si>
  <si>
    <t>BRUJO</t>
  </si>
  <si>
    <t>Apóstata</t>
  </si>
  <si>
    <t>CAR+1 + SAB+1</t>
  </si>
  <si>
    <t>Simple</t>
  </si>
  <si>
    <t>Ligera</t>
  </si>
  <si>
    <t>Full</t>
  </si>
  <si>
    <t>PÍCARO</t>
  </si>
  <si>
    <t>Portador de secretos</t>
  </si>
  <si>
    <t>DES, INT</t>
  </si>
  <si>
    <t>BARDO</t>
  </si>
  <si>
    <t>Trotamundos</t>
  </si>
  <si>
    <t>DES, CAR</t>
  </si>
  <si>
    <t>BÁRBARO</t>
  </si>
  <si>
    <t>Hermano de sangre</t>
  </si>
  <si>
    <t>FUE + CONS + CAR</t>
  </si>
  <si>
    <t>ARTIFICIERO</t>
  </si>
  <si>
    <t>Adorador de la polvora</t>
  </si>
  <si>
    <t>CONS, INT</t>
  </si>
  <si>
    <t>DRUIDA</t>
  </si>
  <si>
    <t>Devoto del bosque</t>
  </si>
  <si>
    <t>INT + SAB + CAR</t>
  </si>
  <si>
    <t>INT</t>
  </si>
  <si>
    <t>CAZADOR</t>
  </si>
  <si>
    <t>Domador Celestial</t>
  </si>
  <si>
    <t>FUE, DES</t>
  </si>
  <si>
    <t>CHAMÁN</t>
  </si>
  <si>
    <t>Alto Iluminado</t>
  </si>
  <si>
    <t>Strength</t>
  </si>
  <si>
    <t>Constitution</t>
  </si>
  <si>
    <t>FUE + CONS</t>
  </si>
  <si>
    <t>Chain Mail;Leather Armor;Longbow,Any Martial weapon and shield;OR;Any Two Martial Weapons,Light Crossbow;OR;Handaxe X2,Dungeoneer's Pack;OR;Explorer's Pack</t>
  </si>
  <si>
    <t>Fighting Style,Second Wind</t>
  </si>
  <si>
    <t>Action Surge (1)</t>
  </si>
  <si>
    <t>Combat Superiority,Student of War</t>
  </si>
  <si>
    <t>Know Your Enemy</t>
  </si>
  <si>
    <t>Indomitable (1)</t>
  </si>
  <si>
    <t>Improved Combat Superiority</t>
  </si>
  <si>
    <t>Extra Attack (3)</t>
  </si>
  <si>
    <t>Indomitable (2)</t>
  </si>
  <si>
    <t>Relentless</t>
  </si>
  <si>
    <t>Action Surge (2), Indomitable (3)</t>
  </si>
  <si>
    <t>No</t>
  </si>
  <si>
    <t>Guerrero arcano</t>
  </si>
  <si>
    <t>Nacido del trueno</t>
  </si>
  <si>
    <t>Caballero profano</t>
  </si>
  <si>
    <t>Hoja escurridiza</t>
  </si>
  <si>
    <t>Feriante</t>
  </si>
  <si>
    <t>FUE + DES + CAR</t>
  </si>
  <si>
    <t>Guerrero del puño cortante</t>
  </si>
  <si>
    <t>FUE +1 + CONS +1</t>
  </si>
  <si>
    <t>Artillero</t>
  </si>
  <si>
    <t>Mercenario</t>
  </si>
  <si>
    <t>Intelligence</t>
  </si>
  <si>
    <t>Wisdom</t>
  </si>
  <si>
    <t>INT + SAB</t>
  </si>
  <si>
    <t>dagger, dart, sling, quarterstaff, light crossbow</t>
  </si>
  <si>
    <t>Túnica</t>
  </si>
  <si>
    <t>Quarterstaff;OR;Dagger,Component pouch;OR;arcane focus,Scholar's Pack;OR;Explorer's Pack,SpellBook</t>
  </si>
  <si>
    <t>Spellcasting, Arcane Recovery</t>
  </si>
  <si>
    <t>Abjuration Savant,Arcane Ward</t>
  </si>
  <si>
    <t>Projected Ward</t>
  </si>
  <si>
    <t>Improved Abjuration</t>
  </si>
  <si>
    <t>Spell Resistance</t>
  </si>
  <si>
    <t>Spell Mastery</t>
  </si>
  <si>
    <t>Signature Spell</t>
  </si>
  <si>
    <t>Señor de los astros</t>
  </si>
  <si>
    <t>Llamado por la oscuridad</t>
  </si>
  <si>
    <t>Mago del paso ligero</t>
  </si>
  <si>
    <t>INT + DES + SAB</t>
  </si>
  <si>
    <t>Destructor rúnico</t>
  </si>
  <si>
    <t>Tirador arcano</t>
  </si>
  <si>
    <t>Mago lunar</t>
  </si>
  <si>
    <t>Invocador de bestias</t>
  </si>
  <si>
    <t>Domador de elementos</t>
  </si>
  <si>
    <t>INT + SAB + DES</t>
  </si>
  <si>
    <t>Charisma</t>
  </si>
  <si>
    <t>CON + CAR</t>
  </si>
  <si>
    <t>Light Crossbow;Any Simple Weapon, ; ;Dagger X2,Component pouch;Arcane Focus,Dungeoneer's pack;Explorer's Pack</t>
  </si>
  <si>
    <t>Dragon Ancestery</t>
  </si>
  <si>
    <t>Font of Magic</t>
  </si>
  <si>
    <t>Metamagic</t>
  </si>
  <si>
    <t>Elemental Affinity</t>
  </si>
  <si>
    <t>Dragon Wings</t>
  </si>
  <si>
    <t>Draconic Presence</t>
  </si>
  <si>
    <t>Sorcerous Restoration</t>
  </si>
  <si>
    <t>Inventor (orkoz)</t>
  </si>
  <si>
    <t>CAR + INT + DES</t>
  </si>
  <si>
    <t>?</t>
  </si>
  <si>
    <t>Señor de las armas</t>
  </si>
  <si>
    <t>CAR + FUE + CONS</t>
  </si>
  <si>
    <t>simple</t>
  </si>
  <si>
    <t>Armaduras ligeras</t>
  </si>
  <si>
    <t>Light Crossbow;OR;Any Simple Weapon, ; ;Dagger X2,Any Simple Weapon,Component Pouch;OR;arcane Focus,Scholar's pack;OR;Dungeoneer's Pack,Leather Armor</t>
  </si>
  <si>
    <t>Dark One's Blessings,Pact Magic</t>
  </si>
  <si>
    <t>Eldritch Invocations</t>
  </si>
  <si>
    <t>Pact Boon</t>
  </si>
  <si>
    <t>Dark One's Own Luck</t>
  </si>
  <si>
    <t>Fiendish Resilience</t>
  </si>
  <si>
    <t>Mystic Arcanum (6th)</t>
  </si>
  <si>
    <t>Mystic Arcanum (7th)</t>
  </si>
  <si>
    <t>Hurl Through Hell</t>
  </si>
  <si>
    <t>Mystic Arcanum (8th)</t>
  </si>
  <si>
    <t>Mystic Arcanum (9th)</t>
  </si>
  <si>
    <t>Eldritch Master</t>
  </si>
  <si>
    <t>Brujo de la hoja sombría</t>
  </si>
  <si>
    <t>Embaucador</t>
  </si>
  <si>
    <t>Titiritero maldito</t>
  </si>
  <si>
    <t>FUE + CAR + CONS</t>
  </si>
  <si>
    <t>Portador de plagas</t>
  </si>
  <si>
    <t>CAR + SAB + DES</t>
  </si>
  <si>
    <t>Redimido</t>
  </si>
  <si>
    <t>SAB +1 + CAR +1</t>
  </si>
  <si>
    <t>Dexterity</t>
  </si>
  <si>
    <t>DES + INT</t>
  </si>
  <si>
    <t>simple, hand crossbow, longsword, rapier, shortsword</t>
  </si>
  <si>
    <t>Rapier;Shortsword,Shortbow;Shortsword,Burglar's pack;Dungeoneer's pack;Explorer's Pack,Leather Armor,Two Daggers,Theive's Tools</t>
  </si>
  <si>
    <t>Expertise, Sneak attack, Thieves</t>
  </si>
  <si>
    <t>Cunning Action</t>
  </si>
  <si>
    <t>Infiltration Expertise</t>
  </si>
  <si>
    <t>Uncanny Dodge</t>
  </si>
  <si>
    <t>Expertise</t>
  </si>
  <si>
    <t>Evasion</t>
  </si>
  <si>
    <t>Reliable Talent</t>
  </si>
  <si>
    <t>Imposter</t>
  </si>
  <si>
    <t>blindsense</t>
  </si>
  <si>
    <t>Slippery Mind</t>
  </si>
  <si>
    <t>Death Strike</t>
  </si>
  <si>
    <t>Elusive</t>
  </si>
  <si>
    <t>Stroke of Luck</t>
  </si>
  <si>
    <t>Ilusionista</t>
  </si>
  <si>
    <t>Francotirador</t>
  </si>
  <si>
    <t>DES +1 + INT +1</t>
  </si>
  <si>
    <t>Hoja venenosa</t>
  </si>
  <si>
    <t>DES + INT + SAB</t>
  </si>
  <si>
    <t>Duelista elemental</t>
  </si>
  <si>
    <t>Saltador de planos</t>
  </si>
  <si>
    <t>DES + CAR</t>
  </si>
  <si>
    <t>Simple, hand crossbow, longsword, rapier, shortsword</t>
  </si>
  <si>
    <t>Rapier;Longsword;OR Any Simple Weapon,Diplomat's pack;OR;Entertainer's pack,Musical Instrument,Leather Armor,Dagger</t>
  </si>
  <si>
    <t>Bardic Inspiration(d6)</t>
  </si>
  <si>
    <t>Jack of All Trades, Song of Rest</t>
  </si>
  <si>
    <t>Cutting Words, Expertise</t>
  </si>
  <si>
    <t>Bardic Inspiration (d8),Font of Inspiration</t>
  </si>
  <si>
    <t>Countercharm</t>
  </si>
  <si>
    <t>Song of Rest (d8)</t>
  </si>
  <si>
    <t>Bardic Inspiration (d10),Expertise,Magical Secrets</t>
  </si>
  <si>
    <t>Song of Rest (d10)</t>
  </si>
  <si>
    <t>Magical Secrets,Peerless Skill</t>
  </si>
  <si>
    <t>Bardic Inspiration (d12)</t>
  </si>
  <si>
    <t>Song of Rest (d12)</t>
  </si>
  <si>
    <t>Magical Secrets</t>
  </si>
  <si>
    <t>Superior Inspiration</t>
  </si>
  <si>
    <t>Bardo de la corteza mohosa</t>
  </si>
  <si>
    <t>Bardo de las cuatro estaciones</t>
  </si>
  <si>
    <t xml:space="preserve">DES </t>
  </si>
  <si>
    <t>DES + CAR +SAB</t>
  </si>
  <si>
    <t>Bardo de la voz divina</t>
  </si>
  <si>
    <t>Bardo de la devastación</t>
  </si>
  <si>
    <t>Bardo de la cuerda rota</t>
  </si>
  <si>
    <t>DES + CAR + SAB</t>
  </si>
  <si>
    <t>Bardo de la danza mortal</t>
  </si>
  <si>
    <t>Simple, Martial</t>
  </si>
  <si>
    <t>Armaduras ligeras y medianas, Escudos</t>
  </si>
  <si>
    <t>Greataxe;OR;Any martial melee weapon,Any Simple Weapon;OR;Handaxe X2,Explorer's pack,Javelin;(X4)</t>
  </si>
  <si>
    <t>Rage,Unarmored Defense</t>
  </si>
  <si>
    <t>Reckless Attack,Danger Sense</t>
  </si>
  <si>
    <t>Frenzy</t>
  </si>
  <si>
    <t>Extra Attack,Fast Movement</t>
  </si>
  <si>
    <t>Mindless Rage</t>
  </si>
  <si>
    <t>Feral Instinct</t>
  </si>
  <si>
    <t>Brutal Critical</t>
  </si>
  <si>
    <t>Intimidating Presence</t>
  </si>
  <si>
    <t>Relentless Rage</t>
  </si>
  <si>
    <t>Retaliation</t>
  </si>
  <si>
    <t>Persistent Rage</t>
  </si>
  <si>
    <t>Indomitable Might</t>
  </si>
  <si>
    <t>Primal Champion</t>
  </si>
  <si>
    <t>Furia salvaje</t>
  </si>
  <si>
    <t>FUE</t>
  </si>
  <si>
    <t>FUE + CONS + SAB</t>
  </si>
  <si>
    <t>Furia elemental</t>
  </si>
  <si>
    <t>Furia de los creadores</t>
  </si>
  <si>
    <t>Berserker</t>
  </si>
  <si>
    <t>Furia devastadora</t>
  </si>
  <si>
    <t>Renacido</t>
  </si>
  <si>
    <t>FUE + SAB + CAR</t>
  </si>
  <si>
    <t>DES</t>
  </si>
  <si>
    <t>INT + DES</t>
  </si>
  <si>
    <t>Armas de fuego, Simple, Martial</t>
  </si>
  <si>
    <t>Artificiero táctico</t>
  </si>
  <si>
    <t>INT + DES + FUE</t>
  </si>
  <si>
    <t>Artificiero pesado</t>
  </si>
  <si>
    <t>Alquimista</t>
  </si>
  <si>
    <t>INT + SAN + CAR</t>
  </si>
  <si>
    <t>Golpista tecnologico</t>
  </si>
  <si>
    <t>INT + FUE + CONS</t>
  </si>
  <si>
    <t>Club, Dagger, Dart, Javelin, mace, quarterstaff, scimitar, sickle, sling, spear</t>
  </si>
  <si>
    <t>Armaduras ligeras y medianas, Escudos (No metalicas)</t>
  </si>
  <si>
    <t>Wooden Shield;OR;any simple weapon,Scimitar;OR;any simple melee weapon,Leather Armor,Explorer's Pack,A Druidic Focus</t>
  </si>
  <si>
    <t>Druidic</t>
  </si>
  <si>
    <t>Wild Shape,Natural Recovery</t>
  </si>
  <si>
    <t>Ability Score Improvement,Wild Shape Improvement</t>
  </si>
  <si>
    <t>Land's Stride</t>
  </si>
  <si>
    <t>Nature's Ward</t>
  </si>
  <si>
    <t>Nature's Sanctuary</t>
  </si>
  <si>
    <t>Timeless Body,Beast Spells</t>
  </si>
  <si>
    <t>Archdruid</t>
  </si>
  <si>
    <t>Cambiaformas</t>
  </si>
  <si>
    <t>Hielo y Fuego</t>
  </si>
  <si>
    <t>Ermitaño elemental</t>
  </si>
  <si>
    <t>INT +1 + SAB +1</t>
  </si>
  <si>
    <t>Nigromante</t>
  </si>
  <si>
    <t>DES + FUE</t>
  </si>
  <si>
    <t>Armaduras ligeras y medianas</t>
  </si>
  <si>
    <t>Scale mail;leather armor,two shortswords;Any two simple melee weapons,Dungeoneer's pack;explorer's pack,Longbow</t>
  </si>
  <si>
    <t>Favored Enemy,Natural Explorer</t>
  </si>
  <si>
    <t>Fighting Style</t>
  </si>
  <si>
    <t>Hunter's Prey,Primeval Awareness</t>
  </si>
  <si>
    <t>Favored Enemy Improve,Natural Explorer Improve</t>
  </si>
  <si>
    <t>Defensive Tactics</t>
  </si>
  <si>
    <t>Ability Score Improvement,Land's Stride</t>
  </si>
  <si>
    <t>Natural Explorer Improvement,Hide in Plain Sight</t>
  </si>
  <si>
    <t>Multiattack</t>
  </si>
  <si>
    <t>Favored Enemy Improvement, Vanish</t>
  </si>
  <si>
    <t>Superior Hunter's Defense</t>
  </si>
  <si>
    <t>Feral Senses</t>
  </si>
  <si>
    <t>Foe Slayer</t>
  </si>
  <si>
    <t>Guardabosques</t>
  </si>
  <si>
    <t>DES + FUE + CONS</t>
  </si>
  <si>
    <t>Puntería arcana</t>
  </si>
  <si>
    <t>DES + FUE + CAR</t>
  </si>
  <si>
    <t>Asesinato sigiloso</t>
  </si>
  <si>
    <t>DES + FUE + INT</t>
  </si>
  <si>
    <t>DES + SAB</t>
  </si>
  <si>
    <t>Simple, shortsword</t>
  </si>
  <si>
    <t>Túnicas</t>
  </si>
  <si>
    <t>Shortsword;any simple weapon,Dungeoneer's pack;Explorer's Pack,Dart;(x10)</t>
  </si>
  <si>
    <t>Martial Arts</t>
  </si>
  <si>
    <t>Ki,Unarmored Movement</t>
  </si>
  <si>
    <t>Disciple of the Elements,Deflect Missiles</t>
  </si>
  <si>
    <t>Ability Score Improvement,slow Fall</t>
  </si>
  <si>
    <t>Extra Attack,Stunning Strike</t>
  </si>
  <si>
    <t>Ki-empowered Strikes,Disciple of the Elements (6)</t>
  </si>
  <si>
    <t>Evasion,Stillness of Mind</t>
  </si>
  <si>
    <t>Unarmored Movement Improvement</t>
  </si>
  <si>
    <t>Purity of Body</t>
  </si>
  <si>
    <t>Disciple of the Elements (11)</t>
  </si>
  <si>
    <t>Tongue of the Sun and Moon</t>
  </si>
  <si>
    <t>Diamond Soul</t>
  </si>
  <si>
    <t>Timeless Body</t>
  </si>
  <si>
    <t>Disciple of the Elements (17)</t>
  </si>
  <si>
    <t>Empty Body</t>
  </si>
  <si>
    <t>Perfect Self</t>
  </si>
  <si>
    <t>Monje celestial</t>
  </si>
  <si>
    <t>DES + SAB + CAR</t>
  </si>
  <si>
    <t>Elemental</t>
  </si>
  <si>
    <t xml:space="preserve">INT </t>
  </si>
  <si>
    <t>DES + SAB + INT</t>
  </si>
  <si>
    <t>Monje vengativo</t>
  </si>
  <si>
    <t>Monje del silencio</t>
  </si>
  <si>
    <t>DES + SAB + CONS</t>
  </si>
  <si>
    <t>Totémico</t>
  </si>
  <si>
    <t>Templario</t>
  </si>
  <si>
    <t>Proficiency Bonus</t>
  </si>
  <si>
    <t>Características</t>
  </si>
  <si>
    <t>1st Level Slots</t>
  </si>
  <si>
    <t>2nd Level Slots</t>
  </si>
  <si>
    <t>3rd Level Slots</t>
  </si>
  <si>
    <t>4th Level Slots</t>
  </si>
  <si>
    <t>5th Level Slots</t>
  </si>
  <si>
    <t>Oraciones Menores, Sentido Divino, Manos Sanadoras</t>
  </si>
  <si>
    <t>–</t>
  </si>
  <si>
    <t>Estilo de Combate, Golpe Divino Menor</t>
  </si>
  <si>
    <t>Magia de Fe (Nivel 1), Canalizar Divinidad</t>
  </si>
  <si>
    <t>Mejora de Características</t>
  </si>
  <si>
    <t>Ataque Extra (1)</t>
  </si>
  <si>
    <t>Aura de Protección</t>
  </si>
  <si>
    <t>Escudo de Fe Mayor</t>
  </si>
  <si>
    <t>Aura de Fe</t>
  </si>
  <si>
    <t>Invocación de Camarada de Luz</t>
  </si>
  <si>
    <t>Luz Sagrada Mejorada</t>
  </si>
  <si>
    <t>Aura de Coraje</t>
  </si>
  <si>
    <t>Escudo de Fe Celestial</t>
  </si>
  <si>
    <t>Rayo de Justicia</t>
  </si>
  <si>
    <t>Aura de Protección Mayor</t>
  </si>
  <si>
    <t>Potenciación Suprema</t>
  </si>
  <si>
    <t>Aura de Fe Mejorada</t>
  </si>
  <si>
    <t>Forma Divina</t>
  </si>
  <si>
    <t>Apostat</t>
  </si>
  <si>
    <t>Marca de la Oscuridad, Sacrificio de Vida</t>
  </si>
  <si>
    <t>Maldición Menor, Escudo de Sombras</t>
  </si>
  <si>
    <t>Invocación de Sombras, Sacrificio de Vida (Mejorado)</t>
  </si>
  <si>
    <t>Maldición de la Muerte</t>
  </si>
  <si>
    <t>Escudo de Sombras Mejorado</t>
  </si>
  <si>
    <t>Maldición de Dolor</t>
  </si>
  <si>
    <t>Maldición de la Desesperación</t>
  </si>
  <si>
    <t>Bendición Profana Mejorada</t>
  </si>
  <si>
    <t>Escudo Oscuro Definitivo</t>
  </si>
  <si>
    <t>Rayo de Oscuridad</t>
  </si>
  <si>
    <t>Maestro de Maldiciones</t>
  </si>
  <si>
    <t>Maldición de Agonía</t>
  </si>
  <si>
    <t>Potenciación Profana</t>
  </si>
  <si>
    <t>Aura de Maldiciones</t>
  </si>
  <si>
    <t>Forma de la Sombra</t>
  </si>
  <si>
    <t>Hermano de Sangre</t>
  </si>
  <si>
    <t>Furia</t>
  </si>
  <si>
    <t>Furia Sagrada</t>
  </si>
  <si>
    <t>Golpe Sagrado</t>
  </si>
  <si>
    <t>Juramento de Sangre</t>
  </si>
  <si>
    <t>Ataque Extra</t>
  </si>
  <si>
    <t>Aura de Furia</t>
  </si>
  <si>
    <t>Golpe de Furia Mejorado</t>
  </si>
  <si>
    <t>Furia Inquebrantable</t>
  </si>
  <si>
    <t>Escudo de Sangre</t>
  </si>
  <si>
    <t>Ataque de Furia Definitivo</t>
  </si>
  <si>
    <t>Castigo Radiante</t>
  </si>
  <si>
    <t>Aura de Protección de Sangre</t>
  </si>
  <si>
    <t>Maestro de la Furia</t>
  </si>
  <si>
    <t>Avatar de la Furia Sagrada</t>
  </si>
  <si>
    <t xml:space="preserve"> Devoto del Bosque</t>
  </si>
  <si>
    <t>Magia de la Naturaleza</t>
  </si>
  <si>
    <t>Canalización Divina: Protección de Gaia</t>
  </si>
  <si>
    <t>Juramento del Bosque</t>
  </si>
  <si>
    <t>Hechizos de Área</t>
  </si>
  <si>
    <t>Aura de Protección Natural</t>
  </si>
  <si>
    <t>Invocación del Guardián del Bosque</t>
  </si>
  <si>
    <t>Raíces del Bosque Ancestral</t>
  </si>
  <si>
    <t>Llamas Sagradas de Gaia</t>
  </si>
  <si>
    <t>Invocación de la Bestia del Bosque</t>
  </si>
  <si>
    <t>Vínculo con la Tierra</t>
  </si>
  <si>
    <t>Aura de Protección de Gaia</t>
  </si>
  <si>
    <t>Maestro de los Elementos</t>
  </si>
  <si>
    <t>Aura de Protección Mejorada</t>
  </si>
  <si>
    <t>Avatar de Gaia</t>
  </si>
  <si>
    <t>CambiaFormas</t>
  </si>
  <si>
    <t>Bono de Competencia</t>
  </si>
  <si>
    <t>Hechizos de Nivel 1</t>
  </si>
  <si>
    <t>Hechizos de Nivel 2</t>
  </si>
  <si>
    <t>Hechizos de Nivel 3</t>
  </si>
  <si>
    <t>Hechizos de Nivel 4</t>
  </si>
  <si>
    <t>Hechizos de Nivel 5</t>
  </si>
  <si>
    <t>Mutación Menor</t>
  </si>
  <si>
    <t>Trampas Naturales</t>
  </si>
  <si>
    <t>Forma de la Bestia</t>
  </si>
  <si>
    <t>Emboscada</t>
  </si>
  <si>
    <t>Furia de la Bestia</t>
  </si>
  <si>
    <t>Forma Salvaje Mejorada</t>
  </si>
  <si>
    <t>Invocación de Criaturas Salvajes</t>
  </si>
  <si>
    <t>Camuflaje Natural</t>
  </si>
  <si>
    <t>Mutación Avanzada</t>
  </si>
  <si>
    <t>Trampa de Energía Salvaje</t>
  </si>
  <si>
    <t>Adaptación del Entorno</t>
  </si>
  <si>
    <t>Aura de Caza</t>
  </si>
  <si>
    <t>Maestro de la Caza</t>
  </si>
  <si>
    <t>Aura de Caza Mejorada</t>
  </si>
  <si>
    <t>Avatar de la Bestia</t>
  </si>
  <si>
    <t>Hijo del trueno</t>
  </si>
  <si>
    <t>Hechizos Conocidos</t>
  </si>
  <si>
    <t>Ranuras de Hechizo</t>
  </si>
  <si>
    <t>Nivel de Hechizo Máximo</t>
  </si>
  <si>
    <t>Golpe de Trueno</t>
  </si>
  <si>
    <t>Movimiento Rápido</t>
  </si>
  <si>
    <t>Aura de Tormenta</t>
  </si>
  <si>
    <t>Rayo a Distancia</t>
  </si>
  <si>
    <t>Golpe de Trueno Mejorado</t>
  </si>
  <si>
    <t>Rayo de Tormenta</t>
  </si>
  <si>
    <t>Movimiento Relámpago</t>
  </si>
  <si>
    <t>Trueno Imparable</t>
  </si>
  <si>
    <t>Aura de Tormenta Mejorada</t>
  </si>
  <si>
    <t>Rayo Destructivo</t>
  </si>
  <si>
    <t>Invocación del Trueno</t>
  </si>
  <si>
    <t>Relámpago Cegador</t>
  </si>
  <si>
    <t>Maestro del Trueno</t>
  </si>
  <si>
    <t>Aura de Tormenta Definitiva</t>
  </si>
  <si>
    <t>Avatar de la Tormenta</t>
  </si>
  <si>
    <t>Escupir Bolas de Fuego</t>
  </si>
  <si>
    <t>Combos de Fuego</t>
  </si>
  <si>
    <t>Magia Confusa</t>
  </si>
  <si>
    <t>Tornado de Fuego</t>
  </si>
  <si>
    <t>Furia Ardiente</t>
  </si>
  <si>
    <t>Escudo de Fuego</t>
  </si>
  <si>
    <t>Lluvia de Fuego</t>
  </si>
  <si>
    <t>Gran Combustión</t>
  </si>
  <si>
    <t>Escupir Bolas de Fuego Mejorado</t>
  </si>
  <si>
    <t>Tornado de Fuego Mejorado</t>
  </si>
  <si>
    <t>Magia Confusa Mejorada</t>
  </si>
  <si>
    <t>Lluvia de Fuego Mejorada</t>
  </si>
  <si>
    <t>Gran Combustión Mejorada</t>
  </si>
  <si>
    <t>Maestro del Fuego</t>
  </si>
  <si>
    <t>Avatar del Fuego</t>
  </si>
  <si>
    <t>Guerrero puño cortante</t>
  </si>
  <si>
    <t>Golpe Cortante</t>
  </si>
  <si>
    <t>Furia de las Cuchillas</t>
  </si>
  <si>
    <t>Guardia Imparable</t>
  </si>
  <si>
    <t>Torbellino de Espadas</t>
  </si>
  <si>
    <t>Furia Cortante</t>
  </si>
  <si>
    <t>Impacto Imparable</t>
  </si>
  <si>
    <t>Maestro del Puño Cortante</t>
  </si>
  <si>
    <t>Ataque Extra (2)</t>
  </si>
  <si>
    <t>Frenesí de las Cuchillas</t>
  </si>
  <si>
    <t>Furia Imparable</t>
  </si>
  <si>
    <t>Escudo de Cuchillas</t>
  </si>
  <si>
    <t>Maestro del Combate Dual</t>
  </si>
  <si>
    <t>Avatar del Puño Cortante</t>
  </si>
  <si>
    <t xml:space="preserve">Señor de los astros </t>
  </si>
  <si>
    <t>Magia de las Estrellas</t>
  </si>
  <si>
    <t>Sabiduría de las Constelaciones</t>
  </si>
  <si>
    <t>Bendición del Sol y la Luna</t>
  </si>
  <si>
    <t>Eclipse Cósmico</t>
  </si>
  <si>
    <t>Lluvia de Meteoros</t>
  </si>
  <si>
    <t>Manipulación del Tiempo</t>
  </si>
  <si>
    <t>Invocación de las Estrellas</t>
  </si>
  <si>
    <t>Rayo Estelar Potenciado</t>
  </si>
  <si>
    <t>Barrera Astral</t>
  </si>
  <si>
    <t>Impacto Estelar</t>
  </si>
  <si>
    <t>Maestro de las Constelaciones</t>
  </si>
  <si>
    <t>Avatar de los Astros</t>
  </si>
  <si>
    <t>Golpe Mortal</t>
  </si>
  <si>
    <t>Truco del Escapista</t>
  </si>
  <si>
    <t>Juego de Venenos</t>
  </si>
  <si>
    <t>Trampa Sutil</t>
  </si>
  <si>
    <t>Golpe Mortal Mejorado</t>
  </si>
  <si>
    <t>Maestría en Trampas</t>
  </si>
  <si>
    <t>Trampa de Veneno</t>
  </si>
  <si>
    <t>Velo de las Sombras</t>
  </si>
  <si>
    <t>Golpe Mortal Definitivo</t>
  </si>
  <si>
    <t>Trampa de Sombras</t>
  </si>
  <si>
    <t>Maestro del Sigilo</t>
  </si>
  <si>
    <t>Veneno Mortal</t>
  </si>
  <si>
    <t>Avatar de las Sombras</t>
  </si>
  <si>
    <t>Inventor</t>
  </si>
  <si>
    <t>Creación Explosiva</t>
  </si>
  <si>
    <t>Artilugios Improvisados</t>
  </si>
  <si>
    <t>Invención de Dron de Batalla</t>
  </si>
  <si>
    <t>Creación Explosiva Mejorada</t>
  </si>
  <si>
    <t>Dron de Batalla Avanzado</t>
  </si>
  <si>
    <t>Mejoras Explosivas</t>
  </si>
  <si>
    <t>Dron Asaltante</t>
  </si>
  <si>
    <t>Creación Explosiva Definitiva</t>
  </si>
  <si>
    <t>Invención Definitiva</t>
  </si>
  <si>
    <t>Maestro Inventor</t>
  </si>
  <si>
    <t>Maestría en Creaciones Explosivas</t>
  </si>
  <si>
    <t>Dron de Asalto Definitivo</t>
  </si>
  <si>
    <t>Maestro de la Destrucción</t>
  </si>
  <si>
    <t>Señor de la Invención</t>
  </si>
  <si>
    <t>Señor de las Armas</t>
  </si>
  <si>
    <t>Arsenal del Rey</t>
  </si>
  <si>
    <t>Técnicas del Arsenal</t>
  </si>
  <si>
    <t>Tesoro del Rey</t>
  </si>
  <si>
    <t>Invocación de Armas Múltiples</t>
  </si>
  <si>
    <t>Maestría en Tesoros</t>
  </si>
  <si>
    <t>Dominio de Armas Legendarias</t>
  </si>
  <si>
    <t>Invocación Masiva</t>
  </si>
  <si>
    <t>Tesoro Definitivo</t>
  </si>
  <si>
    <t>Destrucción Imparable</t>
  </si>
  <si>
    <t>Armamento Cósmico</t>
  </si>
  <si>
    <t>Invocación Total</t>
  </si>
  <si>
    <t>Lluvia de Tesoros</t>
  </si>
  <si>
    <t>Rey de las Armas</t>
  </si>
  <si>
    <t>Titiritero Maldito</t>
  </si>
  <si>
    <t>Hilos del Destino</t>
  </si>
  <si>
    <t>Transformación Maldita</t>
  </si>
  <si>
    <t>Furia Controlada</t>
  </si>
  <si>
    <t>Marionetas del Terror</t>
  </si>
  <si>
    <t>Transformación Bestial</t>
  </si>
  <si>
    <t>Red de Hilos</t>
  </si>
  <si>
    <t>Cadenas Malditas</t>
  </si>
  <si>
    <t>Furia Desatada</t>
  </si>
  <si>
    <t>Marionetas Desgarradoras</t>
  </si>
  <si>
    <t>Furia y Destrucción</t>
  </si>
  <si>
    <t>Marionetista Maestro</t>
  </si>
  <si>
    <t>Forma de Bestia Perfecta</t>
  </si>
  <si>
    <t>Furia y Destrucción Mejorada</t>
  </si>
  <si>
    <t>Maestro Titiritero</t>
  </si>
  <si>
    <t>Invocar Enjambre de Insectos</t>
  </si>
  <si>
    <t>Descomposición de la Naturaleza</t>
  </si>
  <si>
    <t>Aura de Decadencia</t>
  </si>
  <si>
    <t>Enjambre Carroñero</t>
  </si>
  <si>
    <t>Invocar Criatura en Descomposición</t>
  </si>
  <si>
    <t>Horda de Insectos</t>
  </si>
  <si>
    <t>Poder Descomponedor</t>
  </si>
  <si>
    <t>Infección Masiva</t>
  </si>
  <si>
    <t>Invocar Plaga</t>
  </si>
  <si>
    <t>Plaga Imparable</t>
  </si>
  <si>
    <t>Fuerza de la Putrefacción</t>
  </si>
  <si>
    <t>Destrucción Putrefacta</t>
  </si>
  <si>
    <t>Furia y Decadencia</t>
  </si>
  <si>
    <t>Plaga Apocalíptica</t>
  </si>
  <si>
    <t>Señor de las Plagas</t>
  </si>
  <si>
    <t>Luz Interior</t>
  </si>
  <si>
    <t>Canalización Divina</t>
  </si>
  <si>
    <t>Pacto de la Luz Sagrada</t>
  </si>
  <si>
    <t>Escudo de Fe Ardiente</t>
  </si>
  <si>
    <t>Condena del Infiel</t>
  </si>
  <si>
    <t>Velo de la Pureza</t>
  </si>
  <si>
    <t>Luz del Perdón</t>
  </si>
  <si>
    <t>Protección Divina</t>
  </si>
  <si>
    <t>Sello de Luz</t>
  </si>
  <si>
    <t>Espada de la Redención</t>
  </si>
  <si>
    <t>Justicia Celestial</t>
  </si>
  <si>
    <t>Luz Divina Imparable</t>
  </si>
  <si>
    <t>Fulgor Divino</t>
  </si>
  <si>
    <t>Tiro Preciso</t>
  </si>
  <si>
    <t>Construcción de Arma de Proyectiles</t>
  </si>
  <si>
    <t>Golpe Crítico Mejorado</t>
  </si>
  <si>
    <t>Cañón de Asedio</t>
  </si>
  <si>
    <t>Flechas o Proyectiles Críticos</t>
  </si>
  <si>
    <t>Trampa de Proyectiles</t>
  </si>
  <si>
    <t>Balista de Energía</t>
  </si>
  <si>
    <t>Crítico Perfeccionado</t>
  </si>
  <si>
    <t>Torreta de Proyectiles</t>
  </si>
  <si>
    <t>Disparo Letal</t>
  </si>
  <si>
    <t>Explosión de Proyectiles</t>
  </si>
  <si>
    <t>Maestro Francotirador</t>
  </si>
  <si>
    <t>Destructor de Proyectiles</t>
  </si>
  <si>
    <t>Hoja Venenosa</t>
  </si>
  <si>
    <t>Veneno Letal</t>
  </si>
  <si>
    <t>Trampa de Enredaderas</t>
  </si>
  <si>
    <t>Asesino Silencioso</t>
  </si>
  <si>
    <t>Nube de Esporas</t>
  </si>
  <si>
    <t>Trampa de Espinas</t>
  </si>
  <si>
    <t>Envenenador Experto</t>
  </si>
  <si>
    <t>Emboscada Perfecta</t>
  </si>
  <si>
    <t>Trampa de Esporas</t>
  </si>
  <si>
    <t>Maldición de la Naturaleza</t>
  </si>
  <si>
    <t>Maestro en Venenos</t>
  </si>
  <si>
    <t>Maestro del Sigilo y Venenos</t>
  </si>
  <si>
    <t>Señor de las Sombras y Venenos</t>
  </si>
  <si>
    <t>Saltador de Planos</t>
  </si>
  <si>
    <t>Daga Maldita</t>
  </si>
  <si>
    <t>Salto de Planos</t>
  </si>
  <si>
    <t>Asedio de Realidades</t>
  </si>
  <si>
    <t>Emboscada Dimensional</t>
  </si>
  <si>
    <t>Trampa de Sombra</t>
  </si>
  <si>
    <t>Explosión de Sombra</t>
  </si>
  <si>
    <t>Acechador de Planos</t>
  </si>
  <si>
    <t>Asedio Mortal</t>
  </si>
  <si>
    <t>Trampa de Dimensión Oscura</t>
  </si>
  <si>
    <t>Maestro de las Sombras</t>
  </si>
  <si>
    <t>Destrucción de la Realidad</t>
  </si>
  <si>
    <t>Maestro de las Dimensiones</t>
  </si>
  <si>
    <t>Señor de los Planos Oscuros</t>
  </si>
  <si>
    <t>Bardo de las Cuatro Estaciones</t>
  </si>
  <si>
    <t>Canción de las Estaciones</t>
  </si>
  <si>
    <t>Invocación de Espíritus Elementales</t>
  </si>
  <si>
    <t>Estación Dual</t>
  </si>
  <si>
    <t>Ola de Elementos</t>
  </si>
  <si>
    <t>Maestría de las Estaciones</t>
  </si>
  <si>
    <t>Tormenta Estacional</t>
  </si>
  <si>
    <t>Bendición de la Estación</t>
  </si>
  <si>
    <t>Invocación de la Estación Suprema</t>
  </si>
  <si>
    <t>Maestro de la Estación Dual</t>
  </si>
  <si>
    <t>Tormenta Estacional Mejorada</t>
  </si>
  <si>
    <t>Convergencia de las Estaciones</t>
  </si>
  <si>
    <t>Forma Elemental</t>
  </si>
  <si>
    <t>Tormenta Estacional Definitiva</t>
  </si>
  <si>
    <t>Maestro de las Estaciones</t>
  </si>
  <si>
    <t>Maestro de las Estaciones Supremas</t>
  </si>
  <si>
    <t xml:space="preserve">Bardo de la voz divina </t>
  </si>
  <si>
    <t>Efectos de Casilla Superior</t>
  </si>
  <si>
    <t>Oración Inspiradora, Canto Divino</t>
  </si>
  <si>
    <t>Bendición de la Fe</t>
  </si>
  <si>
    <t>Canto de Castigo Divino</t>
  </si>
  <si>
    <t>Protección Sagrada</t>
  </si>
  <si>
    <t>Incrementa en +1d6</t>
  </si>
  <si>
    <t>Llama Sagrada</t>
  </si>
  <si>
    <t>Canto de Curación Masiva</t>
  </si>
  <si>
    <t>Incrementa en +1d8</t>
  </si>
  <si>
    <t>Espada Sagrada</t>
  </si>
  <si>
    <t>Milagro de Fe</t>
  </si>
  <si>
    <t>Castigo Divino Mejorado</t>
  </si>
  <si>
    <t>Incrementa en +1d10</t>
  </si>
  <si>
    <t>Escudo de Fe</t>
  </si>
  <si>
    <t>Canción de Resurrección</t>
  </si>
  <si>
    <t>Incrementa en +1d12</t>
  </si>
  <si>
    <t>Canto de la Divina Ascensión</t>
  </si>
  <si>
    <t>Canción de Fe Suprema</t>
  </si>
  <si>
    <t>Canto de la Ascensión Divina Mejorado</t>
  </si>
  <si>
    <t>Cántico de Maldición</t>
  </si>
  <si>
    <t>Melodía Oscura</t>
  </si>
  <si>
    <t>Pactos de la Cuerda Rota</t>
  </si>
  <si>
    <t>Cántico de Dolor</t>
  </si>
  <si>
    <t>Voz Maldita</t>
  </si>
  <si>
    <t>Coro de la Muerte</t>
  </si>
  <si>
    <t>Maldición de la Cuerda Rota</t>
  </si>
  <si>
    <t>Aria Sombría</t>
  </si>
  <si>
    <t>Grito del Abismo</t>
  </si>
  <si>
    <t>Himno de la Oscuridad</t>
  </si>
  <si>
    <t>Sombra Desgarradora</t>
  </si>
  <si>
    <t>Resonar del Abismo</t>
  </si>
  <si>
    <t>Maestro de las Cuerdas Rotas</t>
  </si>
  <si>
    <t>Furia Salvaje</t>
  </si>
  <si>
    <t>Furia Elemental</t>
  </si>
  <si>
    <t>Instinto Bestial</t>
  </si>
  <si>
    <t>Transformación Primigenia</t>
  </si>
  <si>
    <t>Ira de la Naturaleza</t>
  </si>
  <si>
    <t>Protección del Espíritu Animal</t>
  </si>
  <si>
    <t>Garras de la Bestia</t>
  </si>
  <si>
    <t>Furia Devastadora</t>
  </si>
  <si>
    <t>Transformación Salvaje</t>
  </si>
  <si>
    <t>Rugido del Espíritu Animal</t>
  </si>
  <si>
    <t>Bestia Desatada</t>
  </si>
  <si>
    <t>Avatar de la Naturaleza</t>
  </si>
  <si>
    <t>Espíritu de la Furia Salvaje</t>
  </si>
  <si>
    <t>Furia Divina</t>
  </si>
  <si>
    <t>Protección de los Creadores</t>
  </si>
  <si>
    <t>Furia Justiciera</t>
  </si>
  <si>
    <t>Golpe del Creador</t>
  </si>
  <si>
    <t>Aura de Protección Divina</t>
  </si>
  <si>
    <t>Castigo Divino</t>
  </si>
  <si>
    <t>Combo de Furia y Fe</t>
  </si>
  <si>
    <t>Ira Imparable</t>
  </si>
  <si>
    <t>Furia de los Dioses</t>
  </si>
  <si>
    <t>Furia Santificada</t>
  </si>
  <si>
    <t>Espíritu del Creador</t>
  </si>
  <si>
    <t>Furia Imparable Mejorada</t>
  </si>
  <si>
    <t>Maestro de la Furia Divina</t>
  </si>
  <si>
    <t>Race</t>
  </si>
  <si>
    <t>Subrace</t>
  </si>
  <si>
    <t>Region</t>
  </si>
  <si>
    <t>AL legal?</t>
  </si>
  <si>
    <t>Dark Vision</t>
  </si>
  <si>
    <t>Incidence</t>
  </si>
  <si>
    <t>Size</t>
  </si>
  <si>
    <t>Speed</t>
  </si>
  <si>
    <t>Nadar</t>
  </si>
  <si>
    <t>Volar</t>
  </si>
  <si>
    <t>Language</t>
  </si>
  <si>
    <t>Str</t>
  </si>
  <si>
    <t>Dex</t>
  </si>
  <si>
    <t>Wis</t>
  </si>
  <si>
    <t>Cha</t>
  </si>
  <si>
    <t>Profecys</t>
  </si>
  <si>
    <t>Extra</t>
  </si>
  <si>
    <t>Source</t>
  </si>
  <si>
    <t>Hombres Lagarto</t>
  </si>
  <si>
    <t>(none)</t>
  </si>
  <si>
    <t>AL</t>
  </si>
  <si>
    <t>Very Rare</t>
  </si>
  <si>
    <t>M</t>
  </si>
  <si>
    <t>Common, Draconic</t>
  </si>
  <si>
    <t>Hold breath 15min; Bite; Hungry Jaws; Natural Armor; Cunning Artisan</t>
  </si>
  <si>
    <t>Volo's 111</t>
  </si>
  <si>
    <t>Monster</t>
  </si>
  <si>
    <t>S</t>
  </si>
  <si>
    <t>Sunlight Sensitivity; Grovel, Cower, Beg; Pack Tactics</t>
  </si>
  <si>
    <t>Volo's 119</t>
  </si>
  <si>
    <t>Hombres Pájaro</t>
  </si>
  <si>
    <t>Common, Aarakocra,
Auran</t>
  </si>
  <si>
    <t>Talons (1d4)</t>
  </si>
  <si>
    <t>EE 4</t>
  </si>
  <si>
    <t>Protector</t>
  </si>
  <si>
    <t>Radiant Soul (mobility; damage buff)</t>
  </si>
  <si>
    <t>Volo's 105</t>
  </si>
  <si>
    <t>Hombres Gato</t>
  </si>
  <si>
    <t>Rare</t>
  </si>
  <si>
    <t>Common, +1</t>
  </si>
  <si>
    <t>20' climb; Feline Agility (temp. speed*2); Cat's Claws</t>
  </si>
  <si>
    <t>Volo's 113</t>
  </si>
  <si>
    <t>Leonin</t>
  </si>
  <si>
    <t>Common, Leonin</t>
  </si>
  <si>
    <t>Claws; Hunter's Instinct; Daunting Roar</t>
  </si>
  <si>
    <t>MOT</t>
  </si>
  <si>
    <t>Minotauros</t>
  </si>
  <si>
    <t>Ravnica</t>
  </si>
  <si>
    <t>Common, Sylvan</t>
  </si>
  <si>
    <t>Charge; Hooves; Equine Build; +1 skill (select); type fey</t>
  </si>
  <si>
    <t>Sagas</t>
  </si>
  <si>
    <t>Common, Elvish, Giant</t>
  </si>
  <si>
    <t>Firbolg Magic; Hidden Step; Powerful Build; Speech of Beast/Leaf</t>
  </si>
  <si>
    <t>Volo's 106-107</t>
  </si>
  <si>
    <t>Avariel</t>
  </si>
  <si>
    <t>+ Auran</t>
  </si>
  <si>
    <t>Elf Sub</t>
  </si>
  <si>
    <t>Grugach</t>
  </si>
  <si>
    <t>Greyhawk</t>
  </si>
  <si>
    <t>- Common; + Sylvan</t>
  </si>
  <si>
    <t>Grugach Weapon Training; Cantrip (Druid)</t>
  </si>
  <si>
    <t>Fey; Ram (1d4 + Str); Magic Resistence; Mirthful Leaps;</t>
  </si>
  <si>
    <t>Orc</t>
  </si>
  <si>
    <t>Common, Orc</t>
  </si>
  <si>
    <t>Aggressive (bonus action Dash toward enemy); Powerful Build; Intimidation skill</t>
  </si>
  <si>
    <t>Volo's 120</t>
  </si>
  <si>
    <t>Half-Orc</t>
  </si>
  <si>
    <t>Uncommon</t>
  </si>
  <si>
    <t>Relentless Endurance; Savage Attacks</t>
  </si>
  <si>
    <t>PHB 40</t>
  </si>
  <si>
    <t>Githyanki</t>
  </si>
  <si>
    <t>+1</t>
  </si>
  <si>
    <t>Light &amp; Medium Armor prof.; Shortsword, Longsword, Greatsword prof.; +1 skill/tool; Githyanki Psionics (spells)</t>
  </si>
  <si>
    <t>Mordenkainen</t>
  </si>
  <si>
    <t>Enanos</t>
  </si>
  <si>
    <t>Medianos</t>
  </si>
  <si>
    <t>(choose one)</t>
  </si>
  <si>
    <t>Common</t>
  </si>
  <si>
    <t>Common, Dwarf</t>
  </si>
  <si>
    <t>Dwarven Combat Training; Stone-cunning; Adv. on poison saves; Poison Res.; Smith's/Brewer's/Mason's tools prof.; Speed not reduced by heavy armor</t>
  </si>
  <si>
    <t>PHB 18</t>
  </si>
  <si>
    <t>Dwarf</t>
  </si>
  <si>
    <t>Hill</t>
  </si>
  <si>
    <t>HP max +1 per level</t>
  </si>
  <si>
    <t>PHB 20</t>
  </si>
  <si>
    <t>Mountain</t>
  </si>
  <si>
    <t>Light &amp; Medium Armor prof.</t>
  </si>
  <si>
    <t>Gray (Duergar)</t>
  </si>
  <si>
    <t>+ Undercommon</t>
  </si>
  <si>
    <t xml:space="preserve"> Sunlight Sens.; Duergar Magic; Illusion, charm and paralysis res.</t>
  </si>
  <si>
    <t>SCAG/Mord</t>
  </si>
  <si>
    <t>Elfos</t>
  </si>
  <si>
    <t>Elf</t>
  </si>
  <si>
    <t>High</t>
  </si>
  <si>
    <t>Elf Weapon Training; +1 Wizard cantrip</t>
  </si>
  <si>
    <t>PHB 23, Rav</t>
  </si>
  <si>
    <t>Wood</t>
  </si>
  <si>
    <t>Elf Weapon Training; Mask of the Wild</t>
  </si>
  <si>
    <t>PHB 24, Rav</t>
  </si>
  <si>
    <t>Drow</t>
  </si>
  <si>
    <t>Sunlight Sens.; Drow Weapons Training; Drow Magic (spells)</t>
  </si>
  <si>
    <t>Eladrin</t>
  </si>
  <si>
    <t>Elf Weapon Training; Fey Step</t>
  </si>
  <si>
    <t>DMG 286</t>
  </si>
  <si>
    <t>Half-Elf</t>
  </si>
  <si>
    <t>Half-Wood</t>
  </si>
  <si>
    <t>Extremly rare</t>
  </si>
  <si>
    <t>(-Skill Versatility); Elf Weapon Training
or Fleet of Foot or Mask of the Wild</t>
  </si>
  <si>
    <t>SCAG 116</t>
  </si>
  <si>
    <t>Half-Moon/Sun</t>
  </si>
  <si>
    <t>(-Skill Versatility); Elf Weapon Training
or +1 Wizard cantrip</t>
  </si>
  <si>
    <t>Gnomos</t>
  </si>
  <si>
    <t>Gnome</t>
  </si>
  <si>
    <t>Forest</t>
  </si>
  <si>
    <t>Minor Illusion cantrip; Speak with Small Beasts</t>
  </si>
  <si>
    <t>PHB 37</t>
  </si>
  <si>
    <t>Rock</t>
  </si>
  <si>
    <t>Artificer's Lore; Tinker</t>
  </si>
  <si>
    <t>Deep</t>
  </si>
  <si>
    <t>Adv. on Stealth to hide in rocky terrain;
(Feat opportunity: Svirfneblin Magic)</t>
  </si>
  <si>
    <t>Yokai</t>
  </si>
  <si>
    <t>Krynn</t>
  </si>
  <si>
    <t>Common, Kenderspeak</t>
  </si>
  <si>
    <t>Immune to Frightened; Taunt; Kender Pockets</t>
  </si>
  <si>
    <t>Playtest: Races 11</t>
  </si>
  <si>
    <t>Locathah</t>
  </si>
  <si>
    <t>Common, Aquan</t>
  </si>
  <si>
    <t>Natural Armor; Athletics &amp; Perception skills; Leviathan Will (Saving throws advantage); Limited Amphibiousness</t>
  </si>
  <si>
    <t>Locathah Rising</t>
  </si>
  <si>
    <t>Loxodon</t>
  </si>
  <si>
    <t>Common, Loxodon</t>
  </si>
  <si>
    <t>Powerful Build; Natural Armor (12+CON); Trunk; Adv. against Charmed/Frightened; Adv. on Perception, Survival, Investigation checks involving smell</t>
  </si>
  <si>
    <t>Tiefling</t>
  </si>
  <si>
    <t>(optional)</t>
  </si>
  <si>
    <t>Common, Infernal</t>
  </si>
  <si>
    <t>Infernal Legacy (spells); Fire res.</t>
  </si>
  <si>
    <t>PHB 42</t>
  </si>
  <si>
    <t>Feral</t>
  </si>
  <si>
    <t>(-Infernal Legacy); Devil's Tongue or Hellfire or Winged</t>
  </si>
  <si>
    <t>SCG 118</t>
  </si>
  <si>
    <t>Fierna</t>
  </si>
  <si>
    <t>(-Infernal Legacy); Legacy of Phlegethos</t>
  </si>
  <si>
    <t>Zariel</t>
  </si>
  <si>
    <t>(-Infernal Legacy); Legacy of Avernus</t>
  </si>
  <si>
    <t>No Muertos</t>
  </si>
  <si>
    <t>Abyssal</t>
  </si>
  <si>
    <t>Common, Abyssal</t>
  </si>
  <si>
    <t>(-Infernal Legacy); Abyssal Arcana; (-Fire res.); HP max increases by half your level</t>
  </si>
  <si>
    <t>TOBM</t>
  </si>
  <si>
    <t>Vampiro</t>
  </si>
  <si>
    <t>Plane Shift</t>
  </si>
  <si>
    <t>Common, Vampire</t>
  </si>
  <si>
    <t xml:space="preserve"> Blood Thirst; Necrotic res.</t>
  </si>
  <si>
    <t>PSZ 15</t>
  </si>
  <si>
    <t>Nagas</t>
  </si>
  <si>
    <t>Common, Merfolk, +1</t>
  </si>
  <si>
    <t>Amphibious</t>
  </si>
  <si>
    <t>PSZ 13</t>
  </si>
  <si>
    <t>Cosi</t>
  </si>
  <si>
    <t>1 Bard cantrip</t>
  </si>
  <si>
    <t>Wind (Emeria)</t>
  </si>
  <si>
    <t>1 Druid cantrip</t>
  </si>
  <si>
    <t>Dracónidos</t>
  </si>
  <si>
    <t>Breath Weapon (select elemental damage); Select elemental res.</t>
  </si>
  <si>
    <t>PHB 32-34</t>
  </si>
  <si>
    <t>Chromatic</t>
  </si>
  <si>
    <t>Chromatic Ancestory; Breath Weapon; Draconic Resistance; Chromatic Warding</t>
  </si>
  <si>
    <t>UA</t>
  </si>
  <si>
    <t>Gem</t>
  </si>
  <si>
    <t>Gem Ancestory; Breath Weapon; Psionic Mind; Gem Flight</t>
  </si>
  <si>
    <t>Kobold</t>
  </si>
  <si>
    <t>Draconic Legacy; Draconic Roar</t>
  </si>
  <si>
    <t>Metallic</t>
  </si>
  <si>
    <t>Metallic Ancestory; Breath Weapon; Draconic Resistance; Metallic Breath Weapon</t>
  </si>
  <si>
    <t>Oscuro</t>
  </si>
  <si>
    <t>Common, Abyssal, Draconic</t>
  </si>
  <si>
    <t xml:space="preserve"> Innate Spellcasting (spells); Adv. on saves against magic; Immune to Poison/Poisoned</t>
  </si>
  <si>
    <t>Human</t>
  </si>
  <si>
    <t>PHB 29, Rav</t>
  </si>
  <si>
    <t>Aegroum</t>
  </si>
  <si>
    <t>Ascaria</t>
  </si>
  <si>
    <t>Bastrea - Semi-Elfo</t>
  </si>
  <si>
    <t>(-Skill Versatility)</t>
  </si>
  <si>
    <t>Perdidos</t>
  </si>
  <si>
    <t>Elementales</t>
  </si>
  <si>
    <t>Air</t>
  </si>
  <si>
    <t>Unending Breath; Mingle with the Wind</t>
  </si>
  <si>
    <t>EE 9</t>
  </si>
  <si>
    <t>Earth</t>
  </si>
  <si>
    <t>Earth Walk; Merge with Stone</t>
  </si>
  <si>
    <t>Fire</t>
  </si>
  <si>
    <t>Reach to the Blaze; Fire res.</t>
  </si>
  <si>
    <t>Water</t>
  </si>
  <si>
    <t>Amphibious; Call to the Wave; Acid res.</t>
  </si>
  <si>
    <t>EE 10</t>
  </si>
  <si>
    <t>Light</t>
  </si>
  <si>
    <t>(-Healing Hands); Celestial Legacy (2 additional spells)</t>
  </si>
  <si>
    <t>Shadow</t>
  </si>
  <si>
    <t>Necrotic Shroud (crowd control; damage buff)</t>
  </si>
  <si>
    <t>Goblin</t>
  </si>
  <si>
    <t>Common, Goblin</t>
  </si>
  <si>
    <t>Fury of the Small; Disengage/Hide bonus action</t>
  </si>
  <si>
    <t>Grotag</t>
  </si>
  <si>
    <t>Animal Handling skill</t>
  </si>
  <si>
    <t>PSZ 16-17</t>
  </si>
  <si>
    <t>Lavastep</t>
  </si>
  <si>
    <t>Adv. on Stealth to hide in rocky or subterranean places</t>
  </si>
  <si>
    <t>Hobgoblin</t>
  </si>
  <si>
    <t>Light armor; 2 martial weapons; Saving Face</t>
  </si>
  <si>
    <t>Verdan</t>
  </si>
  <si>
    <t>Common, Goblin, +1</t>
  </si>
  <si>
    <t>Black Blood Healing; Limited Telepathy; Persuasion Skill; Wis. and Cha. Saving Throw Advantage</t>
  </si>
  <si>
    <t>AI</t>
  </si>
  <si>
    <t>Background</t>
  </si>
  <si>
    <t>Gods</t>
  </si>
  <si>
    <t>Skill</t>
  </si>
  <si>
    <t>Ability Score</t>
  </si>
  <si>
    <t>Acrobacias</t>
  </si>
  <si>
    <t>Destreza</t>
  </si>
  <si>
    <t>X</t>
  </si>
  <si>
    <t>Trato con animales</t>
  </si>
  <si>
    <t>Sabiduria</t>
  </si>
  <si>
    <t>Arcano</t>
  </si>
  <si>
    <t>Inteligencia</t>
  </si>
  <si>
    <t>Atletismo</t>
  </si>
  <si>
    <t>Fuerza</t>
  </si>
  <si>
    <t>Engaño</t>
  </si>
  <si>
    <t>Carisma</t>
  </si>
  <si>
    <t>Historia</t>
  </si>
  <si>
    <t>Perspicacia</t>
  </si>
  <si>
    <t>Intimidacion</t>
  </si>
  <si>
    <t>Investigacion</t>
  </si>
  <si>
    <t>Medicina</t>
  </si>
  <si>
    <t>Naturaleza</t>
  </si>
  <si>
    <t>Percepcion</t>
  </si>
  <si>
    <t>Interpretacion</t>
  </si>
  <si>
    <t>Persuasion</t>
  </si>
  <si>
    <t>Religion</t>
  </si>
  <si>
    <t>Juego de Manos</t>
  </si>
  <si>
    <t>Sigilo</t>
  </si>
  <si>
    <t>Supervivencia</t>
  </si>
  <si>
    <t>Acolito</t>
  </si>
  <si>
    <t>Charalatan</t>
  </si>
  <si>
    <t>Criminal</t>
  </si>
  <si>
    <t>Artista</t>
  </si>
  <si>
    <t>Heroe del pueblo</t>
  </si>
  <si>
    <t>Artista Gremial</t>
  </si>
  <si>
    <t>Hermitaño</t>
  </si>
  <si>
    <t>Noble</t>
  </si>
  <si>
    <t>Fujitivo</t>
  </si>
  <si>
    <t>Sabio</t>
  </si>
  <si>
    <t>Marinero</t>
  </si>
  <si>
    <t>Soldado</t>
  </si>
  <si>
    <t>Huerfano</t>
  </si>
  <si>
    <t>EGOS</t>
  </si>
  <si>
    <t>EROS</t>
  </si>
  <si>
    <t>CHRONOS</t>
  </si>
  <si>
    <t>SOFIA</t>
  </si>
  <si>
    <t>ENVIDIA</t>
  </si>
  <si>
    <t>VIDA</t>
  </si>
  <si>
    <t>MUERTE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</si>
</sst>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4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sz val="15.0"/>
      <color theme="1"/>
      <name val="Arial"/>
    </font>
    <font>
      <sz val="10.0"/>
      <color theme="1"/>
      <name val="Arial"/>
    </font>
    <font>
      <sz val="8.0"/>
      <color theme="1"/>
      <name val="Arial"/>
    </font>
    <font>
      <sz val="11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b/>
      <sz val="8.0"/>
      <color theme="1"/>
      <name val="Arial"/>
    </font>
    <font>
      <b/>
      <sz val="15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b/>
      <color rgb="FFFFFFFF"/>
      <name val="Arial"/>
    </font>
    <font>
      <b/>
      <sz val="15.0"/>
      <color rgb="FFFFFFFF"/>
      <name val="Arial"/>
    </font>
    <font>
      <b/>
      <sz val="8.0"/>
      <color rgb="FFFFFFFF"/>
      <name val="Arial"/>
    </font>
    <font>
      <b/>
      <sz val="10.0"/>
      <color rgb="FFFFFFFF"/>
      <name val="Arial"/>
    </font>
    <font>
      <sz val="10.0"/>
      <color rgb="FFFFFFFF"/>
      <name val="Arial"/>
    </font>
    <font>
      <color rgb="FFFFFFFF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i/>
      <sz val="10.0"/>
      <color theme="1"/>
      <name val="Arial"/>
    </font>
    <font>
      <b/>
      <color theme="1"/>
      <name val="Arial"/>
      <scheme val="minor"/>
    </font>
    <font>
      <b/>
      <i/>
      <sz val="8.0"/>
      <color rgb="FFFFFFFF"/>
      <name val="Verdana"/>
    </font>
    <font>
      <b/>
      <i/>
      <sz val="9.0"/>
      <color rgb="FFFFFFFF"/>
      <name val="Verdana"/>
    </font>
    <font>
      <b/>
      <sz val="10.0"/>
      <color rgb="FFFFFFFF"/>
      <name val="Verdana"/>
    </font>
    <font>
      <b/>
      <i/>
      <sz val="8.0"/>
      <color rgb="FFE69138"/>
      <name val="Verdana"/>
    </font>
    <font>
      <sz val="8.0"/>
      <color rgb="FF000000"/>
      <name val="Verdana"/>
    </font>
    <font>
      <sz val="9.0"/>
      <color rgb="FF000000"/>
      <name val="Arial"/>
    </font>
    <font>
      <b/>
      <sz val="9.0"/>
      <color rgb="FF000000"/>
      <name val="Verdana"/>
    </font>
    <font>
      <b/>
      <sz val="6.0"/>
      <color rgb="FF000000"/>
      <name val="Verdana"/>
    </font>
    <font>
      <color rgb="FF000000"/>
      <name val="Arial"/>
    </font>
    <font>
      <sz val="8.0"/>
      <color rgb="FF000000"/>
      <name val="Arial"/>
    </font>
    <font>
      <b/>
      <sz val="10.0"/>
      <color rgb="FF000000"/>
      <name val="Verdana"/>
    </font>
    <font>
      <sz val="6.0"/>
      <color rgb="FF000000"/>
      <name val="Verdana"/>
    </font>
    <font>
      <b/>
      <i/>
      <color theme="1"/>
      <name val="Arial"/>
    </font>
    <font>
      <sz val="9.0"/>
      <color rgb="FFFFFFFF"/>
      <name val="Arial"/>
    </font>
    <font>
      <sz val="9.0"/>
      <color theme="1"/>
      <name val="Arial"/>
    </font>
    <font>
      <color rgb="FF000000"/>
      <name val="Roboto"/>
    </font>
    <font>
      <b/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  <fill>
      <patternFill patternType="solid">
        <fgColor rgb="FF03C487"/>
        <bgColor rgb="FF03C487"/>
      </patternFill>
    </fill>
    <fill>
      <patternFill patternType="solid">
        <fgColor rgb="FFFFFFFF"/>
        <bgColor rgb="FFFFFFFF"/>
      </patternFill>
    </fill>
  </fills>
  <borders count="1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6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  <xf borderId="2" fillId="2" fontId="1" numFmtId="3" xfId="0" applyAlignment="1" applyBorder="1" applyFill="1" applyFont="1" applyNumberFormat="1">
      <alignment horizontal="center" vertical="bottom"/>
    </xf>
    <xf borderId="3" fillId="2" fontId="1" numFmtId="3" xfId="0" applyAlignment="1" applyBorder="1" applyFont="1" applyNumberFormat="1">
      <alignment horizontal="center" vertical="bottom"/>
    </xf>
    <xf borderId="4" fillId="2" fontId="1" numFmtId="3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0" fillId="0" fontId="1" numFmtId="0" xfId="0" applyFont="1"/>
    <xf borderId="6" fillId="0" fontId="1" numFmtId="3" xfId="0" applyAlignment="1" applyBorder="1" applyFont="1" applyNumberForma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5" fillId="0" fontId="1" numFmtId="3" xfId="0" applyAlignment="1" applyBorder="1" applyFont="1" applyNumberFormat="1">
      <alignment horizontal="center" vertical="bottom"/>
    </xf>
    <xf borderId="7" fillId="0" fontId="1" numFmtId="3" xfId="0" applyAlignment="1" applyBorder="1" applyFont="1" applyNumberFormat="1">
      <alignment horizontal="center" vertical="bottom"/>
    </xf>
    <xf borderId="1" fillId="0" fontId="1" numFmtId="3" xfId="0" applyAlignment="1" applyBorder="1" applyFont="1" applyNumberFormat="1">
      <alignment horizontal="center" vertical="bottom"/>
    </xf>
    <xf borderId="8" fillId="0" fontId="1" numFmtId="3" xfId="0" applyAlignment="1" applyBorder="1" applyFont="1" applyNumberFormat="1">
      <alignment horizontal="center" vertical="bottom"/>
    </xf>
    <xf borderId="9" fillId="0" fontId="1" numFmtId="3" xfId="0" applyBorder="1" applyFont="1" applyNumberFormat="1"/>
    <xf borderId="0" fillId="0" fontId="1" numFmtId="3" xfId="0" applyFont="1" applyNumberFormat="1"/>
    <xf borderId="9" fillId="0" fontId="1" numFmtId="1" xfId="0" applyAlignment="1" applyBorder="1" applyFont="1" applyNumberFormat="1">
      <alignment horizontal="center"/>
    </xf>
    <xf borderId="9" fillId="0" fontId="1" numFmtId="3" xfId="0" applyAlignment="1" applyBorder="1" applyFont="1" applyNumberFormat="1">
      <alignment horizontal="center"/>
    </xf>
    <xf borderId="9" fillId="3" fontId="2" numFmtId="3" xfId="0" applyAlignment="1" applyBorder="1" applyFill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" xfId="0" applyFont="1" applyNumberFormat="1"/>
    <xf borderId="9" fillId="0" fontId="1" numFmtId="164" xfId="0" applyAlignment="1" applyBorder="1" applyFont="1" applyNumberFormat="1">
      <alignment horizontal="center"/>
    </xf>
    <xf borderId="10" fillId="4" fontId="1" numFmtId="3" xfId="0" applyAlignment="1" applyBorder="1" applyFill="1" applyFont="1" applyNumberFormat="1">
      <alignment horizontal="center"/>
    </xf>
    <xf borderId="6" fillId="4" fontId="1" numFmtId="3" xfId="0" applyAlignment="1" applyBorder="1" applyFont="1" applyNumberFormat="1">
      <alignment horizontal="center"/>
    </xf>
    <xf borderId="0" fillId="4" fontId="1" numFmtId="3" xfId="0" applyAlignment="1" applyFont="1" applyNumberFormat="1">
      <alignment horizontal="center"/>
    </xf>
    <xf borderId="5" fillId="4" fontId="1" numFmtId="3" xfId="0" applyAlignment="1" applyBorder="1" applyFont="1" applyNumberFormat="1">
      <alignment horizontal="center"/>
    </xf>
    <xf borderId="11" fillId="5" fontId="1" numFmtId="3" xfId="0" applyAlignment="1" applyBorder="1" applyFill="1" applyFont="1" applyNumberFormat="1">
      <alignment horizontal="center"/>
    </xf>
    <xf borderId="12" fillId="5" fontId="1" numFmtId="3" xfId="0" applyBorder="1" applyFont="1" applyNumberFormat="1"/>
    <xf borderId="13" fillId="5" fontId="1" numFmtId="3" xfId="0" applyBorder="1" applyFont="1" applyNumberFormat="1"/>
    <xf borderId="14" fillId="0" fontId="3" numFmtId="0" xfId="0" applyBorder="1" applyFont="1"/>
    <xf borderId="14" fillId="5" fontId="1" numFmtId="3" xfId="0" applyAlignment="1" applyBorder="1" applyFont="1" applyNumberFormat="1">
      <alignment horizontal="right"/>
    </xf>
    <xf borderId="12" fillId="6" fontId="1" numFmtId="3" xfId="0" applyBorder="1" applyFill="1" applyFont="1" applyNumberFormat="1"/>
    <xf borderId="13" fillId="6" fontId="1" numFmtId="3" xfId="0" applyBorder="1" applyFont="1" applyNumberFormat="1"/>
    <xf borderId="14" fillId="6" fontId="1" numFmtId="3" xfId="0" applyAlignment="1" applyBorder="1" applyFont="1" applyNumberFormat="1">
      <alignment horizontal="right"/>
    </xf>
    <xf borderId="14" fillId="5" fontId="1" numFmtId="3" xfId="0" applyBorder="1" applyFont="1" applyNumberFormat="1"/>
    <xf borderId="14" fillId="6" fontId="1" numFmtId="3" xfId="0" applyBorder="1" applyFont="1" applyNumberFormat="1"/>
    <xf borderId="6" fillId="0" fontId="1" numFmtId="3" xfId="0" applyBorder="1" applyFont="1" applyNumberFormat="1"/>
    <xf borderId="2" fillId="0" fontId="1" numFmtId="3" xfId="0" applyBorder="1" applyFont="1" applyNumberFormat="1"/>
    <xf borderId="3" fillId="0" fontId="1" numFmtId="3" xfId="0" applyBorder="1" applyFont="1" applyNumberFormat="1"/>
    <xf borderId="4" fillId="0" fontId="1" numFmtId="3" xfId="0" applyBorder="1" applyFont="1" applyNumberFormat="1"/>
    <xf borderId="5" fillId="0" fontId="1" numFmtId="3" xfId="0" applyBorder="1" applyFont="1" applyNumberFormat="1"/>
    <xf borderId="7" fillId="0" fontId="1" numFmtId="3" xfId="0" applyBorder="1" applyFont="1" applyNumberFormat="1"/>
    <xf borderId="1" fillId="0" fontId="1" numFmtId="3" xfId="0" applyBorder="1" applyFont="1" applyNumberFormat="1"/>
    <xf borderId="8" fillId="0" fontId="1" numFmtId="3" xfId="0" applyBorder="1" applyFont="1" applyNumberForma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6" fillId="0" fontId="1" numFmtId="0" xfId="0" applyBorder="1" applyFont="1"/>
    <xf borderId="5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1" fillId="0" fontId="3" numFmtId="0" xfId="0" applyBorder="1" applyFont="1"/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11" fillId="0" fontId="5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right" vertical="center"/>
    </xf>
    <xf borderId="7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0" fillId="7" fontId="9" numFmtId="0" xfId="0" applyAlignment="1" applyFill="1" applyFont="1">
      <alignment horizontal="center" shrinkToFit="0" vertical="center" wrapText="1"/>
    </xf>
    <xf borderId="0" fillId="7" fontId="10" numFmtId="0" xfId="0" applyAlignment="1" applyFont="1">
      <alignment horizontal="center" shrinkToFit="0" vertical="center" wrapText="1"/>
    </xf>
    <xf borderId="0" fillId="7" fontId="11" numFmtId="0" xfId="0" applyAlignment="1" applyFont="1">
      <alignment horizontal="center" shrinkToFit="0" vertical="center" wrapText="1"/>
    </xf>
    <xf borderId="0" fillId="7" fontId="12" numFmtId="0" xfId="0" applyAlignment="1" applyFont="1">
      <alignment horizontal="center" shrinkToFit="0" vertical="center" wrapText="1"/>
    </xf>
    <xf borderId="0" fillId="7" fontId="5" numFmtId="0" xfId="0" applyAlignment="1" applyFont="1">
      <alignment horizontal="center" shrinkToFit="0" vertical="center" wrapText="1"/>
    </xf>
    <xf borderId="0" fillId="7" fontId="13" numFmtId="0" xfId="0" applyAlignment="1" applyFont="1">
      <alignment horizontal="center" shrinkToFit="0" vertical="center" wrapText="1"/>
    </xf>
    <xf borderId="0" fillId="8" fontId="9" numFmtId="0" xfId="0" applyAlignment="1" applyFill="1" applyFont="1">
      <alignment horizontal="center" shrinkToFit="0" vertical="center" wrapText="1"/>
    </xf>
    <xf borderId="15" fillId="9" fontId="2" numFmtId="0" xfId="0" applyAlignment="1" applyBorder="1" applyFill="1" applyFont="1">
      <alignment horizontal="center" shrinkToFit="0" vertical="center" wrapText="1"/>
    </xf>
    <xf borderId="0" fillId="8" fontId="11" numFmtId="0" xfId="0" applyAlignment="1" applyFont="1">
      <alignment horizontal="center" shrinkToFit="0" vertical="center" wrapText="1"/>
    </xf>
    <xf borderId="0" fillId="8" fontId="10" numFmtId="0" xfId="0" applyAlignment="1" applyFont="1">
      <alignment horizontal="center" shrinkToFit="0" vertical="center" wrapText="1"/>
    </xf>
    <xf borderId="0" fillId="8" fontId="12" numFmtId="0" xfId="0" applyAlignment="1" applyFont="1">
      <alignment horizontal="center" shrinkToFit="0" vertical="center" wrapText="1"/>
    </xf>
    <xf borderId="0" fillId="8" fontId="5" numFmtId="0" xfId="0" applyAlignment="1" applyFont="1">
      <alignment horizontal="center" shrinkToFit="0" vertical="center" wrapText="1"/>
    </xf>
    <xf borderId="0" fillId="8" fontId="13" numFmtId="0" xfId="0" applyAlignment="1" applyFont="1">
      <alignment horizontal="center" shrinkToFit="0" vertical="center" wrapText="1"/>
    </xf>
    <xf borderId="0" fillId="8" fontId="8" numFmtId="0" xfId="0" applyAlignment="1" applyFont="1">
      <alignment horizontal="center" shrinkToFit="0" vertical="center" wrapText="1"/>
    </xf>
    <xf borderId="0" fillId="8" fontId="9" numFmtId="0" xfId="0" applyAlignment="1" applyFont="1">
      <alignment horizontal="center" shrinkToFit="0" wrapText="1"/>
    </xf>
    <xf borderId="0" fillId="7" fontId="9" numFmtId="0" xfId="0" applyAlignment="1" applyFont="1">
      <alignment horizontal="center" shrinkToFit="0" wrapText="1"/>
    </xf>
    <xf borderId="0" fillId="7" fontId="2" numFmtId="0" xfId="0" applyAlignment="1" applyFont="1">
      <alignment horizontal="center" shrinkToFit="0" vertical="center" wrapText="1"/>
    </xf>
    <xf borderId="0" fillId="7" fontId="10" numFmtId="0" xfId="0" applyAlignment="1" applyFont="1">
      <alignment horizontal="center" shrinkToFit="0" wrapText="1"/>
    </xf>
    <xf borderId="0" fillId="7" fontId="12" numFmtId="0" xfId="0" applyAlignment="1" applyFont="1">
      <alignment horizontal="center" shrinkToFit="0" wrapText="1"/>
    </xf>
    <xf borderId="0" fillId="7" fontId="2" numFmtId="0" xfId="0" applyAlignment="1" applyFont="1">
      <alignment horizontal="center" shrinkToFit="0" wrapText="1"/>
    </xf>
    <xf borderId="0" fillId="8" fontId="9" numFmtId="0" xfId="0" applyAlignment="1" applyFont="1">
      <alignment horizontal="center" shrinkToFit="0" vertical="bottom" wrapText="1"/>
    </xf>
    <xf borderId="0" fillId="8" fontId="2" numFmtId="0" xfId="0" applyAlignment="1" applyFont="1">
      <alignment horizontal="center" shrinkToFit="0" vertical="bottom" wrapText="1"/>
    </xf>
    <xf borderId="0" fillId="7" fontId="12" numFmtId="0" xfId="0" applyAlignment="1" applyFont="1">
      <alignment horizontal="center"/>
    </xf>
    <xf borderId="0" fillId="7" fontId="1" numFmtId="0" xfId="0" applyFont="1"/>
    <xf borderId="0" fillId="7" fontId="10" numFmtId="0" xfId="0" applyAlignment="1" applyFont="1">
      <alignment horizontal="center" shrinkToFit="0" vertical="bottom" wrapText="1"/>
    </xf>
    <xf borderId="0" fillId="7" fontId="9" numFmtId="0" xfId="0" applyAlignment="1" applyFont="1">
      <alignment horizontal="center" shrinkToFit="0" vertical="bottom" wrapText="1"/>
    </xf>
    <xf borderId="0" fillId="8" fontId="1" numFmtId="0" xfId="0" applyFont="1"/>
    <xf borderId="0" fillId="8" fontId="8" numFmtId="0" xfId="0" applyAlignment="1" applyFont="1">
      <alignment horizontal="center" vertical="center"/>
    </xf>
    <xf borderId="0" fillId="10" fontId="9" numFmtId="0" xfId="0" applyAlignment="1" applyFill="1" applyFont="1">
      <alignment horizontal="center" shrinkToFit="0" vertical="center" wrapText="1"/>
    </xf>
    <xf borderId="0" fillId="10" fontId="2" numFmtId="0" xfId="0" applyAlignment="1" applyFont="1">
      <alignment horizontal="center" shrinkToFit="0" vertical="center" wrapText="1"/>
    </xf>
    <xf borderId="0" fillId="10" fontId="11" numFmtId="0" xfId="0" applyAlignment="1" applyFon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0" fontId="5" numFmtId="0" xfId="0" applyAlignment="1" applyFont="1">
      <alignment horizontal="center" shrinkToFit="0" vertical="center" wrapText="1"/>
    </xf>
    <xf borderId="0" fillId="10" fontId="12" numFmtId="0" xfId="0" applyAlignment="1" applyFont="1">
      <alignment horizontal="center" shrinkToFit="0" vertical="center" wrapText="1"/>
    </xf>
    <xf borderId="0" fillId="10" fontId="7" numFmtId="0" xfId="0" applyAlignment="1" applyFont="1">
      <alignment horizontal="center" shrinkToFit="0" vertical="center" wrapText="1"/>
    </xf>
    <xf borderId="0" fillId="10" fontId="13" numFmtId="0" xfId="0" applyAlignment="1" applyFont="1">
      <alignment horizontal="center" shrinkToFit="0" vertical="center" wrapText="1"/>
    </xf>
    <xf borderId="0" fillId="10" fontId="9" numFmtId="0" xfId="0" applyAlignment="1" applyFont="1">
      <alignment horizontal="center" shrinkToFit="0" wrapText="1"/>
    </xf>
    <xf borderId="0" fillId="10" fontId="10" numFmtId="0" xfId="0" applyAlignment="1" applyFont="1">
      <alignment horizontal="center" shrinkToFit="0" wrapText="1"/>
    </xf>
    <xf borderId="0" fillId="10" fontId="5" numFmtId="0" xfId="0" applyAlignment="1" applyFont="1">
      <alignment horizontal="center"/>
    </xf>
    <xf borderId="0" fillId="10" fontId="1" numFmtId="0" xfId="0" applyFont="1"/>
    <xf borderId="0" fillId="11" fontId="9" numFmtId="0" xfId="0" applyAlignment="1" applyFill="1" applyFont="1">
      <alignment horizontal="center" shrinkToFit="0" vertical="center" wrapText="1"/>
    </xf>
    <xf borderId="0" fillId="11" fontId="11" numFmtId="0" xfId="0" applyAlignment="1" applyFont="1">
      <alignment horizontal="center" shrinkToFit="0" vertical="center" wrapText="1"/>
    </xf>
    <xf borderId="0" fillId="11" fontId="10" numFmtId="0" xfId="0" applyAlignment="1" applyFont="1">
      <alignment horizontal="center" shrinkToFit="0" vertical="center" wrapText="1"/>
    </xf>
    <xf borderId="0" fillId="11" fontId="12" numFmtId="0" xfId="0" applyAlignment="1" applyFont="1">
      <alignment horizontal="center" shrinkToFit="0" vertical="center" wrapText="1"/>
    </xf>
    <xf borderId="0" fillId="11" fontId="5" numFmtId="0" xfId="0" applyAlignment="1" applyFont="1">
      <alignment horizontal="center" shrinkToFit="0" vertical="center" wrapText="1"/>
    </xf>
    <xf borderId="0" fillId="11" fontId="9" numFmtId="0" xfId="0" applyAlignment="1" applyFont="1">
      <alignment horizontal="center" shrinkToFit="0" wrapText="1"/>
    </xf>
    <xf borderId="0" fillId="11" fontId="1" numFmtId="0" xfId="0" applyFont="1"/>
    <xf borderId="0" fillId="11" fontId="13" numFmtId="0" xfId="0" applyAlignment="1" applyFont="1">
      <alignment horizontal="center" shrinkToFit="0" vertical="center" wrapText="1"/>
    </xf>
    <xf borderId="0" fillId="11" fontId="8" numFmtId="0" xfId="0" applyFont="1"/>
    <xf borderId="0" fillId="10" fontId="10" numFmtId="0" xfId="0" applyAlignment="1" applyFont="1">
      <alignment horizontal="center" shrinkToFit="0" vertical="bottom" wrapText="1"/>
    </xf>
    <xf borderId="0" fillId="10" fontId="9" numFmtId="0" xfId="0" applyAlignment="1" applyFont="1">
      <alignment horizontal="center" shrinkToFit="0" vertical="bottom" wrapText="1"/>
    </xf>
    <xf borderId="0" fillId="11" fontId="9" numFmtId="0" xfId="0" applyAlignment="1" applyFont="1">
      <alignment horizontal="center" shrinkToFit="0" vertical="bottom" wrapText="1"/>
    </xf>
    <xf borderId="0" fillId="12" fontId="9" numFmtId="0" xfId="0" applyAlignment="1" applyFill="1" applyFont="1">
      <alignment horizontal="center" shrinkToFit="0" vertical="center" wrapText="1"/>
    </xf>
    <xf borderId="0" fillId="12" fontId="2" numFmtId="0" xfId="0" applyAlignment="1" applyFont="1">
      <alignment horizontal="center" shrinkToFit="0" vertical="center" wrapText="1"/>
    </xf>
    <xf borderId="0" fillId="12" fontId="11" numFmtId="0" xfId="0" applyAlignment="1" applyFont="1">
      <alignment horizontal="center" shrinkToFit="0" vertical="center" wrapText="1"/>
    </xf>
    <xf borderId="0" fillId="12" fontId="10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12" numFmtId="0" xfId="0" applyAlignment="1" applyFont="1">
      <alignment horizontal="center" shrinkToFit="0" vertical="center" wrapText="1"/>
    </xf>
    <xf borderId="0" fillId="12" fontId="13" numFmtId="0" xfId="0" applyAlignment="1" applyFont="1">
      <alignment horizontal="center" shrinkToFit="0" vertical="center" wrapText="1"/>
    </xf>
    <xf borderId="0" fillId="4" fontId="9" numFmtId="0" xfId="0" applyAlignment="1" applyFont="1">
      <alignment horizontal="center" shrinkToFit="0" vertical="center" wrapText="1"/>
    </xf>
    <xf borderId="0" fillId="4" fontId="11" numFmtId="0" xfId="0" applyAlignment="1" applyFont="1">
      <alignment horizontal="center" shrinkToFit="0" vertical="center" wrapText="1"/>
    </xf>
    <xf borderId="0" fillId="4" fontId="10" numFmtId="0" xfId="0" applyAlignment="1" applyFont="1">
      <alignment horizontal="center" shrinkToFit="0" vertical="center" wrapText="1"/>
    </xf>
    <xf borderId="0" fillId="4" fontId="12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vertical="center"/>
    </xf>
    <xf borderId="0" fillId="4" fontId="9" numFmtId="0" xfId="0" applyAlignment="1" applyFont="1">
      <alignment horizontal="center" shrinkToFit="0" wrapText="1"/>
    </xf>
    <xf borderId="0" fillId="4" fontId="1" numFmtId="0" xfId="0" applyFont="1"/>
    <xf borderId="0" fillId="4" fontId="13" numFmtId="0" xfId="0" applyAlignment="1" applyFont="1">
      <alignment horizontal="center" shrinkToFit="0" vertical="center" wrapText="1"/>
    </xf>
    <xf borderId="0" fillId="4" fontId="8" numFmtId="0" xfId="0" applyFont="1"/>
    <xf borderId="0" fillId="12" fontId="9" numFmtId="0" xfId="0" applyAlignment="1" applyFont="1">
      <alignment horizontal="center" shrinkToFit="0" wrapText="1"/>
    </xf>
    <xf borderId="0" fillId="12" fontId="10" numFmtId="0" xfId="0" applyAlignment="1" applyFont="1">
      <alignment horizontal="center" shrinkToFit="0" vertical="bottom" wrapText="1"/>
    </xf>
    <xf borderId="0" fillId="12" fontId="5" numFmtId="0" xfId="0" applyAlignment="1" applyFont="1">
      <alignment horizontal="center"/>
    </xf>
    <xf borderId="0" fillId="12" fontId="1" numFmtId="0" xfId="0" applyFont="1"/>
    <xf borderId="0" fillId="12" fontId="9" numFmtId="0" xfId="0" applyAlignment="1" applyFont="1">
      <alignment horizontal="center" shrinkToFit="0" vertical="bottom" wrapText="1"/>
    </xf>
    <xf borderId="0" fillId="4" fontId="9" numFmtId="0" xfId="0" applyAlignment="1" applyFont="1">
      <alignment horizontal="center" shrinkToFit="0" vertical="bottom" wrapText="1"/>
    </xf>
    <xf borderId="0" fillId="13" fontId="9" numFmtId="0" xfId="0" applyAlignment="1" applyFill="1" applyFont="1">
      <alignment horizontal="center" shrinkToFit="0" vertical="center" wrapText="1"/>
    </xf>
    <xf borderId="0" fillId="13" fontId="2" numFmtId="0" xfId="0" applyAlignment="1" applyFont="1">
      <alignment horizontal="center" shrinkToFit="0" vertical="center" wrapText="1"/>
    </xf>
    <xf borderId="0" fillId="13" fontId="11" numFmtId="0" xfId="0" applyAlignment="1" applyFont="1">
      <alignment horizontal="center" shrinkToFit="0" vertical="center" wrapText="1"/>
    </xf>
    <xf borderId="0" fillId="13" fontId="10" numFmtId="0" xfId="0" applyAlignment="1" applyFont="1">
      <alignment horizontal="center" shrinkToFit="0" vertical="center" wrapText="1"/>
    </xf>
    <xf borderId="0" fillId="13" fontId="5" numFmtId="0" xfId="0" applyAlignment="1" applyFont="1">
      <alignment horizontal="center" shrinkToFit="0" vertical="center" wrapText="1"/>
    </xf>
    <xf borderId="0" fillId="13" fontId="12" numFmtId="0" xfId="0" applyAlignment="1" applyFont="1">
      <alignment horizontal="center" shrinkToFit="0" vertical="center" wrapText="1"/>
    </xf>
    <xf borderId="0" fillId="13" fontId="13" numFmtId="0" xfId="0" applyAlignment="1" applyFont="1">
      <alignment horizontal="center" shrinkToFit="0" vertical="center" wrapText="1"/>
    </xf>
    <xf borderId="0" fillId="13" fontId="9" numFmtId="0" xfId="0" applyAlignment="1" applyFont="1">
      <alignment horizontal="center" shrinkToFit="0" wrapText="1"/>
    </xf>
    <xf borderId="0" fillId="13" fontId="9" numFmtId="0" xfId="0" applyAlignment="1" applyFont="1">
      <alignment horizontal="center" shrinkToFit="0" vertical="bottom" wrapText="1"/>
    </xf>
    <xf borderId="0" fillId="13" fontId="5" numFmtId="0" xfId="0" applyAlignment="1" applyFont="1">
      <alignment horizontal="center"/>
    </xf>
    <xf borderId="0" fillId="13" fontId="1" numFmtId="0" xfId="0" applyFont="1"/>
    <xf borderId="0" fillId="14" fontId="9" numFmtId="0" xfId="0" applyAlignment="1" applyFill="1" applyFont="1">
      <alignment horizontal="center" shrinkToFit="0" vertical="center" wrapText="1"/>
    </xf>
    <xf borderId="0" fillId="14" fontId="11" numFmtId="0" xfId="0" applyAlignment="1" applyFont="1">
      <alignment horizontal="center" shrinkToFit="0" vertical="center" wrapText="1"/>
    </xf>
    <xf borderId="0" fillId="14" fontId="10" numFmtId="0" xfId="0" applyAlignment="1" applyFont="1">
      <alignment horizontal="center" shrinkToFit="0" vertical="center" wrapText="1"/>
    </xf>
    <xf borderId="0" fillId="14" fontId="12" numFmtId="0" xfId="0" applyAlignment="1" applyFont="1">
      <alignment horizontal="center" shrinkToFit="0" vertical="center" wrapText="1"/>
    </xf>
    <xf borderId="0" fillId="14" fontId="5" numFmtId="0" xfId="0" applyAlignment="1" applyFont="1">
      <alignment horizontal="center" vertical="center"/>
    </xf>
    <xf borderId="0" fillId="14" fontId="9" numFmtId="0" xfId="0" applyAlignment="1" applyFont="1">
      <alignment horizontal="center" shrinkToFit="0" vertical="bottom" wrapText="1"/>
    </xf>
    <xf borderId="0" fillId="14" fontId="1" numFmtId="0" xfId="0" applyFont="1"/>
    <xf borderId="0" fillId="14" fontId="9" numFmtId="0" xfId="0" applyAlignment="1" applyFont="1">
      <alignment horizontal="center" shrinkToFit="0" wrapText="1"/>
    </xf>
    <xf borderId="0" fillId="14" fontId="13" numFmtId="0" xfId="0" applyAlignment="1" applyFont="1">
      <alignment horizontal="center" shrinkToFit="0" vertical="center" wrapText="1"/>
    </xf>
    <xf borderId="0" fillId="14" fontId="8" numFmtId="0" xfId="0" applyFont="1"/>
    <xf borderId="0" fillId="13" fontId="10" numFmtId="0" xfId="0" applyAlignment="1" applyFont="1">
      <alignment horizontal="center" shrinkToFit="0" vertical="bottom" wrapText="1"/>
    </xf>
    <xf borderId="0" fillId="15" fontId="9" numFmtId="0" xfId="0" applyAlignment="1" applyFill="1" applyFont="1">
      <alignment horizontal="center" shrinkToFit="0" vertical="center" wrapText="1"/>
    </xf>
    <xf borderId="0" fillId="15" fontId="2" numFmtId="0" xfId="0" applyAlignment="1" applyFont="1">
      <alignment horizontal="center" shrinkToFit="0" vertical="center" wrapText="1"/>
    </xf>
    <xf borderId="0" fillId="15" fontId="11" numFmtId="0" xfId="0" applyAlignment="1" applyFont="1">
      <alignment horizontal="center" shrinkToFit="0" vertical="center" wrapText="1"/>
    </xf>
    <xf borderId="0" fillId="15" fontId="10" numFmtId="0" xfId="0" applyAlignment="1" applyFont="1">
      <alignment horizontal="center" shrinkToFit="0" vertical="center" wrapText="1"/>
    </xf>
    <xf borderId="0" fillId="15" fontId="5" numFmtId="0" xfId="0" applyAlignment="1" applyFont="1">
      <alignment horizontal="center" vertical="center"/>
    </xf>
    <xf borderId="0" fillId="15" fontId="12" numFmtId="0" xfId="0" applyAlignment="1" applyFont="1">
      <alignment horizontal="center" shrinkToFit="0" vertical="center" wrapText="1"/>
    </xf>
    <xf borderId="0" fillId="15" fontId="5" numFmtId="0" xfId="0" applyAlignment="1" applyFont="1">
      <alignment horizontal="center" shrinkToFit="0" vertical="center" wrapText="1"/>
    </xf>
    <xf borderId="0" fillId="15" fontId="7" numFmtId="0" xfId="0" applyAlignment="1" applyFont="1">
      <alignment horizontal="center" shrinkToFit="0" vertical="center" wrapText="1"/>
    </xf>
    <xf borderId="0" fillId="15" fontId="13" numFmtId="0" xfId="0" applyAlignment="1" applyFont="1">
      <alignment horizontal="center" shrinkToFit="0" vertical="center" wrapText="1"/>
    </xf>
    <xf borderId="0" fillId="15" fontId="9" numFmtId="0" xfId="0" applyAlignment="1" applyFont="1">
      <alignment horizontal="center" shrinkToFit="0" vertical="bottom" wrapText="1"/>
    </xf>
    <xf borderId="0" fillId="15" fontId="10" numFmtId="0" xfId="0" applyAlignment="1" applyFont="1">
      <alignment horizontal="center" shrinkToFit="0" wrapText="1"/>
    </xf>
    <xf borderId="0" fillId="15" fontId="5" numFmtId="0" xfId="0" applyAlignment="1" applyFont="1">
      <alignment horizontal="center"/>
    </xf>
    <xf borderId="0" fillId="15" fontId="1" numFmtId="0" xfId="0" applyFont="1"/>
    <xf borderId="0" fillId="15" fontId="9" numFmtId="0" xfId="0" applyAlignment="1" applyFont="1">
      <alignment horizontal="center" shrinkToFit="0" wrapText="1"/>
    </xf>
    <xf borderId="0" fillId="15" fontId="10" numFmtId="0" xfId="0" applyAlignment="1" applyFont="1">
      <alignment horizontal="center" shrinkToFit="0" vertical="bottom" wrapText="1"/>
    </xf>
    <xf borderId="0" fillId="16" fontId="9" numFmtId="0" xfId="0" applyAlignment="1" applyFill="1" applyFont="1">
      <alignment horizontal="center" shrinkToFit="0" vertical="center" wrapText="1"/>
    </xf>
    <xf borderId="0" fillId="16" fontId="11" numFmtId="0" xfId="0" applyAlignment="1" applyFont="1">
      <alignment horizontal="center" shrinkToFit="0" vertical="center" wrapText="1"/>
    </xf>
    <xf borderId="0" fillId="16" fontId="10" numFmtId="0" xfId="0" applyAlignment="1" applyFont="1">
      <alignment horizontal="center" shrinkToFit="0" vertical="center" wrapText="1"/>
    </xf>
    <xf borderId="0" fillId="16" fontId="12" numFmtId="0" xfId="0" applyAlignment="1" applyFont="1">
      <alignment horizontal="center" shrinkToFit="0" vertical="center" wrapText="1"/>
    </xf>
    <xf borderId="0" fillId="16" fontId="5" numFmtId="0" xfId="0" applyAlignment="1" applyFont="1">
      <alignment horizontal="center" vertical="center"/>
    </xf>
    <xf borderId="0" fillId="16" fontId="9" numFmtId="0" xfId="0" applyAlignment="1" applyFont="1">
      <alignment horizontal="center" shrinkToFit="0" vertical="bottom" wrapText="1"/>
    </xf>
    <xf borderId="0" fillId="16" fontId="1" numFmtId="0" xfId="0" applyFont="1"/>
    <xf borderId="0" fillId="16" fontId="13" numFmtId="0" xfId="0" applyAlignment="1" applyFont="1">
      <alignment horizontal="center" shrinkToFit="0" vertical="center" wrapText="1"/>
    </xf>
    <xf borderId="0" fillId="16" fontId="8" numFmtId="0" xfId="0" applyFont="1"/>
    <xf borderId="0" fillId="16" fontId="9" numFmtId="0" xfId="0" applyAlignment="1" applyFont="1">
      <alignment horizontal="center" shrinkToFit="0" wrapText="1"/>
    </xf>
    <xf borderId="0" fillId="17" fontId="9" numFmtId="0" xfId="0" applyAlignment="1" applyFill="1" applyFont="1">
      <alignment horizontal="center" shrinkToFit="0" vertical="center" wrapText="1"/>
    </xf>
    <xf borderId="0" fillId="17" fontId="2" numFmtId="0" xfId="0" applyAlignment="1" applyFont="1">
      <alignment horizontal="center" shrinkToFit="0" vertical="center" wrapText="1"/>
    </xf>
    <xf borderId="0" fillId="17" fontId="11" numFmtId="0" xfId="0" applyAlignment="1" applyFont="1">
      <alignment horizontal="center" shrinkToFit="0" vertical="center" wrapText="1"/>
    </xf>
    <xf borderId="0" fillId="17" fontId="10" numFmtId="0" xfId="0" applyAlignment="1" applyFont="1">
      <alignment horizontal="center" shrinkToFit="0" vertical="center" wrapText="1"/>
    </xf>
    <xf borderId="0" fillId="17" fontId="5" numFmtId="0" xfId="0" applyAlignment="1" applyFont="1">
      <alignment horizontal="center" vertical="center"/>
    </xf>
    <xf borderId="0" fillId="17" fontId="12" numFmtId="0" xfId="0" applyAlignment="1" applyFont="1">
      <alignment horizontal="center" shrinkToFit="0" vertical="center" wrapText="1"/>
    </xf>
    <xf borderId="0" fillId="17" fontId="5" numFmtId="0" xfId="0" applyAlignment="1" applyFont="1">
      <alignment horizontal="center" shrinkToFit="0" vertical="center" wrapText="1"/>
    </xf>
    <xf borderId="0" fillId="17" fontId="7" numFmtId="0" xfId="0" applyAlignment="1" applyFont="1">
      <alignment horizontal="center" shrinkToFit="0" vertical="center" wrapText="1"/>
    </xf>
    <xf borderId="0" fillId="17" fontId="5" numFmtId="0" xfId="0" applyAlignment="1" applyFont="1">
      <alignment vertical="center"/>
    </xf>
    <xf borderId="0" fillId="17" fontId="13" numFmtId="0" xfId="0" applyAlignment="1" applyFont="1">
      <alignment horizontal="center" shrinkToFit="0" vertical="center" wrapText="1"/>
    </xf>
    <xf borderId="0" fillId="17" fontId="11" numFmtId="0" xfId="0" applyAlignment="1" applyFont="1">
      <alignment vertical="center"/>
    </xf>
    <xf borderId="0" fillId="17" fontId="9" numFmtId="0" xfId="0" applyAlignment="1" applyFont="1">
      <alignment horizontal="center" shrinkToFit="0" wrapText="1"/>
    </xf>
    <xf borderId="0" fillId="17" fontId="10" numFmtId="0" xfId="0" applyAlignment="1" applyFont="1">
      <alignment horizontal="center" shrinkToFit="0" vertical="bottom" wrapText="1"/>
    </xf>
    <xf borderId="0" fillId="17" fontId="5" numFmtId="0" xfId="0" applyAlignment="1" applyFont="1">
      <alignment horizontal="center"/>
    </xf>
    <xf borderId="0" fillId="17" fontId="1" numFmtId="0" xfId="0" applyFont="1"/>
    <xf borderId="0" fillId="17" fontId="9" numFmtId="0" xfId="0" applyAlignment="1" applyFont="1">
      <alignment horizontal="center" shrinkToFit="0" vertical="bottom" wrapText="1"/>
    </xf>
    <xf borderId="0" fillId="2" fontId="9" numFmtId="0" xfId="0" applyAlignment="1" applyFont="1">
      <alignment horizontal="center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vertical="center"/>
    </xf>
    <xf borderId="0" fillId="2" fontId="9" numFmtId="0" xfId="0" applyAlignment="1" applyFont="1">
      <alignment horizontal="center" shrinkToFit="0" vertical="bottom" wrapText="1"/>
    </xf>
    <xf borderId="0" fillId="2" fontId="1" numFmtId="0" xfId="0" applyFont="1"/>
    <xf borderId="0" fillId="2" fontId="9" numFmtId="0" xfId="0" applyAlignment="1" applyFont="1">
      <alignment horizontal="center" shrinkToFit="0" wrapText="1"/>
    </xf>
    <xf borderId="0" fillId="2" fontId="13" numFmtId="0" xfId="0" applyAlignment="1" applyFont="1">
      <alignment horizontal="center" shrinkToFit="0" vertical="center" wrapText="1"/>
    </xf>
    <xf borderId="0" fillId="2" fontId="8" numFmtId="0" xfId="0" applyFont="1"/>
    <xf borderId="0" fillId="6" fontId="9" numFmtId="0" xfId="0" applyAlignment="1" applyFont="1">
      <alignment horizontal="center" shrinkToFit="0" vertical="center" wrapText="1"/>
    </xf>
    <xf borderId="0" fillId="6" fontId="2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6" fontId="9" numFmtId="0" xfId="0" applyAlignment="1" applyFont="1">
      <alignment horizontal="center" shrinkToFit="0" vertical="bottom" wrapText="1"/>
    </xf>
    <xf borderId="0" fillId="6" fontId="5" numFmtId="0" xfId="0" applyAlignment="1" applyFont="1">
      <alignment horizontal="center"/>
    </xf>
    <xf borderId="0" fillId="6" fontId="1" numFmtId="0" xfId="0" applyFont="1"/>
    <xf borderId="0" fillId="6" fontId="10" numFmtId="0" xfId="0" applyAlignment="1" applyFont="1">
      <alignment horizontal="center" shrinkToFit="0" vertical="bottom" wrapText="1"/>
    </xf>
    <xf borderId="0" fillId="5" fontId="9" numFmtId="0" xfId="0" applyAlignment="1" applyFont="1">
      <alignment horizontal="center" shrinkToFit="0" vertical="center" wrapText="1"/>
    </xf>
    <xf borderId="0" fillId="5" fontId="11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5" numFmtId="0" xfId="0" applyAlignment="1" applyFont="1">
      <alignment horizontal="center" vertical="center"/>
    </xf>
    <xf borderId="0" fillId="5" fontId="9" numFmtId="0" xfId="0" applyAlignment="1" applyFont="1">
      <alignment horizontal="center" shrinkToFit="0" vertical="bottom" wrapText="1"/>
    </xf>
    <xf borderId="0" fillId="5" fontId="1" numFmtId="0" xfId="0" applyFont="1"/>
    <xf borderId="0" fillId="5" fontId="13" numFmtId="0" xfId="0" applyAlignment="1" applyFont="1">
      <alignment horizontal="center" shrinkToFit="0" vertical="center" wrapText="1"/>
    </xf>
    <xf borderId="0" fillId="5" fontId="8" numFmtId="0" xfId="0" applyFont="1"/>
    <xf borderId="0" fillId="5" fontId="9" numFmtId="0" xfId="0" applyAlignment="1" applyFont="1">
      <alignment horizontal="center" shrinkToFit="0" wrapText="1"/>
    </xf>
    <xf borderId="0" fillId="6" fontId="9" numFmtId="0" xfId="0" applyAlignment="1" applyFont="1">
      <alignment horizontal="center" shrinkToFit="0" wrapText="1"/>
    </xf>
    <xf borderId="0" fillId="6" fontId="10" numFmtId="0" xfId="0" applyAlignment="1" applyFont="1">
      <alignment horizontal="center" shrinkToFit="0" wrapText="1"/>
    </xf>
    <xf borderId="0" fillId="18" fontId="9" numFmtId="0" xfId="0" applyAlignment="1" applyFill="1" applyFont="1">
      <alignment horizontal="center" shrinkToFit="0" vertical="center" wrapText="1"/>
    </xf>
    <xf borderId="0" fillId="18" fontId="2" numFmtId="0" xfId="0" applyAlignment="1" applyFont="1">
      <alignment horizontal="center" shrinkToFit="0" vertical="center" wrapText="1"/>
    </xf>
    <xf borderId="0" fillId="18" fontId="11" numFmtId="0" xfId="0" applyAlignment="1" applyFont="1">
      <alignment horizontal="center" shrinkToFit="0" vertical="center" wrapText="1"/>
    </xf>
    <xf borderId="0" fillId="18" fontId="10" numFmtId="0" xfId="0" applyAlignment="1" applyFont="1">
      <alignment horizontal="center" shrinkToFit="0" vertical="center" wrapText="1"/>
    </xf>
    <xf borderId="0" fillId="18" fontId="5" numFmtId="0" xfId="0" applyAlignment="1" applyFont="1">
      <alignment horizontal="center" shrinkToFit="0" vertical="center" wrapText="1"/>
    </xf>
    <xf borderId="0" fillId="18" fontId="12" numFmtId="0" xfId="0" applyAlignment="1" applyFont="1">
      <alignment horizontal="center" shrinkToFit="0" vertical="center" wrapText="1"/>
    </xf>
    <xf borderId="0" fillId="18" fontId="7" numFmtId="0" xfId="0" applyAlignment="1" applyFont="1">
      <alignment horizontal="center" shrinkToFit="0" vertical="center" wrapText="1"/>
    </xf>
    <xf borderId="0" fillId="18" fontId="13" numFmtId="0" xfId="0" applyAlignment="1" applyFont="1">
      <alignment horizontal="center" shrinkToFit="0" vertical="center" wrapText="1"/>
    </xf>
    <xf borderId="0" fillId="18" fontId="9" numFmtId="0" xfId="0" applyAlignment="1" applyFont="1">
      <alignment horizontal="center" shrinkToFit="0" vertical="bottom" wrapText="1"/>
    </xf>
    <xf borderId="0" fillId="18" fontId="5" numFmtId="0" xfId="0" applyAlignment="1" applyFont="1">
      <alignment horizontal="center"/>
    </xf>
    <xf borderId="0" fillId="18" fontId="1" numFmtId="0" xfId="0" applyFont="1"/>
    <xf borderId="0" fillId="19" fontId="9" numFmtId="0" xfId="0" applyAlignment="1" applyFill="1" applyFont="1">
      <alignment horizontal="center" shrinkToFit="0" vertical="center" wrapText="1"/>
    </xf>
    <xf borderId="0" fillId="19" fontId="11" numFmtId="0" xfId="0" applyAlignment="1" applyFont="1">
      <alignment horizontal="center" shrinkToFit="0" vertical="center" wrapText="1"/>
    </xf>
    <xf borderId="0" fillId="19" fontId="10" numFmtId="0" xfId="0" applyAlignment="1" applyFont="1">
      <alignment horizontal="center" shrinkToFit="0" vertical="center" wrapText="1"/>
    </xf>
    <xf borderId="0" fillId="19" fontId="12" numFmtId="0" xfId="0" applyAlignment="1" applyFont="1">
      <alignment horizontal="center" shrinkToFit="0" vertical="center" wrapText="1"/>
    </xf>
    <xf borderId="0" fillId="19" fontId="5" numFmtId="0" xfId="0" applyAlignment="1" applyFont="1">
      <alignment horizontal="center" vertical="center"/>
    </xf>
    <xf borderId="0" fillId="19" fontId="9" numFmtId="0" xfId="0" applyAlignment="1" applyFont="1">
      <alignment horizontal="center" shrinkToFit="0" vertical="bottom" wrapText="1"/>
    </xf>
    <xf borderId="0" fillId="19" fontId="1" numFmtId="0" xfId="0" applyFont="1"/>
    <xf borderId="0" fillId="19" fontId="13" numFmtId="0" xfId="0" applyAlignment="1" applyFont="1">
      <alignment horizontal="center" shrinkToFit="0" vertical="center" wrapText="1"/>
    </xf>
    <xf borderId="0" fillId="19" fontId="8" numFmtId="0" xfId="0" applyFont="1"/>
    <xf borderId="0" fillId="18" fontId="10" numFmtId="0" xfId="0" applyAlignment="1" applyFont="1">
      <alignment horizontal="center" shrinkToFit="0" vertical="bottom" wrapText="1"/>
    </xf>
    <xf borderId="15" fillId="19" fontId="2" numFmtId="0" xfId="0" applyAlignment="1" applyBorder="1" applyFont="1">
      <alignment horizontal="center" shrinkToFit="0" vertical="center" wrapText="1"/>
    </xf>
    <xf borderId="0" fillId="19" fontId="9" numFmtId="0" xfId="0" applyAlignment="1" applyFont="1">
      <alignment horizontal="center" shrinkToFit="0" wrapText="1"/>
    </xf>
    <xf borderId="0" fillId="18" fontId="10" numFmtId="0" xfId="0" applyAlignment="1" applyFont="1">
      <alignment horizontal="center" shrinkToFit="0" wrapText="1"/>
    </xf>
    <xf borderId="0" fillId="18" fontId="9" numFmtId="0" xfId="0" applyAlignment="1" applyFont="1">
      <alignment horizontal="center" shrinkToFit="0" wrapText="1"/>
    </xf>
    <xf borderId="0" fillId="20" fontId="9" numFmtId="0" xfId="0" applyAlignment="1" applyFill="1" applyFont="1">
      <alignment horizontal="center" shrinkToFit="0" vertical="center" wrapText="1"/>
    </xf>
    <xf borderId="0" fillId="20" fontId="2" numFmtId="0" xfId="0" applyAlignment="1" applyFont="1">
      <alignment horizontal="center" shrinkToFit="0" vertical="center" wrapText="1"/>
    </xf>
    <xf borderId="0" fillId="20" fontId="11" numFmtId="0" xfId="0" applyAlignment="1" applyFont="1">
      <alignment horizontal="center" shrinkToFit="0" vertical="center" wrapText="1"/>
    </xf>
    <xf borderId="0" fillId="20" fontId="10" numFmtId="0" xfId="0" applyAlignment="1" applyFont="1">
      <alignment horizontal="center" shrinkToFit="0" vertical="center" wrapText="1"/>
    </xf>
    <xf borderId="0" fillId="20" fontId="5" numFmtId="0" xfId="0" applyAlignment="1" applyFont="1">
      <alignment horizontal="center" vertical="center"/>
    </xf>
    <xf borderId="0" fillId="20" fontId="12" numFmtId="0" xfId="0" applyAlignment="1" applyFont="1">
      <alignment horizontal="center" shrinkToFit="0" vertical="center" wrapText="1"/>
    </xf>
    <xf borderId="0" fillId="20" fontId="5" numFmtId="0" xfId="0" applyAlignment="1" applyFont="1">
      <alignment horizontal="center" shrinkToFit="0" vertical="center" wrapText="1"/>
    </xf>
    <xf borderId="0" fillId="20" fontId="5" numFmtId="0" xfId="0" applyAlignment="1" applyFont="1">
      <alignment vertical="center"/>
    </xf>
    <xf borderId="0" fillId="20" fontId="9" numFmtId="0" xfId="0" applyAlignment="1" applyFont="1">
      <alignment horizontal="center" shrinkToFit="0" vertical="bottom" wrapText="1"/>
    </xf>
    <xf borderId="0" fillId="20" fontId="5" numFmtId="0" xfId="0" applyAlignment="1" applyFont="1">
      <alignment horizontal="center"/>
    </xf>
    <xf borderId="0" fillId="20" fontId="1" numFmtId="0" xfId="0" applyFont="1"/>
    <xf borderId="0" fillId="3" fontId="9" numFmtId="0" xfId="0" applyAlignment="1" applyFont="1">
      <alignment horizontal="center" shrinkToFit="0" vertical="center" wrapText="1"/>
    </xf>
    <xf borderId="15" fillId="3" fontId="2" numFmtId="0" xfId="0" applyAlignment="1" applyBorder="1" applyFont="1">
      <alignment horizontal="center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0" numFmtId="0" xfId="0" applyAlignment="1" applyFont="1">
      <alignment horizontal="center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vertical="center"/>
    </xf>
    <xf borderId="0" fillId="3" fontId="9" numFmtId="0" xfId="0" applyAlignment="1" applyFont="1">
      <alignment horizontal="center" shrinkToFit="0" vertical="bottom" wrapText="1"/>
    </xf>
    <xf borderId="0" fillId="3" fontId="1" numFmtId="0" xfId="0" applyFont="1"/>
    <xf borderId="0" fillId="3" fontId="13" numFmtId="0" xfId="0" applyAlignment="1" applyFont="1">
      <alignment horizontal="center" shrinkToFit="0" vertical="center" wrapText="1"/>
    </xf>
    <xf borderId="0" fillId="3" fontId="8" numFmtId="0" xfId="0" applyFont="1"/>
    <xf borderId="0" fillId="20" fontId="10" numFmtId="0" xfId="0" applyAlignment="1" applyFont="1">
      <alignment horizontal="center" shrinkToFit="0" wrapText="1"/>
    </xf>
    <xf borderId="0" fillId="20" fontId="9" numFmtId="0" xfId="0" applyAlignment="1" applyFont="1">
      <alignment horizontal="center" shrinkToFit="0" wrapText="1"/>
    </xf>
    <xf borderId="0" fillId="21" fontId="9" numFmtId="0" xfId="0" applyAlignment="1" applyFill="1" applyFont="1">
      <alignment horizontal="center" shrinkToFit="0" vertical="center" wrapText="1"/>
    </xf>
    <xf borderId="0" fillId="21" fontId="2" numFmtId="0" xfId="0" applyAlignment="1" applyFont="1">
      <alignment horizontal="center" shrinkToFit="0" vertical="center" wrapText="1"/>
    </xf>
    <xf borderId="0" fillId="21" fontId="11" numFmtId="0" xfId="0" applyAlignment="1" applyFont="1">
      <alignment horizontal="center" shrinkToFit="0" vertical="center" wrapText="1"/>
    </xf>
    <xf borderId="0" fillId="21" fontId="10" numFmtId="0" xfId="0" applyAlignment="1" applyFont="1">
      <alignment horizontal="center" shrinkToFit="0" vertical="center" wrapText="1"/>
    </xf>
    <xf borderId="0" fillId="21" fontId="5" numFmtId="0" xfId="0" applyAlignment="1" applyFont="1">
      <alignment horizontal="center" shrinkToFit="0" vertical="center" wrapText="1"/>
    </xf>
    <xf borderId="0" fillId="21" fontId="12" numFmtId="0" xfId="0" applyAlignment="1" applyFont="1">
      <alignment horizontal="center" shrinkToFit="0" vertical="center" wrapText="1"/>
    </xf>
    <xf borderId="0" fillId="21" fontId="13" numFmtId="0" xfId="0" applyAlignment="1" applyFont="1">
      <alignment horizontal="center" shrinkToFit="0" vertical="center" wrapText="1"/>
    </xf>
    <xf borderId="0" fillId="22" fontId="9" numFmtId="0" xfId="0" applyAlignment="1" applyFill="1" applyFont="1">
      <alignment horizontal="center" shrinkToFit="0" vertical="center" wrapText="1"/>
    </xf>
    <xf borderId="0" fillId="22" fontId="11" numFmtId="0" xfId="0" applyAlignment="1" applyFont="1">
      <alignment horizontal="center" shrinkToFit="0" vertical="center" wrapText="1"/>
    </xf>
    <xf borderId="0" fillId="22" fontId="10" numFmtId="0" xfId="0" applyAlignment="1" applyFont="1">
      <alignment horizontal="center" shrinkToFit="0" vertical="center" wrapText="1"/>
    </xf>
    <xf borderId="0" fillId="22" fontId="12" numFmtId="0" xfId="0" applyAlignment="1" applyFont="1">
      <alignment horizontal="center" shrinkToFit="0" vertical="center" wrapText="1"/>
    </xf>
    <xf borderId="0" fillId="22" fontId="5" numFmtId="0" xfId="0" applyAlignment="1" applyFont="1">
      <alignment horizontal="center" vertical="center"/>
    </xf>
    <xf borderId="0" fillId="22" fontId="9" numFmtId="0" xfId="0" applyAlignment="1" applyFont="1">
      <alignment horizontal="center" shrinkToFit="0" vertical="bottom" wrapText="1"/>
    </xf>
    <xf borderId="0" fillId="22" fontId="1" numFmtId="0" xfId="0" applyFont="1"/>
    <xf borderId="0" fillId="22" fontId="13" numFmtId="0" xfId="0" applyAlignment="1" applyFont="1">
      <alignment horizontal="center" shrinkToFit="0" vertical="center" wrapText="1"/>
    </xf>
    <xf borderId="0" fillId="22" fontId="8" numFmtId="0" xfId="0" applyFont="1"/>
    <xf borderId="15" fillId="22" fontId="2" numFmtId="0" xfId="0" applyAlignment="1" applyBorder="1" applyFont="1">
      <alignment horizontal="center" shrinkToFit="0" vertical="center" wrapText="1"/>
    </xf>
    <xf borderId="0" fillId="21" fontId="9" numFmtId="0" xfId="0" applyAlignment="1" applyFont="1">
      <alignment horizontal="center" shrinkToFit="0" vertical="bottom" wrapText="1"/>
    </xf>
    <xf borderId="0" fillId="21" fontId="9" numFmtId="0" xfId="0" applyAlignment="1" applyFont="1">
      <alignment horizontal="center" shrinkToFit="0" wrapText="1"/>
    </xf>
    <xf borderId="0" fillId="21" fontId="5" numFmtId="0" xfId="0" applyAlignment="1" applyFont="1">
      <alignment horizontal="center"/>
    </xf>
    <xf borderId="0" fillId="21" fontId="1" numFmtId="0" xfId="0" applyFont="1"/>
    <xf borderId="0" fillId="22" fontId="9" numFmtId="0" xfId="0" applyAlignment="1" applyFont="1">
      <alignment horizontal="center" shrinkToFit="0" wrapText="1"/>
    </xf>
    <xf borderId="0" fillId="8" fontId="2" numFmtId="0" xfId="0" applyAlignment="1" applyFont="1">
      <alignment horizontal="center" shrinkToFit="0" vertical="center" wrapText="1"/>
    </xf>
    <xf borderId="0" fillId="8" fontId="5" numFmtId="0" xfId="0" applyAlignment="1" applyFont="1">
      <alignment horizontal="center"/>
    </xf>
    <xf borderId="0" fillId="23" fontId="14" numFmtId="0" xfId="0" applyAlignment="1" applyFill="1" applyFont="1">
      <alignment horizontal="center" shrinkToFit="0" vertical="center" wrapText="1"/>
    </xf>
    <xf borderId="15" fillId="23" fontId="15" numFmtId="0" xfId="0" applyAlignment="1" applyBorder="1" applyFont="1">
      <alignment horizontal="center" shrinkToFit="0" vertical="center" wrapText="1"/>
    </xf>
    <xf borderId="0" fillId="23" fontId="16" numFmtId="0" xfId="0" applyAlignment="1" applyFont="1">
      <alignment horizontal="center" shrinkToFit="0" vertical="center" wrapText="1"/>
    </xf>
    <xf borderId="0" fillId="23" fontId="17" numFmtId="0" xfId="0" applyAlignment="1" applyFont="1">
      <alignment horizontal="center" shrinkToFit="0" vertical="center" wrapText="1"/>
    </xf>
    <xf borderId="0" fillId="23" fontId="18" numFmtId="0" xfId="0" applyAlignment="1" applyFont="1">
      <alignment horizontal="center" shrinkToFit="0" vertical="center" wrapText="1"/>
    </xf>
    <xf borderId="0" fillId="23" fontId="19" numFmtId="0" xfId="0" applyAlignment="1" applyFont="1">
      <alignment horizontal="center" vertical="center"/>
    </xf>
    <xf borderId="0" fillId="23" fontId="14" numFmtId="0" xfId="0" applyAlignment="1" applyFont="1">
      <alignment horizontal="center" shrinkToFit="0" wrapText="1"/>
    </xf>
    <xf borderId="0" fillId="23" fontId="20" numFmtId="0" xfId="0" applyFont="1"/>
    <xf borderId="0" fillId="23" fontId="14" numFmtId="0" xfId="0" applyAlignment="1" applyFont="1">
      <alignment horizontal="center" shrinkToFit="0" vertical="bottom" wrapText="1"/>
    </xf>
    <xf borderId="0" fillId="23" fontId="21" numFmtId="0" xfId="0" applyAlignment="1" applyFont="1">
      <alignment horizontal="center" shrinkToFit="0" vertical="center" wrapText="1"/>
    </xf>
    <xf borderId="0" fillId="23" fontId="22" numFmtId="0" xfId="0" applyFont="1"/>
    <xf borderId="0" fillId="11" fontId="2" numFmtId="0" xfId="0" applyAlignment="1" applyFont="1">
      <alignment horizontal="center" shrinkToFit="0" vertical="center" wrapText="1"/>
    </xf>
    <xf borderId="0" fillId="11" fontId="7" numFmtId="0" xfId="0" applyAlignment="1" applyFont="1">
      <alignment horizontal="center" shrinkToFit="0" vertical="center" wrapText="1"/>
    </xf>
    <xf borderId="0" fillId="24" fontId="14" numFmtId="0" xfId="0" applyAlignment="1" applyFill="1" applyFont="1">
      <alignment horizontal="center" shrinkToFit="0" vertical="center" wrapText="1"/>
    </xf>
    <xf borderId="15" fillId="24" fontId="15" numFmtId="0" xfId="0" applyAlignment="1" applyBorder="1" applyFont="1">
      <alignment horizontal="center" shrinkToFit="0" vertical="center" wrapText="1"/>
    </xf>
    <xf borderId="0" fillId="24" fontId="16" numFmtId="0" xfId="0" applyAlignment="1" applyFont="1">
      <alignment horizontal="center" shrinkToFit="0" vertical="center" wrapText="1"/>
    </xf>
    <xf borderId="0" fillId="24" fontId="17" numFmtId="0" xfId="0" applyAlignment="1" applyFont="1">
      <alignment horizontal="center" shrinkToFit="0" vertical="center" wrapText="1"/>
    </xf>
    <xf borderId="0" fillId="24" fontId="18" numFmtId="0" xfId="0" applyAlignment="1" applyFont="1">
      <alignment horizontal="center" shrinkToFit="0" vertical="center" wrapText="1"/>
    </xf>
    <xf borderId="0" fillId="24" fontId="19" numFmtId="0" xfId="0" applyAlignment="1" applyFont="1">
      <alignment horizontal="center" vertical="center"/>
    </xf>
    <xf borderId="0" fillId="24" fontId="14" numFmtId="0" xfId="0" applyAlignment="1" applyFont="1">
      <alignment horizontal="center" shrinkToFit="0" wrapText="1"/>
    </xf>
    <xf borderId="0" fillId="24" fontId="20" numFmtId="0" xfId="0" applyFont="1"/>
    <xf borderId="0" fillId="24" fontId="14" numFmtId="0" xfId="0" applyAlignment="1" applyFont="1">
      <alignment horizontal="center" shrinkToFit="0" vertical="bottom" wrapText="1"/>
    </xf>
    <xf borderId="0" fillId="24" fontId="21" numFmtId="0" xfId="0" applyAlignment="1" applyFont="1">
      <alignment horizontal="center" shrinkToFit="0" vertical="center" wrapText="1"/>
    </xf>
    <xf borderId="0" fillId="24" fontId="22" numFmtId="0" xfId="0" applyFont="1"/>
    <xf borderId="0" fillId="11" fontId="5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0" fillId="0" fontId="5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left" readingOrder="0" shrinkToFit="0" wrapText="1"/>
    </xf>
    <xf borderId="9" fillId="0" fontId="23" numFmtId="0" xfId="0" applyAlignment="1" applyBorder="1" applyFont="1">
      <alignment horizontal="left" readingOrder="0" shrinkToFit="0" vertical="top" wrapText="0"/>
    </xf>
    <xf borderId="0" fillId="0" fontId="24" numFmtId="0" xfId="0" applyAlignment="1" applyFont="1">
      <alignment shrinkToFit="0" wrapText="0"/>
    </xf>
    <xf borderId="10" fillId="0" fontId="25" numFmtId="0" xfId="0" applyAlignment="1" applyBorder="1" applyFont="1">
      <alignment horizontal="left" readingOrder="0" shrinkToFit="0" vertical="bottom" wrapText="1"/>
    </xf>
    <xf borderId="10" fillId="0" fontId="25" numFmtId="0" xfId="0" applyAlignment="1" applyBorder="1" applyFont="1">
      <alignment horizontal="left" shrinkToFit="0" vertical="bottom" wrapText="1"/>
    </xf>
    <xf borderId="11" fillId="0" fontId="25" numFmtId="0" xfId="0" applyAlignment="1" applyBorder="1" applyFont="1">
      <alignment horizontal="left" readingOrder="0" shrinkToFit="0" vertical="bottom" wrapText="1"/>
    </xf>
    <xf borderId="11" fillId="0" fontId="25" numFmtId="0" xfId="0" applyAlignment="1" applyBorder="1" applyFont="1">
      <alignment horizontal="left" shrinkToFit="0" vertical="bottom" wrapText="1"/>
    </xf>
    <xf borderId="3" fillId="0" fontId="25" numFmtId="0" xfId="0" applyAlignment="1" applyBorder="1" applyFont="1">
      <alignment horizontal="left" readingOrder="0" shrinkToFit="0" vertical="bottom" wrapText="1"/>
    </xf>
    <xf borderId="3" fillId="0" fontId="25" numFmtId="0" xfId="0" applyAlignment="1" applyBorder="1" applyFont="1">
      <alignment horizontal="left" shrinkToFit="0" vertical="bottom" wrapText="1"/>
    </xf>
    <xf borderId="0" fillId="0" fontId="25" numFmtId="0" xfId="0" applyAlignment="1" applyFont="1">
      <alignment horizontal="left" readingOrder="0" shrinkToFit="0" vertical="bottom" wrapText="1"/>
    </xf>
    <xf borderId="0" fillId="0" fontId="25" numFmtId="0" xfId="0" applyAlignment="1" applyFont="1">
      <alignment horizontal="left" shrinkToFit="0" vertical="bottom" wrapText="1"/>
    </xf>
    <xf borderId="9" fillId="0" fontId="12" numFmtId="0" xfId="0" applyAlignment="1" applyBorder="1" applyFont="1">
      <alignment horizontal="left" readingOrder="0" shrinkToFit="0" wrapText="1"/>
    </xf>
    <xf borderId="10" fillId="0" fontId="5" numFmtId="0" xfId="0" applyAlignment="1" applyBorder="1" applyFont="1">
      <alignment horizontal="left" readingOrder="0" shrinkToFit="0" wrapText="1"/>
    </xf>
    <xf borderId="10" fillId="0" fontId="5" numFmtId="0" xfId="0" applyAlignment="1" applyBorder="1" applyFont="1">
      <alignment horizontal="left" shrinkToFit="0" wrapText="1"/>
    </xf>
    <xf borderId="11" fillId="0" fontId="5" numFmtId="0" xfId="0" applyAlignment="1" applyBorder="1" applyFont="1">
      <alignment horizontal="left" readingOrder="0" shrinkToFit="0" wrapText="1"/>
    </xf>
    <xf borderId="11" fillId="0" fontId="5" numFmtId="0" xfId="0" applyAlignment="1" applyBorder="1" applyFont="1">
      <alignment horizontal="left" shrinkToFit="0" wrapText="1"/>
    </xf>
    <xf borderId="9" fillId="0" fontId="12" numFmtId="0" xfId="0" applyAlignment="1" applyBorder="1" applyFont="1">
      <alignment horizontal="left" readingOrder="0" shrinkToFit="0" wrapText="0"/>
    </xf>
    <xf borderId="9" fillId="0" fontId="5" numFmtId="0" xfId="0" applyAlignment="1" applyBorder="1" applyFont="1">
      <alignment horizontal="left" shrinkToFit="0" wrapText="0"/>
    </xf>
    <xf borderId="9" fillId="0" fontId="5" numFmtId="0" xfId="0" applyAlignment="1" applyBorder="1" applyFont="1">
      <alignment horizontal="left" shrinkToFit="0" wrapText="1"/>
    </xf>
    <xf borderId="0" fillId="0" fontId="26" numFmtId="0" xfId="0" applyAlignment="1" applyFont="1">
      <alignment horizontal="left" readingOrder="0" shrinkToFit="0" wrapText="1"/>
    </xf>
    <xf borderId="12" fillId="0" fontId="12" numFmtId="0" xfId="0" applyAlignment="1" applyBorder="1" applyFont="1">
      <alignment horizontal="left" readingOrder="0" shrinkToFit="0" wrapText="1"/>
    </xf>
    <xf borderId="13" fillId="0" fontId="12" numFmtId="0" xfId="0" applyAlignment="1" applyBorder="1" applyFont="1">
      <alignment horizontal="left" readingOrder="0" shrinkToFit="0" wrapText="1"/>
    </xf>
    <xf borderId="14" fillId="0" fontId="12" numFmtId="0" xfId="0" applyAlignment="1" applyBorder="1" applyFont="1">
      <alignment horizontal="left" readingOrder="0" shrinkToFit="0" wrapText="1"/>
    </xf>
    <xf borderId="9" fillId="0" fontId="27" numFmtId="0" xfId="0" applyAlignment="1" applyBorder="1" applyFont="1">
      <alignment horizontal="center" readingOrder="0"/>
    </xf>
    <xf borderId="10" fillId="0" fontId="24" numFmtId="0" xfId="0" applyAlignment="1" applyBorder="1" applyFont="1">
      <alignment readingOrder="0"/>
    </xf>
    <xf borderId="10" fillId="0" fontId="24" numFmtId="0" xfId="0" applyBorder="1" applyFont="1"/>
    <xf borderId="11" fillId="0" fontId="24" numFmtId="0" xfId="0" applyAlignment="1" applyBorder="1" applyFont="1">
      <alignment readingOrder="0"/>
    </xf>
    <xf borderId="11" fillId="0" fontId="24" numFmtId="0" xfId="0" applyBorder="1" applyFont="1"/>
    <xf borderId="0" fillId="0" fontId="27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0" fontId="24" numFmtId="0" xfId="0" applyFont="1"/>
    <xf borderId="9" fillId="25" fontId="28" numFmtId="0" xfId="0" applyAlignment="1" applyBorder="1" applyFill="1" applyFont="1">
      <alignment horizontal="center" shrinkToFit="0" vertical="center" wrapText="1"/>
    </xf>
    <xf borderId="9" fillId="25" fontId="29" numFmtId="0" xfId="0" applyAlignment="1" applyBorder="1" applyFont="1">
      <alignment horizontal="center" shrinkToFit="0" vertical="center" wrapText="1"/>
    </xf>
    <xf borderId="9" fillId="25" fontId="30" numFmtId="0" xfId="0" applyAlignment="1" applyBorder="1" applyFont="1">
      <alignment horizontal="center" shrinkToFit="0" vertical="center" wrapText="1"/>
    </xf>
    <xf borderId="7" fillId="26" fontId="28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6" fillId="4" fontId="31" numFmtId="0" xfId="0" applyAlignment="1" applyBorder="1" applyFont="1">
      <alignment horizontal="center" shrinkToFit="0" vertical="center" wrapText="1"/>
    </xf>
    <xf borderId="0" fillId="4" fontId="32" numFmtId="0" xfId="0" applyAlignment="1" applyFont="1">
      <alignment horizontal="center" shrinkToFit="0" vertical="center" wrapText="1"/>
    </xf>
    <xf borderId="0" fillId="4" fontId="33" numFmtId="0" xfId="0" applyAlignment="1" applyFont="1">
      <alignment horizontal="center" shrinkToFit="0" vertical="center" wrapText="1"/>
    </xf>
    <xf borderId="6" fillId="4" fontId="33" numFmtId="0" xfId="0" applyAlignment="1" applyBorder="1" applyFont="1">
      <alignment horizontal="center" shrinkToFit="0" vertical="center" wrapText="1"/>
    </xf>
    <xf borderId="0" fillId="4" fontId="34" numFmtId="0" xfId="0" applyAlignment="1" applyFont="1">
      <alignment horizontal="center" shrinkToFit="0" vertical="center" wrapText="1"/>
    </xf>
    <xf borderId="0" fillId="4" fontId="35" numFmtId="0" xfId="0" applyAlignment="1" applyFont="1">
      <alignment horizontal="center" shrinkToFit="0" vertical="center" wrapText="1"/>
    </xf>
    <xf borderId="0" fillId="4" fontId="36" numFmtId="0" xfId="0" applyAlignment="1" applyFont="1">
      <alignment horizontal="center" shrinkToFit="0" vertical="center" wrapText="1"/>
    </xf>
    <xf borderId="0" fillId="4" fontId="37" numFmtId="0" xfId="0" applyAlignment="1" applyFont="1">
      <alignment horizontal="center" shrinkToFit="0" vertical="center" wrapText="1"/>
    </xf>
    <xf borderId="6" fillId="4" fontId="38" numFmtId="0" xfId="0" applyAlignment="1" applyBorder="1" applyFont="1">
      <alignment horizontal="center" shrinkToFit="0" vertical="center" wrapText="1"/>
    </xf>
    <xf borderId="0" fillId="4" fontId="23" numFmtId="0" xfId="0" applyAlignment="1" applyFont="1">
      <alignment horizontal="center" shrinkToFit="0" vertical="center" wrapText="1"/>
    </xf>
    <xf borderId="5" fillId="4" fontId="38" numFmtId="0" xfId="0" applyAlignment="1" applyBorder="1" applyFont="1">
      <alignment horizontal="center" shrinkToFit="0" vertical="center" wrapText="1"/>
    </xf>
    <xf borderId="5" fillId="4" fontId="39" numFmtId="0" xfId="0" applyAlignment="1" applyBorder="1" applyFont="1">
      <alignment horizontal="center" shrinkToFit="0" vertical="center" wrapText="1"/>
    </xf>
    <xf borderId="0" fillId="0" fontId="36" numFmtId="0" xfId="0" applyFont="1"/>
    <xf quotePrefix="1" borderId="0" fillId="4" fontId="37" numFmtId="0" xfId="0" applyAlignment="1" applyFont="1">
      <alignment horizontal="center" shrinkToFit="0" vertical="center" wrapText="1"/>
    </xf>
    <xf borderId="0" fillId="0" fontId="40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1" numFmtId="0" xfId="0" applyAlignment="1" applyFont="1">
      <alignment horizontal="center" shrinkToFit="0" vertical="center" wrapText="1"/>
    </xf>
    <xf borderId="6" fillId="0" fontId="41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8" fillId="27" fontId="36" numFmtId="0" xfId="0" applyAlignment="1" applyBorder="1" applyFill="1" applyFont="1">
      <alignment horizontal="left" shrinkToFit="0" vertical="bottom" wrapText="0"/>
    </xf>
    <xf borderId="1" fillId="27" fontId="36" numFmtId="0" xfId="0" applyAlignment="1" applyBorder="1" applyFont="1">
      <alignment horizontal="center" shrinkToFit="0" vertical="bottom" wrapText="0"/>
    </xf>
    <xf borderId="8" fillId="25" fontId="36" numFmtId="0" xfId="0" applyAlignment="1" applyBorder="1" applyFont="1">
      <alignment horizontal="center" shrinkToFit="0" vertical="bottom" wrapText="0"/>
    </xf>
    <xf borderId="0" fillId="27" fontId="36" numFmtId="0" xfId="0" applyAlignment="1" applyFont="1">
      <alignment horizontal="center" shrinkToFit="0" vertical="bottom" wrapText="0"/>
    </xf>
    <xf borderId="0" fillId="25" fontId="43" numFmtId="0" xfId="0" applyAlignment="1" applyFont="1">
      <alignment vertical="bottom"/>
    </xf>
    <xf borderId="8" fillId="6" fontId="23" numFmtId="0" xfId="0" applyAlignment="1" applyBorder="1" applyFont="1">
      <alignment horizontal="center" shrinkToFit="0" vertical="center" wrapText="1"/>
    </xf>
    <xf borderId="1" fillId="25" fontId="23" numFmtId="0" xfId="0" applyAlignment="1" applyBorder="1" applyFont="1">
      <alignment horizontal="center" shrinkToFit="0" vertical="center" wrapText="0"/>
    </xf>
    <xf borderId="8" fillId="15" fontId="23" numFmtId="0" xfId="0" applyAlignment="1" applyBorder="1" applyFont="1">
      <alignment horizontal="center" shrinkToFit="0" vertical="center" wrapText="1"/>
    </xf>
    <xf borderId="1" fillId="25" fontId="44" numFmtId="0" xfId="0" applyAlignment="1" applyBorder="1" applyFont="1">
      <alignment horizontal="center" shrinkToFit="0" vertical="center" wrapText="0"/>
    </xf>
    <xf borderId="16" fillId="12" fontId="10" numFmtId="0" xfId="0" applyAlignment="1" applyBorder="1" applyFont="1">
      <alignment horizontal="center" shrinkToFit="0" vertical="center" wrapText="1"/>
    </xf>
    <xf borderId="17" fillId="12" fontId="10" numFmtId="0" xfId="0" applyAlignment="1" applyBorder="1" applyFont="1">
      <alignment horizontal="center" shrinkToFit="0" vertical="center" wrapText="1"/>
    </xf>
    <xf borderId="0" fillId="25" fontId="43" numFmtId="0" xfId="0" applyAlignment="1" applyFont="1">
      <alignment horizontal="center" vertical="bottom"/>
    </xf>
    <xf borderId="8" fillId="27" fontId="36" numFmtId="0" xfId="0" applyAlignment="1" applyBorder="1" applyFont="1">
      <alignment horizontal="left" shrinkToFit="0" vertical="bottom" wrapText="0"/>
    </xf>
    <xf borderId="0" fillId="25" fontId="43" numFmtId="0" xfId="0" applyAlignment="1" applyFont="1">
      <alignment vertical="bottom"/>
    </xf>
    <xf borderId="8" fillId="27" fontId="36" numFmtId="0" xfId="0" applyAlignment="1" applyBorder="1" applyFont="1">
      <alignment horizontal="center" shrinkToFit="0" vertical="center" wrapText="0"/>
    </xf>
    <xf borderId="1" fillId="25" fontId="36" numFmtId="0" xfId="0" applyAlignment="1" applyBorder="1" applyFont="1">
      <alignment horizontal="center" shrinkToFit="0" vertical="center" wrapText="0"/>
    </xf>
    <xf borderId="9" fillId="27" fontId="36" numFmtId="0" xfId="0" applyAlignment="1" applyBorder="1" applyFont="1">
      <alignment horizontal="center" shrinkToFit="0" vertical="center" wrapText="0"/>
    </xf>
    <xf borderId="5" fillId="27" fontId="36" numFmtId="0" xfId="0" applyAlignment="1" applyBorder="1" applyFont="1">
      <alignment horizontal="center" shrinkToFit="0" vertical="center" wrapText="0"/>
    </xf>
    <xf borderId="1" fillId="27" fontId="36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7" fontId="2" numFmtId="0" xfId="0" applyAlignment="1" applyFont="1">
      <alignment horizontal="right"/>
    </xf>
    <xf borderId="0" fillId="7" fontId="2" numFmtId="0" xfId="0" applyAlignment="1" applyFont="1">
      <alignment horizontal="left"/>
    </xf>
    <xf borderId="0" fillId="10" fontId="2" numFmtId="0" xfId="0" applyAlignment="1" applyFont="1">
      <alignment horizontal="right" vertical="center"/>
    </xf>
    <xf borderId="0" fillId="10" fontId="2" numFmtId="0" xfId="0" applyAlignment="1" applyFont="1">
      <alignment horizontal="left" vertical="center"/>
    </xf>
    <xf borderId="0" fillId="12" fontId="2" numFmtId="0" xfId="0" applyAlignment="1" applyFont="1">
      <alignment horizontal="right"/>
    </xf>
    <xf borderId="0" fillId="12" fontId="2" numFmtId="0" xfId="0" applyAlignment="1" applyFont="1">
      <alignment horizontal="left"/>
    </xf>
    <xf borderId="0" fillId="13" fontId="2" numFmtId="0" xfId="0" applyAlignment="1" applyFont="1">
      <alignment horizontal="right"/>
    </xf>
    <xf borderId="0" fillId="13" fontId="2" numFmtId="0" xfId="0" applyAlignment="1" applyFont="1">
      <alignment horizontal="left"/>
    </xf>
    <xf borderId="0" fillId="15" fontId="2" numFmtId="0" xfId="0" applyAlignment="1" applyFont="1">
      <alignment horizontal="right"/>
    </xf>
    <xf borderId="0" fillId="15" fontId="2" numFmtId="0" xfId="0" applyAlignment="1" applyFont="1">
      <alignment horizontal="left"/>
    </xf>
    <xf borderId="0" fillId="17" fontId="2" numFmtId="0" xfId="0" applyAlignment="1" applyFont="1">
      <alignment horizontal="right"/>
    </xf>
    <xf borderId="0" fillId="17" fontId="2" numFmtId="0" xfId="0" applyAlignment="1" applyFont="1">
      <alignment horizontal="left"/>
    </xf>
    <xf borderId="0" fillId="6" fontId="2" numFmtId="0" xfId="0" applyAlignment="1" applyFont="1">
      <alignment horizontal="right"/>
    </xf>
    <xf borderId="0" fillId="6" fontId="2" numFmtId="0" xfId="0" applyAlignment="1" applyFont="1">
      <alignment horizontal="left"/>
    </xf>
    <xf borderId="0" fillId="18" fontId="2" numFmtId="0" xfId="0" applyAlignment="1" applyFont="1">
      <alignment horizontal="right"/>
    </xf>
    <xf borderId="0" fillId="18" fontId="2" numFmtId="0" xfId="0" applyAlignment="1" applyFont="1">
      <alignment horizontal="left"/>
    </xf>
    <xf borderId="0" fillId="20" fontId="2" numFmtId="0" xfId="0" applyAlignment="1" applyFont="1">
      <alignment horizontal="right"/>
    </xf>
    <xf borderId="0" fillId="20" fontId="2" numFmtId="0" xfId="0" applyAlignment="1" applyFont="1">
      <alignment horizontal="left"/>
    </xf>
    <xf borderId="0" fillId="21" fontId="2" numFmtId="0" xfId="0" applyAlignment="1" applyFont="1">
      <alignment horizontal="right"/>
    </xf>
    <xf borderId="0" fillId="21" fontId="2" numFmtId="0" xfId="0" applyAlignment="1" applyFont="1">
      <alignment horizontal="left"/>
    </xf>
    <xf borderId="0" fillId="10" fontId="2" numFmtId="0" xfId="0" applyAlignment="1" applyFont="1">
      <alignment horizontal="right"/>
    </xf>
    <xf borderId="0" fillId="10" fontId="2" numFmtId="0" xfId="0" applyAlignment="1" applyFont="1">
      <alignment horizontal="left"/>
    </xf>
    <xf borderId="0" fillId="7" fontId="2" numFmtId="0" xfId="0" applyAlignment="1" applyFont="1">
      <alignment horizontal="left" shrinkToFit="0" vertical="center" wrapText="1"/>
    </xf>
    <xf borderId="0" fillId="10" fontId="2" numFmtId="0" xfId="0" applyAlignment="1" applyFont="1">
      <alignment horizontal="left" shrinkToFit="0" vertical="center" wrapText="1"/>
    </xf>
    <xf borderId="0" fillId="12" fontId="2" numFmtId="0" xfId="0" applyAlignment="1" applyFont="1">
      <alignment horizontal="left" shrinkToFit="0" vertical="center" wrapText="1"/>
    </xf>
    <xf borderId="0" fillId="13" fontId="2" numFmtId="0" xfId="0" applyAlignment="1" applyFont="1">
      <alignment horizontal="left" shrinkToFit="0" vertical="center" wrapText="1"/>
    </xf>
    <xf borderId="0" fillId="15" fontId="2" numFmtId="0" xfId="0" applyAlignment="1" applyFont="1">
      <alignment horizontal="left" shrinkToFit="0" vertical="center" wrapText="1"/>
    </xf>
    <xf borderId="0" fillId="17" fontId="2" numFmtId="0" xfId="0" applyAlignment="1" applyFont="1">
      <alignment horizontal="left" shrinkToFit="0" vertical="center" wrapText="1"/>
    </xf>
    <xf borderId="0" fillId="6" fontId="2" numFmtId="0" xfId="0" applyAlignment="1" applyFont="1">
      <alignment horizontal="left" shrinkToFit="0" vertical="center" wrapText="1"/>
    </xf>
    <xf borderId="0" fillId="18" fontId="2" numFmtId="0" xfId="0" applyAlignment="1" applyFont="1">
      <alignment horizontal="left" shrinkToFit="0" vertical="center" wrapText="1"/>
    </xf>
    <xf borderId="0" fillId="20" fontId="2" numFmtId="0" xfId="0" applyAlignment="1" applyFont="1">
      <alignment horizontal="left" shrinkToFit="0" vertical="center" wrapText="1"/>
    </xf>
    <xf borderId="0" fillId="21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2" pivot="0" name="Habilidades de Rol-style"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:CW21" displayName="Table_1" name="Table_1" id="1">
  <tableColumns count="10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</tableColumns>
  <tableStyleInfo name="Habilidades de R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75"/>
    <col customWidth="1" min="2" max="6" width="12.63"/>
  </cols>
  <sheetData>
    <row r="1" ht="15.75" customHeight="1"/>
    <row r="2" ht="15.75" customHeight="1">
      <c r="B2" s="1" t="str">
        <f t="shared" ref="B2:B5" si="1">'Bonificadores - Bastrea Guerrero'!E1</f>
        <v>#REF!</v>
      </c>
      <c r="C2" s="2"/>
      <c r="D2" s="2"/>
      <c r="E2" s="2"/>
      <c r="F2" s="2"/>
      <c r="G2" s="3">
        <v>1.0</v>
      </c>
      <c r="H2" s="4"/>
      <c r="I2" s="4"/>
      <c r="J2" s="1" t="str">
        <f t="shared" ref="J2:J5" si="3">'Bonificadores - Ascaria Guerrero'!E1</f>
        <v>#REF!</v>
      </c>
      <c r="K2" s="2"/>
      <c r="L2" s="2"/>
      <c r="M2" s="2"/>
      <c r="N2" s="2"/>
      <c r="O2" s="3">
        <v>1.0</v>
      </c>
    </row>
    <row r="3" ht="15.75" customHeight="1">
      <c r="B3" s="5" t="str">
        <f t="shared" si="1"/>
        <v>#REF!</v>
      </c>
      <c r="C3" s="6" t="str">
        <f t="shared" ref="C3:G3" si="2">'Bonificadores - Bastrea Guerrero'!F2</f>
        <v>#REF!</v>
      </c>
      <c r="D3" s="6" t="str">
        <f t="shared" si="2"/>
        <v>#REF!</v>
      </c>
      <c r="E3" s="6" t="str">
        <f t="shared" si="2"/>
        <v>#REF!</v>
      </c>
      <c r="F3" s="6" t="str">
        <f t="shared" si="2"/>
        <v>#REF!</v>
      </c>
      <c r="G3" s="7" t="str">
        <f t="shared" si="2"/>
        <v>#REF!</v>
      </c>
      <c r="H3" s="8"/>
      <c r="I3" s="8"/>
      <c r="J3" s="5" t="str">
        <f t="shared" si="3"/>
        <v>#REF!</v>
      </c>
      <c r="K3" s="6" t="str">
        <f t="shared" ref="K3:O3" si="4">'Bonificadores - Ascaria Guerrero'!F2</f>
        <v>#REF!</v>
      </c>
      <c r="L3" s="6" t="str">
        <f t="shared" si="4"/>
        <v>#REF!</v>
      </c>
      <c r="M3" s="6" t="str">
        <f t="shared" si="4"/>
        <v>#REF!</v>
      </c>
      <c r="N3" s="6" t="str">
        <f t="shared" si="4"/>
        <v>#REF!</v>
      </c>
      <c r="O3" s="7" t="str">
        <f t="shared" si="4"/>
        <v>#REF!</v>
      </c>
    </row>
    <row r="4" ht="15.75" customHeight="1">
      <c r="A4" s="9" t="str">
        <f>"Vida "&amp;'Bonificadores - Bastrea Guerrero'!F7</f>
        <v>#REF!</v>
      </c>
      <c r="B4" s="10" t="str">
        <f t="shared" si="1"/>
        <v>#REF!</v>
      </c>
      <c r="C4" s="11" t="str">
        <f t="shared" ref="C4:G4" si="5">'Bonificadores - Bastrea Guerrero'!F3</f>
        <v>#REF!</v>
      </c>
      <c r="D4" s="11" t="str">
        <f t="shared" si="5"/>
        <v>#REF!</v>
      </c>
      <c r="E4" s="11" t="str">
        <f t="shared" si="5"/>
        <v>#REF!</v>
      </c>
      <c r="F4" s="11" t="str">
        <f t="shared" si="5"/>
        <v>#REF!</v>
      </c>
      <c r="G4" s="12" t="str">
        <f t="shared" si="5"/>
        <v>#REF!</v>
      </c>
      <c r="I4" s="9" t="str">
        <f>"Vida "&amp;'Bonificadores - Ascaria Guerrero'!F7</f>
        <v>#REF!</v>
      </c>
      <c r="J4" s="10" t="str">
        <f t="shared" si="3"/>
        <v>#REF!</v>
      </c>
      <c r="K4" s="11" t="str">
        <f t="shared" ref="K4:O4" si="6">'Bonificadores - Ascaria Guerrero'!F3</f>
        <v>#REF!</v>
      </c>
      <c r="L4" s="11" t="str">
        <f t="shared" si="6"/>
        <v>#REF!</v>
      </c>
      <c r="M4" s="11" t="str">
        <f t="shared" si="6"/>
        <v>#REF!</v>
      </c>
      <c r="N4" s="11" t="str">
        <f t="shared" si="6"/>
        <v>#REF!</v>
      </c>
      <c r="O4" s="12" t="str">
        <f t="shared" si="6"/>
        <v>#REF!</v>
      </c>
    </row>
    <row r="5" ht="15.75" customHeight="1">
      <c r="A5" s="9" t="str">
        <f>"Armadura "&amp;'Bonificadores - Bastrea Guerrero'!G7</f>
        <v>#REF!</v>
      </c>
      <c r="B5" s="13" t="str">
        <f t="shared" si="1"/>
        <v>#REF!</v>
      </c>
      <c r="C5" s="14" t="str">
        <f t="shared" ref="C5:G5" si="7">'Bonificadores - Bastrea Guerrero'!F4</f>
        <v>#REF!</v>
      </c>
      <c r="D5" s="14" t="str">
        <f t="shared" si="7"/>
        <v>#REF!</v>
      </c>
      <c r="E5" s="14" t="str">
        <f t="shared" si="7"/>
        <v>#REF!</v>
      </c>
      <c r="F5" s="14" t="str">
        <f t="shared" si="7"/>
        <v>#REF!</v>
      </c>
      <c r="G5" s="15" t="str">
        <f t="shared" si="7"/>
        <v>#REF!</v>
      </c>
      <c r="I5" s="9" t="str">
        <f>"Armadura "&amp;'Bonificadores - Bastrea Guerrero'!N7</f>
        <v>#REF!</v>
      </c>
      <c r="J5" s="13" t="str">
        <f t="shared" si="3"/>
        <v>#REF!</v>
      </c>
      <c r="K5" s="14" t="str">
        <f t="shared" ref="K5:O5" si="8">'Bonificadores - Ascaria Guerrero'!F4</f>
        <v>#REF!</v>
      </c>
      <c r="L5" s="14" t="str">
        <f t="shared" si="8"/>
        <v>#REF!</v>
      </c>
      <c r="M5" s="14" t="str">
        <f t="shared" si="8"/>
        <v>#REF!</v>
      </c>
      <c r="N5" s="14" t="str">
        <f t="shared" si="8"/>
        <v>#REF!</v>
      </c>
      <c r="O5" s="15" t="str">
        <f t="shared" si="8"/>
        <v>#REF!</v>
      </c>
    </row>
    <row r="6" ht="15.75" customHeigh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B7" s="1" t="str">
        <f>'Bonificadores - Bastrea Paladin'!E1</f>
        <v>Humano de Bastrea, Paladin de Nivel 1</v>
      </c>
      <c r="C7" s="2"/>
      <c r="D7" s="2"/>
      <c r="E7" s="2"/>
      <c r="F7" s="2"/>
      <c r="G7" s="3">
        <v>1.0</v>
      </c>
      <c r="H7" s="4"/>
      <c r="I7" s="4"/>
      <c r="J7" s="1" t="str">
        <f t="shared" ref="J7:J10" si="9">'Bonificadores - Ascaria Paladin'!E1</f>
        <v>#REF!</v>
      </c>
      <c r="K7" s="2"/>
      <c r="L7" s="2"/>
      <c r="M7" s="2"/>
      <c r="N7" s="2"/>
      <c r="O7" s="3">
        <v>1.0</v>
      </c>
    </row>
    <row r="8" ht="15.75" customHeight="1">
      <c r="B8" s="5" t="str">
        <f>'Bonificadores - Bastrea Paladin'!E2</f>
        <v>Fue</v>
      </c>
      <c r="C8" s="6" t="str">
        <f>'Bonificadores - Bastrea Paladin'!F2</f>
        <v>Des</v>
      </c>
      <c r="D8" s="6" t="str">
        <f>'Bonificadores - Bastrea Paladin'!G2</f>
        <v>Con</v>
      </c>
      <c r="E8" s="6" t="str">
        <f>'Bonificadores - Bastrea Paladin'!H2</f>
        <v>Int</v>
      </c>
      <c r="F8" s="6" t="str">
        <f>'Bonificadores - Bastrea Paladin'!I2</f>
        <v>Sab</v>
      </c>
      <c r="G8" s="7" t="str">
        <f>'Bonificadores - Bastrea Paladin'!J2</f>
        <v>Car</v>
      </c>
      <c r="H8" s="8"/>
      <c r="I8" s="8"/>
      <c r="J8" s="5" t="str">
        <f t="shared" si="9"/>
        <v>#REF!</v>
      </c>
      <c r="K8" s="6" t="str">
        <f t="shared" ref="K8:O8" si="10">'Bonificadores - Ascaria Paladin'!F2</f>
        <v>#REF!</v>
      </c>
      <c r="L8" s="6" t="str">
        <f t="shared" si="10"/>
        <v>#REF!</v>
      </c>
      <c r="M8" s="6" t="str">
        <f t="shared" si="10"/>
        <v>#REF!</v>
      </c>
      <c r="N8" s="6" t="str">
        <f t="shared" si="10"/>
        <v>#REF!</v>
      </c>
      <c r="O8" s="7" t="str">
        <f t="shared" si="10"/>
        <v>#REF!</v>
      </c>
    </row>
    <row r="9" ht="15.75" customHeight="1">
      <c r="A9" s="9" t="str">
        <f>"Vida "&amp;'Bonificadores - Bastrea Paladin'!F7</f>
        <v>Vida 7</v>
      </c>
      <c r="B9" s="10">
        <f>'Bonificadores - Bastrea Paladin'!E3</f>
        <v>16</v>
      </c>
      <c r="C9" s="11">
        <f>'Bonificadores - Bastrea Paladin'!F3</f>
        <v>11</v>
      </c>
      <c r="D9" s="11">
        <f>'Bonificadores - Bastrea Paladin'!G3</f>
        <v>11</v>
      </c>
      <c r="E9" s="11">
        <f>'Bonificadores - Bastrea Paladin'!H3</f>
        <v>10</v>
      </c>
      <c r="F9" s="11">
        <f>'Bonificadores - Bastrea Paladin'!I3</f>
        <v>14</v>
      </c>
      <c r="G9" s="12">
        <f>'Bonificadores - Bastrea Paladin'!J3</f>
        <v>7</v>
      </c>
      <c r="I9" s="9" t="str">
        <f>"Vida "&amp;'Bonificadores - Bastrea Guerrero'!M12</f>
        <v>#REF!</v>
      </c>
      <c r="J9" s="10" t="str">
        <f t="shared" si="9"/>
        <v>#REF!</v>
      </c>
      <c r="K9" s="11" t="str">
        <f t="shared" ref="K9:O9" si="11">'Bonificadores - Ascaria Paladin'!F3</f>
        <v>#REF!</v>
      </c>
      <c r="L9" s="11" t="str">
        <f t="shared" si="11"/>
        <v>#REF!</v>
      </c>
      <c r="M9" s="11" t="str">
        <f t="shared" si="11"/>
        <v>#REF!</v>
      </c>
      <c r="N9" s="11" t="str">
        <f t="shared" si="11"/>
        <v>#REF!</v>
      </c>
      <c r="O9" s="12" t="str">
        <f t="shared" si="11"/>
        <v>#REF!</v>
      </c>
    </row>
    <row r="10" ht="15.75" customHeight="1">
      <c r="A10" s="9" t="str">
        <f>"Armadura "&amp;'Bonificadores - Bastrea Paladin'!G7</f>
        <v>Armadura 11</v>
      </c>
      <c r="B10" s="13">
        <f>'Bonificadores - Bastrea Paladin'!E4</f>
        <v>4</v>
      </c>
      <c r="C10" s="14">
        <f>'Bonificadores - Bastrea Paladin'!F4</f>
        <v>1</v>
      </c>
      <c r="D10" s="14">
        <f>'Bonificadores - Bastrea Paladin'!G4</f>
        <v>-1</v>
      </c>
      <c r="E10" s="14">
        <f>'Bonificadores - Bastrea Paladin'!H4</f>
        <v>0</v>
      </c>
      <c r="F10" s="14">
        <f>'Bonificadores - Bastrea Paladin'!I4</f>
        <v>3</v>
      </c>
      <c r="G10" s="15">
        <f>'Bonificadores - Bastrea Paladin'!J4</f>
        <v>-3</v>
      </c>
      <c r="I10" s="9" t="str">
        <f>"Armadura "&amp;'Bonificadores - Bastrea Guerrero'!N12</f>
        <v>#REF!</v>
      </c>
      <c r="J10" s="13" t="str">
        <f t="shared" si="9"/>
        <v>#REF!</v>
      </c>
      <c r="K10" s="14" t="str">
        <f t="shared" ref="K10:O10" si="12">'Bonificadores - Ascaria Paladin'!F4</f>
        <v>#REF!</v>
      </c>
      <c r="L10" s="14" t="str">
        <f t="shared" si="12"/>
        <v>#REF!</v>
      </c>
      <c r="M10" s="14" t="str">
        <f t="shared" si="12"/>
        <v>#REF!</v>
      </c>
      <c r="N10" s="14" t="str">
        <f t="shared" si="12"/>
        <v>#REF!</v>
      </c>
      <c r="O10" s="15" t="str">
        <f t="shared" si="12"/>
        <v>#REF!</v>
      </c>
    </row>
    <row r="11" ht="15.75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B12" s="1" t="str">
        <f t="shared" ref="B12:B15" si="13">'Bonificadores - Bastrea Mago'!E1</f>
        <v>#REF!</v>
      </c>
      <c r="C12" s="2"/>
      <c r="D12" s="2"/>
      <c r="E12" s="2"/>
      <c r="F12" s="2"/>
      <c r="G12" s="3">
        <v>1.0</v>
      </c>
      <c r="J12" s="1" t="str">
        <f t="shared" ref="J12:J15" si="15">'Bonificadores - Ascaria Mago'!E1</f>
        <v>#REF!</v>
      </c>
      <c r="K12" s="2"/>
      <c r="L12" s="2"/>
      <c r="M12" s="2"/>
      <c r="N12" s="2"/>
      <c r="O12" s="3">
        <v>1.0</v>
      </c>
    </row>
    <row r="13" ht="15.75" customHeight="1">
      <c r="B13" s="5" t="str">
        <f t="shared" si="13"/>
        <v>#REF!</v>
      </c>
      <c r="C13" s="6" t="str">
        <f t="shared" ref="C13:G13" si="14">'Bonificadores - Bastrea Mago'!F2</f>
        <v>#REF!</v>
      </c>
      <c r="D13" s="6" t="str">
        <f t="shared" si="14"/>
        <v>#REF!</v>
      </c>
      <c r="E13" s="6" t="str">
        <f t="shared" si="14"/>
        <v>#REF!</v>
      </c>
      <c r="F13" s="6" t="str">
        <f t="shared" si="14"/>
        <v>#REF!</v>
      </c>
      <c r="G13" s="7" t="str">
        <f t="shared" si="14"/>
        <v>#REF!</v>
      </c>
      <c r="J13" s="5" t="str">
        <f t="shared" si="15"/>
        <v>#REF!</v>
      </c>
      <c r="K13" s="6" t="str">
        <f t="shared" ref="K13:O13" si="16">'Bonificadores - Ascaria Mago'!F2</f>
        <v>#REF!</v>
      </c>
      <c r="L13" s="6" t="str">
        <f t="shared" si="16"/>
        <v>#REF!</v>
      </c>
      <c r="M13" s="6" t="str">
        <f t="shared" si="16"/>
        <v>#REF!</v>
      </c>
      <c r="N13" s="6" t="str">
        <f t="shared" si="16"/>
        <v>#REF!</v>
      </c>
      <c r="O13" s="7" t="str">
        <f t="shared" si="16"/>
        <v>#REF!</v>
      </c>
    </row>
    <row r="14" ht="15.75" customHeight="1">
      <c r="A14" s="9" t="str">
        <f>"Vida "&amp;'Bonificadores - Bastrea Mago'!F7</f>
        <v>#REF!</v>
      </c>
      <c r="B14" s="10" t="str">
        <f t="shared" si="13"/>
        <v>#REF!</v>
      </c>
      <c r="C14" s="11" t="str">
        <f t="shared" ref="C14:G14" si="17">'Bonificadores - Bastrea Mago'!F3</f>
        <v>#REF!</v>
      </c>
      <c r="D14" s="11" t="str">
        <f t="shared" si="17"/>
        <v>#REF!</v>
      </c>
      <c r="E14" s="11" t="str">
        <f t="shared" si="17"/>
        <v>#REF!</v>
      </c>
      <c r="F14" s="11" t="str">
        <f t="shared" si="17"/>
        <v>#REF!</v>
      </c>
      <c r="G14" s="12" t="str">
        <f t="shared" si="17"/>
        <v>#REF!</v>
      </c>
      <c r="I14" s="9" t="str">
        <f>"Vida "&amp;'Bonificadores - Bastrea Guerrero'!M17</f>
        <v>#REF!</v>
      </c>
      <c r="J14" s="10" t="str">
        <f t="shared" si="15"/>
        <v>#REF!</v>
      </c>
      <c r="K14" s="11" t="str">
        <f t="shared" ref="K14:O14" si="18">'Bonificadores - Ascaria Mago'!F3</f>
        <v>#REF!</v>
      </c>
      <c r="L14" s="11" t="str">
        <f t="shared" si="18"/>
        <v>#REF!</v>
      </c>
      <c r="M14" s="11" t="str">
        <f t="shared" si="18"/>
        <v>#REF!</v>
      </c>
      <c r="N14" s="11" t="str">
        <f t="shared" si="18"/>
        <v>#REF!</v>
      </c>
      <c r="O14" s="12" t="str">
        <f t="shared" si="18"/>
        <v>#REF!</v>
      </c>
    </row>
    <row r="15" ht="15.75" customHeight="1">
      <c r="A15" s="9" t="str">
        <f>"Armadura "&amp;'Bonificadores - Bastrea Mago'!G7</f>
        <v>#REF!</v>
      </c>
      <c r="B15" s="13" t="str">
        <f t="shared" si="13"/>
        <v>#REF!</v>
      </c>
      <c r="C15" s="14" t="str">
        <f t="shared" ref="C15:G15" si="19">'Bonificadores - Bastrea Mago'!F4</f>
        <v>#REF!</v>
      </c>
      <c r="D15" s="14" t="str">
        <f t="shared" si="19"/>
        <v>#REF!</v>
      </c>
      <c r="E15" s="14" t="str">
        <f t="shared" si="19"/>
        <v>#REF!</v>
      </c>
      <c r="F15" s="14" t="str">
        <f t="shared" si="19"/>
        <v>#REF!</v>
      </c>
      <c r="G15" s="15" t="str">
        <f t="shared" si="19"/>
        <v>#REF!</v>
      </c>
      <c r="I15" s="9" t="str">
        <f>"Armadura "&amp;'Bonificadores - Bastrea Guerrero'!N17</f>
        <v>#REF!</v>
      </c>
      <c r="J15" s="13" t="str">
        <f t="shared" si="15"/>
        <v>#REF!</v>
      </c>
      <c r="K15" s="14" t="str">
        <f t="shared" ref="K15:O15" si="20">'Bonificadores - Ascaria Mago'!F4</f>
        <v>#REF!</v>
      </c>
      <c r="L15" s="14" t="str">
        <f t="shared" si="20"/>
        <v>#REF!</v>
      </c>
      <c r="M15" s="14" t="str">
        <f t="shared" si="20"/>
        <v>#REF!</v>
      </c>
      <c r="N15" s="14" t="str">
        <f t="shared" si="20"/>
        <v>#REF!</v>
      </c>
      <c r="O15" s="15" t="str">
        <f t="shared" si="20"/>
        <v>#REF!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21.5"/>
    <col customWidth="1" min="17" max="23" width="16.5"/>
  </cols>
  <sheetData>
    <row r="1" ht="15.75" customHeight="1">
      <c r="A1" s="16" t="s">
        <v>0</v>
      </c>
      <c r="B1" s="16" t="s">
        <v>1</v>
      </c>
      <c r="C1" s="16"/>
      <c r="D1" s="17"/>
      <c r="E1" s="17" t="str">
        <f>M1&amp; " de " &amp;M2&amp; ", " &amp; M3 &amp; " de Nivel " &amp; $L$2</f>
        <v>Humano de Bastrea, Paladin de Nivel 1</v>
      </c>
      <c r="L1" s="9" t="s">
        <v>2</v>
      </c>
      <c r="M1" s="9" t="s">
        <v>3</v>
      </c>
      <c r="Q1" s="9"/>
      <c r="R1" s="9" t="s">
        <v>4</v>
      </c>
      <c r="S1" s="9" t="s">
        <v>5</v>
      </c>
      <c r="T1" s="9" t="s">
        <v>6</v>
      </c>
      <c r="U1" s="9" t="s">
        <v>7</v>
      </c>
      <c r="V1" s="9" t="s">
        <v>8</v>
      </c>
      <c r="W1" s="9" t="s">
        <v>9</v>
      </c>
      <c r="X1" s="9" t="s">
        <v>10</v>
      </c>
      <c r="Y1" s="9" t="s">
        <v>11</v>
      </c>
    </row>
    <row r="2" ht="15.75" customHeight="1">
      <c r="A2" s="18" t="s">
        <v>12</v>
      </c>
      <c r="B2" s="19">
        <v>-7.0</v>
      </c>
      <c r="C2" s="19"/>
      <c r="D2" s="17"/>
      <c r="E2" s="20" t="s">
        <v>13</v>
      </c>
      <c r="F2" s="20" t="s">
        <v>14</v>
      </c>
      <c r="G2" s="20" t="s">
        <v>15</v>
      </c>
      <c r="H2" s="20" t="s">
        <v>16</v>
      </c>
      <c r="I2" s="20" t="s">
        <v>17</v>
      </c>
      <c r="J2" s="20" t="s">
        <v>18</v>
      </c>
      <c r="L2" s="21">
        <f>'Hoja 1'!G7</f>
        <v>1</v>
      </c>
      <c r="M2" s="9" t="s">
        <v>19</v>
      </c>
      <c r="R2" s="22">
        <f t="shared" ref="R2:R21" si="3">LOOKUP($X2+$A$48+$A$53,$X$2:$X$101,$Y$2:$Y$101)</f>
        <v>-3</v>
      </c>
      <c r="S2" s="22">
        <f t="shared" ref="S2:S21" si="4">LOOKUP($X2+$B$48+$B$53,$X$2:$X$101,$Y$2:$Y$101)</f>
        <v>-4</v>
      </c>
      <c r="T2" s="9" t="str">
        <f t="shared" ref="T2:T21" si="5">LOOKUP($X2+$C$48+$C$53,$X$2:$X$101,$Y$2:$Y$101)</f>
        <v>#N/A</v>
      </c>
      <c r="U2" s="22">
        <f t="shared" ref="U2:U21" si="6">LOOKUP($X2+$A$50+$A$55,$X$2:$X$101,$Y$2:$Y$101)</f>
        <v>-5</v>
      </c>
      <c r="V2" s="22">
        <f t="shared" ref="V2:V21" si="7">LOOKUP($X2+$B$50+$B$55,$X$2:$X$101,$Y$2:$Y$101)</f>
        <v>-4</v>
      </c>
      <c r="W2" s="9" t="str">
        <f t="shared" ref="W2:W21" si="8">LOOKUP($X2+$C$50+$C$55,$X$2:$X$101,$Y$2:$Y$101)</f>
        <v>#N/A</v>
      </c>
      <c r="X2" s="9">
        <v>1.0</v>
      </c>
      <c r="Y2" s="22">
        <v>-5.0</v>
      </c>
      <c r="Z2" s="9">
        <f>($F$9*$X$2+$X$2)</f>
        <v>7</v>
      </c>
      <c r="AA2" s="9">
        <f>($F$9*X2+1*1)</f>
        <v>7</v>
      </c>
    </row>
    <row r="3" ht="15.75" customHeight="1">
      <c r="A3" s="23">
        <v>45353.0</v>
      </c>
      <c r="B3" s="19">
        <v>-6.0</v>
      </c>
      <c r="C3" s="19"/>
      <c r="D3" s="17"/>
      <c r="E3" s="24">
        <f t="shared" ref="E3:G3" si="1">A43</f>
        <v>16</v>
      </c>
      <c r="F3" s="25">
        <f t="shared" si="1"/>
        <v>11</v>
      </c>
      <c r="G3" s="24">
        <f t="shared" si="1"/>
        <v>11</v>
      </c>
      <c r="H3" s="26">
        <f t="shared" ref="H3:J3" si="2">A45</f>
        <v>10</v>
      </c>
      <c r="I3" s="24">
        <f t="shared" si="2"/>
        <v>14</v>
      </c>
      <c r="J3" s="27">
        <f t="shared" si="2"/>
        <v>7</v>
      </c>
      <c r="M3" s="9" t="s">
        <v>20</v>
      </c>
      <c r="R3" s="22">
        <f t="shared" si="3"/>
        <v>-3</v>
      </c>
      <c r="S3" s="22">
        <f t="shared" si="4"/>
        <v>-4</v>
      </c>
      <c r="T3" s="9" t="str">
        <f t="shared" si="5"/>
        <v>#N/A</v>
      </c>
      <c r="U3" s="22">
        <f t="shared" si="6"/>
        <v>-4</v>
      </c>
      <c r="V3" s="22">
        <f t="shared" si="7"/>
        <v>-3</v>
      </c>
      <c r="W3" s="9" t="str">
        <f t="shared" si="8"/>
        <v>#N/A</v>
      </c>
      <c r="X3" s="9">
        <v>2.0</v>
      </c>
      <c r="Y3" s="22">
        <v>-4.0</v>
      </c>
      <c r="Z3" s="17">
        <f t="shared" ref="Z3:Z41" si="11">Z2+($F$9)</f>
        <v>13</v>
      </c>
      <c r="AA3" s="9">
        <f t="shared" ref="AA3:AA41" si="12">AA2+($F$9*X3+X3*1)</f>
        <v>21</v>
      </c>
    </row>
    <row r="4" ht="15.75" customHeight="1">
      <c r="A4" s="23">
        <v>45416.0</v>
      </c>
      <c r="B4" s="19">
        <v>-5.0</v>
      </c>
      <c r="C4" s="19"/>
      <c r="D4" s="17"/>
      <c r="E4" s="28">
        <f t="shared" ref="E4:G4" si="9">LOOKUP(A43,$X$2:$X$101,R$2:R$21)</f>
        <v>4</v>
      </c>
      <c r="F4" s="28">
        <f t="shared" si="9"/>
        <v>1</v>
      </c>
      <c r="G4" s="28">
        <f t="shared" si="9"/>
        <v>-1</v>
      </c>
      <c r="H4" s="28">
        <f t="shared" ref="H4:J4" si="10">LOOKUP(A45,$X$2:$X$101,U$2:U$21)</f>
        <v>0</v>
      </c>
      <c r="I4" s="28">
        <f t="shared" si="10"/>
        <v>3</v>
      </c>
      <c r="J4" s="28">
        <f t="shared" si="10"/>
        <v>-3</v>
      </c>
      <c r="R4" s="22">
        <f t="shared" si="3"/>
        <v>-2</v>
      </c>
      <c r="S4" s="22">
        <f t="shared" si="4"/>
        <v>-3</v>
      </c>
      <c r="T4" s="9" t="str">
        <f t="shared" si="5"/>
        <v>#N/A</v>
      </c>
      <c r="U4" s="22">
        <f t="shared" si="6"/>
        <v>-4</v>
      </c>
      <c r="V4" s="22">
        <f t="shared" si="7"/>
        <v>-3</v>
      </c>
      <c r="W4" s="9" t="str">
        <f t="shared" si="8"/>
        <v>#N/A</v>
      </c>
      <c r="X4" s="9">
        <v>3.0</v>
      </c>
      <c r="Y4" s="22">
        <v>-4.0</v>
      </c>
      <c r="Z4" s="17">
        <f t="shared" si="11"/>
        <v>19</v>
      </c>
      <c r="AA4" s="9">
        <f t="shared" si="12"/>
        <v>42</v>
      </c>
    </row>
    <row r="5" ht="15.75" customHeight="1">
      <c r="A5" s="23">
        <v>45479.0</v>
      </c>
      <c r="B5" s="19">
        <v>-4.0</v>
      </c>
      <c r="C5" s="19"/>
      <c r="D5" s="17"/>
      <c r="E5" s="17"/>
      <c r="F5" s="17"/>
      <c r="G5" s="17"/>
      <c r="H5" s="17"/>
      <c r="I5" s="17"/>
      <c r="J5" s="17"/>
      <c r="R5" s="22">
        <f t="shared" si="3"/>
        <v>-2</v>
      </c>
      <c r="S5" s="22">
        <f t="shared" si="4"/>
        <v>-3</v>
      </c>
      <c r="T5" s="22">
        <f t="shared" si="5"/>
        <v>-5</v>
      </c>
      <c r="U5" s="22">
        <f t="shared" si="6"/>
        <v>-3</v>
      </c>
      <c r="V5" s="22">
        <f t="shared" si="7"/>
        <v>-2</v>
      </c>
      <c r="W5" s="22">
        <f t="shared" si="8"/>
        <v>-5</v>
      </c>
      <c r="X5" s="9">
        <v>4.0</v>
      </c>
      <c r="Y5" s="22">
        <v>-3.0</v>
      </c>
      <c r="Z5" s="17">
        <f t="shared" si="11"/>
        <v>25</v>
      </c>
      <c r="AA5" s="9">
        <f t="shared" si="12"/>
        <v>70</v>
      </c>
    </row>
    <row r="6" ht="15.75" customHeight="1">
      <c r="A6" s="23">
        <v>45543.0</v>
      </c>
      <c r="B6" s="19">
        <v>-3.0</v>
      </c>
      <c r="C6" s="19"/>
      <c r="D6" s="17"/>
      <c r="E6" s="17"/>
      <c r="F6" s="17" t="s">
        <v>21</v>
      </c>
      <c r="G6" s="17" t="s">
        <v>22</v>
      </c>
      <c r="H6" s="17"/>
      <c r="I6" s="17" t="s">
        <v>23</v>
      </c>
      <c r="J6" s="17"/>
      <c r="R6" s="22">
        <f t="shared" si="3"/>
        <v>-1</v>
      </c>
      <c r="S6" s="22">
        <f t="shared" si="4"/>
        <v>-2</v>
      </c>
      <c r="T6" s="22">
        <f t="shared" si="5"/>
        <v>-4</v>
      </c>
      <c r="U6" s="22">
        <f t="shared" si="6"/>
        <v>-3</v>
      </c>
      <c r="V6" s="22">
        <f t="shared" si="7"/>
        <v>-2</v>
      </c>
      <c r="W6" s="22">
        <f t="shared" si="8"/>
        <v>-4</v>
      </c>
      <c r="X6" s="9">
        <v>5.0</v>
      </c>
      <c r="Y6" s="22">
        <v>-3.0</v>
      </c>
      <c r="Z6" s="17">
        <f t="shared" si="11"/>
        <v>31</v>
      </c>
      <c r="AA6" s="9">
        <f t="shared" si="12"/>
        <v>105</v>
      </c>
    </row>
    <row r="7" ht="15.75" customHeight="1">
      <c r="A7" s="23">
        <v>45606.0</v>
      </c>
      <c r="B7" s="19">
        <v>-2.0</v>
      </c>
      <c r="C7" s="19"/>
      <c r="D7" s="17"/>
      <c r="E7" s="17">
        <v>12.0</v>
      </c>
      <c r="F7" s="17">
        <f>LOOKUP(L2,$X$2:$X$101,$Z$2:$Z$101)</f>
        <v>7</v>
      </c>
      <c r="G7" s="17">
        <f>(E4/2)+G4+I7</f>
        <v>11</v>
      </c>
      <c r="H7" s="17"/>
      <c r="I7" s="17">
        <v>10.0</v>
      </c>
      <c r="J7" s="17" t="s">
        <v>24</v>
      </c>
      <c r="R7" s="22">
        <f t="shared" si="3"/>
        <v>-1</v>
      </c>
      <c r="S7" s="22">
        <f t="shared" si="4"/>
        <v>-2</v>
      </c>
      <c r="T7" s="22">
        <f t="shared" si="5"/>
        <v>-4</v>
      </c>
      <c r="U7" s="22">
        <f t="shared" si="6"/>
        <v>-2</v>
      </c>
      <c r="V7" s="22">
        <f t="shared" si="7"/>
        <v>-1</v>
      </c>
      <c r="W7" s="22">
        <f t="shared" si="8"/>
        <v>-4</v>
      </c>
      <c r="X7" s="9">
        <v>6.0</v>
      </c>
      <c r="Y7" s="22">
        <v>-2.0</v>
      </c>
      <c r="Z7" s="17">
        <f t="shared" si="11"/>
        <v>37</v>
      </c>
      <c r="AA7" s="9">
        <f t="shared" si="12"/>
        <v>147</v>
      </c>
    </row>
    <row r="8" ht="15.75" customHeight="1">
      <c r="A8" s="18" t="s">
        <v>25</v>
      </c>
      <c r="B8" s="19">
        <v>-1.0</v>
      </c>
      <c r="C8" s="19"/>
      <c r="D8" s="17"/>
      <c r="E8" s="17"/>
      <c r="F8" s="17"/>
      <c r="G8" s="17"/>
      <c r="H8" s="17"/>
      <c r="I8" s="17"/>
      <c r="J8" s="17"/>
      <c r="R8" s="22">
        <f t="shared" si="3"/>
        <v>0</v>
      </c>
      <c r="S8" s="22">
        <f t="shared" si="4"/>
        <v>-1</v>
      </c>
      <c r="T8" s="22">
        <f t="shared" si="5"/>
        <v>-3</v>
      </c>
      <c r="U8" s="22">
        <f t="shared" si="6"/>
        <v>-2</v>
      </c>
      <c r="V8" s="22">
        <f t="shared" si="7"/>
        <v>-1</v>
      </c>
      <c r="W8" s="22">
        <f t="shared" si="8"/>
        <v>-3</v>
      </c>
      <c r="X8" s="9">
        <v>7.0</v>
      </c>
      <c r="Y8" s="22">
        <v>-2.0</v>
      </c>
      <c r="Z8" s="17">
        <f t="shared" si="11"/>
        <v>43</v>
      </c>
      <c r="AA8" s="9">
        <f t="shared" si="12"/>
        <v>196</v>
      </c>
    </row>
    <row r="9" ht="15.75" customHeight="1">
      <c r="A9" s="18" t="s">
        <v>26</v>
      </c>
      <c r="B9" s="19">
        <v>0.0</v>
      </c>
      <c r="C9" s="19"/>
      <c r="D9" s="17"/>
      <c r="E9" s="17"/>
      <c r="F9" s="17">
        <v>6.0</v>
      </c>
      <c r="G9" s="17"/>
      <c r="H9" s="17"/>
      <c r="I9" s="17"/>
      <c r="J9" s="17"/>
      <c r="R9" s="22">
        <f t="shared" si="3"/>
        <v>0</v>
      </c>
      <c r="S9" s="22">
        <f t="shared" si="4"/>
        <v>-1</v>
      </c>
      <c r="T9" s="22">
        <f t="shared" si="5"/>
        <v>-3</v>
      </c>
      <c r="U9" s="22">
        <f t="shared" si="6"/>
        <v>-1</v>
      </c>
      <c r="V9" s="22">
        <f t="shared" si="7"/>
        <v>0</v>
      </c>
      <c r="W9" s="22">
        <f t="shared" si="8"/>
        <v>-3</v>
      </c>
      <c r="X9" s="9">
        <v>8.0</v>
      </c>
      <c r="Y9" s="22">
        <v>-1.0</v>
      </c>
      <c r="Z9" s="17">
        <f t="shared" si="11"/>
        <v>49</v>
      </c>
      <c r="AA9" s="9">
        <f t="shared" si="12"/>
        <v>252</v>
      </c>
    </row>
    <row r="10" ht="15.75" customHeight="1">
      <c r="A10" s="18" t="s">
        <v>27</v>
      </c>
      <c r="B10" s="19">
        <f t="shared" ref="B10:B11" si="13">1</f>
        <v>1</v>
      </c>
      <c r="C10" s="19"/>
      <c r="D10" s="17"/>
      <c r="E10" s="29">
        <v>4.0</v>
      </c>
      <c r="F10" s="29">
        <f>2</f>
        <v>2</v>
      </c>
      <c r="G10" s="30" t="s">
        <v>28</v>
      </c>
      <c r="H10" s="31"/>
      <c r="I10" s="30" t="s">
        <v>29</v>
      </c>
      <c r="J10" s="32" t="s">
        <v>30</v>
      </c>
      <c r="K10" s="17">
        <f>F10+F11+F12+F13+F14</f>
        <v>10</v>
      </c>
      <c r="M10" s="9">
        <f>(E3+F3+G3+H3+I3+J3+K10+K16)/6</f>
        <v>13.83333333</v>
      </c>
      <c r="R10" s="22">
        <f t="shared" si="3"/>
        <v>1</v>
      </c>
      <c r="S10" s="22">
        <f t="shared" si="4"/>
        <v>0</v>
      </c>
      <c r="T10" s="22">
        <f t="shared" si="5"/>
        <v>-2</v>
      </c>
      <c r="U10" s="22">
        <f t="shared" si="6"/>
        <v>-1</v>
      </c>
      <c r="V10" s="22">
        <f t="shared" si="7"/>
        <v>0</v>
      </c>
      <c r="W10" s="22">
        <f t="shared" si="8"/>
        <v>-2</v>
      </c>
      <c r="X10" s="9">
        <v>9.0</v>
      </c>
      <c r="Y10" s="22">
        <v>-1.0</v>
      </c>
      <c r="Z10" s="17">
        <f t="shared" si="11"/>
        <v>55</v>
      </c>
      <c r="AA10" s="9">
        <f t="shared" si="12"/>
        <v>315</v>
      </c>
    </row>
    <row r="11" ht="15.75" customHeight="1">
      <c r="A11" s="18" t="s">
        <v>31</v>
      </c>
      <c r="B11" s="19">
        <f t="shared" si="13"/>
        <v>1</v>
      </c>
      <c r="C11" s="19"/>
      <c r="D11" s="17"/>
      <c r="E11" s="33">
        <v>8.0</v>
      </c>
      <c r="F11" s="33">
        <v>2.0</v>
      </c>
      <c r="G11" s="34" t="s">
        <v>32</v>
      </c>
      <c r="H11" s="31"/>
      <c r="I11" s="34" t="s">
        <v>33</v>
      </c>
      <c r="J11" s="35" t="s">
        <v>34</v>
      </c>
      <c r="R11" s="22">
        <f t="shared" si="3"/>
        <v>1</v>
      </c>
      <c r="S11" s="22">
        <f t="shared" si="4"/>
        <v>0</v>
      </c>
      <c r="T11" s="22">
        <f t="shared" si="5"/>
        <v>-2</v>
      </c>
      <c r="U11" s="22">
        <f t="shared" si="6"/>
        <v>0</v>
      </c>
      <c r="V11" s="22">
        <f t="shared" si="7"/>
        <v>1</v>
      </c>
      <c r="W11" s="22">
        <f t="shared" si="8"/>
        <v>-2</v>
      </c>
      <c r="X11" s="9">
        <v>10.0</v>
      </c>
      <c r="Y11" s="22">
        <v>0.0</v>
      </c>
      <c r="Z11" s="17">
        <f t="shared" si="11"/>
        <v>61</v>
      </c>
      <c r="AA11" s="9">
        <f t="shared" si="12"/>
        <v>385</v>
      </c>
    </row>
    <row r="12" ht="15.75" customHeight="1">
      <c r="A12" s="18" t="s">
        <v>35</v>
      </c>
      <c r="B12" s="19">
        <v>2.0</v>
      </c>
      <c r="C12" s="19"/>
      <c r="D12" s="17"/>
      <c r="E12" s="29">
        <v>12.0</v>
      </c>
      <c r="F12" s="29">
        <v>2.0</v>
      </c>
      <c r="G12" s="30" t="s">
        <v>32</v>
      </c>
      <c r="H12" s="31"/>
      <c r="I12" s="30" t="s">
        <v>36</v>
      </c>
      <c r="J12" s="32" t="s">
        <v>37</v>
      </c>
      <c r="R12" s="22">
        <f t="shared" si="3"/>
        <v>2</v>
      </c>
      <c r="S12" s="22">
        <f t="shared" si="4"/>
        <v>1</v>
      </c>
      <c r="T12" s="22">
        <f t="shared" si="5"/>
        <v>-1</v>
      </c>
      <c r="U12" s="22">
        <f t="shared" si="6"/>
        <v>0</v>
      </c>
      <c r="V12" s="22">
        <f t="shared" si="7"/>
        <v>1</v>
      </c>
      <c r="W12" s="22">
        <f t="shared" si="8"/>
        <v>-1</v>
      </c>
      <c r="X12" s="9">
        <v>11.0</v>
      </c>
      <c r="Y12" s="22">
        <v>0.0</v>
      </c>
      <c r="Z12" s="17">
        <f t="shared" si="11"/>
        <v>67</v>
      </c>
      <c r="AA12" s="9">
        <f t="shared" si="12"/>
        <v>462</v>
      </c>
    </row>
    <row r="13" ht="15.75" customHeight="1">
      <c r="A13" s="18" t="s">
        <v>38</v>
      </c>
      <c r="B13" s="19">
        <v>2.0</v>
      </c>
      <c r="C13" s="19"/>
      <c r="D13" s="17"/>
      <c r="E13" s="33">
        <v>16.0</v>
      </c>
      <c r="F13" s="33">
        <v>2.0</v>
      </c>
      <c r="G13" s="34" t="s">
        <v>32</v>
      </c>
      <c r="H13" s="31"/>
      <c r="I13" s="34" t="s">
        <v>39</v>
      </c>
      <c r="J13" s="35" t="s">
        <v>40</v>
      </c>
      <c r="R13" s="22">
        <f t="shared" si="3"/>
        <v>2</v>
      </c>
      <c r="S13" s="22">
        <f t="shared" si="4"/>
        <v>1</v>
      </c>
      <c r="T13" s="22">
        <f t="shared" si="5"/>
        <v>-1</v>
      </c>
      <c r="U13" s="22">
        <f t="shared" si="6"/>
        <v>1</v>
      </c>
      <c r="V13" s="22">
        <f t="shared" si="7"/>
        <v>2</v>
      </c>
      <c r="W13" s="22">
        <f t="shared" si="8"/>
        <v>-1</v>
      </c>
      <c r="X13" s="9">
        <v>12.0</v>
      </c>
      <c r="Y13" s="22">
        <v>1.0</v>
      </c>
      <c r="Z13" s="17">
        <f t="shared" si="11"/>
        <v>73</v>
      </c>
      <c r="AA13" s="9">
        <f t="shared" si="12"/>
        <v>546</v>
      </c>
    </row>
    <row r="14" ht="15.75" customHeight="1">
      <c r="A14" s="18" t="s">
        <v>41</v>
      </c>
      <c r="B14" s="19">
        <v>3.0</v>
      </c>
      <c r="C14" s="19"/>
      <c r="D14" s="17"/>
      <c r="E14" s="29">
        <v>19.0</v>
      </c>
      <c r="F14" s="29">
        <v>2.0</v>
      </c>
      <c r="G14" s="30" t="s">
        <v>32</v>
      </c>
      <c r="H14" s="31"/>
      <c r="I14" s="30" t="s">
        <v>42</v>
      </c>
      <c r="J14" s="32" t="s">
        <v>43</v>
      </c>
      <c r="R14" s="22">
        <f t="shared" si="3"/>
        <v>3</v>
      </c>
      <c r="S14" s="22">
        <f t="shared" si="4"/>
        <v>2</v>
      </c>
      <c r="T14" s="22">
        <f t="shared" si="5"/>
        <v>0</v>
      </c>
      <c r="U14" s="22">
        <f t="shared" si="6"/>
        <v>1</v>
      </c>
      <c r="V14" s="22">
        <f t="shared" si="7"/>
        <v>2</v>
      </c>
      <c r="W14" s="22">
        <f t="shared" si="8"/>
        <v>0</v>
      </c>
      <c r="X14" s="9">
        <v>13.0</v>
      </c>
      <c r="Y14" s="22">
        <v>1.0</v>
      </c>
      <c r="Z14" s="17">
        <f t="shared" si="11"/>
        <v>79</v>
      </c>
      <c r="AA14" s="9">
        <f t="shared" si="12"/>
        <v>637</v>
      </c>
    </row>
    <row r="15" ht="15.75" customHeight="1">
      <c r="A15" s="18" t="s">
        <v>44</v>
      </c>
      <c r="B15" s="19">
        <v>3.0</v>
      </c>
      <c r="C15" s="19"/>
      <c r="D15" s="17"/>
      <c r="E15" s="17"/>
      <c r="F15" s="17"/>
      <c r="G15" s="17"/>
      <c r="H15" s="17"/>
      <c r="I15" s="17"/>
      <c r="J15" s="17"/>
      <c r="R15" s="22">
        <f t="shared" si="3"/>
        <v>3</v>
      </c>
      <c r="S15" s="22">
        <f t="shared" si="4"/>
        <v>2</v>
      </c>
      <c r="T15" s="22">
        <f t="shared" si="5"/>
        <v>0</v>
      </c>
      <c r="U15" s="22">
        <f t="shared" si="6"/>
        <v>2</v>
      </c>
      <c r="V15" s="22">
        <f t="shared" si="7"/>
        <v>3</v>
      </c>
      <c r="W15" s="22">
        <f t="shared" si="8"/>
        <v>0</v>
      </c>
      <c r="X15" s="9">
        <v>14.0</v>
      </c>
      <c r="Y15" s="22">
        <v>2.0</v>
      </c>
      <c r="Z15" s="17">
        <f t="shared" si="11"/>
        <v>85</v>
      </c>
      <c r="AA15" s="9">
        <f t="shared" si="12"/>
        <v>735</v>
      </c>
    </row>
    <row r="16" ht="15.75" customHeight="1">
      <c r="A16" s="18" t="s">
        <v>45</v>
      </c>
      <c r="B16" s="19">
        <f t="shared" ref="B16:B17" si="14">4</f>
        <v>4</v>
      </c>
      <c r="C16" s="19"/>
      <c r="D16" s="17"/>
      <c r="E16" s="29">
        <v>3.0</v>
      </c>
      <c r="F16" s="29">
        <v>1.0</v>
      </c>
      <c r="G16" s="30" t="s">
        <v>46</v>
      </c>
      <c r="H16" s="31"/>
      <c r="I16" s="30" t="s">
        <v>47</v>
      </c>
      <c r="J16" s="36"/>
      <c r="K16" s="17">
        <f>F16+F17+F18+F19+F20+F21+F22+F23</f>
        <v>4</v>
      </c>
      <c r="R16" s="22">
        <f t="shared" si="3"/>
        <v>4</v>
      </c>
      <c r="S16" s="22">
        <f t="shared" si="4"/>
        <v>3</v>
      </c>
      <c r="T16" s="22">
        <f t="shared" si="5"/>
        <v>1</v>
      </c>
      <c r="U16" s="22">
        <f t="shared" si="6"/>
        <v>2</v>
      </c>
      <c r="V16" s="22">
        <f t="shared" si="7"/>
        <v>3</v>
      </c>
      <c r="W16" s="22">
        <f t="shared" si="8"/>
        <v>1</v>
      </c>
      <c r="X16" s="9">
        <v>15.0</v>
      </c>
      <c r="Y16" s="22">
        <v>2.0</v>
      </c>
      <c r="Z16" s="17">
        <f t="shared" si="11"/>
        <v>91</v>
      </c>
      <c r="AA16" s="9">
        <f t="shared" si="12"/>
        <v>840</v>
      </c>
    </row>
    <row r="17" ht="15.75" customHeight="1">
      <c r="A17" s="18" t="s">
        <v>48</v>
      </c>
      <c r="B17" s="19">
        <f t="shared" si="14"/>
        <v>4</v>
      </c>
      <c r="C17" s="19"/>
      <c r="D17" s="17"/>
      <c r="E17" s="33">
        <v>5.0</v>
      </c>
      <c r="F17" s="33">
        <v>0.0</v>
      </c>
      <c r="G17" s="34" t="s">
        <v>46</v>
      </c>
      <c r="H17" s="31"/>
      <c r="I17" s="34" t="s">
        <v>49</v>
      </c>
      <c r="J17" s="37"/>
      <c r="R17" s="22">
        <f t="shared" si="3"/>
        <v>4</v>
      </c>
      <c r="S17" s="22">
        <f t="shared" si="4"/>
        <v>3</v>
      </c>
      <c r="T17" s="22">
        <f t="shared" si="5"/>
        <v>1</v>
      </c>
      <c r="U17" s="22">
        <f t="shared" si="6"/>
        <v>3</v>
      </c>
      <c r="V17" s="22">
        <f t="shared" si="7"/>
        <v>4</v>
      </c>
      <c r="W17" s="22">
        <f t="shared" si="8"/>
        <v>1</v>
      </c>
      <c r="X17" s="9">
        <v>16.0</v>
      </c>
      <c r="Y17" s="22">
        <v>3.0</v>
      </c>
      <c r="Z17" s="17">
        <f t="shared" si="11"/>
        <v>97</v>
      </c>
      <c r="AA17" s="9">
        <f t="shared" si="12"/>
        <v>952</v>
      </c>
    </row>
    <row r="18" ht="15.75" customHeight="1">
      <c r="A18" s="18" t="s">
        <v>50</v>
      </c>
      <c r="B18" s="19">
        <v>5.0</v>
      </c>
      <c r="C18" s="19"/>
      <c r="D18" s="17"/>
      <c r="E18" s="29">
        <v>7.0</v>
      </c>
      <c r="F18" s="29">
        <v>1.0</v>
      </c>
      <c r="G18" s="30" t="s">
        <v>46</v>
      </c>
      <c r="H18" s="31"/>
      <c r="I18" s="30" t="s">
        <v>51</v>
      </c>
      <c r="J18" s="36"/>
      <c r="R18" s="22">
        <f t="shared" si="3"/>
        <v>5</v>
      </c>
      <c r="S18" s="22">
        <f t="shared" si="4"/>
        <v>4</v>
      </c>
      <c r="T18" s="22">
        <f t="shared" si="5"/>
        <v>2</v>
      </c>
      <c r="U18" s="22">
        <f t="shared" si="6"/>
        <v>3</v>
      </c>
      <c r="V18" s="22">
        <f t="shared" si="7"/>
        <v>4</v>
      </c>
      <c r="W18" s="22">
        <f t="shared" si="8"/>
        <v>2</v>
      </c>
      <c r="X18" s="9">
        <v>17.0</v>
      </c>
      <c r="Y18" s="22">
        <v>3.0</v>
      </c>
      <c r="Z18" s="17">
        <f t="shared" si="11"/>
        <v>103</v>
      </c>
      <c r="AA18" s="9">
        <f t="shared" si="12"/>
        <v>1071</v>
      </c>
    </row>
    <row r="19" ht="15.75" customHeight="1">
      <c r="A19" s="18" t="s">
        <v>52</v>
      </c>
      <c r="B19" s="19">
        <v>5.0</v>
      </c>
      <c r="C19" s="19"/>
      <c r="D19" s="17"/>
      <c r="E19" s="33">
        <v>9.0</v>
      </c>
      <c r="F19" s="33">
        <v>0.0</v>
      </c>
      <c r="G19" s="34" t="s">
        <v>46</v>
      </c>
      <c r="H19" s="31"/>
      <c r="I19" s="34" t="s">
        <v>53</v>
      </c>
      <c r="J19" s="37"/>
      <c r="R19" s="22">
        <f t="shared" si="3"/>
        <v>5</v>
      </c>
      <c r="S19" s="22">
        <f t="shared" si="4"/>
        <v>4</v>
      </c>
      <c r="T19" s="22">
        <f t="shared" si="5"/>
        <v>2</v>
      </c>
      <c r="U19" s="22">
        <f t="shared" si="6"/>
        <v>4</v>
      </c>
      <c r="V19" s="22">
        <f t="shared" si="7"/>
        <v>5</v>
      </c>
      <c r="W19" s="22">
        <f t="shared" si="8"/>
        <v>2</v>
      </c>
      <c r="X19" s="9">
        <v>18.0</v>
      </c>
      <c r="Y19" s="22">
        <v>4.0</v>
      </c>
      <c r="Z19" s="17">
        <f t="shared" si="11"/>
        <v>109</v>
      </c>
      <c r="AA19" s="9">
        <f t="shared" si="12"/>
        <v>1197</v>
      </c>
    </row>
    <row r="20" ht="15.75" customHeight="1">
      <c r="A20" s="18" t="s">
        <v>54</v>
      </c>
      <c r="B20" s="19">
        <v>6.0</v>
      </c>
      <c r="C20" s="19"/>
      <c r="D20" s="17"/>
      <c r="E20" s="29">
        <v>11.0</v>
      </c>
      <c r="F20" s="29">
        <v>1.0</v>
      </c>
      <c r="G20" s="30" t="s">
        <v>46</v>
      </c>
      <c r="H20" s="31"/>
      <c r="I20" s="30" t="s">
        <v>55</v>
      </c>
      <c r="J20" s="36"/>
      <c r="R20" s="22">
        <f t="shared" si="3"/>
        <v>6</v>
      </c>
      <c r="S20" s="22">
        <f t="shared" si="4"/>
        <v>5</v>
      </c>
      <c r="T20" s="22">
        <f t="shared" si="5"/>
        <v>3</v>
      </c>
      <c r="U20" s="22">
        <f t="shared" si="6"/>
        <v>4</v>
      </c>
      <c r="V20" s="22">
        <f t="shared" si="7"/>
        <v>5</v>
      </c>
      <c r="W20" s="22">
        <f t="shared" si="8"/>
        <v>3</v>
      </c>
      <c r="X20" s="9">
        <v>19.0</v>
      </c>
      <c r="Y20" s="22">
        <v>4.0</v>
      </c>
      <c r="Z20" s="17">
        <f t="shared" si="11"/>
        <v>115</v>
      </c>
      <c r="AA20" s="9">
        <f t="shared" si="12"/>
        <v>1330</v>
      </c>
    </row>
    <row r="21" ht="15.75" customHeight="1">
      <c r="A21" s="18" t="s">
        <v>56</v>
      </c>
      <c r="B21" s="19">
        <v>6.0</v>
      </c>
      <c r="C21" s="19"/>
      <c r="D21" s="17"/>
      <c r="E21" s="33">
        <v>13.0</v>
      </c>
      <c r="F21" s="33">
        <v>0.0</v>
      </c>
      <c r="G21" s="34" t="s">
        <v>46</v>
      </c>
      <c r="H21" s="31"/>
      <c r="I21" s="34" t="s">
        <v>57</v>
      </c>
      <c r="J21" s="37"/>
      <c r="R21" s="22">
        <f t="shared" si="3"/>
        <v>6</v>
      </c>
      <c r="S21" s="22">
        <f t="shared" si="4"/>
        <v>5</v>
      </c>
      <c r="T21" s="22">
        <f t="shared" si="5"/>
        <v>3</v>
      </c>
      <c r="U21" s="22">
        <f t="shared" si="6"/>
        <v>5</v>
      </c>
      <c r="V21" s="22">
        <f t="shared" si="7"/>
        <v>6</v>
      </c>
      <c r="W21" s="22">
        <f t="shared" si="8"/>
        <v>3</v>
      </c>
      <c r="X21" s="9">
        <v>20.0</v>
      </c>
      <c r="Y21" s="22">
        <v>5.0</v>
      </c>
      <c r="Z21" s="17">
        <f t="shared" si="11"/>
        <v>121</v>
      </c>
      <c r="AA21" s="9">
        <f t="shared" si="12"/>
        <v>1470</v>
      </c>
    </row>
    <row r="22" ht="15.75" customHeight="1">
      <c r="A22" s="18" t="s">
        <v>58</v>
      </c>
      <c r="B22" s="19">
        <v>7.0</v>
      </c>
      <c r="C22" s="19"/>
      <c r="D22" s="17"/>
      <c r="E22" s="29">
        <v>15.0</v>
      </c>
      <c r="F22" s="29">
        <v>1.0</v>
      </c>
      <c r="G22" s="30" t="s">
        <v>46</v>
      </c>
      <c r="H22" s="31"/>
      <c r="I22" s="30" t="s">
        <v>59</v>
      </c>
      <c r="J22" s="36"/>
      <c r="X22" s="9">
        <v>21.0</v>
      </c>
      <c r="Y22" s="22">
        <v>5.0</v>
      </c>
      <c r="Z22" s="17">
        <f t="shared" si="11"/>
        <v>127</v>
      </c>
      <c r="AA22" s="9">
        <f t="shared" si="12"/>
        <v>1617</v>
      </c>
    </row>
    <row r="23" ht="15.75" customHeight="1">
      <c r="A23" s="18" t="s">
        <v>60</v>
      </c>
      <c r="B23" s="19">
        <v>7.0</v>
      </c>
      <c r="C23" s="19"/>
      <c r="D23" s="17"/>
      <c r="E23" s="33">
        <v>17.0</v>
      </c>
      <c r="F23" s="33">
        <v>0.0</v>
      </c>
      <c r="G23" s="34" t="s">
        <v>46</v>
      </c>
      <c r="H23" s="31"/>
      <c r="I23" s="34" t="s">
        <v>61</v>
      </c>
      <c r="J23" s="37"/>
      <c r="X23" s="9">
        <v>22.0</v>
      </c>
      <c r="Y23" s="22">
        <v>6.0</v>
      </c>
      <c r="Z23" s="17">
        <f t="shared" si="11"/>
        <v>133</v>
      </c>
      <c r="AA23" s="9">
        <f t="shared" si="12"/>
        <v>1771</v>
      </c>
    </row>
    <row r="24" ht="15.75" customHeight="1">
      <c r="A24" s="18" t="s">
        <v>62</v>
      </c>
      <c r="B24" s="19">
        <v>8.0</v>
      </c>
      <c r="C24" s="19"/>
      <c r="D24" s="17"/>
      <c r="E24" s="17"/>
      <c r="F24" s="17"/>
      <c r="G24" s="17"/>
      <c r="H24" s="17"/>
      <c r="I24" s="17"/>
      <c r="J24" s="17"/>
      <c r="X24" s="9">
        <v>23.0</v>
      </c>
      <c r="Y24" s="22">
        <v>6.0</v>
      </c>
      <c r="Z24" s="17">
        <f t="shared" si="11"/>
        <v>139</v>
      </c>
      <c r="AA24" s="9">
        <f t="shared" si="12"/>
        <v>1932</v>
      </c>
    </row>
    <row r="25" ht="15.75" customHeight="1">
      <c r="A25" s="18" t="s">
        <v>63</v>
      </c>
      <c r="B25" s="19">
        <v>8.0</v>
      </c>
      <c r="C25" s="19"/>
      <c r="D25" s="17"/>
      <c r="E25" s="17"/>
      <c r="F25" s="17"/>
      <c r="G25" s="17"/>
      <c r="H25" s="17"/>
      <c r="I25" s="17"/>
      <c r="J25" s="17"/>
      <c r="X25" s="9">
        <v>24.0</v>
      </c>
      <c r="Y25" s="22">
        <v>7.0</v>
      </c>
      <c r="Z25" s="17">
        <f t="shared" si="11"/>
        <v>145</v>
      </c>
      <c r="AA25" s="9">
        <f t="shared" si="12"/>
        <v>2100</v>
      </c>
    </row>
    <row r="26" ht="15.75" customHeight="1">
      <c r="A26" s="18" t="s">
        <v>64</v>
      </c>
      <c r="B26" s="19">
        <v>9.0</v>
      </c>
      <c r="C26" s="19"/>
      <c r="D26" s="17"/>
      <c r="E26" s="17"/>
      <c r="F26" s="17"/>
      <c r="G26" s="17"/>
      <c r="H26" s="17"/>
      <c r="I26" s="17"/>
      <c r="J26" s="17"/>
      <c r="X26" s="9">
        <v>25.0</v>
      </c>
      <c r="Y26" s="22">
        <v>7.0</v>
      </c>
      <c r="Z26" s="17">
        <f t="shared" si="11"/>
        <v>151</v>
      </c>
      <c r="AA26" s="9">
        <f t="shared" si="12"/>
        <v>2275</v>
      </c>
    </row>
    <row r="27" ht="15.75" customHeight="1">
      <c r="A27" s="18" t="s">
        <v>65</v>
      </c>
      <c r="B27" s="19">
        <v>9.0</v>
      </c>
      <c r="C27" s="19"/>
      <c r="D27" s="17"/>
      <c r="E27" s="17"/>
      <c r="F27" s="17"/>
      <c r="G27" s="17"/>
      <c r="H27" s="17"/>
      <c r="I27" s="17"/>
      <c r="J27" s="17"/>
      <c r="X27" s="9">
        <v>26.0</v>
      </c>
      <c r="Y27" s="22">
        <v>8.0</v>
      </c>
      <c r="Z27" s="17">
        <f t="shared" si="11"/>
        <v>157</v>
      </c>
      <c r="AA27" s="9">
        <f t="shared" si="12"/>
        <v>2457</v>
      </c>
    </row>
    <row r="28" ht="15.75" customHeight="1">
      <c r="A28" s="18" t="s">
        <v>66</v>
      </c>
      <c r="B28" s="19">
        <v>10.0</v>
      </c>
      <c r="C28" s="19"/>
      <c r="D28" s="17"/>
      <c r="E28" s="17"/>
      <c r="F28" s="17"/>
      <c r="G28" s="17"/>
      <c r="H28" s="17"/>
      <c r="I28" s="17"/>
      <c r="J28" s="17"/>
      <c r="X28" s="9">
        <v>27.0</v>
      </c>
      <c r="Y28" s="22">
        <v>8.0</v>
      </c>
      <c r="Z28" s="17">
        <f t="shared" si="11"/>
        <v>163</v>
      </c>
      <c r="AA28" s="9">
        <f t="shared" si="12"/>
        <v>2646</v>
      </c>
    </row>
    <row r="29" ht="15.75" customHeight="1">
      <c r="A29" s="18" t="s">
        <v>67</v>
      </c>
      <c r="B29" s="19">
        <v>10.0</v>
      </c>
      <c r="C29" s="19"/>
      <c r="D29" s="17"/>
      <c r="E29" s="17"/>
      <c r="F29" s="17"/>
      <c r="G29" s="17"/>
      <c r="H29" s="17"/>
      <c r="I29" s="17"/>
      <c r="J29" s="17"/>
      <c r="X29" s="9">
        <v>28.0</v>
      </c>
      <c r="Y29" s="22">
        <v>9.0</v>
      </c>
      <c r="Z29" s="17">
        <f t="shared" si="11"/>
        <v>169</v>
      </c>
      <c r="AA29" s="9">
        <f t="shared" si="12"/>
        <v>2842</v>
      </c>
    </row>
    <row r="30" ht="15.75" customHeight="1">
      <c r="A30" s="18" t="s">
        <v>68</v>
      </c>
      <c r="B30" s="19">
        <v>11.0</v>
      </c>
      <c r="C30" s="19"/>
      <c r="D30" s="17"/>
      <c r="E30" s="17"/>
      <c r="F30" s="17"/>
      <c r="G30" s="17"/>
      <c r="H30" s="17"/>
      <c r="I30" s="17"/>
      <c r="J30" s="17"/>
      <c r="X30" s="9">
        <v>29.0</v>
      </c>
      <c r="Y30" s="22">
        <v>9.0</v>
      </c>
      <c r="Z30" s="17">
        <f t="shared" si="11"/>
        <v>175</v>
      </c>
      <c r="AA30" s="9">
        <f t="shared" si="12"/>
        <v>3045</v>
      </c>
    </row>
    <row r="31" ht="15.75" customHeight="1">
      <c r="A31" s="18" t="s">
        <v>69</v>
      </c>
      <c r="B31" s="19">
        <v>11.0</v>
      </c>
      <c r="C31" s="19"/>
      <c r="D31" s="17"/>
      <c r="E31" s="17"/>
      <c r="F31" s="17"/>
      <c r="G31" s="17"/>
      <c r="H31" s="17"/>
      <c r="I31" s="17"/>
      <c r="J31" s="17"/>
      <c r="X31" s="9">
        <v>30.0</v>
      </c>
      <c r="Y31" s="22">
        <v>10.0</v>
      </c>
      <c r="Z31" s="17">
        <f t="shared" si="11"/>
        <v>181</v>
      </c>
      <c r="AA31" s="9">
        <f t="shared" si="12"/>
        <v>3255</v>
      </c>
    </row>
    <row r="32" ht="15.75" customHeight="1">
      <c r="A32" s="18" t="s">
        <v>70</v>
      </c>
      <c r="B32" s="19">
        <v>12.0</v>
      </c>
      <c r="C32" s="19"/>
      <c r="D32" s="17"/>
      <c r="E32" s="17"/>
      <c r="F32" s="17"/>
      <c r="G32" s="17"/>
      <c r="H32" s="17"/>
      <c r="I32" s="17"/>
      <c r="J32" s="17"/>
      <c r="X32" s="9">
        <v>31.0</v>
      </c>
      <c r="Y32" s="22">
        <v>0.0</v>
      </c>
      <c r="Z32" s="17">
        <f t="shared" si="11"/>
        <v>187</v>
      </c>
      <c r="AA32" s="9">
        <f t="shared" si="12"/>
        <v>3472</v>
      </c>
    </row>
    <row r="33" ht="15.75" customHeight="1">
      <c r="A33" s="18" t="s">
        <v>71</v>
      </c>
      <c r="B33" s="19">
        <v>12.0</v>
      </c>
      <c r="C33" s="19"/>
      <c r="D33" s="17"/>
      <c r="E33" s="17"/>
      <c r="F33" s="17"/>
      <c r="G33" s="17"/>
      <c r="H33" s="17"/>
      <c r="I33" s="17"/>
      <c r="J33" s="17"/>
      <c r="X33" s="9">
        <v>32.0</v>
      </c>
      <c r="Y33" s="22">
        <v>0.0</v>
      </c>
      <c r="Z33" s="17">
        <f t="shared" si="11"/>
        <v>193</v>
      </c>
      <c r="AA33" s="9">
        <f t="shared" si="12"/>
        <v>3696</v>
      </c>
    </row>
    <row r="34" ht="15.75" customHeight="1">
      <c r="A34" s="18" t="s">
        <v>72</v>
      </c>
      <c r="B34" s="19">
        <v>13.0</v>
      </c>
      <c r="C34" s="19"/>
      <c r="D34" s="17"/>
      <c r="E34" s="17"/>
      <c r="F34" s="17"/>
      <c r="G34" s="17"/>
      <c r="H34" s="17"/>
      <c r="I34" s="17"/>
      <c r="J34" s="17"/>
      <c r="X34" s="9">
        <v>33.0</v>
      </c>
      <c r="Y34" s="22">
        <v>0.0</v>
      </c>
      <c r="Z34" s="17">
        <f t="shared" si="11"/>
        <v>199</v>
      </c>
      <c r="AA34" s="9">
        <f t="shared" si="12"/>
        <v>3927</v>
      </c>
    </row>
    <row r="35" ht="15.75" customHeight="1">
      <c r="A35" s="18" t="s">
        <v>73</v>
      </c>
      <c r="B35" s="19">
        <v>13.0</v>
      </c>
      <c r="C35" s="19"/>
      <c r="D35" s="17"/>
      <c r="E35" s="17"/>
      <c r="F35" s="17"/>
      <c r="G35" s="17"/>
      <c r="H35" s="17"/>
      <c r="I35" s="17"/>
      <c r="J35" s="17"/>
      <c r="X35" s="9">
        <v>34.0</v>
      </c>
      <c r="Y35" s="22">
        <v>0.0</v>
      </c>
      <c r="Z35" s="17">
        <f t="shared" si="11"/>
        <v>205</v>
      </c>
      <c r="AA35" s="9">
        <f t="shared" si="12"/>
        <v>4165</v>
      </c>
    </row>
    <row r="36" ht="15.75" customHeight="1">
      <c r="A36" s="18" t="s">
        <v>74</v>
      </c>
      <c r="B36" s="19">
        <v>14.0</v>
      </c>
      <c r="C36" s="19"/>
      <c r="D36" s="17"/>
      <c r="E36" s="17"/>
      <c r="F36" s="17"/>
      <c r="G36" s="17"/>
      <c r="H36" s="17"/>
      <c r="I36" s="17"/>
      <c r="J36" s="17"/>
      <c r="X36" s="9">
        <v>35.0</v>
      </c>
      <c r="Y36" s="22">
        <v>0.0</v>
      </c>
      <c r="Z36" s="17">
        <f t="shared" si="11"/>
        <v>211</v>
      </c>
      <c r="AA36" s="9">
        <f t="shared" si="12"/>
        <v>4410</v>
      </c>
    </row>
    <row r="37" ht="15.75" customHeight="1">
      <c r="A37" s="18" t="s">
        <v>75</v>
      </c>
      <c r="B37" s="19">
        <v>14.0</v>
      </c>
      <c r="C37" s="19"/>
      <c r="D37" s="17"/>
      <c r="E37" s="17"/>
      <c r="F37" s="17"/>
      <c r="G37" s="17"/>
      <c r="H37" s="17"/>
      <c r="I37" s="17"/>
      <c r="J37" s="17"/>
      <c r="X37" s="9">
        <v>36.0</v>
      </c>
      <c r="Y37" s="22">
        <v>0.0</v>
      </c>
      <c r="Z37" s="17">
        <f t="shared" si="11"/>
        <v>217</v>
      </c>
      <c r="AA37" s="9">
        <f t="shared" si="12"/>
        <v>4662</v>
      </c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X38" s="9">
        <v>37.0</v>
      </c>
      <c r="Y38" s="22">
        <v>0.0</v>
      </c>
      <c r="Z38" s="17">
        <f t="shared" si="11"/>
        <v>223</v>
      </c>
      <c r="AA38" s="9">
        <f t="shared" si="12"/>
        <v>4921</v>
      </c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X39" s="9">
        <v>38.0</v>
      </c>
      <c r="Y39" s="22">
        <v>0.0</v>
      </c>
      <c r="Z39" s="17">
        <f t="shared" si="11"/>
        <v>229</v>
      </c>
      <c r="AA39" s="9">
        <f t="shared" si="12"/>
        <v>5187</v>
      </c>
    </row>
    <row r="40" ht="15.75" customHeight="1">
      <c r="A40" s="38"/>
      <c r="B40" s="17"/>
      <c r="C40" s="17"/>
      <c r="D40" s="17"/>
      <c r="E40" s="17"/>
      <c r="F40" s="17"/>
      <c r="G40" s="17"/>
      <c r="H40" s="17"/>
      <c r="I40" s="17"/>
      <c r="J40" s="17"/>
      <c r="X40" s="9">
        <v>39.0</v>
      </c>
      <c r="Y40" s="22">
        <v>0.0</v>
      </c>
      <c r="Z40" s="17">
        <f t="shared" si="11"/>
        <v>235</v>
      </c>
      <c r="AA40" s="9">
        <f t="shared" si="12"/>
        <v>5460</v>
      </c>
    </row>
    <row r="41" ht="15.75" customHeight="1">
      <c r="A41" s="39" t="s">
        <v>76</v>
      </c>
      <c r="B41" s="40"/>
      <c r="C41" s="41"/>
      <c r="D41" s="17"/>
      <c r="E41" s="17"/>
      <c r="F41" s="17"/>
      <c r="G41" s="17"/>
      <c r="H41" s="17"/>
      <c r="I41" s="17"/>
      <c r="J41" s="17"/>
      <c r="X41" s="9">
        <v>40.0</v>
      </c>
      <c r="Y41" s="22">
        <v>0.0</v>
      </c>
      <c r="Z41" s="17">
        <f t="shared" si="11"/>
        <v>241</v>
      </c>
      <c r="AA41" s="9">
        <f t="shared" si="12"/>
        <v>5740</v>
      </c>
    </row>
    <row r="42" ht="15.75" customHeight="1">
      <c r="A42" s="38" t="s">
        <v>13</v>
      </c>
      <c r="B42" s="17" t="s">
        <v>14</v>
      </c>
      <c r="C42" s="42" t="s">
        <v>77</v>
      </c>
      <c r="D42" s="17"/>
      <c r="E42" s="17"/>
      <c r="F42" s="17"/>
      <c r="G42" s="17"/>
      <c r="H42" s="17"/>
      <c r="I42" s="17"/>
      <c r="J42" s="17"/>
      <c r="X42" s="9">
        <v>41.0</v>
      </c>
      <c r="Y42" s="22">
        <v>0.0</v>
      </c>
    </row>
    <row r="43" ht="15.75" customHeight="1">
      <c r="A43" s="38">
        <f t="shared" ref="A43:C43" si="15">A48+A53+A58</f>
        <v>16</v>
      </c>
      <c r="B43" s="17">
        <f t="shared" si="15"/>
        <v>11</v>
      </c>
      <c r="C43" s="42">
        <f t="shared" si="15"/>
        <v>11</v>
      </c>
      <c r="D43" s="17"/>
      <c r="E43" s="17"/>
      <c r="F43" s="17"/>
      <c r="G43" s="17"/>
      <c r="H43" s="17"/>
      <c r="I43" s="17"/>
      <c r="J43" s="17"/>
      <c r="X43" s="9">
        <v>42.0</v>
      </c>
      <c r="Y43" s="22">
        <v>0.0</v>
      </c>
    </row>
    <row r="44" ht="15.75" customHeight="1">
      <c r="A44" s="38" t="s">
        <v>16</v>
      </c>
      <c r="B44" s="17" t="s">
        <v>17</v>
      </c>
      <c r="C44" s="42" t="s">
        <v>18</v>
      </c>
      <c r="D44" s="17"/>
      <c r="E44" s="17"/>
      <c r="F44" s="17"/>
      <c r="G44" s="17"/>
      <c r="H44" s="17"/>
      <c r="I44" s="17"/>
      <c r="J44" s="17"/>
      <c r="X44" s="9">
        <v>43.0</v>
      </c>
      <c r="Y44" s="22">
        <v>0.0</v>
      </c>
    </row>
    <row r="45" ht="15.75" customHeight="1">
      <c r="A45" s="43">
        <f t="shared" ref="A45:C45" si="16">A50+A55+A60</f>
        <v>10</v>
      </c>
      <c r="B45" s="44">
        <f t="shared" si="16"/>
        <v>14</v>
      </c>
      <c r="C45" s="45">
        <f t="shared" si="16"/>
        <v>7</v>
      </c>
      <c r="D45" s="17"/>
      <c r="E45" s="17"/>
      <c r="F45" s="17"/>
      <c r="G45" s="17"/>
      <c r="H45" s="17"/>
      <c r="I45" s="17"/>
      <c r="J45" s="17"/>
      <c r="X45" s="9">
        <v>44.0</v>
      </c>
      <c r="Y45" s="22">
        <v>0.0</v>
      </c>
    </row>
    <row r="46" ht="15.75" customHeight="1">
      <c r="A46" s="46" t="s">
        <v>78</v>
      </c>
      <c r="B46" s="47"/>
      <c r="C46" s="48" t="s">
        <v>19</v>
      </c>
      <c r="X46" s="9">
        <v>45.0</v>
      </c>
      <c r="Y46" s="22">
        <v>0.0</v>
      </c>
    </row>
    <row r="47" ht="15.75" customHeight="1">
      <c r="A47" s="38" t="s">
        <v>13</v>
      </c>
      <c r="B47" s="17" t="s">
        <v>14</v>
      </c>
      <c r="C47" s="42" t="s">
        <v>77</v>
      </c>
      <c r="E47" s="46" t="s">
        <v>78</v>
      </c>
      <c r="F47" s="47"/>
      <c r="G47" s="48">
        <v>1.0</v>
      </c>
      <c r="X47" s="9">
        <v>46.0</v>
      </c>
      <c r="Y47" s="22">
        <v>0.0</v>
      </c>
    </row>
    <row r="48" ht="15.75" customHeight="1">
      <c r="A48" s="17">
        <f t="shared" ref="A48:C48" si="17">(E49+A65)</f>
        <v>3</v>
      </c>
      <c r="B48" s="17">
        <f t="shared" si="17"/>
        <v>1</v>
      </c>
      <c r="C48" s="42">
        <f t="shared" si="17"/>
        <v>-3</v>
      </c>
      <c r="E48" s="38" t="s">
        <v>13</v>
      </c>
      <c r="F48" s="17" t="s">
        <v>14</v>
      </c>
      <c r="G48" s="42" t="s">
        <v>77</v>
      </c>
      <c r="X48" s="9">
        <v>47.0</v>
      </c>
      <c r="Y48" s="22">
        <v>0.0</v>
      </c>
    </row>
    <row r="49" ht="15.75" customHeight="1">
      <c r="A49" s="38" t="s">
        <v>16</v>
      </c>
      <c r="B49" s="17" t="s">
        <v>17</v>
      </c>
      <c r="C49" s="42" t="s">
        <v>18</v>
      </c>
      <c r="E49" s="38">
        <v>3.0</v>
      </c>
      <c r="F49" s="17">
        <v>1.0</v>
      </c>
      <c r="G49" s="42">
        <v>-3.0</v>
      </c>
      <c r="X49" s="9">
        <v>48.0</v>
      </c>
      <c r="Y49" s="22">
        <v>0.0</v>
      </c>
    </row>
    <row r="50" ht="15.75" customHeight="1">
      <c r="A50" s="17">
        <f t="shared" ref="A50:C50" si="18">E51+A67</f>
        <v>0</v>
      </c>
      <c r="B50" s="17">
        <f t="shared" si="18"/>
        <v>2</v>
      </c>
      <c r="C50" s="42">
        <f t="shared" si="18"/>
        <v>-3</v>
      </c>
      <c r="E50" s="38" t="s">
        <v>16</v>
      </c>
      <c r="F50" s="17" t="s">
        <v>17</v>
      </c>
      <c r="G50" s="42" t="s">
        <v>18</v>
      </c>
      <c r="X50" s="9">
        <v>49.0</v>
      </c>
      <c r="Y50" s="22">
        <v>0.0</v>
      </c>
    </row>
    <row r="51" ht="15.75" customHeight="1">
      <c r="A51" s="46" t="s">
        <v>79</v>
      </c>
      <c r="B51" s="47"/>
      <c r="C51" s="48" t="s">
        <v>80</v>
      </c>
      <c r="E51" s="43">
        <v>0.0</v>
      </c>
      <c r="F51" s="44">
        <v>2.0</v>
      </c>
      <c r="G51" s="45">
        <v>-3.0</v>
      </c>
      <c r="X51" s="9">
        <v>50.0</v>
      </c>
      <c r="Y51" s="22">
        <v>0.0</v>
      </c>
    </row>
    <row r="52" ht="15.75" customHeight="1">
      <c r="A52" s="38" t="s">
        <v>13</v>
      </c>
      <c r="B52" s="17" t="s">
        <v>14</v>
      </c>
      <c r="C52" s="42" t="s">
        <v>77</v>
      </c>
      <c r="E52" s="46" t="s">
        <v>79</v>
      </c>
      <c r="F52" s="47"/>
      <c r="G52" s="48">
        <v>1.0</v>
      </c>
      <c r="X52" s="9">
        <v>51.0</v>
      </c>
      <c r="Y52" s="22">
        <v>0.0</v>
      </c>
    </row>
    <row r="53" ht="15.75" customHeight="1">
      <c r="A53" s="38">
        <f t="shared" ref="A53:C53" si="19">E54+A70</f>
        <v>0</v>
      </c>
      <c r="B53" s="17">
        <f t="shared" si="19"/>
        <v>0</v>
      </c>
      <c r="C53" s="42">
        <f t="shared" si="19"/>
        <v>0</v>
      </c>
      <c r="E53" s="38" t="s">
        <v>13</v>
      </c>
      <c r="F53" s="17" t="s">
        <v>14</v>
      </c>
      <c r="G53" s="42" t="s">
        <v>77</v>
      </c>
      <c r="X53" s="9">
        <v>52.0</v>
      </c>
      <c r="Y53" s="22">
        <v>0.0</v>
      </c>
    </row>
    <row r="54" ht="15.75" customHeight="1">
      <c r="A54" s="38" t="s">
        <v>16</v>
      </c>
      <c r="B54" s="17" t="s">
        <v>17</v>
      </c>
      <c r="C54" s="42" t="s">
        <v>18</v>
      </c>
      <c r="E54" s="38">
        <v>0.0</v>
      </c>
      <c r="F54" s="17">
        <v>0.0</v>
      </c>
      <c r="G54" s="42">
        <v>0.0</v>
      </c>
      <c r="X54" s="9">
        <v>53.0</v>
      </c>
      <c r="Y54" s="22">
        <v>0.0</v>
      </c>
    </row>
    <row r="55" ht="15.75" customHeight="1">
      <c r="A55" s="43">
        <f t="shared" ref="A55:C55" si="20">A72+E56</f>
        <v>0</v>
      </c>
      <c r="B55" s="44">
        <f t="shared" si="20"/>
        <v>0</v>
      </c>
      <c r="C55" s="45">
        <f t="shared" si="20"/>
        <v>0</v>
      </c>
      <c r="E55" s="38" t="s">
        <v>16</v>
      </c>
      <c r="F55" s="17" t="s">
        <v>17</v>
      </c>
      <c r="G55" s="42" t="s">
        <v>18</v>
      </c>
      <c r="X55" s="9">
        <v>54.0</v>
      </c>
      <c r="Y55" s="22">
        <v>0.0</v>
      </c>
    </row>
    <row r="56" ht="15.75" customHeight="1">
      <c r="A56" s="49" t="s">
        <v>81</v>
      </c>
      <c r="C56" s="50"/>
      <c r="E56" s="43">
        <v>0.0</v>
      </c>
      <c r="F56" s="44">
        <v>0.0</v>
      </c>
      <c r="G56" s="45">
        <v>0.0</v>
      </c>
      <c r="X56" s="9">
        <v>55.0</v>
      </c>
      <c r="Y56" s="22">
        <v>0.0</v>
      </c>
    </row>
    <row r="57" ht="15.75" customHeight="1">
      <c r="A57" s="38" t="s">
        <v>13</v>
      </c>
      <c r="B57" s="17" t="s">
        <v>14</v>
      </c>
      <c r="C57" s="42" t="s">
        <v>77</v>
      </c>
      <c r="X57" s="9">
        <v>56.0</v>
      </c>
      <c r="Y57" s="22">
        <v>0.0</v>
      </c>
    </row>
    <row r="58" ht="15.75" customHeight="1">
      <c r="A58" s="38">
        <v>13.0</v>
      </c>
      <c r="B58" s="17">
        <v>10.0</v>
      </c>
      <c r="C58" s="42">
        <v>14.0</v>
      </c>
      <c r="X58" s="9">
        <v>57.0</v>
      </c>
      <c r="Y58" s="22">
        <v>0.0</v>
      </c>
    </row>
    <row r="59" ht="15.75" customHeight="1">
      <c r="A59" s="38" t="s">
        <v>16</v>
      </c>
      <c r="B59" s="17" t="s">
        <v>17</v>
      </c>
      <c r="C59" s="42" t="s">
        <v>18</v>
      </c>
      <c r="X59" s="9">
        <v>58.0</v>
      </c>
      <c r="Y59" s="22">
        <v>0.0</v>
      </c>
    </row>
    <row r="60" ht="15.75" customHeight="1">
      <c r="A60" s="43">
        <v>10.0</v>
      </c>
      <c r="B60" s="44">
        <v>12.0</v>
      </c>
      <c r="C60" s="45">
        <v>10.0</v>
      </c>
      <c r="X60" s="9">
        <v>59.0</v>
      </c>
      <c r="Y60" s="22">
        <v>0.0</v>
      </c>
    </row>
    <row r="61" ht="15.75" customHeight="1">
      <c r="X61" s="9">
        <v>60.0</v>
      </c>
      <c r="Y61" s="22">
        <v>0.0</v>
      </c>
    </row>
    <row r="62" ht="15.75" customHeight="1">
      <c r="X62" s="9">
        <v>61.0</v>
      </c>
      <c r="Y62" s="22">
        <v>0.0</v>
      </c>
    </row>
    <row r="63" ht="15.75" customHeight="1">
      <c r="A63" s="46" t="s">
        <v>78</v>
      </c>
      <c r="B63" s="47"/>
      <c r="C63" s="48">
        <f>$L$2</f>
        <v>1</v>
      </c>
      <c r="E63" s="46"/>
      <c r="F63" s="47"/>
      <c r="G63" s="48"/>
      <c r="I63" s="46"/>
      <c r="J63" s="47"/>
      <c r="K63" s="48"/>
      <c r="M63" s="46"/>
      <c r="N63" s="47"/>
      <c r="O63" s="48"/>
      <c r="X63" s="9">
        <v>62.0</v>
      </c>
      <c r="Y63" s="22">
        <v>0.0</v>
      </c>
    </row>
    <row r="64" ht="15.75" customHeight="1">
      <c r="A64" s="38" t="s">
        <v>13</v>
      </c>
      <c r="B64" s="17" t="s">
        <v>14</v>
      </c>
      <c r="C64" s="42" t="s">
        <v>77</v>
      </c>
      <c r="E64" s="38"/>
      <c r="F64" s="17"/>
      <c r="G64" s="42"/>
      <c r="I64" s="38"/>
      <c r="J64" s="17"/>
      <c r="K64" s="42"/>
      <c r="M64" s="38"/>
      <c r="N64" s="17"/>
      <c r="O64" s="42"/>
      <c r="X64" s="9">
        <v>63.0</v>
      </c>
      <c r="Y64" s="22">
        <v>0.0</v>
      </c>
    </row>
    <row r="65" ht="15.75" customHeight="1">
      <c r="A65" s="38">
        <f t="shared" ref="A65:C65" si="21">IF(E49&gt;0,$C$63-1,0)</f>
        <v>0</v>
      </c>
      <c r="B65" s="17">
        <f t="shared" si="21"/>
        <v>0</v>
      </c>
      <c r="C65" s="42">
        <f t="shared" si="21"/>
        <v>0</v>
      </c>
      <c r="E65" s="38"/>
      <c r="F65" s="17"/>
      <c r="G65" s="42"/>
      <c r="I65" s="38"/>
      <c r="J65" s="17"/>
      <c r="K65" s="42"/>
      <c r="M65" s="38"/>
      <c r="N65" s="17"/>
      <c r="O65" s="42"/>
      <c r="X65" s="9">
        <v>64.0</v>
      </c>
      <c r="Y65" s="22">
        <v>0.0</v>
      </c>
    </row>
    <row r="66" ht="15.75" customHeight="1">
      <c r="A66" s="38" t="s">
        <v>16</v>
      </c>
      <c r="B66" s="17" t="s">
        <v>17</v>
      </c>
      <c r="C66" s="42" t="s">
        <v>18</v>
      </c>
      <c r="E66" s="38"/>
      <c r="F66" s="17"/>
      <c r="G66" s="42"/>
      <c r="I66" s="38"/>
      <c r="J66" s="17"/>
      <c r="K66" s="42"/>
      <c r="M66" s="38"/>
      <c r="N66" s="17"/>
      <c r="O66" s="42"/>
      <c r="X66" s="9">
        <v>65.0</v>
      </c>
      <c r="Y66" s="22">
        <v>0.0</v>
      </c>
    </row>
    <row r="67" ht="15.75" customHeight="1">
      <c r="A67" s="43">
        <f t="shared" ref="A67:C67" si="22">IF(E51&gt;0,$C$63-1,0)</f>
        <v>0</v>
      </c>
      <c r="B67" s="44">
        <f t="shared" si="22"/>
        <v>0</v>
      </c>
      <c r="C67" s="45">
        <f t="shared" si="22"/>
        <v>0</v>
      </c>
      <c r="E67" s="43"/>
      <c r="F67" s="44"/>
      <c r="G67" s="45"/>
      <c r="I67" s="43"/>
      <c r="J67" s="44"/>
      <c r="K67" s="45"/>
      <c r="M67" s="43"/>
      <c r="N67" s="44"/>
      <c r="O67" s="45"/>
      <c r="X67" s="9">
        <v>66.0</v>
      </c>
      <c r="Y67" s="22">
        <v>0.0</v>
      </c>
    </row>
    <row r="68" ht="15.75" customHeight="1">
      <c r="A68" s="46" t="s">
        <v>79</v>
      </c>
      <c r="B68" s="47"/>
      <c r="C68" s="48">
        <v>2.0</v>
      </c>
      <c r="E68" s="46"/>
      <c r="F68" s="47"/>
      <c r="G68" s="48"/>
      <c r="I68" s="46"/>
      <c r="J68" s="47"/>
      <c r="K68" s="48"/>
      <c r="M68" s="46"/>
      <c r="N68" s="47"/>
      <c r="O68" s="48"/>
      <c r="X68" s="9">
        <v>67.0</v>
      </c>
      <c r="Y68" s="22">
        <v>0.0</v>
      </c>
    </row>
    <row r="69" ht="15.75" customHeight="1">
      <c r="A69" s="38" t="s">
        <v>13</v>
      </c>
      <c r="B69" s="17" t="s">
        <v>14</v>
      </c>
      <c r="C69" s="42" t="s">
        <v>77</v>
      </c>
      <c r="E69" s="38"/>
      <c r="F69" s="17"/>
      <c r="G69" s="42"/>
      <c r="I69" s="38"/>
      <c r="J69" s="17"/>
      <c r="K69" s="42"/>
      <c r="M69" s="38"/>
      <c r="N69" s="17"/>
      <c r="O69" s="42"/>
      <c r="X69" s="9">
        <v>68.0</v>
      </c>
      <c r="Y69" s="22">
        <v>0.0</v>
      </c>
    </row>
    <row r="70" ht="15.75" customHeight="1">
      <c r="A70" s="38">
        <f t="shared" ref="A70:C70" si="23">IF(E54&gt;0,$C$63-1,0)</f>
        <v>0</v>
      </c>
      <c r="B70" s="17">
        <f t="shared" si="23"/>
        <v>0</v>
      </c>
      <c r="C70" s="42">
        <f t="shared" si="23"/>
        <v>0</v>
      </c>
      <c r="E70" s="38"/>
      <c r="F70" s="17"/>
      <c r="G70" s="42"/>
      <c r="I70" s="38"/>
      <c r="J70" s="17"/>
      <c r="K70" s="42"/>
      <c r="M70" s="38"/>
      <c r="N70" s="17"/>
      <c r="O70" s="42"/>
      <c r="X70" s="9">
        <v>69.0</v>
      </c>
      <c r="Y70" s="22">
        <v>0.0</v>
      </c>
    </row>
    <row r="71" ht="15.75" customHeight="1">
      <c r="A71" s="38" t="s">
        <v>16</v>
      </c>
      <c r="B71" s="17" t="s">
        <v>17</v>
      </c>
      <c r="C71" s="42" t="s">
        <v>18</v>
      </c>
      <c r="E71" s="38"/>
      <c r="F71" s="17"/>
      <c r="G71" s="42"/>
      <c r="I71" s="38"/>
      <c r="J71" s="17"/>
      <c r="K71" s="42"/>
      <c r="M71" s="38"/>
      <c r="N71" s="17"/>
      <c r="O71" s="42"/>
      <c r="X71" s="9">
        <v>70.0</v>
      </c>
      <c r="Y71" s="22">
        <v>0.0</v>
      </c>
    </row>
    <row r="72" ht="15.75" customHeight="1">
      <c r="A72" s="43">
        <f t="shared" ref="A72:C72" si="24">IF(E56&gt;0,$C$63-1,0)</f>
        <v>0</v>
      </c>
      <c r="B72" s="44">
        <f t="shared" si="24"/>
        <v>0</v>
      </c>
      <c r="C72" s="45">
        <f t="shared" si="24"/>
        <v>0</v>
      </c>
      <c r="E72" s="43"/>
      <c r="F72" s="44"/>
      <c r="G72" s="45"/>
      <c r="I72" s="43"/>
      <c r="J72" s="44"/>
      <c r="K72" s="45"/>
      <c r="M72" s="43"/>
      <c r="N72" s="44"/>
      <c r="O72" s="45"/>
      <c r="X72" s="9">
        <v>71.0</v>
      </c>
      <c r="Y72" s="22">
        <v>0.0</v>
      </c>
    </row>
    <row r="73" ht="15.75" customHeight="1">
      <c r="A73" s="9"/>
      <c r="X73" s="9">
        <v>72.0</v>
      </c>
      <c r="Y73" s="22">
        <v>0.0</v>
      </c>
    </row>
    <row r="74" ht="15.75" customHeight="1">
      <c r="A74" s="46"/>
      <c r="B74" s="47"/>
      <c r="C74" s="48"/>
      <c r="E74" s="46"/>
      <c r="F74" s="47"/>
      <c r="G74" s="48"/>
      <c r="I74" s="46"/>
      <c r="J74" s="47"/>
      <c r="K74" s="48"/>
      <c r="M74" s="46"/>
      <c r="N74" s="47"/>
      <c r="O74" s="48"/>
      <c r="X74" s="9">
        <v>73.0</v>
      </c>
      <c r="Y74" s="22">
        <v>0.0</v>
      </c>
    </row>
    <row r="75" ht="15.75" customHeight="1">
      <c r="A75" s="38"/>
      <c r="B75" s="17"/>
      <c r="C75" s="42"/>
      <c r="E75" s="38"/>
      <c r="F75" s="17"/>
      <c r="G75" s="42"/>
      <c r="I75" s="38"/>
      <c r="J75" s="17"/>
      <c r="K75" s="42"/>
      <c r="M75" s="38"/>
      <c r="N75" s="17"/>
      <c r="O75" s="42"/>
      <c r="X75" s="9">
        <v>74.0</v>
      </c>
      <c r="Y75" s="22">
        <v>0.0</v>
      </c>
    </row>
    <row r="76" ht="15.75" customHeight="1">
      <c r="A76" s="38"/>
      <c r="B76" s="17"/>
      <c r="C76" s="42"/>
      <c r="E76" s="38"/>
      <c r="F76" s="17"/>
      <c r="G76" s="42"/>
      <c r="I76" s="38"/>
      <c r="J76" s="17"/>
      <c r="K76" s="42"/>
      <c r="M76" s="38"/>
      <c r="N76" s="17"/>
      <c r="O76" s="42"/>
      <c r="X76" s="9">
        <v>75.0</v>
      </c>
      <c r="Y76" s="22">
        <v>0.0</v>
      </c>
    </row>
    <row r="77" ht="15.75" customHeight="1">
      <c r="A77" s="38"/>
      <c r="B77" s="17"/>
      <c r="C77" s="42"/>
      <c r="E77" s="38"/>
      <c r="F77" s="17"/>
      <c r="G77" s="42"/>
      <c r="I77" s="38"/>
      <c r="J77" s="17"/>
      <c r="K77" s="42"/>
      <c r="M77" s="38"/>
      <c r="N77" s="17"/>
      <c r="O77" s="42"/>
      <c r="X77" s="9">
        <v>76.0</v>
      </c>
      <c r="Y77" s="22">
        <v>0.0</v>
      </c>
    </row>
    <row r="78" ht="15.75" customHeight="1">
      <c r="A78" s="43"/>
      <c r="B78" s="44"/>
      <c r="C78" s="45"/>
      <c r="E78" s="43"/>
      <c r="F78" s="44"/>
      <c r="G78" s="45"/>
      <c r="I78" s="43"/>
      <c r="J78" s="44"/>
      <c r="K78" s="45"/>
      <c r="M78" s="43"/>
      <c r="N78" s="44"/>
      <c r="O78" s="45"/>
      <c r="X78" s="9">
        <v>77.0</v>
      </c>
      <c r="Y78" s="22">
        <v>0.0</v>
      </c>
    </row>
    <row r="79" ht="15.75" customHeight="1">
      <c r="A79" s="46"/>
      <c r="B79" s="47"/>
      <c r="C79" s="48"/>
      <c r="E79" s="46"/>
      <c r="F79" s="47"/>
      <c r="G79" s="48"/>
      <c r="I79" s="46"/>
      <c r="J79" s="47"/>
      <c r="K79" s="48"/>
      <c r="M79" s="46"/>
      <c r="N79" s="47"/>
      <c r="O79" s="48"/>
      <c r="X79" s="9">
        <v>78.0</v>
      </c>
      <c r="Y79" s="22">
        <v>0.0</v>
      </c>
    </row>
    <row r="80" ht="15.75" customHeight="1">
      <c r="A80" s="38"/>
      <c r="B80" s="17"/>
      <c r="C80" s="42"/>
      <c r="E80" s="38"/>
      <c r="F80" s="17"/>
      <c r="G80" s="42"/>
      <c r="I80" s="38"/>
      <c r="J80" s="17"/>
      <c r="K80" s="42"/>
      <c r="M80" s="38"/>
      <c r="N80" s="17"/>
      <c r="O80" s="42"/>
      <c r="X80" s="9">
        <v>79.0</v>
      </c>
      <c r="Y80" s="22">
        <v>0.0</v>
      </c>
    </row>
    <row r="81" ht="15.75" customHeight="1">
      <c r="A81" s="38"/>
      <c r="B81" s="17"/>
      <c r="C81" s="42"/>
      <c r="E81" s="38"/>
      <c r="F81" s="17"/>
      <c r="G81" s="42"/>
      <c r="I81" s="38"/>
      <c r="J81" s="17"/>
      <c r="K81" s="42"/>
      <c r="M81" s="38"/>
      <c r="N81" s="17"/>
      <c r="O81" s="42"/>
      <c r="X81" s="9">
        <v>80.0</v>
      </c>
      <c r="Y81" s="22">
        <v>0.0</v>
      </c>
    </row>
    <row r="82" ht="15.75" customHeight="1">
      <c r="A82" s="38"/>
      <c r="B82" s="17"/>
      <c r="C82" s="42"/>
      <c r="E82" s="38"/>
      <c r="F82" s="17"/>
      <c r="G82" s="42"/>
      <c r="I82" s="38"/>
      <c r="J82" s="17"/>
      <c r="K82" s="42"/>
      <c r="M82" s="38"/>
      <c r="N82" s="17"/>
      <c r="O82" s="42"/>
      <c r="X82" s="9">
        <v>81.0</v>
      </c>
      <c r="Y82" s="22">
        <v>0.0</v>
      </c>
    </row>
    <row r="83" ht="15.75" customHeight="1">
      <c r="A83" s="43"/>
      <c r="B83" s="44"/>
      <c r="C83" s="45"/>
      <c r="E83" s="43"/>
      <c r="F83" s="44"/>
      <c r="G83" s="45"/>
      <c r="I83" s="43"/>
      <c r="J83" s="44"/>
      <c r="K83" s="45"/>
      <c r="M83" s="43"/>
      <c r="N83" s="44"/>
      <c r="O83" s="45"/>
      <c r="X83" s="9">
        <v>82.0</v>
      </c>
      <c r="Y83" s="22">
        <v>0.0</v>
      </c>
    </row>
    <row r="84" ht="15.75" customHeight="1">
      <c r="X84" s="9">
        <v>83.0</v>
      </c>
      <c r="Y84" s="22">
        <v>0.0</v>
      </c>
    </row>
    <row r="85" ht="15.75" customHeight="1">
      <c r="A85" s="46"/>
      <c r="B85" s="47"/>
      <c r="C85" s="48"/>
      <c r="E85" s="46"/>
      <c r="F85" s="47"/>
      <c r="G85" s="48"/>
      <c r="I85" s="46"/>
      <c r="J85" s="47"/>
      <c r="K85" s="48"/>
      <c r="M85" s="46"/>
      <c r="N85" s="47"/>
      <c r="O85" s="48"/>
      <c r="X85" s="9">
        <v>84.0</v>
      </c>
      <c r="Y85" s="22">
        <v>0.0</v>
      </c>
    </row>
    <row r="86" ht="15.75" customHeight="1">
      <c r="A86" s="38"/>
      <c r="B86" s="17"/>
      <c r="C86" s="42"/>
      <c r="E86" s="38"/>
      <c r="F86" s="17"/>
      <c r="G86" s="42"/>
      <c r="I86" s="38"/>
      <c r="J86" s="17"/>
      <c r="K86" s="42"/>
      <c r="M86" s="38"/>
      <c r="N86" s="17"/>
      <c r="O86" s="42"/>
      <c r="X86" s="9">
        <v>85.0</v>
      </c>
      <c r="Y86" s="22">
        <v>0.0</v>
      </c>
    </row>
    <row r="87" ht="15.75" customHeight="1">
      <c r="A87" s="38"/>
      <c r="B87" s="17"/>
      <c r="C87" s="42"/>
      <c r="E87" s="38"/>
      <c r="F87" s="17"/>
      <c r="G87" s="42"/>
      <c r="I87" s="38"/>
      <c r="J87" s="17"/>
      <c r="K87" s="42"/>
      <c r="M87" s="38"/>
      <c r="N87" s="17"/>
      <c r="O87" s="42"/>
      <c r="X87" s="9">
        <v>86.0</v>
      </c>
      <c r="Y87" s="22">
        <v>0.0</v>
      </c>
    </row>
    <row r="88" ht="15.75" customHeight="1">
      <c r="A88" s="38"/>
      <c r="B88" s="17"/>
      <c r="C88" s="42"/>
      <c r="E88" s="38"/>
      <c r="F88" s="17"/>
      <c r="G88" s="42"/>
      <c r="I88" s="38"/>
      <c r="J88" s="17"/>
      <c r="K88" s="42"/>
      <c r="M88" s="38"/>
      <c r="N88" s="17"/>
      <c r="O88" s="42"/>
      <c r="X88" s="9">
        <v>87.0</v>
      </c>
      <c r="Y88" s="22">
        <v>0.0</v>
      </c>
    </row>
    <row r="89" ht="15.75" customHeight="1">
      <c r="A89" s="43"/>
      <c r="B89" s="44"/>
      <c r="C89" s="45"/>
      <c r="E89" s="43"/>
      <c r="F89" s="44"/>
      <c r="G89" s="45"/>
      <c r="I89" s="43"/>
      <c r="J89" s="44"/>
      <c r="K89" s="45"/>
      <c r="M89" s="43"/>
      <c r="N89" s="44"/>
      <c r="O89" s="45"/>
      <c r="X89" s="9">
        <v>88.0</v>
      </c>
      <c r="Y89" s="22">
        <v>0.0</v>
      </c>
    </row>
    <row r="90" ht="15.75" customHeight="1">
      <c r="A90" s="46"/>
      <c r="B90" s="47"/>
      <c r="C90" s="48"/>
      <c r="E90" s="46"/>
      <c r="F90" s="47"/>
      <c r="G90" s="48"/>
      <c r="I90" s="46"/>
      <c r="J90" s="47"/>
      <c r="K90" s="48"/>
      <c r="M90" s="46"/>
      <c r="N90" s="47"/>
      <c r="O90" s="48"/>
      <c r="X90" s="9">
        <v>89.0</v>
      </c>
      <c r="Y90" s="22">
        <v>0.0</v>
      </c>
    </row>
    <row r="91" ht="15.75" customHeight="1">
      <c r="A91" s="38"/>
      <c r="B91" s="17"/>
      <c r="C91" s="42"/>
      <c r="E91" s="38"/>
      <c r="F91" s="17"/>
      <c r="G91" s="42"/>
      <c r="I91" s="38"/>
      <c r="J91" s="17"/>
      <c r="K91" s="42"/>
      <c r="M91" s="38"/>
      <c r="N91" s="17"/>
      <c r="O91" s="42"/>
      <c r="X91" s="9">
        <v>90.0</v>
      </c>
      <c r="Y91" s="22">
        <v>0.0</v>
      </c>
    </row>
    <row r="92" ht="15.75" customHeight="1">
      <c r="A92" s="38"/>
      <c r="B92" s="17"/>
      <c r="C92" s="42"/>
      <c r="E92" s="38"/>
      <c r="F92" s="17"/>
      <c r="G92" s="42"/>
      <c r="I92" s="38"/>
      <c r="J92" s="17"/>
      <c r="K92" s="42"/>
      <c r="M92" s="38"/>
      <c r="N92" s="17"/>
      <c r="O92" s="42"/>
      <c r="X92" s="9">
        <v>91.0</v>
      </c>
      <c r="Y92" s="22">
        <v>0.0</v>
      </c>
    </row>
    <row r="93" ht="15.75" customHeight="1">
      <c r="A93" s="38"/>
      <c r="B93" s="17"/>
      <c r="C93" s="42"/>
      <c r="E93" s="38"/>
      <c r="F93" s="17"/>
      <c r="G93" s="42"/>
      <c r="I93" s="38"/>
      <c r="J93" s="17"/>
      <c r="K93" s="42"/>
      <c r="M93" s="38"/>
      <c r="N93" s="17"/>
      <c r="O93" s="42"/>
      <c r="X93" s="9">
        <v>92.0</v>
      </c>
      <c r="Y93" s="22">
        <v>0.0</v>
      </c>
    </row>
    <row r="94" ht="15.75" customHeight="1">
      <c r="A94" s="43"/>
      <c r="B94" s="44"/>
      <c r="C94" s="45"/>
      <c r="E94" s="43"/>
      <c r="F94" s="44"/>
      <c r="G94" s="45"/>
      <c r="I94" s="43"/>
      <c r="J94" s="44"/>
      <c r="K94" s="45"/>
      <c r="M94" s="43"/>
      <c r="N94" s="44"/>
      <c r="O94" s="45"/>
      <c r="X94" s="9">
        <v>93.0</v>
      </c>
      <c r="Y94" s="22">
        <v>0.0</v>
      </c>
    </row>
    <row r="95" ht="15.75" customHeight="1">
      <c r="X95" s="9">
        <v>94.0</v>
      </c>
      <c r="Y95" s="22">
        <v>0.0</v>
      </c>
    </row>
    <row r="96" ht="15.75" customHeight="1">
      <c r="A96" s="46"/>
      <c r="B96" s="47"/>
      <c r="C96" s="48"/>
      <c r="E96" s="46"/>
      <c r="F96" s="47"/>
      <c r="G96" s="48"/>
      <c r="I96" s="46"/>
      <c r="J96" s="47"/>
      <c r="K96" s="48"/>
      <c r="M96" s="46"/>
      <c r="N96" s="47"/>
      <c r="O96" s="48"/>
      <c r="X96" s="9">
        <v>95.0</v>
      </c>
      <c r="Y96" s="22">
        <v>0.0</v>
      </c>
    </row>
    <row r="97" ht="15.75" customHeight="1">
      <c r="A97" s="38"/>
      <c r="B97" s="17"/>
      <c r="C97" s="42"/>
      <c r="E97" s="38"/>
      <c r="F97" s="17"/>
      <c r="G97" s="42"/>
      <c r="I97" s="38"/>
      <c r="J97" s="17"/>
      <c r="K97" s="42"/>
      <c r="M97" s="38"/>
      <c r="N97" s="17"/>
      <c r="O97" s="42"/>
      <c r="X97" s="9">
        <v>96.0</v>
      </c>
      <c r="Y97" s="22">
        <v>0.0</v>
      </c>
    </row>
    <row r="98" ht="15.75" customHeight="1">
      <c r="A98" s="38"/>
      <c r="B98" s="17"/>
      <c r="C98" s="42"/>
      <c r="E98" s="38"/>
      <c r="F98" s="17"/>
      <c r="G98" s="42"/>
      <c r="I98" s="38"/>
      <c r="J98" s="17"/>
      <c r="K98" s="42"/>
      <c r="M98" s="38"/>
      <c r="N98" s="17"/>
      <c r="O98" s="42"/>
      <c r="X98" s="9">
        <v>97.0</v>
      </c>
      <c r="Y98" s="22">
        <v>0.0</v>
      </c>
    </row>
    <row r="99" ht="15.75" customHeight="1">
      <c r="A99" s="38"/>
      <c r="B99" s="17"/>
      <c r="C99" s="42"/>
      <c r="E99" s="38"/>
      <c r="F99" s="17"/>
      <c r="G99" s="42"/>
      <c r="I99" s="38"/>
      <c r="J99" s="17"/>
      <c r="K99" s="42"/>
      <c r="M99" s="38"/>
      <c r="N99" s="17"/>
      <c r="O99" s="42"/>
      <c r="X99" s="9">
        <v>98.0</v>
      </c>
      <c r="Y99" s="22">
        <v>0.0</v>
      </c>
    </row>
    <row r="100" ht="15.75" customHeight="1">
      <c r="A100" s="43"/>
      <c r="B100" s="44"/>
      <c r="C100" s="45"/>
      <c r="E100" s="43"/>
      <c r="F100" s="44"/>
      <c r="G100" s="45"/>
      <c r="I100" s="43"/>
      <c r="J100" s="44"/>
      <c r="K100" s="45"/>
      <c r="M100" s="43"/>
      <c r="N100" s="44"/>
      <c r="O100" s="45"/>
      <c r="X100" s="9">
        <v>99.0</v>
      </c>
      <c r="Y100" s="22">
        <v>0.0</v>
      </c>
    </row>
    <row r="101" ht="15.75" customHeight="1">
      <c r="A101" s="46"/>
      <c r="B101" s="47"/>
      <c r="C101" s="48"/>
      <c r="E101" s="46"/>
      <c r="F101" s="47"/>
      <c r="G101" s="48"/>
      <c r="I101" s="46"/>
      <c r="J101" s="47"/>
      <c r="K101" s="48"/>
      <c r="M101" s="46"/>
      <c r="N101" s="47"/>
      <c r="O101" s="48"/>
      <c r="Q101" s="22"/>
      <c r="R101" s="22"/>
      <c r="S101" s="22"/>
      <c r="T101" s="22"/>
      <c r="U101" s="22"/>
      <c r="V101" s="22"/>
      <c r="W101" s="22"/>
      <c r="X101" s="9">
        <v>100.0</v>
      </c>
      <c r="Y101" s="22">
        <v>0.0</v>
      </c>
    </row>
    <row r="102" ht="15.75" customHeight="1">
      <c r="A102" s="38"/>
      <c r="B102" s="17"/>
      <c r="C102" s="42"/>
      <c r="E102" s="38"/>
      <c r="F102" s="17"/>
      <c r="G102" s="42"/>
      <c r="I102" s="38"/>
      <c r="J102" s="17"/>
      <c r="K102" s="42"/>
      <c r="M102" s="38"/>
      <c r="N102" s="17"/>
      <c r="O102" s="42"/>
      <c r="Q102" s="22"/>
      <c r="R102" s="22"/>
      <c r="S102" s="22"/>
      <c r="T102" s="22"/>
      <c r="U102" s="22"/>
      <c r="V102" s="22"/>
      <c r="W102" s="22"/>
    </row>
    <row r="103" ht="15.75" customHeight="1">
      <c r="A103" s="38"/>
      <c r="B103" s="17"/>
      <c r="C103" s="42"/>
      <c r="E103" s="38"/>
      <c r="F103" s="17"/>
      <c r="G103" s="42"/>
      <c r="I103" s="38"/>
      <c r="J103" s="17"/>
      <c r="K103" s="42"/>
      <c r="M103" s="38"/>
      <c r="N103" s="17"/>
      <c r="O103" s="42"/>
      <c r="Q103" s="22"/>
      <c r="R103" s="22"/>
      <c r="S103" s="22"/>
      <c r="T103" s="22"/>
      <c r="U103" s="22"/>
      <c r="V103" s="22"/>
      <c r="W103" s="22"/>
    </row>
    <row r="104" ht="15.75" customHeight="1">
      <c r="A104" s="38"/>
      <c r="B104" s="17"/>
      <c r="C104" s="42"/>
      <c r="E104" s="38"/>
      <c r="F104" s="17"/>
      <c r="G104" s="42"/>
      <c r="I104" s="38"/>
      <c r="J104" s="17"/>
      <c r="K104" s="42"/>
      <c r="M104" s="38"/>
      <c r="N104" s="17"/>
      <c r="O104" s="42"/>
      <c r="Q104" s="22"/>
      <c r="R104" s="22"/>
      <c r="S104" s="22"/>
      <c r="T104" s="22"/>
      <c r="U104" s="22"/>
      <c r="V104" s="22"/>
      <c r="W104" s="22"/>
    </row>
    <row r="105" ht="15.75" customHeight="1">
      <c r="A105" s="43"/>
      <c r="B105" s="44"/>
      <c r="C105" s="45"/>
      <c r="E105" s="43"/>
      <c r="F105" s="44"/>
      <c r="G105" s="45"/>
      <c r="I105" s="43"/>
      <c r="J105" s="44"/>
      <c r="K105" s="45"/>
      <c r="M105" s="43"/>
      <c r="N105" s="44"/>
      <c r="O105" s="45"/>
      <c r="Q105" s="22"/>
      <c r="R105" s="22"/>
      <c r="S105" s="22"/>
      <c r="T105" s="22"/>
      <c r="U105" s="22"/>
      <c r="V105" s="22"/>
      <c r="W105" s="22"/>
    </row>
    <row r="106" ht="15.75" customHeight="1">
      <c r="Q106" s="22"/>
      <c r="R106" s="22"/>
      <c r="S106" s="22"/>
      <c r="T106" s="22"/>
      <c r="U106" s="22"/>
      <c r="V106" s="22"/>
      <c r="W106" s="22"/>
    </row>
    <row r="107" ht="15.75" customHeight="1">
      <c r="A107" s="46"/>
      <c r="B107" s="47"/>
      <c r="C107" s="48"/>
      <c r="E107" s="46"/>
      <c r="F107" s="47"/>
      <c r="G107" s="48"/>
      <c r="I107" s="46"/>
      <c r="J107" s="47"/>
      <c r="K107" s="48"/>
      <c r="M107" s="46"/>
      <c r="N107" s="47"/>
      <c r="O107" s="48"/>
      <c r="Q107" s="22"/>
      <c r="R107" s="22"/>
      <c r="S107" s="22"/>
      <c r="T107" s="22"/>
      <c r="U107" s="22"/>
      <c r="V107" s="22"/>
      <c r="W107" s="22"/>
    </row>
    <row r="108" ht="15.75" customHeight="1">
      <c r="A108" s="38"/>
      <c r="B108" s="17"/>
      <c r="C108" s="42"/>
      <c r="E108" s="38"/>
      <c r="F108" s="17"/>
      <c r="G108" s="42"/>
      <c r="I108" s="38"/>
      <c r="J108" s="17"/>
      <c r="K108" s="42"/>
      <c r="M108" s="38"/>
      <c r="N108" s="17"/>
      <c r="O108" s="42"/>
      <c r="Q108" s="22"/>
      <c r="R108" s="22"/>
      <c r="S108" s="22"/>
      <c r="T108" s="22"/>
      <c r="U108" s="22"/>
      <c r="V108" s="22"/>
      <c r="W108" s="22"/>
    </row>
    <row r="109" ht="15.75" customHeight="1">
      <c r="A109" s="38"/>
      <c r="B109" s="17"/>
      <c r="C109" s="42"/>
      <c r="E109" s="38"/>
      <c r="F109" s="17"/>
      <c r="G109" s="42"/>
      <c r="I109" s="38"/>
      <c r="J109" s="17"/>
      <c r="K109" s="42"/>
      <c r="M109" s="38"/>
      <c r="N109" s="17"/>
      <c r="O109" s="42"/>
      <c r="Q109" s="22"/>
      <c r="R109" s="22"/>
      <c r="S109" s="22"/>
      <c r="T109" s="22"/>
      <c r="U109" s="22"/>
      <c r="V109" s="22"/>
      <c r="W109" s="22"/>
    </row>
    <row r="110" ht="15.75" customHeight="1">
      <c r="A110" s="38"/>
      <c r="B110" s="17"/>
      <c r="C110" s="42"/>
      <c r="E110" s="38"/>
      <c r="F110" s="17"/>
      <c r="G110" s="42"/>
      <c r="I110" s="38"/>
      <c r="J110" s="17"/>
      <c r="K110" s="42"/>
      <c r="M110" s="38"/>
      <c r="N110" s="17"/>
      <c r="O110" s="42"/>
      <c r="Q110" s="22"/>
      <c r="R110" s="22"/>
      <c r="S110" s="22"/>
      <c r="T110" s="22"/>
      <c r="U110" s="22"/>
      <c r="V110" s="22"/>
      <c r="W110" s="22"/>
    </row>
    <row r="111" ht="15.75" customHeight="1">
      <c r="A111" s="43"/>
      <c r="B111" s="44"/>
      <c r="C111" s="45"/>
      <c r="E111" s="43"/>
      <c r="F111" s="44"/>
      <c r="G111" s="45"/>
      <c r="I111" s="43"/>
      <c r="J111" s="44"/>
      <c r="K111" s="45"/>
      <c r="M111" s="43"/>
      <c r="N111" s="44"/>
      <c r="O111" s="45"/>
      <c r="Q111" s="22"/>
      <c r="R111" s="22"/>
      <c r="S111" s="22"/>
      <c r="T111" s="22"/>
      <c r="U111" s="22"/>
      <c r="V111" s="22"/>
      <c r="W111" s="22"/>
    </row>
    <row r="112" ht="15.75" customHeight="1">
      <c r="A112" s="46"/>
      <c r="B112" s="47"/>
      <c r="C112" s="48"/>
      <c r="E112" s="46"/>
      <c r="F112" s="47"/>
      <c r="G112" s="48"/>
      <c r="I112" s="46"/>
      <c r="J112" s="47"/>
      <c r="K112" s="48"/>
      <c r="M112" s="46"/>
      <c r="N112" s="47"/>
      <c r="O112" s="48"/>
      <c r="Q112" s="22"/>
      <c r="R112" s="22"/>
      <c r="S112" s="22"/>
      <c r="T112" s="22"/>
      <c r="U112" s="22"/>
      <c r="V112" s="22"/>
      <c r="W112" s="22"/>
    </row>
    <row r="113" ht="15.75" customHeight="1">
      <c r="A113" s="38"/>
      <c r="B113" s="17"/>
      <c r="C113" s="42"/>
      <c r="E113" s="38"/>
      <c r="F113" s="17"/>
      <c r="G113" s="42"/>
      <c r="I113" s="38"/>
      <c r="J113" s="17"/>
      <c r="K113" s="42"/>
      <c r="M113" s="38"/>
      <c r="N113" s="17"/>
      <c r="O113" s="42"/>
      <c r="Q113" s="22"/>
      <c r="R113" s="22"/>
      <c r="S113" s="22"/>
      <c r="T113" s="22"/>
      <c r="U113" s="22"/>
      <c r="V113" s="22"/>
      <c r="W113" s="22"/>
    </row>
    <row r="114" ht="15.75" customHeight="1">
      <c r="A114" s="38"/>
      <c r="B114" s="17"/>
      <c r="C114" s="42"/>
      <c r="E114" s="38"/>
      <c r="F114" s="17"/>
      <c r="G114" s="42"/>
      <c r="I114" s="38"/>
      <c r="J114" s="17"/>
      <c r="K114" s="42"/>
      <c r="M114" s="38"/>
      <c r="N114" s="17"/>
      <c r="O114" s="42"/>
      <c r="Q114" s="22"/>
      <c r="R114" s="22"/>
      <c r="S114" s="22"/>
      <c r="T114" s="22"/>
      <c r="U114" s="22"/>
      <c r="V114" s="22"/>
      <c r="W114" s="22"/>
    </row>
    <row r="115" ht="15.75" customHeight="1">
      <c r="A115" s="38"/>
      <c r="B115" s="17"/>
      <c r="C115" s="42"/>
      <c r="E115" s="38"/>
      <c r="F115" s="17"/>
      <c r="G115" s="42"/>
      <c r="I115" s="38"/>
      <c r="J115" s="17"/>
      <c r="K115" s="42"/>
      <c r="M115" s="38"/>
      <c r="N115" s="17"/>
      <c r="O115" s="42"/>
      <c r="Q115" s="22"/>
      <c r="R115" s="22"/>
      <c r="S115" s="22"/>
      <c r="T115" s="22"/>
      <c r="U115" s="22"/>
      <c r="V115" s="22"/>
      <c r="W115" s="22"/>
    </row>
    <row r="116" ht="15.75" customHeight="1">
      <c r="A116" s="43"/>
      <c r="B116" s="44"/>
      <c r="C116" s="45"/>
      <c r="E116" s="43"/>
      <c r="F116" s="44"/>
      <c r="G116" s="45"/>
      <c r="I116" s="43"/>
      <c r="J116" s="44"/>
      <c r="K116" s="45"/>
      <c r="M116" s="43"/>
      <c r="N116" s="44"/>
      <c r="O116" s="45"/>
      <c r="Q116" s="22"/>
      <c r="R116" s="22"/>
      <c r="S116" s="22"/>
      <c r="T116" s="22"/>
      <c r="U116" s="22"/>
      <c r="V116" s="22"/>
      <c r="W116" s="22"/>
    </row>
    <row r="117" ht="15.75" customHeight="1">
      <c r="Q117" s="22"/>
      <c r="R117" s="22"/>
      <c r="S117" s="22"/>
      <c r="T117" s="22"/>
      <c r="U117" s="22"/>
      <c r="V117" s="22"/>
      <c r="W117" s="22"/>
    </row>
    <row r="118" ht="15.75" customHeight="1">
      <c r="A118" s="46"/>
      <c r="B118" s="47"/>
      <c r="C118" s="48"/>
      <c r="E118" s="46"/>
      <c r="F118" s="47"/>
      <c r="G118" s="48"/>
      <c r="I118" s="46"/>
      <c r="J118" s="47"/>
      <c r="K118" s="48"/>
      <c r="M118" s="46"/>
      <c r="N118" s="47"/>
      <c r="O118" s="48"/>
      <c r="Q118" s="22"/>
      <c r="R118" s="22"/>
      <c r="S118" s="22"/>
      <c r="T118" s="22"/>
      <c r="U118" s="22"/>
      <c r="V118" s="22"/>
      <c r="W118" s="22"/>
    </row>
    <row r="119" ht="15.75" customHeight="1">
      <c r="A119" s="38"/>
      <c r="B119" s="17"/>
      <c r="C119" s="42"/>
      <c r="E119" s="38"/>
      <c r="F119" s="17"/>
      <c r="G119" s="42"/>
      <c r="I119" s="38"/>
      <c r="J119" s="17"/>
      <c r="K119" s="42"/>
      <c r="M119" s="38"/>
      <c r="N119" s="17"/>
      <c r="O119" s="42"/>
      <c r="Q119" s="22"/>
      <c r="R119" s="22"/>
      <c r="S119" s="22"/>
      <c r="T119" s="22"/>
      <c r="U119" s="22"/>
      <c r="V119" s="22"/>
      <c r="W119" s="22"/>
    </row>
    <row r="120" ht="15.75" customHeight="1">
      <c r="A120" s="38"/>
      <c r="B120" s="17"/>
      <c r="C120" s="42"/>
      <c r="E120" s="38"/>
      <c r="F120" s="17"/>
      <c r="G120" s="42"/>
      <c r="I120" s="38"/>
      <c r="J120" s="17"/>
      <c r="K120" s="42"/>
      <c r="M120" s="38"/>
      <c r="N120" s="17"/>
      <c r="O120" s="42"/>
      <c r="Q120" s="22"/>
      <c r="R120" s="22"/>
      <c r="S120" s="22"/>
      <c r="T120" s="22"/>
      <c r="U120" s="22"/>
      <c r="V120" s="22"/>
      <c r="W120" s="22"/>
    </row>
    <row r="121" ht="15.75" customHeight="1">
      <c r="A121" s="38"/>
      <c r="B121" s="17"/>
      <c r="C121" s="42"/>
      <c r="E121" s="38"/>
      <c r="F121" s="17"/>
      <c r="G121" s="42"/>
      <c r="I121" s="38"/>
      <c r="J121" s="17"/>
      <c r="K121" s="42"/>
      <c r="M121" s="38"/>
      <c r="N121" s="17"/>
      <c r="O121" s="42"/>
      <c r="Q121" s="22"/>
      <c r="R121" s="22"/>
      <c r="S121" s="22"/>
      <c r="T121" s="22"/>
      <c r="U121" s="22"/>
      <c r="V121" s="22"/>
      <c r="W121" s="22"/>
    </row>
    <row r="122" ht="15.75" customHeight="1">
      <c r="A122" s="43"/>
      <c r="B122" s="44"/>
      <c r="C122" s="45"/>
      <c r="E122" s="43"/>
      <c r="F122" s="44"/>
      <c r="G122" s="45"/>
      <c r="I122" s="43"/>
      <c r="J122" s="44"/>
      <c r="K122" s="45"/>
      <c r="M122" s="43"/>
      <c r="N122" s="44"/>
      <c r="O122" s="45"/>
      <c r="Q122" s="22"/>
      <c r="R122" s="22"/>
      <c r="S122" s="22"/>
      <c r="T122" s="22"/>
      <c r="U122" s="22"/>
      <c r="V122" s="22"/>
      <c r="W122" s="22"/>
    </row>
    <row r="123" ht="15.75" customHeight="1">
      <c r="A123" s="46"/>
      <c r="B123" s="47"/>
      <c r="C123" s="48"/>
      <c r="E123" s="46"/>
      <c r="F123" s="47"/>
      <c r="G123" s="48"/>
      <c r="I123" s="46"/>
      <c r="J123" s="47"/>
      <c r="K123" s="48"/>
      <c r="M123" s="46"/>
      <c r="N123" s="47"/>
      <c r="O123" s="48"/>
      <c r="Q123" s="22"/>
      <c r="R123" s="22"/>
      <c r="S123" s="22"/>
      <c r="T123" s="22"/>
      <c r="U123" s="22"/>
      <c r="V123" s="22"/>
      <c r="W123" s="22"/>
    </row>
    <row r="124" ht="15.75" customHeight="1">
      <c r="A124" s="38"/>
      <c r="B124" s="17"/>
      <c r="C124" s="42"/>
      <c r="E124" s="38"/>
      <c r="F124" s="17"/>
      <c r="G124" s="42"/>
      <c r="I124" s="38"/>
      <c r="J124" s="17"/>
      <c r="K124" s="42"/>
      <c r="M124" s="38"/>
      <c r="N124" s="17"/>
      <c r="O124" s="42"/>
      <c r="Q124" s="22"/>
      <c r="R124" s="22"/>
      <c r="S124" s="22"/>
      <c r="T124" s="22"/>
      <c r="U124" s="22"/>
      <c r="V124" s="22"/>
      <c r="W124" s="22"/>
    </row>
    <row r="125" ht="15.75" customHeight="1">
      <c r="A125" s="38"/>
      <c r="B125" s="17"/>
      <c r="C125" s="42"/>
      <c r="E125" s="38"/>
      <c r="F125" s="17"/>
      <c r="G125" s="42"/>
      <c r="I125" s="38"/>
      <c r="J125" s="17"/>
      <c r="K125" s="42"/>
      <c r="M125" s="38"/>
      <c r="N125" s="17"/>
      <c r="O125" s="42"/>
      <c r="Q125" s="22"/>
      <c r="R125" s="22"/>
      <c r="S125" s="22"/>
      <c r="T125" s="22"/>
      <c r="U125" s="22"/>
      <c r="V125" s="22"/>
      <c r="W125" s="22"/>
    </row>
    <row r="126" ht="15.75" customHeight="1">
      <c r="A126" s="38"/>
      <c r="B126" s="17"/>
      <c r="C126" s="42"/>
      <c r="E126" s="38"/>
      <c r="F126" s="17"/>
      <c r="G126" s="42"/>
      <c r="I126" s="38"/>
      <c r="J126" s="17"/>
      <c r="K126" s="42"/>
      <c r="M126" s="38"/>
      <c r="N126" s="17"/>
      <c r="O126" s="42"/>
      <c r="Q126" s="22"/>
      <c r="R126" s="22"/>
      <c r="S126" s="22"/>
      <c r="T126" s="22"/>
      <c r="U126" s="22"/>
      <c r="V126" s="22"/>
      <c r="W126" s="22"/>
    </row>
    <row r="127" ht="15.75" customHeight="1">
      <c r="A127" s="43"/>
      <c r="B127" s="44"/>
      <c r="C127" s="45"/>
      <c r="E127" s="43"/>
      <c r="F127" s="44"/>
      <c r="G127" s="45"/>
      <c r="I127" s="43"/>
      <c r="J127" s="44"/>
      <c r="K127" s="45"/>
      <c r="M127" s="43"/>
      <c r="N127" s="44"/>
      <c r="O127" s="45"/>
      <c r="Q127" s="22"/>
      <c r="R127" s="22"/>
      <c r="S127" s="22"/>
      <c r="T127" s="22"/>
      <c r="U127" s="22"/>
      <c r="V127" s="22"/>
      <c r="W127" s="22"/>
    </row>
    <row r="128" ht="15.75" customHeight="1">
      <c r="Q128" s="22"/>
      <c r="R128" s="22"/>
      <c r="S128" s="22"/>
      <c r="T128" s="22"/>
      <c r="U128" s="22"/>
      <c r="V128" s="22"/>
      <c r="W128" s="22"/>
    </row>
    <row r="129" ht="15.75" customHeight="1">
      <c r="A129" s="46"/>
      <c r="B129" s="47"/>
      <c r="C129" s="48"/>
      <c r="E129" s="46"/>
      <c r="F129" s="47"/>
      <c r="G129" s="48"/>
      <c r="I129" s="46"/>
      <c r="J129" s="47"/>
      <c r="K129" s="48"/>
      <c r="M129" s="46"/>
      <c r="N129" s="47"/>
      <c r="O129" s="48"/>
      <c r="Q129" s="22"/>
      <c r="R129" s="22"/>
      <c r="S129" s="22"/>
      <c r="T129" s="22"/>
      <c r="U129" s="22"/>
      <c r="V129" s="22"/>
      <c r="W129" s="22"/>
    </row>
    <row r="130" ht="15.75" customHeight="1">
      <c r="A130" s="38"/>
      <c r="B130" s="17"/>
      <c r="C130" s="42"/>
      <c r="E130" s="38"/>
      <c r="F130" s="17"/>
      <c r="G130" s="42"/>
      <c r="I130" s="38"/>
      <c r="J130" s="17"/>
      <c r="K130" s="42"/>
      <c r="M130" s="38"/>
      <c r="N130" s="17"/>
      <c r="O130" s="42"/>
      <c r="Q130" s="22"/>
      <c r="R130" s="22"/>
      <c r="S130" s="22"/>
      <c r="T130" s="22"/>
      <c r="U130" s="22"/>
      <c r="V130" s="22"/>
      <c r="W130" s="22"/>
    </row>
    <row r="131" ht="15.75" customHeight="1">
      <c r="A131" s="38"/>
      <c r="B131" s="17"/>
      <c r="C131" s="42"/>
      <c r="E131" s="38"/>
      <c r="F131" s="17"/>
      <c r="G131" s="42"/>
      <c r="I131" s="38"/>
      <c r="J131" s="17"/>
      <c r="K131" s="42"/>
      <c r="M131" s="38"/>
      <c r="N131" s="17"/>
      <c r="O131" s="42"/>
      <c r="Q131" s="22"/>
      <c r="R131" s="22"/>
      <c r="S131" s="22"/>
      <c r="T131" s="22"/>
      <c r="U131" s="22"/>
      <c r="V131" s="22"/>
      <c r="W131" s="22"/>
    </row>
    <row r="132" ht="15.75" customHeight="1">
      <c r="A132" s="38"/>
      <c r="B132" s="17"/>
      <c r="C132" s="42"/>
      <c r="E132" s="38"/>
      <c r="F132" s="17"/>
      <c r="G132" s="42"/>
      <c r="I132" s="38"/>
      <c r="J132" s="17"/>
      <c r="K132" s="42"/>
      <c r="M132" s="38"/>
      <c r="N132" s="17"/>
      <c r="O132" s="42"/>
      <c r="Q132" s="22"/>
      <c r="R132" s="22"/>
      <c r="S132" s="22"/>
      <c r="T132" s="22"/>
      <c r="U132" s="22"/>
      <c r="V132" s="22"/>
      <c r="W132" s="22"/>
    </row>
    <row r="133" ht="15.75" customHeight="1">
      <c r="A133" s="43"/>
      <c r="B133" s="44"/>
      <c r="C133" s="45"/>
      <c r="E133" s="43"/>
      <c r="F133" s="44"/>
      <c r="G133" s="45"/>
      <c r="I133" s="43"/>
      <c r="J133" s="44"/>
      <c r="K133" s="45"/>
      <c r="M133" s="43"/>
      <c r="N133" s="44"/>
      <c r="O133" s="45"/>
      <c r="Q133" s="22"/>
      <c r="R133" s="22"/>
      <c r="S133" s="22"/>
      <c r="T133" s="22"/>
      <c r="U133" s="22"/>
      <c r="V133" s="22"/>
      <c r="W133" s="22"/>
    </row>
    <row r="134" ht="15.75" customHeight="1">
      <c r="A134" s="46"/>
      <c r="B134" s="47"/>
      <c r="C134" s="48"/>
      <c r="E134" s="46"/>
      <c r="F134" s="47"/>
      <c r="G134" s="48"/>
      <c r="I134" s="46"/>
      <c r="J134" s="47"/>
      <c r="K134" s="48"/>
      <c r="M134" s="46"/>
      <c r="N134" s="47"/>
      <c r="O134" s="48"/>
      <c r="Q134" s="22"/>
      <c r="R134" s="22"/>
      <c r="S134" s="22"/>
      <c r="T134" s="22"/>
      <c r="U134" s="22"/>
      <c r="V134" s="22"/>
      <c r="W134" s="22"/>
    </row>
    <row r="135" ht="15.75" customHeight="1">
      <c r="A135" s="38"/>
      <c r="B135" s="17"/>
      <c r="C135" s="42"/>
      <c r="E135" s="38"/>
      <c r="F135" s="17"/>
      <c r="G135" s="42"/>
      <c r="I135" s="38"/>
      <c r="J135" s="17"/>
      <c r="K135" s="42"/>
      <c r="M135" s="38"/>
      <c r="N135" s="17"/>
      <c r="O135" s="42"/>
      <c r="Q135" s="22"/>
      <c r="R135" s="22"/>
      <c r="S135" s="22"/>
      <c r="T135" s="22"/>
      <c r="U135" s="22"/>
      <c r="V135" s="22"/>
      <c r="W135" s="22"/>
    </row>
    <row r="136" ht="15.75" customHeight="1">
      <c r="A136" s="38"/>
      <c r="B136" s="17"/>
      <c r="C136" s="42"/>
      <c r="E136" s="38"/>
      <c r="F136" s="17"/>
      <c r="G136" s="42"/>
      <c r="I136" s="38"/>
      <c r="J136" s="17"/>
      <c r="K136" s="42"/>
      <c r="M136" s="38"/>
      <c r="N136" s="17"/>
      <c r="O136" s="42"/>
      <c r="Q136" s="22"/>
      <c r="R136" s="22"/>
      <c r="S136" s="22"/>
      <c r="T136" s="22"/>
      <c r="U136" s="22"/>
      <c r="V136" s="22"/>
      <c r="W136" s="22"/>
    </row>
    <row r="137" ht="15.75" customHeight="1">
      <c r="A137" s="38"/>
      <c r="B137" s="17"/>
      <c r="C137" s="42"/>
      <c r="E137" s="38"/>
      <c r="F137" s="17"/>
      <c r="G137" s="42"/>
      <c r="I137" s="38"/>
      <c r="J137" s="17"/>
      <c r="K137" s="42"/>
      <c r="M137" s="38"/>
      <c r="N137" s="17"/>
      <c r="O137" s="42"/>
      <c r="Q137" s="22"/>
      <c r="R137" s="22"/>
      <c r="S137" s="22"/>
      <c r="T137" s="22"/>
      <c r="U137" s="22"/>
      <c r="V137" s="22"/>
      <c r="W137" s="22"/>
    </row>
    <row r="138" ht="15.75" customHeight="1">
      <c r="A138" s="43"/>
      <c r="B138" s="44"/>
      <c r="C138" s="45"/>
      <c r="E138" s="43"/>
      <c r="F138" s="44"/>
      <c r="G138" s="45"/>
      <c r="I138" s="43"/>
      <c r="J138" s="44"/>
      <c r="K138" s="45"/>
      <c r="M138" s="43"/>
      <c r="N138" s="44"/>
      <c r="O138" s="45"/>
      <c r="Q138" s="22"/>
      <c r="R138" s="22"/>
      <c r="S138" s="22"/>
      <c r="T138" s="22"/>
      <c r="U138" s="22"/>
      <c r="V138" s="22"/>
      <c r="W138" s="22"/>
    </row>
    <row r="139" ht="15.75" customHeight="1">
      <c r="Q139" s="22"/>
      <c r="R139" s="22"/>
      <c r="S139" s="22"/>
      <c r="T139" s="22"/>
      <c r="U139" s="22"/>
      <c r="V139" s="22"/>
      <c r="W139" s="22"/>
    </row>
    <row r="140" ht="15.75" customHeight="1">
      <c r="A140" s="46"/>
      <c r="B140" s="47"/>
      <c r="C140" s="48"/>
      <c r="E140" s="46"/>
      <c r="F140" s="47"/>
      <c r="G140" s="48"/>
      <c r="Q140" s="22"/>
      <c r="R140" s="22"/>
      <c r="S140" s="22"/>
      <c r="T140" s="22"/>
      <c r="U140" s="22"/>
      <c r="V140" s="22"/>
      <c r="W140" s="22"/>
    </row>
    <row r="141" ht="15.75" customHeight="1">
      <c r="A141" s="38"/>
      <c r="B141" s="17"/>
      <c r="C141" s="42"/>
      <c r="E141" s="38"/>
      <c r="F141" s="17"/>
      <c r="G141" s="42"/>
      <c r="I141" s="17"/>
      <c r="J141" s="17"/>
      <c r="K141" s="17"/>
      <c r="M141" s="17"/>
      <c r="N141" s="17"/>
      <c r="O141" s="17"/>
      <c r="Q141" s="22"/>
      <c r="R141" s="22"/>
      <c r="S141" s="22"/>
      <c r="T141" s="22"/>
      <c r="U141" s="22"/>
      <c r="V141" s="22"/>
      <c r="W141" s="22"/>
    </row>
    <row r="142" ht="15.75" customHeight="1">
      <c r="A142" s="38"/>
      <c r="B142" s="17"/>
      <c r="C142" s="42"/>
      <c r="E142" s="38"/>
      <c r="F142" s="17"/>
      <c r="G142" s="42"/>
      <c r="I142" s="17"/>
      <c r="J142" s="17"/>
      <c r="K142" s="17"/>
      <c r="M142" s="17"/>
      <c r="N142" s="17"/>
      <c r="O142" s="17"/>
      <c r="Q142" s="22"/>
      <c r="R142" s="22"/>
      <c r="S142" s="22"/>
      <c r="T142" s="22"/>
      <c r="U142" s="22"/>
      <c r="V142" s="22"/>
      <c r="W142" s="22"/>
    </row>
    <row r="143" ht="15.75" customHeight="1">
      <c r="A143" s="38"/>
      <c r="B143" s="17"/>
      <c r="C143" s="42"/>
      <c r="E143" s="38"/>
      <c r="F143" s="17"/>
      <c r="G143" s="42"/>
      <c r="I143" s="17"/>
      <c r="J143" s="17"/>
      <c r="K143" s="17"/>
      <c r="M143" s="17"/>
      <c r="N143" s="17"/>
      <c r="O143" s="17"/>
      <c r="Q143" s="22"/>
      <c r="R143" s="22"/>
      <c r="S143" s="22"/>
      <c r="T143" s="22"/>
      <c r="U143" s="22"/>
      <c r="V143" s="22"/>
      <c r="W143" s="22"/>
    </row>
    <row r="144" ht="15.75" customHeight="1">
      <c r="A144" s="43"/>
      <c r="B144" s="44"/>
      <c r="C144" s="45"/>
      <c r="E144" s="43"/>
      <c r="F144" s="44"/>
      <c r="G144" s="45"/>
      <c r="I144" s="17"/>
      <c r="J144" s="17"/>
      <c r="K144" s="17"/>
      <c r="M144" s="17"/>
      <c r="N144" s="17"/>
      <c r="O144" s="17"/>
      <c r="Q144" s="22"/>
      <c r="R144" s="22"/>
      <c r="S144" s="22"/>
      <c r="T144" s="22"/>
      <c r="U144" s="22"/>
      <c r="V144" s="22"/>
      <c r="W144" s="22"/>
    </row>
    <row r="145" ht="15.75" customHeight="1">
      <c r="A145" s="46"/>
      <c r="B145" s="47"/>
      <c r="C145" s="48"/>
      <c r="E145" s="46"/>
      <c r="F145" s="47"/>
      <c r="G145" s="48"/>
      <c r="Q145" s="22"/>
      <c r="R145" s="22"/>
      <c r="S145" s="22"/>
      <c r="T145" s="22"/>
      <c r="U145" s="22"/>
      <c r="V145" s="22"/>
      <c r="W145" s="22"/>
    </row>
    <row r="146" ht="15.75" customHeight="1">
      <c r="A146" s="38"/>
      <c r="B146" s="17"/>
      <c r="C146" s="42"/>
      <c r="E146" s="38"/>
      <c r="F146" s="17"/>
      <c r="G146" s="42"/>
      <c r="I146" s="17"/>
      <c r="J146" s="17"/>
      <c r="K146" s="17"/>
      <c r="M146" s="17"/>
      <c r="N146" s="17"/>
      <c r="O146" s="17"/>
      <c r="Q146" s="22"/>
      <c r="R146" s="22"/>
      <c r="S146" s="22"/>
      <c r="T146" s="22"/>
      <c r="U146" s="22"/>
      <c r="V146" s="22"/>
      <c r="W146" s="22"/>
    </row>
    <row r="147" ht="15.75" customHeight="1">
      <c r="A147" s="38"/>
      <c r="B147" s="17"/>
      <c r="C147" s="42"/>
      <c r="E147" s="38"/>
      <c r="F147" s="17"/>
      <c r="G147" s="42"/>
      <c r="I147" s="17"/>
      <c r="J147" s="17"/>
      <c r="K147" s="17"/>
      <c r="M147" s="17"/>
      <c r="N147" s="17"/>
      <c r="O147" s="17"/>
      <c r="Q147" s="22"/>
      <c r="R147" s="22"/>
      <c r="S147" s="22"/>
      <c r="T147" s="22"/>
      <c r="U147" s="22"/>
      <c r="V147" s="22"/>
      <c r="W147" s="22"/>
    </row>
    <row r="148" ht="15.75" customHeight="1">
      <c r="A148" s="38"/>
      <c r="B148" s="17"/>
      <c r="C148" s="42"/>
      <c r="E148" s="38"/>
      <c r="F148" s="17"/>
      <c r="G148" s="42"/>
      <c r="I148" s="17"/>
      <c r="J148" s="17"/>
      <c r="K148" s="17"/>
      <c r="M148" s="17"/>
      <c r="N148" s="17"/>
      <c r="O148" s="17"/>
      <c r="Q148" s="22"/>
      <c r="R148" s="22"/>
      <c r="S148" s="22"/>
      <c r="T148" s="22"/>
      <c r="U148" s="22"/>
      <c r="V148" s="22"/>
      <c r="W148" s="22"/>
    </row>
    <row r="149" ht="15.75" customHeight="1">
      <c r="A149" s="43"/>
      <c r="B149" s="44"/>
      <c r="C149" s="45"/>
      <c r="E149" s="43"/>
      <c r="F149" s="44"/>
      <c r="G149" s="45"/>
      <c r="I149" s="17"/>
      <c r="J149" s="17"/>
      <c r="K149" s="17"/>
      <c r="M149" s="17"/>
      <c r="N149" s="17"/>
      <c r="O149" s="17"/>
      <c r="Q149" s="22"/>
      <c r="R149" s="22"/>
      <c r="S149" s="22"/>
      <c r="T149" s="22"/>
      <c r="U149" s="22"/>
      <c r="V149" s="22"/>
      <c r="W149" s="22"/>
    </row>
    <row r="150" ht="15.75" customHeight="1">
      <c r="Q150" s="22"/>
      <c r="R150" s="22"/>
      <c r="S150" s="22"/>
      <c r="T150" s="22"/>
      <c r="U150" s="22"/>
      <c r="V150" s="22"/>
      <c r="W150" s="22"/>
    </row>
    <row r="151" ht="15.75" customHeight="1">
      <c r="Q151" s="22"/>
      <c r="R151" s="22"/>
      <c r="S151" s="22"/>
      <c r="T151" s="22"/>
      <c r="U151" s="22"/>
      <c r="V151" s="22"/>
      <c r="W151" s="22"/>
    </row>
    <row r="152" ht="15.75" customHeight="1">
      <c r="Q152" s="22"/>
      <c r="R152" s="22"/>
      <c r="S152" s="22"/>
      <c r="T152" s="22"/>
      <c r="U152" s="22"/>
      <c r="V152" s="22"/>
      <c r="W152" s="22"/>
    </row>
    <row r="153" ht="15.75" customHeight="1">
      <c r="Q153" s="22"/>
      <c r="R153" s="22"/>
      <c r="S153" s="22"/>
      <c r="T153" s="22"/>
      <c r="U153" s="22"/>
      <c r="V153" s="22"/>
      <c r="W153" s="22"/>
    </row>
    <row r="154" ht="15.75" customHeight="1">
      <c r="Q154" s="22"/>
      <c r="R154" s="22"/>
      <c r="S154" s="22"/>
      <c r="T154" s="22"/>
      <c r="U154" s="22"/>
      <c r="V154" s="22"/>
      <c r="W154" s="22"/>
    </row>
    <row r="155" ht="15.75" customHeight="1">
      <c r="Q155" s="22"/>
      <c r="R155" s="22"/>
      <c r="S155" s="22"/>
      <c r="T155" s="22"/>
      <c r="U155" s="22"/>
      <c r="V155" s="22"/>
      <c r="W155" s="22"/>
    </row>
    <row r="156" ht="15.75" customHeight="1">
      <c r="Q156" s="22"/>
      <c r="R156" s="22"/>
      <c r="S156" s="22"/>
      <c r="T156" s="22"/>
      <c r="U156" s="22"/>
      <c r="V156" s="22"/>
      <c r="W156" s="22"/>
    </row>
    <row r="157" ht="15.75" customHeight="1">
      <c r="Q157" s="22"/>
      <c r="R157" s="22"/>
      <c r="S157" s="22"/>
      <c r="T157" s="22"/>
      <c r="U157" s="22"/>
      <c r="V157" s="22"/>
      <c r="W157" s="22"/>
    </row>
    <row r="158" ht="15.75" customHeight="1">
      <c r="Q158" s="22"/>
      <c r="R158" s="22"/>
      <c r="S158" s="22"/>
      <c r="T158" s="22"/>
      <c r="U158" s="22"/>
      <c r="V158" s="22"/>
      <c r="W158" s="22"/>
    </row>
    <row r="159" ht="15.75" customHeight="1">
      <c r="Q159" s="22"/>
      <c r="R159" s="22"/>
      <c r="S159" s="22"/>
      <c r="T159" s="22"/>
      <c r="U159" s="22"/>
      <c r="V159" s="22"/>
      <c r="W159" s="22"/>
    </row>
    <row r="160" ht="15.75" customHeight="1">
      <c r="Q160" s="22"/>
      <c r="R160" s="22"/>
      <c r="S160" s="22"/>
      <c r="T160" s="22"/>
      <c r="U160" s="22"/>
      <c r="V160" s="22"/>
      <c r="W160" s="22"/>
    </row>
    <row r="161" ht="15.75" customHeight="1">
      <c r="Q161" s="22"/>
      <c r="R161" s="22"/>
      <c r="S161" s="22"/>
      <c r="T161" s="22"/>
      <c r="U161" s="22"/>
      <c r="V161" s="22"/>
      <c r="W161" s="22"/>
    </row>
    <row r="162" ht="15.75" customHeight="1">
      <c r="Q162" s="22"/>
      <c r="R162" s="22"/>
      <c r="S162" s="22"/>
      <c r="T162" s="22"/>
      <c r="U162" s="22"/>
      <c r="V162" s="22"/>
      <c r="W162" s="22"/>
    </row>
    <row r="163" ht="15.75" customHeight="1">
      <c r="Q163" s="22"/>
      <c r="R163" s="22"/>
      <c r="S163" s="22"/>
      <c r="T163" s="22"/>
      <c r="U163" s="22"/>
      <c r="V163" s="22"/>
      <c r="W163" s="22"/>
    </row>
    <row r="164" ht="15.75" customHeight="1">
      <c r="Q164" s="22"/>
      <c r="R164" s="22"/>
      <c r="S164" s="22"/>
      <c r="T164" s="22"/>
      <c r="U164" s="22"/>
      <c r="V164" s="22"/>
      <c r="W164" s="22"/>
    </row>
    <row r="165" ht="15.75" customHeight="1">
      <c r="Q165" s="22"/>
      <c r="R165" s="22"/>
      <c r="S165" s="22"/>
      <c r="T165" s="22"/>
      <c r="U165" s="22"/>
      <c r="V165" s="22"/>
      <c r="W165" s="22"/>
    </row>
    <row r="166" ht="15.75" customHeight="1">
      <c r="Q166" s="22"/>
      <c r="R166" s="22"/>
      <c r="S166" s="22"/>
      <c r="T166" s="22"/>
      <c r="U166" s="22"/>
      <c r="V166" s="22"/>
      <c r="W166" s="22"/>
    </row>
    <row r="167" ht="15.75" customHeight="1">
      <c r="Q167" s="22"/>
      <c r="R167" s="22"/>
      <c r="S167" s="22"/>
      <c r="T167" s="22"/>
      <c r="U167" s="22"/>
      <c r="V167" s="22"/>
      <c r="W167" s="22"/>
    </row>
    <row r="168" ht="15.75" customHeight="1">
      <c r="Q168" s="22"/>
      <c r="R168" s="22"/>
      <c r="S168" s="22"/>
      <c r="T168" s="22"/>
      <c r="U168" s="22"/>
      <c r="V168" s="22"/>
      <c r="W168" s="22"/>
    </row>
    <row r="169" ht="15.75" customHeight="1">
      <c r="Q169" s="22"/>
      <c r="R169" s="22"/>
      <c r="S169" s="22"/>
      <c r="T169" s="22"/>
      <c r="U169" s="22"/>
      <c r="V169" s="22"/>
      <c r="W169" s="22"/>
    </row>
    <row r="170" ht="15.75" customHeight="1">
      <c r="Q170" s="22"/>
      <c r="R170" s="22"/>
      <c r="S170" s="22"/>
      <c r="T170" s="22"/>
      <c r="U170" s="22"/>
      <c r="V170" s="22"/>
      <c r="W170" s="22"/>
    </row>
    <row r="171" ht="15.75" customHeight="1">
      <c r="Q171" s="22"/>
      <c r="R171" s="22"/>
      <c r="S171" s="22"/>
      <c r="T171" s="22"/>
      <c r="U171" s="22"/>
      <c r="V171" s="22"/>
      <c r="W171" s="22"/>
    </row>
    <row r="172" ht="15.75" customHeight="1">
      <c r="Q172" s="22"/>
      <c r="R172" s="22"/>
      <c r="S172" s="22"/>
      <c r="T172" s="22"/>
      <c r="U172" s="22"/>
      <c r="V172" s="22"/>
      <c r="W172" s="22"/>
    </row>
    <row r="173" ht="15.75" customHeight="1">
      <c r="Q173" s="22"/>
      <c r="R173" s="22"/>
      <c r="S173" s="22"/>
      <c r="T173" s="22"/>
      <c r="U173" s="22"/>
      <c r="V173" s="22"/>
      <c r="W173" s="22"/>
    </row>
    <row r="174" ht="15.75" customHeight="1">
      <c r="Q174" s="22"/>
      <c r="R174" s="22"/>
      <c r="S174" s="22"/>
      <c r="T174" s="22"/>
      <c r="U174" s="22"/>
      <c r="V174" s="22"/>
      <c r="W174" s="22"/>
    </row>
    <row r="175" ht="15.75" customHeight="1">
      <c r="Q175" s="22"/>
      <c r="R175" s="22"/>
      <c r="S175" s="22"/>
      <c r="T175" s="22"/>
      <c r="U175" s="22"/>
      <c r="V175" s="22"/>
      <c r="W175" s="22"/>
    </row>
    <row r="176" ht="15.75" customHeight="1">
      <c r="Q176" s="22"/>
      <c r="R176" s="22"/>
      <c r="S176" s="22"/>
      <c r="T176" s="22"/>
      <c r="U176" s="22"/>
      <c r="V176" s="22"/>
      <c r="W176" s="22"/>
    </row>
    <row r="177" ht="15.75" customHeight="1">
      <c r="Q177" s="22"/>
      <c r="R177" s="22"/>
      <c r="S177" s="22"/>
      <c r="T177" s="22"/>
      <c r="U177" s="22"/>
      <c r="V177" s="22"/>
      <c r="W177" s="22"/>
    </row>
    <row r="178" ht="15.75" customHeight="1">
      <c r="Q178" s="22"/>
      <c r="R178" s="22"/>
      <c r="S178" s="22"/>
      <c r="T178" s="22"/>
      <c r="U178" s="22"/>
      <c r="V178" s="22"/>
      <c r="W178" s="22"/>
    </row>
    <row r="179" ht="15.75" customHeight="1">
      <c r="Q179" s="22"/>
      <c r="R179" s="22"/>
      <c r="S179" s="22"/>
      <c r="T179" s="22"/>
      <c r="U179" s="22"/>
      <c r="V179" s="22"/>
      <c r="W179" s="22"/>
    </row>
    <row r="180" ht="15.75" customHeight="1">
      <c r="Q180" s="22"/>
      <c r="R180" s="22"/>
      <c r="S180" s="22"/>
      <c r="T180" s="22"/>
      <c r="U180" s="22"/>
      <c r="V180" s="22"/>
      <c r="W180" s="22"/>
    </row>
    <row r="181" ht="15.75" customHeight="1">
      <c r="Q181" s="22"/>
      <c r="R181" s="22"/>
      <c r="S181" s="22"/>
      <c r="T181" s="22"/>
      <c r="U181" s="22"/>
      <c r="V181" s="22"/>
      <c r="W181" s="22"/>
    </row>
    <row r="182" ht="15.75" customHeight="1">
      <c r="Q182" s="22"/>
      <c r="R182" s="22"/>
      <c r="S182" s="22"/>
      <c r="T182" s="22"/>
      <c r="U182" s="22"/>
      <c r="V182" s="22"/>
      <c r="W182" s="22"/>
    </row>
    <row r="183" ht="15.75" customHeight="1">
      <c r="Q183" s="22"/>
      <c r="R183" s="22"/>
      <c r="S183" s="22"/>
      <c r="T183" s="22"/>
      <c r="U183" s="22"/>
      <c r="V183" s="22"/>
      <c r="W183" s="22"/>
    </row>
    <row r="184" ht="15.75" customHeight="1">
      <c r="Q184" s="22"/>
      <c r="R184" s="22"/>
      <c r="S184" s="22"/>
      <c r="T184" s="22"/>
      <c r="U184" s="22"/>
      <c r="V184" s="22"/>
      <c r="W184" s="22"/>
    </row>
    <row r="185" ht="15.75" customHeight="1">
      <c r="Q185" s="22"/>
      <c r="R185" s="22"/>
      <c r="S185" s="22"/>
      <c r="T185" s="22"/>
      <c r="U185" s="22"/>
      <c r="V185" s="22"/>
      <c r="W185" s="22"/>
    </row>
    <row r="186" ht="15.75" customHeight="1">
      <c r="Q186" s="22"/>
      <c r="R186" s="22"/>
      <c r="S186" s="22"/>
      <c r="T186" s="22"/>
      <c r="U186" s="22"/>
      <c r="V186" s="22"/>
      <c r="W186" s="22"/>
    </row>
    <row r="187" ht="15.75" customHeight="1">
      <c r="Q187" s="22"/>
      <c r="R187" s="22"/>
      <c r="S187" s="22"/>
      <c r="T187" s="22"/>
      <c r="U187" s="22"/>
      <c r="V187" s="22"/>
      <c r="W187" s="22"/>
    </row>
    <row r="188" ht="15.75" customHeight="1">
      <c r="Q188" s="22"/>
      <c r="R188" s="22"/>
      <c r="S188" s="22"/>
      <c r="T188" s="22"/>
      <c r="U188" s="22"/>
      <c r="V188" s="22"/>
      <c r="W188" s="22"/>
    </row>
    <row r="189" ht="15.75" customHeight="1">
      <c r="Q189" s="22"/>
      <c r="R189" s="22"/>
      <c r="S189" s="22"/>
      <c r="T189" s="22"/>
      <c r="U189" s="22"/>
      <c r="V189" s="22"/>
      <c r="W189" s="22"/>
    </row>
    <row r="190" ht="15.75" customHeight="1">
      <c r="Q190" s="22"/>
      <c r="R190" s="22"/>
      <c r="S190" s="22"/>
      <c r="T190" s="22"/>
      <c r="U190" s="22"/>
      <c r="V190" s="22"/>
      <c r="W190" s="22"/>
    </row>
    <row r="191" ht="15.75" customHeight="1">
      <c r="Q191" s="22"/>
      <c r="R191" s="22"/>
      <c r="S191" s="22"/>
      <c r="T191" s="22"/>
      <c r="U191" s="22"/>
      <c r="V191" s="22"/>
      <c r="W191" s="22"/>
    </row>
    <row r="192" ht="15.75" customHeight="1">
      <c r="Q192" s="22"/>
      <c r="R192" s="22"/>
      <c r="S192" s="22"/>
      <c r="T192" s="22"/>
      <c r="U192" s="22"/>
      <c r="V192" s="22"/>
      <c r="W192" s="22"/>
    </row>
    <row r="193" ht="15.75" customHeight="1">
      <c r="Q193" s="22"/>
      <c r="R193" s="22"/>
      <c r="S193" s="22"/>
      <c r="T193" s="22"/>
      <c r="U193" s="22"/>
      <c r="V193" s="22"/>
      <c r="W193" s="22"/>
    </row>
    <row r="194" ht="15.75" customHeight="1">
      <c r="Q194" s="22"/>
      <c r="R194" s="22"/>
      <c r="S194" s="22"/>
      <c r="T194" s="22"/>
      <c r="U194" s="22"/>
      <c r="V194" s="22"/>
      <c r="W194" s="22"/>
    </row>
    <row r="195" ht="15.75" customHeight="1">
      <c r="Q195" s="22"/>
      <c r="R195" s="22"/>
      <c r="S195" s="22"/>
      <c r="T195" s="22"/>
      <c r="U195" s="22"/>
      <c r="V195" s="22"/>
      <c r="W195" s="22"/>
    </row>
    <row r="196" ht="15.75" customHeight="1">
      <c r="Q196" s="22"/>
      <c r="R196" s="22"/>
      <c r="S196" s="22"/>
      <c r="T196" s="22"/>
      <c r="U196" s="22"/>
      <c r="V196" s="22"/>
      <c r="W196" s="22"/>
    </row>
    <row r="197" ht="15.75" customHeight="1">
      <c r="Q197" s="22"/>
      <c r="R197" s="22"/>
      <c r="S197" s="22"/>
      <c r="T197" s="22"/>
      <c r="U197" s="22"/>
      <c r="V197" s="22"/>
      <c r="W197" s="22"/>
    </row>
    <row r="198" ht="15.75" customHeight="1">
      <c r="Q198" s="22"/>
      <c r="R198" s="22"/>
      <c r="S198" s="22"/>
      <c r="T198" s="22"/>
      <c r="U198" s="22"/>
      <c r="V198" s="22"/>
      <c r="W198" s="22"/>
    </row>
    <row r="199" ht="15.75" customHeight="1">
      <c r="Q199" s="22"/>
      <c r="R199" s="22"/>
      <c r="S199" s="22"/>
      <c r="T199" s="22"/>
      <c r="U199" s="22"/>
      <c r="V199" s="22"/>
      <c r="W199" s="22"/>
    </row>
    <row r="200" ht="15.75" customHeight="1">
      <c r="Q200" s="22"/>
      <c r="R200" s="22"/>
      <c r="S200" s="22"/>
      <c r="T200" s="22"/>
      <c r="U200" s="22"/>
      <c r="V200" s="22"/>
      <c r="W200" s="22"/>
    </row>
    <row r="201" ht="15.75" customHeight="1">
      <c r="Q201" s="22"/>
      <c r="R201" s="22"/>
      <c r="S201" s="22"/>
      <c r="T201" s="22"/>
      <c r="U201" s="22"/>
      <c r="V201" s="22"/>
      <c r="W201" s="22"/>
    </row>
    <row r="202" ht="15.75" customHeight="1">
      <c r="Q202" s="22"/>
      <c r="R202" s="22"/>
      <c r="S202" s="22"/>
      <c r="T202" s="22"/>
      <c r="U202" s="22"/>
      <c r="V202" s="22"/>
      <c r="W202" s="22"/>
    </row>
    <row r="203" ht="15.75" customHeight="1">
      <c r="Q203" s="22"/>
      <c r="R203" s="22"/>
      <c r="S203" s="22"/>
      <c r="T203" s="22"/>
      <c r="U203" s="22"/>
      <c r="V203" s="22"/>
      <c r="W203" s="22"/>
    </row>
    <row r="204" ht="15.75" customHeight="1">
      <c r="Q204" s="22"/>
      <c r="R204" s="22"/>
      <c r="S204" s="22"/>
      <c r="T204" s="22"/>
      <c r="U204" s="22"/>
      <c r="V204" s="22"/>
      <c r="W204" s="22"/>
    </row>
    <row r="205" ht="15.75" customHeight="1">
      <c r="Q205" s="22"/>
      <c r="R205" s="22"/>
      <c r="S205" s="22"/>
      <c r="T205" s="22"/>
      <c r="U205" s="22"/>
      <c r="V205" s="22"/>
      <c r="W205" s="22"/>
    </row>
    <row r="206" ht="15.75" customHeight="1">
      <c r="Q206" s="22"/>
      <c r="R206" s="22"/>
      <c r="S206" s="22"/>
      <c r="T206" s="22"/>
      <c r="U206" s="22"/>
      <c r="V206" s="22"/>
      <c r="W206" s="22"/>
    </row>
    <row r="207" ht="15.75" customHeight="1">
      <c r="Q207" s="22"/>
      <c r="R207" s="22"/>
      <c r="S207" s="22"/>
      <c r="T207" s="22"/>
      <c r="U207" s="22"/>
      <c r="V207" s="22"/>
      <c r="W207" s="22"/>
    </row>
    <row r="208" ht="15.75" customHeight="1">
      <c r="Q208" s="22"/>
      <c r="R208" s="22"/>
      <c r="S208" s="22"/>
      <c r="T208" s="22"/>
      <c r="U208" s="22"/>
      <c r="V208" s="22"/>
      <c r="W208" s="22"/>
    </row>
    <row r="209" ht="15.75" customHeight="1">
      <c r="Q209" s="22"/>
      <c r="R209" s="22"/>
      <c r="S209" s="22"/>
      <c r="T209" s="22"/>
      <c r="U209" s="22"/>
      <c r="V209" s="22"/>
      <c r="W209" s="22"/>
    </row>
    <row r="210" ht="15.75" customHeight="1">
      <c r="Q210" s="22"/>
      <c r="R210" s="22"/>
      <c r="S210" s="22"/>
      <c r="T210" s="22"/>
      <c r="U210" s="22"/>
      <c r="V210" s="22"/>
      <c r="W210" s="22"/>
    </row>
    <row r="211" ht="15.75" customHeight="1">
      <c r="Q211" s="22"/>
      <c r="R211" s="22"/>
      <c r="S211" s="22"/>
      <c r="T211" s="22"/>
      <c r="U211" s="22"/>
      <c r="V211" s="22"/>
      <c r="W211" s="22"/>
    </row>
    <row r="212" ht="15.75" customHeight="1">
      <c r="Q212" s="22"/>
      <c r="R212" s="22"/>
      <c r="S212" s="22"/>
      <c r="T212" s="22"/>
      <c r="U212" s="22"/>
      <c r="V212" s="22"/>
      <c r="W212" s="22"/>
    </row>
    <row r="213" ht="15.75" customHeight="1">
      <c r="Q213" s="22"/>
      <c r="R213" s="22"/>
      <c r="S213" s="22"/>
      <c r="T213" s="22"/>
      <c r="U213" s="22"/>
      <c r="V213" s="22"/>
      <c r="W213" s="22"/>
    </row>
    <row r="214" ht="15.75" customHeight="1">
      <c r="Q214" s="22"/>
      <c r="R214" s="22"/>
      <c r="S214" s="22"/>
      <c r="T214" s="22"/>
      <c r="U214" s="22"/>
      <c r="V214" s="22"/>
      <c r="W214" s="22"/>
    </row>
    <row r="215" ht="15.75" customHeight="1">
      <c r="Q215" s="22"/>
      <c r="R215" s="22"/>
      <c r="S215" s="22"/>
      <c r="T215" s="22"/>
      <c r="U215" s="22"/>
      <c r="V215" s="22"/>
      <c r="W215" s="22"/>
    </row>
    <row r="216" ht="15.75" customHeight="1">
      <c r="Q216" s="22"/>
      <c r="R216" s="22"/>
      <c r="S216" s="22"/>
      <c r="T216" s="22"/>
      <c r="U216" s="22"/>
      <c r="V216" s="22"/>
      <c r="W216" s="22"/>
    </row>
    <row r="217" ht="15.75" customHeight="1">
      <c r="Q217" s="22"/>
      <c r="R217" s="22"/>
      <c r="S217" s="22"/>
      <c r="T217" s="22"/>
      <c r="U217" s="22"/>
      <c r="V217" s="22"/>
      <c r="W217" s="22"/>
    </row>
    <row r="218" ht="15.75" customHeight="1">
      <c r="Q218" s="22"/>
      <c r="R218" s="22"/>
      <c r="S218" s="22"/>
      <c r="T218" s="22"/>
      <c r="U218" s="22"/>
      <c r="V218" s="22"/>
      <c r="W218" s="22"/>
    </row>
    <row r="219" ht="15.75" customHeight="1">
      <c r="Q219" s="22"/>
      <c r="R219" s="22"/>
      <c r="S219" s="22"/>
      <c r="T219" s="22"/>
      <c r="U219" s="22"/>
      <c r="V219" s="22"/>
      <c r="W219" s="22"/>
    </row>
    <row r="220" ht="15.75" customHeight="1">
      <c r="Q220" s="22"/>
      <c r="R220" s="22"/>
      <c r="S220" s="22"/>
      <c r="T220" s="22"/>
      <c r="U220" s="22"/>
      <c r="V220" s="22"/>
      <c r="W220" s="22"/>
    </row>
    <row r="221" ht="15.75" customHeight="1">
      <c r="Q221" s="22"/>
      <c r="R221" s="22"/>
      <c r="S221" s="22"/>
      <c r="T221" s="22"/>
      <c r="U221" s="22"/>
      <c r="V221" s="22"/>
      <c r="W221" s="22"/>
    </row>
    <row r="222" ht="15.75" customHeight="1">
      <c r="Q222" s="22"/>
      <c r="R222" s="22"/>
      <c r="S222" s="22"/>
      <c r="T222" s="22"/>
      <c r="U222" s="22"/>
      <c r="V222" s="22"/>
      <c r="W222" s="22"/>
    </row>
    <row r="223" ht="15.75" customHeight="1">
      <c r="Q223" s="22"/>
      <c r="R223" s="22"/>
      <c r="S223" s="22"/>
      <c r="T223" s="22"/>
      <c r="U223" s="22"/>
      <c r="V223" s="22"/>
      <c r="W223" s="22"/>
    </row>
    <row r="224" ht="15.75" customHeight="1">
      <c r="Q224" s="22"/>
      <c r="R224" s="22"/>
      <c r="S224" s="22"/>
      <c r="T224" s="22"/>
      <c r="U224" s="22"/>
      <c r="V224" s="22"/>
      <c r="W224" s="22"/>
    </row>
    <row r="225" ht="15.75" customHeight="1">
      <c r="Q225" s="22"/>
      <c r="R225" s="22"/>
      <c r="S225" s="22"/>
      <c r="T225" s="22"/>
      <c r="U225" s="22"/>
      <c r="V225" s="22"/>
      <c r="W225" s="22"/>
    </row>
    <row r="226" ht="15.75" customHeight="1">
      <c r="Q226" s="22"/>
      <c r="R226" s="22"/>
      <c r="S226" s="22"/>
      <c r="T226" s="22"/>
      <c r="U226" s="22"/>
      <c r="V226" s="22"/>
      <c r="W226" s="22"/>
    </row>
    <row r="227" ht="15.75" customHeight="1">
      <c r="Q227" s="22"/>
      <c r="R227" s="22"/>
      <c r="S227" s="22"/>
      <c r="T227" s="22"/>
      <c r="U227" s="22"/>
      <c r="V227" s="22"/>
      <c r="W227" s="22"/>
    </row>
    <row r="228" ht="15.75" customHeight="1">
      <c r="Q228" s="22"/>
      <c r="R228" s="22"/>
      <c r="S228" s="22"/>
      <c r="T228" s="22"/>
      <c r="U228" s="22"/>
      <c r="V228" s="22"/>
      <c r="W228" s="22"/>
    </row>
    <row r="229" ht="15.75" customHeight="1">
      <c r="Q229" s="22"/>
      <c r="R229" s="22"/>
      <c r="S229" s="22"/>
      <c r="T229" s="22"/>
      <c r="U229" s="22"/>
      <c r="V229" s="22"/>
      <c r="W229" s="22"/>
    </row>
    <row r="230" ht="15.75" customHeight="1">
      <c r="Q230" s="22"/>
      <c r="R230" s="22"/>
      <c r="S230" s="22"/>
      <c r="T230" s="22"/>
      <c r="U230" s="22"/>
      <c r="V230" s="22"/>
      <c r="W230" s="22"/>
    </row>
    <row r="231" ht="15.75" customHeight="1">
      <c r="Q231" s="22"/>
      <c r="R231" s="22"/>
      <c r="S231" s="22"/>
      <c r="T231" s="22"/>
      <c r="U231" s="22"/>
      <c r="V231" s="22"/>
      <c r="W231" s="22"/>
    </row>
    <row r="232" ht="15.75" customHeight="1">
      <c r="Q232" s="22"/>
      <c r="R232" s="22"/>
      <c r="S232" s="22"/>
      <c r="T232" s="22"/>
      <c r="U232" s="22"/>
      <c r="V232" s="22"/>
      <c r="W232" s="22"/>
    </row>
    <row r="233" ht="15.75" customHeight="1">
      <c r="Q233" s="22"/>
      <c r="R233" s="22"/>
      <c r="S233" s="22"/>
      <c r="T233" s="22"/>
      <c r="U233" s="22"/>
      <c r="V233" s="22"/>
      <c r="W233" s="22"/>
    </row>
    <row r="234" ht="15.75" customHeight="1">
      <c r="Q234" s="22"/>
      <c r="R234" s="22"/>
      <c r="S234" s="22"/>
      <c r="T234" s="22"/>
      <c r="U234" s="22"/>
      <c r="V234" s="22"/>
      <c r="W234" s="22"/>
    </row>
    <row r="235" ht="15.75" customHeight="1">
      <c r="Q235" s="22"/>
      <c r="R235" s="22"/>
      <c r="S235" s="22"/>
      <c r="T235" s="22"/>
      <c r="U235" s="22"/>
      <c r="V235" s="22"/>
      <c r="W235" s="22"/>
    </row>
    <row r="236" ht="15.75" customHeight="1">
      <c r="Q236" s="22"/>
      <c r="R236" s="22"/>
      <c r="S236" s="22"/>
      <c r="T236" s="22"/>
      <c r="U236" s="22"/>
      <c r="V236" s="22"/>
      <c r="W236" s="22"/>
    </row>
    <row r="237" ht="15.75" customHeight="1">
      <c r="Q237" s="22"/>
      <c r="R237" s="22"/>
      <c r="S237" s="22"/>
      <c r="T237" s="22"/>
      <c r="U237" s="22"/>
      <c r="V237" s="22"/>
      <c r="W237" s="22"/>
    </row>
    <row r="238" ht="15.75" customHeight="1">
      <c r="Q238" s="22"/>
      <c r="R238" s="22"/>
      <c r="S238" s="22"/>
      <c r="T238" s="22"/>
      <c r="U238" s="22"/>
      <c r="V238" s="22"/>
      <c r="W238" s="22"/>
    </row>
    <row r="239" ht="15.75" customHeight="1">
      <c r="Q239" s="22"/>
      <c r="R239" s="22"/>
      <c r="S239" s="22"/>
      <c r="T239" s="22"/>
      <c r="U239" s="22"/>
      <c r="V239" s="22"/>
      <c r="W239" s="22"/>
    </row>
    <row r="240" ht="15.75" customHeight="1">
      <c r="Q240" s="22"/>
      <c r="R240" s="22"/>
      <c r="S240" s="22"/>
      <c r="T240" s="22"/>
      <c r="U240" s="22"/>
      <c r="V240" s="22"/>
      <c r="W240" s="22"/>
    </row>
    <row r="241" ht="15.75" customHeight="1">
      <c r="Q241" s="22"/>
      <c r="R241" s="22"/>
      <c r="S241" s="22"/>
      <c r="T241" s="22"/>
      <c r="U241" s="22"/>
      <c r="V241" s="22"/>
      <c r="W241" s="22"/>
    </row>
    <row r="242" ht="15.75" customHeight="1">
      <c r="Q242" s="22"/>
      <c r="R242" s="22"/>
      <c r="S242" s="22"/>
      <c r="T242" s="22"/>
      <c r="U242" s="22"/>
      <c r="V242" s="22"/>
      <c r="W242" s="22"/>
    </row>
    <row r="243" ht="15.75" customHeight="1">
      <c r="Q243" s="22"/>
      <c r="R243" s="22"/>
      <c r="S243" s="22"/>
      <c r="T243" s="22"/>
      <c r="U243" s="22"/>
      <c r="V243" s="22"/>
      <c r="W243" s="22"/>
    </row>
    <row r="244" ht="15.75" customHeight="1">
      <c r="Q244" s="22"/>
      <c r="R244" s="22"/>
      <c r="S244" s="22"/>
      <c r="T244" s="22"/>
      <c r="U244" s="22"/>
      <c r="V244" s="22"/>
      <c r="W244" s="22"/>
    </row>
    <row r="245" ht="15.75" customHeight="1">
      <c r="Q245" s="22"/>
      <c r="R245" s="22"/>
      <c r="S245" s="22"/>
      <c r="T245" s="22"/>
      <c r="U245" s="22"/>
      <c r="V245" s="22"/>
      <c r="W245" s="22"/>
    </row>
    <row r="246" ht="15.75" customHeight="1">
      <c r="Q246" s="22"/>
      <c r="R246" s="22"/>
      <c r="S246" s="22"/>
      <c r="T246" s="22"/>
      <c r="U246" s="22"/>
      <c r="V246" s="22"/>
      <c r="W246" s="22"/>
    </row>
    <row r="247" ht="15.75" customHeight="1">
      <c r="Q247" s="22"/>
      <c r="R247" s="22"/>
      <c r="S247" s="22"/>
      <c r="T247" s="22"/>
      <c r="U247" s="22"/>
      <c r="V247" s="22"/>
      <c r="W247" s="22"/>
    </row>
    <row r="248" ht="15.75" customHeight="1">
      <c r="Q248" s="22"/>
      <c r="R248" s="22"/>
      <c r="S248" s="22"/>
      <c r="T248" s="22"/>
      <c r="U248" s="22"/>
      <c r="V248" s="22"/>
      <c r="W248" s="22"/>
    </row>
    <row r="249" ht="15.75" customHeight="1">
      <c r="Q249" s="22"/>
      <c r="R249" s="22"/>
      <c r="S249" s="22"/>
      <c r="T249" s="22"/>
      <c r="U249" s="22"/>
      <c r="V249" s="22"/>
      <c r="W249" s="22"/>
    </row>
    <row r="250" ht="15.75" customHeight="1">
      <c r="Q250" s="22"/>
      <c r="R250" s="22"/>
      <c r="S250" s="22"/>
      <c r="T250" s="22"/>
      <c r="U250" s="22"/>
      <c r="V250" s="22"/>
      <c r="W250" s="22"/>
    </row>
    <row r="251" ht="15.75" customHeight="1">
      <c r="Q251" s="22"/>
      <c r="R251" s="22"/>
      <c r="S251" s="22"/>
      <c r="T251" s="22"/>
      <c r="U251" s="22"/>
      <c r="V251" s="22"/>
      <c r="W251" s="22"/>
    </row>
    <row r="252" ht="15.75" customHeight="1">
      <c r="Q252" s="22"/>
      <c r="R252" s="22"/>
      <c r="S252" s="22"/>
      <c r="T252" s="22"/>
      <c r="U252" s="22"/>
      <c r="V252" s="22"/>
      <c r="W252" s="22"/>
    </row>
    <row r="253" ht="15.75" customHeight="1">
      <c r="Q253" s="22"/>
      <c r="R253" s="22"/>
      <c r="S253" s="22"/>
      <c r="T253" s="22"/>
      <c r="U253" s="22"/>
      <c r="V253" s="22"/>
      <c r="W253" s="22"/>
    </row>
    <row r="254" ht="15.75" customHeight="1">
      <c r="Q254" s="22"/>
      <c r="R254" s="22"/>
      <c r="S254" s="22"/>
      <c r="T254" s="22"/>
      <c r="U254" s="22"/>
      <c r="V254" s="22"/>
      <c r="W254" s="22"/>
    </row>
    <row r="255" ht="15.75" customHeight="1">
      <c r="Q255" s="22"/>
      <c r="R255" s="22"/>
      <c r="S255" s="22"/>
      <c r="T255" s="22"/>
      <c r="U255" s="22"/>
      <c r="V255" s="22"/>
      <c r="W255" s="22"/>
    </row>
    <row r="256" ht="15.75" customHeight="1">
      <c r="Q256" s="22"/>
      <c r="R256" s="22"/>
      <c r="S256" s="22"/>
      <c r="T256" s="22"/>
      <c r="U256" s="22"/>
      <c r="V256" s="22"/>
      <c r="W256" s="22"/>
    </row>
    <row r="257" ht="15.75" customHeight="1">
      <c r="Q257" s="22"/>
      <c r="R257" s="22"/>
      <c r="S257" s="22"/>
      <c r="T257" s="22"/>
      <c r="U257" s="22"/>
      <c r="V257" s="22"/>
      <c r="W257" s="22"/>
    </row>
    <row r="258" ht="15.75" customHeight="1">
      <c r="Q258" s="22"/>
      <c r="R258" s="22"/>
      <c r="S258" s="22"/>
      <c r="T258" s="22"/>
      <c r="U258" s="22"/>
      <c r="V258" s="22"/>
      <c r="W258" s="22"/>
    </row>
    <row r="259" ht="15.75" customHeight="1">
      <c r="Q259" s="22"/>
      <c r="R259" s="22"/>
      <c r="S259" s="22"/>
      <c r="T259" s="22"/>
      <c r="U259" s="22"/>
      <c r="V259" s="22"/>
      <c r="W259" s="22"/>
    </row>
    <row r="260" ht="15.75" customHeight="1">
      <c r="Q260" s="22"/>
      <c r="R260" s="22"/>
      <c r="S260" s="22"/>
      <c r="T260" s="22"/>
      <c r="U260" s="22"/>
      <c r="V260" s="22"/>
      <c r="W260" s="22"/>
    </row>
    <row r="261" ht="15.75" customHeight="1">
      <c r="Q261" s="22"/>
      <c r="R261" s="22"/>
      <c r="S261" s="22"/>
      <c r="T261" s="22"/>
      <c r="U261" s="22"/>
      <c r="V261" s="22"/>
      <c r="W261" s="22"/>
    </row>
    <row r="262" ht="15.75" customHeight="1">
      <c r="Q262" s="22"/>
      <c r="R262" s="22"/>
      <c r="S262" s="22"/>
      <c r="T262" s="22"/>
      <c r="U262" s="22"/>
      <c r="V262" s="22"/>
      <c r="W262" s="22"/>
    </row>
    <row r="263" ht="15.75" customHeight="1">
      <c r="Q263" s="22"/>
      <c r="R263" s="22"/>
      <c r="S263" s="22"/>
      <c r="T263" s="22"/>
      <c r="U263" s="22"/>
      <c r="V263" s="22"/>
      <c r="W263" s="22"/>
    </row>
    <row r="264" ht="15.75" customHeight="1">
      <c r="Q264" s="22"/>
      <c r="R264" s="22"/>
      <c r="S264" s="22"/>
      <c r="T264" s="22"/>
      <c r="U264" s="22"/>
      <c r="V264" s="22"/>
      <c r="W264" s="22"/>
    </row>
    <row r="265" ht="15.75" customHeight="1">
      <c r="Q265" s="22"/>
      <c r="R265" s="22"/>
      <c r="S265" s="22"/>
      <c r="T265" s="22"/>
      <c r="U265" s="22"/>
      <c r="V265" s="22"/>
      <c r="W265" s="22"/>
    </row>
    <row r="266" ht="15.75" customHeight="1">
      <c r="Q266" s="22"/>
      <c r="R266" s="22"/>
      <c r="S266" s="22"/>
      <c r="T266" s="22"/>
      <c r="U266" s="22"/>
      <c r="V266" s="22"/>
      <c r="W266" s="22"/>
    </row>
    <row r="267" ht="15.75" customHeight="1">
      <c r="Q267" s="22"/>
      <c r="R267" s="22"/>
      <c r="S267" s="22"/>
      <c r="T267" s="22"/>
      <c r="U267" s="22"/>
      <c r="V267" s="22"/>
      <c r="W267" s="22"/>
    </row>
    <row r="268" ht="15.75" customHeight="1">
      <c r="Q268" s="22"/>
      <c r="R268" s="22"/>
      <c r="S268" s="22"/>
      <c r="T268" s="22"/>
      <c r="U268" s="22"/>
      <c r="V268" s="22"/>
      <c r="W268" s="22"/>
    </row>
    <row r="269" ht="15.75" customHeight="1">
      <c r="Q269" s="22"/>
      <c r="R269" s="22"/>
      <c r="S269" s="22"/>
      <c r="T269" s="22"/>
      <c r="U269" s="22"/>
      <c r="V269" s="22"/>
      <c r="W269" s="22"/>
    </row>
    <row r="270" ht="15.75" customHeight="1">
      <c r="Q270" s="22"/>
      <c r="R270" s="22"/>
      <c r="S270" s="22"/>
      <c r="T270" s="22"/>
      <c r="U270" s="22"/>
      <c r="V270" s="22"/>
      <c r="W270" s="22"/>
    </row>
    <row r="271" ht="15.75" customHeight="1">
      <c r="Q271" s="22"/>
      <c r="R271" s="22"/>
      <c r="S271" s="22"/>
      <c r="T271" s="22"/>
      <c r="U271" s="22"/>
      <c r="V271" s="22"/>
      <c r="W271" s="22"/>
    </row>
    <row r="272" ht="15.75" customHeight="1">
      <c r="Q272" s="22"/>
      <c r="R272" s="22"/>
      <c r="S272" s="22"/>
      <c r="T272" s="22"/>
      <c r="U272" s="22"/>
      <c r="V272" s="22"/>
      <c r="W272" s="22"/>
    </row>
    <row r="273" ht="15.75" customHeight="1">
      <c r="Q273" s="22"/>
      <c r="R273" s="22"/>
      <c r="S273" s="22"/>
      <c r="T273" s="22"/>
      <c r="U273" s="22"/>
      <c r="V273" s="22"/>
      <c r="W273" s="22"/>
    </row>
    <row r="274" ht="15.75" customHeight="1">
      <c r="Q274" s="22"/>
      <c r="R274" s="22"/>
      <c r="S274" s="22"/>
      <c r="T274" s="22"/>
      <c r="U274" s="22"/>
      <c r="V274" s="22"/>
      <c r="W274" s="22"/>
    </row>
    <row r="275" ht="15.75" customHeight="1">
      <c r="Q275" s="22"/>
      <c r="R275" s="22"/>
      <c r="S275" s="22"/>
      <c r="T275" s="22"/>
      <c r="U275" s="22"/>
      <c r="V275" s="22"/>
      <c r="W275" s="22"/>
    </row>
    <row r="276" ht="15.75" customHeight="1">
      <c r="Q276" s="22"/>
      <c r="R276" s="22"/>
      <c r="S276" s="22"/>
      <c r="T276" s="22"/>
      <c r="U276" s="22"/>
      <c r="V276" s="22"/>
      <c r="W276" s="22"/>
    </row>
    <row r="277" ht="15.75" customHeight="1">
      <c r="Q277" s="22"/>
      <c r="R277" s="22"/>
      <c r="S277" s="22"/>
      <c r="T277" s="22"/>
      <c r="U277" s="22"/>
      <c r="V277" s="22"/>
      <c r="W277" s="22"/>
    </row>
    <row r="278" ht="15.75" customHeight="1">
      <c r="Q278" s="22"/>
      <c r="R278" s="22"/>
      <c r="S278" s="22"/>
      <c r="T278" s="22"/>
      <c r="U278" s="22"/>
      <c r="V278" s="22"/>
      <c r="W278" s="22"/>
    </row>
    <row r="279" ht="15.75" customHeight="1">
      <c r="Q279" s="22"/>
      <c r="R279" s="22"/>
      <c r="S279" s="22"/>
      <c r="T279" s="22"/>
      <c r="U279" s="22"/>
      <c r="V279" s="22"/>
      <c r="W279" s="22"/>
    </row>
    <row r="280" ht="15.75" customHeight="1">
      <c r="Q280" s="22"/>
      <c r="R280" s="22"/>
      <c r="S280" s="22"/>
      <c r="T280" s="22"/>
      <c r="U280" s="22"/>
      <c r="V280" s="22"/>
      <c r="W280" s="22"/>
    </row>
    <row r="281" ht="15.75" customHeight="1">
      <c r="Q281" s="22"/>
      <c r="R281" s="22"/>
      <c r="S281" s="22"/>
      <c r="T281" s="22"/>
      <c r="U281" s="22"/>
      <c r="V281" s="22"/>
      <c r="W281" s="22"/>
    </row>
    <row r="282" ht="15.75" customHeight="1">
      <c r="Q282" s="22"/>
      <c r="R282" s="22"/>
      <c r="S282" s="22"/>
      <c r="T282" s="22"/>
      <c r="U282" s="22"/>
      <c r="V282" s="22"/>
      <c r="W282" s="22"/>
    </row>
    <row r="283" ht="15.75" customHeight="1">
      <c r="Q283" s="22"/>
      <c r="R283" s="22"/>
      <c r="S283" s="22"/>
      <c r="T283" s="22"/>
      <c r="U283" s="22"/>
      <c r="V283" s="22"/>
      <c r="W283" s="22"/>
    </row>
    <row r="284" ht="15.75" customHeight="1">
      <c r="Q284" s="22"/>
      <c r="R284" s="22"/>
      <c r="S284" s="22"/>
      <c r="T284" s="22"/>
      <c r="U284" s="22"/>
      <c r="V284" s="22"/>
      <c r="W284" s="22"/>
    </row>
    <row r="285" ht="15.75" customHeight="1">
      <c r="Q285" s="22"/>
      <c r="R285" s="22"/>
      <c r="S285" s="22"/>
      <c r="T285" s="22"/>
      <c r="U285" s="22"/>
      <c r="V285" s="22"/>
      <c r="W285" s="22"/>
    </row>
    <row r="286" ht="15.75" customHeight="1">
      <c r="Q286" s="22"/>
      <c r="R286" s="22"/>
      <c r="S286" s="22"/>
      <c r="T286" s="22"/>
      <c r="U286" s="22"/>
      <c r="V286" s="22"/>
      <c r="W286" s="22"/>
    </row>
    <row r="287" ht="15.75" customHeight="1">
      <c r="Q287" s="22"/>
      <c r="R287" s="22"/>
      <c r="S287" s="22"/>
      <c r="T287" s="22"/>
      <c r="U287" s="22"/>
      <c r="V287" s="22"/>
      <c r="W287" s="22"/>
    </row>
    <row r="288" ht="15.75" customHeight="1">
      <c r="Q288" s="22"/>
      <c r="R288" s="22"/>
      <c r="S288" s="22"/>
      <c r="T288" s="22"/>
      <c r="U288" s="22"/>
      <c r="V288" s="22"/>
      <c r="W288" s="22"/>
    </row>
    <row r="289" ht="15.75" customHeight="1">
      <c r="Q289" s="22"/>
      <c r="R289" s="22"/>
      <c r="S289" s="22"/>
      <c r="T289" s="22"/>
      <c r="U289" s="22"/>
      <c r="V289" s="22"/>
      <c r="W289" s="22"/>
    </row>
    <row r="290" ht="15.75" customHeight="1">
      <c r="Q290" s="22"/>
      <c r="R290" s="22"/>
      <c r="S290" s="22"/>
      <c r="T290" s="22"/>
      <c r="U290" s="22"/>
      <c r="V290" s="22"/>
      <c r="W290" s="22"/>
    </row>
    <row r="291" ht="15.75" customHeight="1">
      <c r="Q291" s="22"/>
      <c r="R291" s="22"/>
      <c r="S291" s="22"/>
      <c r="T291" s="22"/>
      <c r="U291" s="22"/>
      <c r="V291" s="22"/>
      <c r="W291" s="22"/>
    </row>
    <row r="292" ht="15.75" customHeight="1">
      <c r="Q292" s="22"/>
      <c r="R292" s="22"/>
      <c r="S292" s="22"/>
      <c r="T292" s="22"/>
      <c r="U292" s="22"/>
      <c r="V292" s="22"/>
      <c r="W292" s="22"/>
    </row>
    <row r="293" ht="15.75" customHeight="1">
      <c r="Q293" s="22"/>
      <c r="R293" s="22"/>
      <c r="S293" s="22"/>
      <c r="T293" s="22"/>
      <c r="U293" s="22"/>
      <c r="V293" s="22"/>
      <c r="W293" s="22"/>
    </row>
    <row r="294" ht="15.75" customHeight="1">
      <c r="Q294" s="22"/>
      <c r="R294" s="22"/>
      <c r="S294" s="22"/>
      <c r="T294" s="22"/>
      <c r="U294" s="22"/>
      <c r="V294" s="22"/>
      <c r="W294" s="22"/>
    </row>
    <row r="295" ht="15.75" customHeight="1">
      <c r="Q295" s="22"/>
      <c r="R295" s="22"/>
      <c r="S295" s="22"/>
      <c r="T295" s="22"/>
      <c r="U295" s="22"/>
      <c r="V295" s="22"/>
      <c r="W295" s="22"/>
    </row>
    <row r="296" ht="15.75" customHeight="1">
      <c r="Q296" s="22"/>
      <c r="R296" s="22"/>
      <c r="S296" s="22"/>
      <c r="T296" s="22"/>
      <c r="U296" s="22"/>
      <c r="V296" s="22"/>
      <c r="W296" s="22"/>
    </row>
    <row r="297" ht="15.75" customHeight="1">
      <c r="Q297" s="22"/>
      <c r="R297" s="22"/>
      <c r="S297" s="22"/>
      <c r="T297" s="22"/>
      <c r="U297" s="22"/>
      <c r="V297" s="22"/>
      <c r="W297" s="22"/>
    </row>
    <row r="298" ht="15.75" customHeight="1">
      <c r="Q298" s="22"/>
      <c r="R298" s="22"/>
      <c r="S298" s="22"/>
      <c r="T298" s="22"/>
      <c r="U298" s="22"/>
      <c r="V298" s="22"/>
      <c r="W298" s="22"/>
    </row>
    <row r="299" ht="15.75" customHeight="1">
      <c r="Q299" s="22"/>
      <c r="R299" s="22"/>
      <c r="S299" s="22"/>
      <c r="T299" s="22"/>
      <c r="U299" s="22"/>
      <c r="V299" s="22"/>
      <c r="W299" s="22"/>
    </row>
    <row r="300" ht="15.75" customHeight="1">
      <c r="Q300" s="22"/>
      <c r="R300" s="22"/>
      <c r="S300" s="22"/>
      <c r="T300" s="22"/>
      <c r="U300" s="22"/>
      <c r="V300" s="22"/>
      <c r="W300" s="22"/>
    </row>
    <row r="301" ht="15.75" customHeight="1">
      <c r="Q301" s="22"/>
      <c r="R301" s="22"/>
      <c r="S301" s="22"/>
      <c r="T301" s="22"/>
      <c r="U301" s="22"/>
      <c r="V301" s="22"/>
      <c r="W301" s="22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X$1:$Y$101"/>
  <mergeCells count="14">
    <mergeCell ref="G17:H17"/>
    <mergeCell ref="G18:H18"/>
    <mergeCell ref="G19:H19"/>
    <mergeCell ref="G20:H20"/>
    <mergeCell ref="G21:H21"/>
    <mergeCell ref="G22:H22"/>
    <mergeCell ref="G23:H23"/>
    <mergeCell ref="E1:J1"/>
    <mergeCell ref="G10:H10"/>
    <mergeCell ref="G11:H11"/>
    <mergeCell ref="G12:H12"/>
    <mergeCell ref="G13:H13"/>
    <mergeCell ref="G14:H14"/>
    <mergeCell ref="G16:H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2" width="14.5"/>
    <col customWidth="1" min="3" max="3" width="14.38"/>
    <col customWidth="1" min="4" max="4" width="12.63"/>
    <col customWidth="1" min="5" max="5" width="59.38"/>
    <col customWidth="1" min="6" max="6" width="32.75"/>
    <col customWidth="1" hidden="1" min="7" max="7" width="15.38"/>
    <col customWidth="1" hidden="1" min="8" max="8" width="12.63"/>
    <col customWidth="1" min="11" max="11" width="43.25"/>
    <col customWidth="1" min="12" max="12" width="31.75"/>
    <col customWidth="1" min="13" max="14" width="32.38"/>
  </cols>
  <sheetData>
    <row r="1" ht="15.75" customHeight="1">
      <c r="A1" s="51" t="s">
        <v>82</v>
      </c>
      <c r="B1" s="52"/>
      <c r="C1" s="53" t="s">
        <v>83</v>
      </c>
      <c r="D1" s="54" t="s">
        <v>84</v>
      </c>
      <c r="E1" s="55"/>
      <c r="F1" s="56" t="s">
        <v>85</v>
      </c>
      <c r="G1" s="56" t="s">
        <v>86</v>
      </c>
      <c r="H1" s="56"/>
      <c r="I1" s="57" t="s">
        <v>21</v>
      </c>
      <c r="J1" s="57" t="s">
        <v>86</v>
      </c>
      <c r="K1" s="57" t="s">
        <v>87</v>
      </c>
      <c r="L1" s="58" t="s">
        <v>88</v>
      </c>
      <c r="M1" s="59" t="s">
        <v>89</v>
      </c>
      <c r="N1" s="59" t="s">
        <v>90</v>
      </c>
      <c r="O1" s="60">
        <v>1.0</v>
      </c>
      <c r="P1" s="61">
        <v>2.0</v>
      </c>
      <c r="Q1" s="60">
        <v>3.0</v>
      </c>
      <c r="R1" s="61">
        <v>4.0</v>
      </c>
      <c r="S1" s="60">
        <v>5.0</v>
      </c>
      <c r="T1" s="61">
        <v>6.0</v>
      </c>
      <c r="U1" s="60">
        <v>7.0</v>
      </c>
      <c r="V1" s="61">
        <v>8.0</v>
      </c>
      <c r="W1" s="60">
        <v>9.0</v>
      </c>
      <c r="X1" s="61">
        <v>10.0</v>
      </c>
      <c r="Y1" s="60">
        <v>11.0</v>
      </c>
      <c r="Z1" s="61">
        <v>12.0</v>
      </c>
      <c r="AA1" s="60">
        <v>13.0</v>
      </c>
      <c r="AB1" s="61">
        <v>14.0</v>
      </c>
      <c r="AC1" s="60">
        <v>15.0</v>
      </c>
      <c r="AD1" s="61">
        <v>16.0</v>
      </c>
      <c r="AE1" s="60">
        <v>17.0</v>
      </c>
      <c r="AF1" s="61">
        <v>18.0</v>
      </c>
      <c r="AG1" s="60">
        <v>19.0</v>
      </c>
      <c r="AH1" s="61">
        <v>20.0</v>
      </c>
      <c r="AI1" s="62" t="s">
        <v>91</v>
      </c>
      <c r="AJ1" s="63"/>
      <c r="AK1" s="59" t="s">
        <v>92</v>
      </c>
    </row>
    <row r="2" ht="15.75" customHeight="1">
      <c r="A2" s="64" t="s">
        <v>93</v>
      </c>
      <c r="B2" s="65"/>
      <c r="C2" s="65"/>
      <c r="D2" s="66">
        <v>2.0</v>
      </c>
      <c r="E2" s="65" t="str">
        <f>'Habilidades de Rol'!D29</f>
        <v>Atletismo, Perspicacia, Intimidacion, Medicina, Persuasion, Religion, </v>
      </c>
      <c r="F2" s="67">
        <v>10.0</v>
      </c>
      <c r="G2" s="67" t="s">
        <v>94</v>
      </c>
      <c r="H2" s="67" t="s">
        <v>95</v>
      </c>
      <c r="I2" s="67"/>
      <c r="J2" s="67" t="s">
        <v>96</v>
      </c>
      <c r="K2" s="68" t="s">
        <v>97</v>
      </c>
      <c r="L2" s="69" t="s">
        <v>98</v>
      </c>
      <c r="M2" s="67" t="s">
        <v>99</v>
      </c>
      <c r="N2" s="67"/>
      <c r="O2" s="67" t="s">
        <v>100</v>
      </c>
      <c r="P2" s="67" t="s">
        <v>101</v>
      </c>
      <c r="Q2" s="67" t="s">
        <v>102</v>
      </c>
      <c r="R2" s="67" t="s">
        <v>103</v>
      </c>
      <c r="S2" s="67" t="s">
        <v>104</v>
      </c>
      <c r="T2" s="67" t="s">
        <v>105</v>
      </c>
      <c r="U2" s="67" t="s">
        <v>106</v>
      </c>
      <c r="V2" s="67" t="s">
        <v>103</v>
      </c>
      <c r="W2" s="67" t="s">
        <v>107</v>
      </c>
      <c r="X2" s="67" t="s">
        <v>108</v>
      </c>
      <c r="Y2" s="67" t="s">
        <v>109</v>
      </c>
      <c r="Z2" s="67" t="s">
        <v>103</v>
      </c>
      <c r="AA2" s="67" t="s">
        <v>107</v>
      </c>
      <c r="AB2" s="67" t="s">
        <v>110</v>
      </c>
      <c r="AC2" s="67" t="s">
        <v>106</v>
      </c>
      <c r="AD2" s="67" t="s">
        <v>103</v>
      </c>
      <c r="AE2" s="67" t="s">
        <v>107</v>
      </c>
      <c r="AF2" s="67" t="s">
        <v>111</v>
      </c>
      <c r="AG2" s="67" t="s">
        <v>103</v>
      </c>
      <c r="AH2" s="67" t="s">
        <v>112</v>
      </c>
      <c r="AI2" s="69" t="s">
        <v>113</v>
      </c>
      <c r="AJ2" s="66" t="s">
        <v>18</v>
      </c>
      <c r="AK2" s="67" t="s">
        <v>114</v>
      </c>
    </row>
    <row r="3" ht="15.75" customHeight="1">
      <c r="A3" s="70" t="s">
        <v>93</v>
      </c>
      <c r="B3" s="70" t="s">
        <v>115</v>
      </c>
      <c r="C3" s="71" t="s">
        <v>116</v>
      </c>
      <c r="D3" s="72">
        <v>3.0</v>
      </c>
      <c r="E3" s="73" t="str">
        <f>D2&amp;" Escogidas anteriormente + 1 de: "&amp;+E14</f>
        <v>2 Escogidas anteriormente + 1 de: Acrobacias, Trato con animales, Atletismo, Historia, Perspicacia, Intimidacion, Percepcion, Supervivencia, </v>
      </c>
      <c r="F3" s="73" t="str">
        <f>F14&amp;" + "&amp;I3</f>
        <v>10 + CONS</v>
      </c>
      <c r="G3" s="74" t="str">
        <f>J2</f>
        <v>SAB + CAR</v>
      </c>
      <c r="H3" s="74" t="str">
        <f>J14</f>
        <v>FUE + CONS</v>
      </c>
      <c r="I3" s="74" t="s">
        <v>117</v>
      </c>
      <c r="J3" s="74" t="s">
        <v>118</v>
      </c>
      <c r="K3" s="75" t="s">
        <v>119</v>
      </c>
      <c r="L3" s="73" t="str">
        <f>L14</f>
        <v>Todo tipo de Armadura y escudos</v>
      </c>
      <c r="M3" s="73"/>
      <c r="N3" s="73" t="s">
        <v>120</v>
      </c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6" t="s">
        <v>113</v>
      </c>
      <c r="AJ3" s="77" t="s">
        <v>17</v>
      </c>
      <c r="AK3" s="78" t="s">
        <v>114</v>
      </c>
    </row>
    <row r="4" ht="15.75" hidden="1" customHeight="1">
      <c r="A4" s="79" t="s">
        <v>93</v>
      </c>
      <c r="B4" s="64" t="s">
        <v>121</v>
      </c>
      <c r="C4" s="80" t="s">
        <v>122</v>
      </c>
      <c r="D4" s="66"/>
      <c r="E4" s="81" t="str">
        <f>"2 Escogidas anteriormente + 1 de: "&amp;+E14</f>
        <v>2 Escogidas anteriormente + 1 de: Acrobacias, Trato con animales, Atletismo, Historia, Perspicacia, Intimidacion, Percepcion, Supervivencia, </v>
      </c>
      <c r="F4" s="82">
        <v>6.0</v>
      </c>
      <c r="G4" s="67" t="s">
        <v>123</v>
      </c>
      <c r="H4" s="67" t="s">
        <v>124</v>
      </c>
      <c r="I4" s="67"/>
      <c r="J4" s="67" t="s">
        <v>125</v>
      </c>
      <c r="K4" s="83"/>
      <c r="L4" s="79"/>
      <c r="M4" s="79"/>
      <c r="N4" s="79"/>
      <c r="O4" s="83"/>
      <c r="P4" s="79"/>
      <c r="Q4" s="79"/>
      <c r="R4" s="83"/>
      <c r="S4" s="79"/>
      <c r="T4" s="79"/>
      <c r="U4" s="83"/>
      <c r="V4" s="79"/>
      <c r="W4" s="79"/>
      <c r="X4" s="83"/>
      <c r="Y4" s="79"/>
      <c r="Z4" s="79"/>
      <c r="AA4" s="83"/>
      <c r="AB4" s="79"/>
      <c r="AC4" s="79"/>
      <c r="AD4" s="83"/>
      <c r="AE4" s="79"/>
      <c r="AF4" s="79"/>
      <c r="AG4" s="83"/>
      <c r="AH4" s="79"/>
      <c r="AI4" s="79"/>
      <c r="AJ4" s="83"/>
      <c r="AK4" s="79"/>
    </row>
    <row r="5" ht="15.75" hidden="1" customHeight="1">
      <c r="A5" s="79" t="s">
        <v>93</v>
      </c>
      <c r="B5" s="64" t="s">
        <v>126</v>
      </c>
      <c r="C5" s="80" t="s">
        <v>127</v>
      </c>
      <c r="D5" s="66"/>
      <c r="E5" s="81" t="str">
        <f>"2 Escogidas anteriormente + 1 de: "&amp;+E14</f>
        <v>2 Escogidas anteriormente + 1 de: Acrobacias, Trato con animales, Atletismo, Historia, Perspicacia, Intimidacion, Percepcion, Supervivencia, </v>
      </c>
      <c r="F5" s="82">
        <v>6.0</v>
      </c>
      <c r="G5" s="67" t="s">
        <v>128</v>
      </c>
      <c r="H5" s="67" t="s">
        <v>124</v>
      </c>
      <c r="I5" s="67"/>
      <c r="J5" s="67" t="s">
        <v>129</v>
      </c>
      <c r="K5" s="83"/>
      <c r="L5" s="79"/>
      <c r="M5" s="79"/>
      <c r="N5" s="79"/>
      <c r="O5" s="83"/>
      <c r="P5" s="79"/>
      <c r="Q5" s="79"/>
      <c r="R5" s="83"/>
      <c r="S5" s="79"/>
      <c r="T5" s="79"/>
      <c r="U5" s="83"/>
      <c r="V5" s="79"/>
      <c r="W5" s="79"/>
      <c r="X5" s="83"/>
      <c r="Y5" s="79"/>
      <c r="Z5" s="79"/>
      <c r="AA5" s="83"/>
      <c r="AB5" s="79"/>
      <c r="AC5" s="79"/>
      <c r="AD5" s="83"/>
      <c r="AE5" s="79"/>
      <c r="AF5" s="79"/>
      <c r="AG5" s="83"/>
      <c r="AH5" s="79"/>
      <c r="AI5" s="79"/>
      <c r="AJ5" s="83"/>
      <c r="AK5" s="79"/>
    </row>
    <row r="6" ht="15.75" customHeight="1">
      <c r="A6" s="70" t="s">
        <v>93</v>
      </c>
      <c r="B6" s="70" t="s">
        <v>130</v>
      </c>
      <c r="C6" s="71" t="s">
        <v>131</v>
      </c>
      <c r="D6" s="72">
        <v>3.0</v>
      </c>
      <c r="E6" s="73" t="str">
        <f>D2&amp;" Escogidas anteriormente + 1 de: "&amp;+E50</f>
        <v>2 Escogidas anteriormente + 1 de: Arcano, Engaño, Historia, Intimidacion, Investigacion, Naturaleza, Religion, </v>
      </c>
      <c r="F6" s="73" t="str">
        <f>F50&amp;" + "&amp;I6</f>
        <v>8 + CAR</v>
      </c>
      <c r="G6" s="74" t="str">
        <f>J2</f>
        <v>SAB + CAR</v>
      </c>
      <c r="H6" s="74" t="str">
        <f>J50</f>
        <v>SAB + CAR</v>
      </c>
      <c r="I6" s="74" t="s">
        <v>95</v>
      </c>
      <c r="J6" s="74" t="s">
        <v>132</v>
      </c>
      <c r="K6" s="75" t="s">
        <v>133</v>
      </c>
      <c r="L6" s="73" t="s">
        <v>134</v>
      </c>
      <c r="M6" s="84"/>
      <c r="N6" s="84"/>
      <c r="O6" s="85"/>
      <c r="P6" s="78"/>
      <c r="Q6" s="84"/>
      <c r="R6" s="85"/>
      <c r="S6" s="78"/>
      <c r="T6" s="84"/>
      <c r="U6" s="85"/>
      <c r="V6" s="78"/>
      <c r="W6" s="84"/>
      <c r="X6" s="85"/>
      <c r="Y6" s="78"/>
      <c r="Z6" s="84"/>
      <c r="AA6" s="85"/>
      <c r="AB6" s="78"/>
      <c r="AC6" s="84"/>
      <c r="AD6" s="85"/>
      <c r="AE6" s="78"/>
      <c r="AF6" s="84"/>
      <c r="AG6" s="85"/>
      <c r="AH6" s="78"/>
      <c r="AI6" s="76" t="s">
        <v>135</v>
      </c>
      <c r="AJ6" s="77" t="s">
        <v>18</v>
      </c>
      <c r="AK6" s="78"/>
    </row>
    <row r="7" ht="15.75" hidden="1" customHeight="1">
      <c r="A7" s="79" t="s">
        <v>93</v>
      </c>
      <c r="B7" s="64" t="s">
        <v>136</v>
      </c>
      <c r="C7" s="80" t="s">
        <v>137</v>
      </c>
      <c r="D7" s="66"/>
      <c r="E7" s="81" t="str">
        <f>"2 Escogidas anteriormente + 1 de: "&amp;+E14</f>
        <v>2 Escogidas anteriormente + 1 de: Acrobacias, Trato con animales, Atletismo, Historia, Perspicacia, Intimidacion, Percepcion, Supervivencia, </v>
      </c>
      <c r="F7" s="86">
        <v>8.0</v>
      </c>
      <c r="G7" s="67" t="s">
        <v>138</v>
      </c>
      <c r="H7" s="67" t="s">
        <v>124</v>
      </c>
      <c r="I7" s="67"/>
      <c r="J7" s="67"/>
      <c r="K7" s="87"/>
      <c r="L7" s="79"/>
      <c r="M7" s="79"/>
      <c r="N7" s="79"/>
      <c r="O7" s="87"/>
      <c r="P7" s="79"/>
      <c r="Q7" s="79"/>
      <c r="R7" s="87"/>
      <c r="S7" s="79"/>
      <c r="T7" s="79"/>
      <c r="U7" s="87"/>
      <c r="V7" s="79"/>
      <c r="W7" s="79"/>
      <c r="X7" s="87"/>
      <c r="Y7" s="79"/>
      <c r="Z7" s="79"/>
      <c r="AA7" s="87"/>
      <c r="AB7" s="79"/>
      <c r="AC7" s="79"/>
      <c r="AD7" s="87"/>
      <c r="AE7" s="79"/>
      <c r="AF7" s="79"/>
      <c r="AG7" s="87"/>
      <c r="AH7" s="79"/>
      <c r="AI7" s="79"/>
      <c r="AJ7" s="87"/>
      <c r="AK7" s="79"/>
    </row>
    <row r="8" ht="15.75" hidden="1" customHeight="1">
      <c r="A8" s="79" t="s">
        <v>93</v>
      </c>
      <c r="B8" s="64" t="s">
        <v>139</v>
      </c>
      <c r="C8" s="80" t="s">
        <v>140</v>
      </c>
      <c r="D8" s="66"/>
      <c r="E8" s="88" t="str">
        <f>"2 Escogidas anteriormente + 1 de: "&amp;+E14</f>
        <v>2 Escogidas anteriormente + 1 de: Acrobacias, Trato con animales, Atletismo, Historia, Perspicacia, Intimidacion, Percepcion, Supervivencia, </v>
      </c>
      <c r="F8" s="86">
        <v>8.0</v>
      </c>
      <c r="G8" s="67" t="s">
        <v>141</v>
      </c>
      <c r="H8" s="67" t="s">
        <v>124</v>
      </c>
      <c r="I8" s="67"/>
      <c r="J8" s="67"/>
      <c r="K8" s="87"/>
      <c r="L8" s="79"/>
      <c r="M8" s="89"/>
      <c r="N8" s="89"/>
      <c r="O8" s="87"/>
      <c r="P8" s="79"/>
      <c r="Q8" s="89"/>
      <c r="R8" s="87"/>
      <c r="S8" s="79"/>
      <c r="T8" s="89"/>
      <c r="U8" s="87"/>
      <c r="V8" s="79"/>
      <c r="W8" s="89"/>
      <c r="X8" s="87"/>
      <c r="Y8" s="79"/>
      <c r="Z8" s="89"/>
      <c r="AA8" s="87"/>
      <c r="AB8" s="79"/>
      <c r="AC8" s="89"/>
      <c r="AD8" s="87"/>
      <c r="AE8" s="79"/>
      <c r="AF8" s="89"/>
      <c r="AG8" s="87"/>
      <c r="AH8" s="79"/>
      <c r="AI8" s="89"/>
      <c r="AJ8" s="87"/>
      <c r="AK8" s="79"/>
    </row>
    <row r="9" ht="15.75" customHeight="1">
      <c r="A9" s="70" t="s">
        <v>93</v>
      </c>
      <c r="B9" s="70" t="s">
        <v>142</v>
      </c>
      <c r="C9" s="71" t="s">
        <v>143</v>
      </c>
      <c r="D9" s="72">
        <v>3.0</v>
      </c>
      <c r="E9" s="73" t="str">
        <f>D2&amp;" Escogidas anteriormente + 1 de: "&amp;+E86</f>
        <v>2 Escogidas anteriormente + 1 de: Trato con animales, Atletismo, Intimidacion, Naturaleza, Percepcion, Supervivencia, </v>
      </c>
      <c r="F9" s="73" t="str">
        <f>F86&amp;" + "&amp;I9</f>
        <v>12 + CONS</v>
      </c>
      <c r="G9" s="74" t="str">
        <f>J2</f>
        <v>SAB + CAR</v>
      </c>
      <c r="H9" s="74" t="str">
        <f>J86</f>
        <v>FUE + CONS</v>
      </c>
      <c r="I9" s="74" t="s">
        <v>117</v>
      </c>
      <c r="J9" s="74" t="s">
        <v>144</v>
      </c>
      <c r="K9" s="75" t="str">
        <f>K86&amp; ", Experto en habilidades de combate cuerpo a cuerpo"</f>
        <v>Simple, Martial, Experto en habilidades de combate cuerpo a cuerpo</v>
      </c>
      <c r="L9" s="73" t="str">
        <f>L86</f>
        <v>Armaduras ligeras y medianas, Escudos</v>
      </c>
      <c r="M9" s="84"/>
      <c r="N9" s="84"/>
      <c r="O9" s="90"/>
      <c r="P9" s="78"/>
      <c r="Q9" s="84"/>
      <c r="R9" s="90"/>
      <c r="S9" s="78"/>
      <c r="T9" s="84"/>
      <c r="U9" s="90"/>
      <c r="V9" s="78"/>
      <c r="W9" s="84"/>
      <c r="X9" s="90"/>
      <c r="Y9" s="78"/>
      <c r="Z9" s="84"/>
      <c r="AA9" s="90"/>
      <c r="AB9" s="78"/>
      <c r="AC9" s="84"/>
      <c r="AD9" s="90"/>
      <c r="AE9" s="78"/>
      <c r="AF9" s="84"/>
      <c r="AG9" s="90"/>
      <c r="AH9" s="78"/>
      <c r="AI9" s="76" t="s">
        <v>113</v>
      </c>
      <c r="AJ9" s="91" t="s">
        <v>18</v>
      </c>
      <c r="AK9" s="78"/>
    </row>
    <row r="10" ht="15.75" hidden="1" customHeight="1">
      <c r="A10" s="79" t="s">
        <v>93</v>
      </c>
      <c r="B10" s="64" t="s">
        <v>145</v>
      </c>
      <c r="C10" s="80" t="s">
        <v>146</v>
      </c>
      <c r="D10" s="66"/>
      <c r="E10" s="88" t="str">
        <f>"2 Escogidas anteriormente + 1 de: "&amp;+E14</f>
        <v>2 Escogidas anteriormente + 1 de: Acrobacias, Trato con animales, Atletismo, Historia, Perspicacia, Intimidacion, Percepcion, Supervivencia, </v>
      </c>
      <c r="F10" s="86">
        <v>10.0</v>
      </c>
      <c r="G10" s="67" t="s">
        <v>147</v>
      </c>
      <c r="H10" s="67" t="s">
        <v>124</v>
      </c>
      <c r="I10" s="67"/>
      <c r="J10" s="67"/>
      <c r="K10" s="87"/>
      <c r="L10" s="79"/>
      <c r="M10" s="89"/>
      <c r="N10" s="89"/>
      <c r="O10" s="87"/>
      <c r="P10" s="79"/>
      <c r="Q10" s="89"/>
      <c r="R10" s="87"/>
      <c r="S10" s="79"/>
      <c r="T10" s="89"/>
      <c r="U10" s="87"/>
      <c r="V10" s="79"/>
      <c r="W10" s="89"/>
      <c r="X10" s="87"/>
      <c r="Y10" s="79"/>
      <c r="Z10" s="89"/>
      <c r="AA10" s="87"/>
      <c r="AB10" s="79"/>
      <c r="AC10" s="89"/>
      <c r="AD10" s="87"/>
      <c r="AE10" s="79"/>
      <c r="AF10" s="89"/>
      <c r="AG10" s="87"/>
      <c r="AH10" s="79"/>
      <c r="AI10" s="89"/>
      <c r="AJ10" s="87"/>
      <c r="AK10" s="79"/>
    </row>
    <row r="11" ht="15.75" customHeight="1">
      <c r="A11" s="70" t="s">
        <v>93</v>
      </c>
      <c r="B11" s="70" t="s">
        <v>148</v>
      </c>
      <c r="C11" s="71" t="s">
        <v>149</v>
      </c>
      <c r="D11" s="72">
        <v>3.0</v>
      </c>
      <c r="E11" s="73" t="str">
        <f>D2&amp;" Escogidas anteriormente + 1 de: "&amp;+E110</f>
        <v>2 Escogidas anteriormente + 1 de: Trato con animales, Arcano, Perspicacia, Medicina, Naturaleza, Percepcion, Religion, Supervivencia, </v>
      </c>
      <c r="F11" s="73" t="str">
        <f>F110&amp;" + "&amp;I11</f>
        <v>8 + SAB</v>
      </c>
      <c r="G11" s="74" t="str">
        <f>J2</f>
        <v>SAB + CAR</v>
      </c>
      <c r="H11" s="74" t="str">
        <f>J110</f>
        <v>INT + SAB</v>
      </c>
      <c r="I11" s="74" t="s">
        <v>94</v>
      </c>
      <c r="J11" s="74" t="s">
        <v>150</v>
      </c>
      <c r="K11" s="75" t="str">
        <f t="shared" ref="K11:L11" si="1">K110</f>
        <v>Club, Dagger, Dart, Javelin, mace, quarterstaff, scimitar, sickle, sling, spear</v>
      </c>
      <c r="L11" s="73" t="str">
        <f t="shared" si="1"/>
        <v>Armaduras ligeras y medianas, Escudos (No metalicas)</v>
      </c>
      <c r="M11" s="84"/>
      <c r="N11" s="84"/>
      <c r="O11" s="90"/>
      <c r="P11" s="78"/>
      <c r="Q11" s="84"/>
      <c r="R11" s="90"/>
      <c r="S11" s="78"/>
      <c r="T11" s="84"/>
      <c r="U11" s="90"/>
      <c r="V11" s="78"/>
      <c r="W11" s="84"/>
      <c r="X11" s="90"/>
      <c r="Y11" s="78"/>
      <c r="Z11" s="84"/>
      <c r="AA11" s="90"/>
      <c r="AB11" s="78"/>
      <c r="AC11" s="84"/>
      <c r="AD11" s="90"/>
      <c r="AE11" s="78"/>
      <c r="AF11" s="84"/>
      <c r="AG11" s="90"/>
      <c r="AH11" s="78"/>
      <c r="AI11" s="76" t="s">
        <v>135</v>
      </c>
      <c r="AJ11" s="91" t="s">
        <v>151</v>
      </c>
      <c r="AK11" s="78"/>
    </row>
    <row r="12" ht="15.75" hidden="1" customHeight="1">
      <c r="A12" s="79" t="s">
        <v>93</v>
      </c>
      <c r="B12" s="64" t="s">
        <v>152</v>
      </c>
      <c r="C12" s="80" t="s">
        <v>153</v>
      </c>
      <c r="D12" s="66"/>
      <c r="E12" s="88" t="str">
        <f>"2 Escogidas anteriormente + 1 de: "&amp;+E14</f>
        <v>2 Escogidas anteriormente + 1 de: Acrobacias, Trato con animales, Atletismo, Historia, Perspicacia, Intimidacion, Percepcion, Supervivencia, </v>
      </c>
      <c r="F12" s="86">
        <v>10.0</v>
      </c>
      <c r="G12" s="67" t="s">
        <v>154</v>
      </c>
      <c r="H12" s="67" t="s">
        <v>124</v>
      </c>
      <c r="I12" s="67"/>
      <c r="J12" s="67"/>
      <c r="K12" s="87"/>
      <c r="L12" s="79"/>
      <c r="M12" s="89"/>
      <c r="N12" s="89"/>
      <c r="O12" s="87"/>
      <c r="P12" s="79"/>
      <c r="Q12" s="89"/>
      <c r="R12" s="87"/>
      <c r="S12" s="79"/>
      <c r="T12" s="89"/>
      <c r="U12" s="87"/>
      <c r="V12" s="79"/>
      <c r="W12" s="89"/>
      <c r="X12" s="87"/>
      <c r="Y12" s="79"/>
      <c r="Z12" s="89"/>
      <c r="AA12" s="87"/>
      <c r="AB12" s="79"/>
      <c r="AC12" s="89"/>
      <c r="AD12" s="87"/>
      <c r="AE12" s="79"/>
      <c r="AF12" s="89"/>
      <c r="AG12" s="87"/>
      <c r="AH12" s="79"/>
      <c r="AI12" s="89"/>
      <c r="AJ12" s="87"/>
      <c r="AK12" s="79"/>
    </row>
    <row r="13" ht="15.75" hidden="1" customHeight="1">
      <c r="A13" s="79" t="s">
        <v>93</v>
      </c>
      <c r="B13" s="64" t="s">
        <v>155</v>
      </c>
      <c r="C13" s="80" t="s">
        <v>156</v>
      </c>
      <c r="D13" s="66"/>
      <c r="E13" s="88" t="str">
        <f>"2 Escogidas anteriormente + 1 de: "&amp;+E14</f>
        <v>2 Escogidas anteriormente + 1 de: Acrobacias, Trato con animales, Atletismo, Historia, Perspicacia, Intimidacion, Percepcion, Supervivencia, </v>
      </c>
      <c r="F13" s="86">
        <v>8.0</v>
      </c>
      <c r="G13" s="67" t="s">
        <v>154</v>
      </c>
      <c r="H13" s="67" t="s">
        <v>124</v>
      </c>
      <c r="I13" s="67"/>
      <c r="J13" s="67"/>
      <c r="K13" s="87"/>
      <c r="L13" s="79"/>
      <c r="M13" s="89"/>
      <c r="N13" s="89"/>
      <c r="O13" s="87"/>
      <c r="P13" s="79"/>
      <c r="Q13" s="89"/>
      <c r="R13" s="87"/>
      <c r="S13" s="79"/>
      <c r="T13" s="89"/>
      <c r="U13" s="87"/>
      <c r="V13" s="79"/>
      <c r="W13" s="89"/>
      <c r="X13" s="87"/>
      <c r="Y13" s="79"/>
      <c r="Z13" s="89"/>
      <c r="AA13" s="87"/>
      <c r="AB13" s="79"/>
      <c r="AC13" s="89"/>
      <c r="AD13" s="87"/>
      <c r="AE13" s="79"/>
      <c r="AF13" s="89"/>
      <c r="AG13" s="87"/>
      <c r="AH13" s="79"/>
      <c r="AI13" s="89"/>
      <c r="AJ13" s="87"/>
      <c r="AK13" s="79"/>
    </row>
    <row r="14" ht="15.75" customHeight="1">
      <c r="A14" s="92" t="s">
        <v>115</v>
      </c>
      <c r="B14" s="92"/>
      <c r="C14" s="93"/>
      <c r="D14" s="94">
        <v>2.0</v>
      </c>
      <c r="E14" s="95" t="str">
        <f>'Habilidades de Rol'!D27</f>
        <v>Acrobacias, Trato con animales, Atletismo, Historia, Perspicacia, Intimidacion, Percepcion, Supervivencia, </v>
      </c>
      <c r="F14" s="96">
        <v>10.0</v>
      </c>
      <c r="G14" s="97" t="s">
        <v>157</v>
      </c>
      <c r="H14" s="97" t="s">
        <v>158</v>
      </c>
      <c r="I14" s="97"/>
      <c r="J14" s="97" t="s">
        <v>159</v>
      </c>
      <c r="K14" s="96" t="s">
        <v>97</v>
      </c>
      <c r="L14" s="98" t="s">
        <v>98</v>
      </c>
      <c r="M14" s="97" t="s">
        <v>160</v>
      </c>
      <c r="N14" s="97"/>
      <c r="O14" s="97" t="s">
        <v>161</v>
      </c>
      <c r="P14" s="96" t="s">
        <v>162</v>
      </c>
      <c r="Q14" s="97" t="s">
        <v>163</v>
      </c>
      <c r="R14" s="97" t="s">
        <v>103</v>
      </c>
      <c r="S14" s="96" t="s">
        <v>104</v>
      </c>
      <c r="T14" s="97" t="s">
        <v>103</v>
      </c>
      <c r="U14" s="97" t="s">
        <v>164</v>
      </c>
      <c r="V14" s="96" t="s">
        <v>103</v>
      </c>
      <c r="W14" s="97" t="s">
        <v>165</v>
      </c>
      <c r="X14" s="97" t="s">
        <v>166</v>
      </c>
      <c r="Y14" s="96" t="s">
        <v>167</v>
      </c>
      <c r="Z14" s="97" t="s">
        <v>103</v>
      </c>
      <c r="AA14" s="97" t="s">
        <v>168</v>
      </c>
      <c r="AB14" s="96" t="s">
        <v>103</v>
      </c>
      <c r="AC14" s="97" t="s">
        <v>169</v>
      </c>
      <c r="AD14" s="97" t="s">
        <v>103</v>
      </c>
      <c r="AE14" s="96" t="s">
        <v>170</v>
      </c>
      <c r="AF14" s="97" t="s">
        <v>166</v>
      </c>
      <c r="AG14" s="97" t="s">
        <v>103</v>
      </c>
      <c r="AH14" s="96" t="s">
        <v>167</v>
      </c>
      <c r="AI14" s="99" t="s">
        <v>171</v>
      </c>
      <c r="AJ14" s="94" t="s">
        <v>107</v>
      </c>
      <c r="AK14" s="97"/>
    </row>
    <row r="15" ht="15.75" hidden="1" customHeight="1">
      <c r="A15" s="100" t="s">
        <v>115</v>
      </c>
      <c r="B15" s="92" t="s">
        <v>121</v>
      </c>
      <c r="C15" s="93" t="s">
        <v>172</v>
      </c>
      <c r="D15" s="94"/>
      <c r="E15" s="101"/>
      <c r="F15" s="102"/>
      <c r="G15" s="97"/>
      <c r="H15" s="97"/>
      <c r="I15" s="97"/>
      <c r="J15" s="97"/>
      <c r="K15" s="103"/>
      <c r="L15" s="100"/>
      <c r="M15" s="100"/>
      <c r="N15" s="100"/>
      <c r="O15" s="103"/>
      <c r="P15" s="100"/>
      <c r="Q15" s="100"/>
      <c r="R15" s="103"/>
      <c r="S15" s="100"/>
      <c r="T15" s="100"/>
      <c r="U15" s="103"/>
      <c r="V15" s="100"/>
      <c r="W15" s="100"/>
      <c r="X15" s="103"/>
      <c r="Y15" s="100"/>
      <c r="Z15" s="100"/>
      <c r="AA15" s="103"/>
      <c r="AB15" s="100"/>
      <c r="AC15" s="100"/>
      <c r="AD15" s="103"/>
      <c r="AE15" s="100"/>
      <c r="AF15" s="100"/>
      <c r="AG15" s="103"/>
      <c r="AH15" s="100"/>
      <c r="AI15" s="100"/>
      <c r="AJ15" s="103"/>
      <c r="AK15" s="100"/>
    </row>
    <row r="16" ht="15.75" customHeight="1">
      <c r="A16" s="104" t="s">
        <v>115</v>
      </c>
      <c r="B16" s="104" t="s">
        <v>126</v>
      </c>
      <c r="C16" s="71" t="s">
        <v>173</v>
      </c>
      <c r="D16" s="105">
        <v>3.0</v>
      </c>
      <c r="E16" s="106" t="str">
        <f>D14&amp;" Escogidas anteriormente + 1 de: "&amp;+E38</f>
        <v>2 Escogidas anteriormente + 1 de: Arcano, Engaño, Perspicacia, Intimidacion, Persuasion, Religion, </v>
      </c>
      <c r="F16" s="106" t="str">
        <f>F38&amp;" + "&amp;I16</f>
        <v>6 + CONS</v>
      </c>
      <c r="G16" s="107" t="str">
        <f>J14</f>
        <v>FUE + CONS</v>
      </c>
      <c r="H16" s="107" t="str">
        <f>J38</f>
        <v>CON + CAR</v>
      </c>
      <c r="I16" s="107" t="s">
        <v>117</v>
      </c>
      <c r="J16" s="107" t="s">
        <v>144</v>
      </c>
      <c r="K16" s="108" t="str">
        <f t="shared" ref="K16:L16" si="2">K38</f>
        <v>dagger, dart, sling, quarterstaff, light crossbow</v>
      </c>
      <c r="L16" s="106" t="str">
        <f t="shared" si="2"/>
        <v>Túnica</v>
      </c>
      <c r="M16" s="109"/>
      <c r="N16" s="109"/>
      <c r="O16" s="110"/>
      <c r="P16" s="109"/>
      <c r="Q16" s="109"/>
      <c r="R16" s="110"/>
      <c r="S16" s="109"/>
      <c r="T16" s="109"/>
      <c r="U16" s="110"/>
      <c r="V16" s="109"/>
      <c r="W16" s="109"/>
      <c r="X16" s="110"/>
      <c r="Y16" s="109"/>
      <c r="Z16" s="109"/>
      <c r="AA16" s="110"/>
      <c r="AB16" s="109"/>
      <c r="AC16" s="109"/>
      <c r="AD16" s="110"/>
      <c r="AE16" s="109"/>
      <c r="AF16" s="109"/>
      <c r="AG16" s="110"/>
      <c r="AH16" s="109"/>
      <c r="AI16" s="111"/>
      <c r="AJ16" s="112"/>
      <c r="AK16" s="109"/>
    </row>
    <row r="17" ht="15.75" hidden="1" customHeight="1">
      <c r="A17" s="100" t="s">
        <v>115</v>
      </c>
      <c r="B17" s="92" t="s">
        <v>130</v>
      </c>
      <c r="C17" s="93" t="s">
        <v>174</v>
      </c>
      <c r="D17" s="94"/>
      <c r="E17" s="113"/>
      <c r="F17" s="102"/>
      <c r="G17" s="97"/>
      <c r="H17" s="97"/>
      <c r="I17" s="97"/>
      <c r="J17" s="97"/>
      <c r="K17" s="103"/>
      <c r="L17" s="100"/>
      <c r="M17" s="114"/>
      <c r="N17" s="114"/>
      <c r="O17" s="103"/>
      <c r="P17" s="100"/>
      <c r="Q17" s="114"/>
      <c r="R17" s="103"/>
      <c r="S17" s="100"/>
      <c r="T17" s="114"/>
      <c r="U17" s="103"/>
      <c r="V17" s="100"/>
      <c r="W17" s="114"/>
      <c r="X17" s="103"/>
      <c r="Y17" s="100"/>
      <c r="Z17" s="114"/>
      <c r="AA17" s="103"/>
      <c r="AB17" s="100"/>
      <c r="AC17" s="114"/>
      <c r="AD17" s="103"/>
      <c r="AE17" s="100"/>
      <c r="AF17" s="114"/>
      <c r="AG17" s="103"/>
      <c r="AH17" s="100"/>
      <c r="AI17" s="114"/>
      <c r="AJ17" s="103"/>
      <c r="AK17" s="100"/>
    </row>
    <row r="18" ht="15.75" hidden="1" customHeight="1">
      <c r="A18" s="100" t="s">
        <v>115</v>
      </c>
      <c r="B18" s="92" t="s">
        <v>136</v>
      </c>
      <c r="C18" s="93" t="s">
        <v>175</v>
      </c>
      <c r="D18" s="94"/>
      <c r="E18" s="101"/>
      <c r="F18" s="102"/>
      <c r="G18" s="97"/>
      <c r="H18" s="97"/>
      <c r="I18" s="97"/>
      <c r="J18" s="97"/>
      <c r="K18" s="103"/>
      <c r="L18" s="100"/>
      <c r="M18" s="100"/>
      <c r="N18" s="100"/>
      <c r="O18" s="103"/>
      <c r="P18" s="100"/>
      <c r="Q18" s="100"/>
      <c r="R18" s="103"/>
      <c r="S18" s="100"/>
      <c r="T18" s="100"/>
      <c r="U18" s="103"/>
      <c r="V18" s="100"/>
      <c r="W18" s="100"/>
      <c r="X18" s="103"/>
      <c r="Y18" s="100"/>
      <c r="Z18" s="100"/>
      <c r="AA18" s="103"/>
      <c r="AB18" s="100"/>
      <c r="AC18" s="100"/>
      <c r="AD18" s="103"/>
      <c r="AE18" s="100"/>
      <c r="AF18" s="100"/>
      <c r="AG18" s="103"/>
      <c r="AH18" s="100"/>
      <c r="AI18" s="100"/>
      <c r="AJ18" s="103"/>
      <c r="AK18" s="100"/>
    </row>
    <row r="19" ht="15.75" customHeight="1">
      <c r="A19" s="104" t="s">
        <v>115</v>
      </c>
      <c r="B19" s="104" t="s">
        <v>139</v>
      </c>
      <c r="C19" s="71" t="s">
        <v>176</v>
      </c>
      <c r="D19" s="105">
        <v>3.0</v>
      </c>
      <c r="E19" s="106" t="str">
        <f>D14&amp;" Escogidas anteriormente + 1 de: "&amp;+E74</f>
        <v>2 Escogidas anteriormente + 1 de: Acrobacias, Trato con animales, Arcano, Atletismo, Engaño, Historia, Perspicacia, Intimidacion, Investigacion, Medicina, Naturaleza, Percepcion, Interpretacion, Persuasion, Religion, Juego de Manos, Sigilo, Supervivencia, </v>
      </c>
      <c r="F19" s="106" t="str">
        <f>F74&amp;" + "&amp;I19</f>
        <v>8 + CAR</v>
      </c>
      <c r="G19" s="107" t="str">
        <f>J14</f>
        <v>FUE + CONS</v>
      </c>
      <c r="H19" s="107" t="str">
        <f>J74</f>
        <v>DES + CAR</v>
      </c>
      <c r="I19" s="107" t="s">
        <v>95</v>
      </c>
      <c r="J19" s="107" t="s">
        <v>177</v>
      </c>
      <c r="K19" s="108" t="str">
        <f t="shared" ref="K19:L19" si="3">K74</f>
        <v>Simple, hand crossbow, longsword, rapier, shortsword</v>
      </c>
      <c r="L19" s="106" t="str">
        <f t="shared" si="3"/>
        <v>Armaduras ligeras</v>
      </c>
      <c r="M19" s="115"/>
      <c r="N19" s="115"/>
      <c r="O19" s="110"/>
      <c r="P19" s="109"/>
      <c r="Q19" s="115"/>
      <c r="R19" s="110"/>
      <c r="S19" s="109"/>
      <c r="T19" s="115"/>
      <c r="U19" s="110"/>
      <c r="V19" s="109"/>
      <c r="W19" s="115"/>
      <c r="X19" s="110"/>
      <c r="Y19" s="109"/>
      <c r="Z19" s="115"/>
      <c r="AA19" s="110"/>
      <c r="AB19" s="109"/>
      <c r="AC19" s="115"/>
      <c r="AD19" s="110"/>
      <c r="AE19" s="109"/>
      <c r="AF19" s="115"/>
      <c r="AG19" s="110"/>
      <c r="AH19" s="109"/>
      <c r="AI19" s="111"/>
      <c r="AJ19" s="112"/>
      <c r="AK19" s="109"/>
    </row>
    <row r="20" ht="15.75" customHeight="1">
      <c r="A20" s="104" t="s">
        <v>115</v>
      </c>
      <c r="B20" s="104" t="s">
        <v>142</v>
      </c>
      <c r="C20" s="71" t="s">
        <v>178</v>
      </c>
      <c r="D20" s="105">
        <v>3.0</v>
      </c>
      <c r="E20" s="106" t="str">
        <f>D14&amp;" Escogidas anteriormente + 1 de: "&amp;+E86</f>
        <v>2 Escogidas anteriormente + 1 de: Trato con animales, Atletismo, Intimidacion, Naturaleza, Percepcion, Supervivencia, </v>
      </c>
      <c r="F20" s="106" t="str">
        <f>F86&amp;" + "&amp;I20</f>
        <v>12 + CONS</v>
      </c>
      <c r="G20" s="107" t="str">
        <f>J14</f>
        <v>FUE + CONS</v>
      </c>
      <c r="H20" s="107" t="str">
        <f>J86</f>
        <v>FUE + CONS</v>
      </c>
      <c r="I20" s="107" t="s">
        <v>117</v>
      </c>
      <c r="J20" s="107" t="s">
        <v>179</v>
      </c>
      <c r="K20" s="108" t="str">
        <f t="shared" ref="K20:L20" si="4">K86</f>
        <v>Simple, Martial</v>
      </c>
      <c r="L20" s="106" t="str">
        <f t="shared" si="4"/>
        <v>Armaduras ligeras y medianas, Escudos</v>
      </c>
      <c r="M20" s="115"/>
      <c r="N20" s="115"/>
      <c r="O20" s="110"/>
      <c r="P20" s="109"/>
      <c r="Q20" s="115"/>
      <c r="R20" s="110"/>
      <c r="S20" s="109"/>
      <c r="T20" s="115"/>
      <c r="U20" s="110"/>
      <c r="V20" s="109"/>
      <c r="W20" s="115"/>
      <c r="X20" s="110"/>
      <c r="Y20" s="109"/>
      <c r="Z20" s="115"/>
      <c r="AA20" s="110"/>
      <c r="AB20" s="109"/>
      <c r="AC20" s="115"/>
      <c r="AD20" s="110"/>
      <c r="AE20" s="109"/>
      <c r="AF20" s="115"/>
      <c r="AG20" s="110"/>
      <c r="AH20" s="109"/>
      <c r="AI20" s="111"/>
      <c r="AJ20" s="112"/>
      <c r="AK20" s="109"/>
    </row>
    <row r="21" ht="15.75" hidden="1" customHeight="1">
      <c r="A21" s="100" t="s">
        <v>115</v>
      </c>
      <c r="B21" s="92" t="s">
        <v>145</v>
      </c>
      <c r="C21" s="93" t="s">
        <v>180</v>
      </c>
      <c r="D21" s="94"/>
      <c r="E21" s="113"/>
      <c r="F21" s="102"/>
      <c r="G21" s="97"/>
      <c r="H21" s="97"/>
      <c r="I21" s="97"/>
      <c r="J21" s="97"/>
      <c r="K21" s="103"/>
      <c r="L21" s="100"/>
      <c r="M21" s="114"/>
      <c r="N21" s="114"/>
      <c r="O21" s="103"/>
      <c r="P21" s="100"/>
      <c r="Q21" s="114"/>
      <c r="R21" s="103"/>
      <c r="S21" s="100"/>
      <c r="T21" s="114"/>
      <c r="U21" s="103"/>
      <c r="V21" s="100"/>
      <c r="W21" s="114"/>
      <c r="X21" s="103"/>
      <c r="Y21" s="100"/>
      <c r="Z21" s="114"/>
      <c r="AA21" s="103"/>
      <c r="AB21" s="100"/>
      <c r="AC21" s="114"/>
      <c r="AD21" s="103"/>
      <c r="AE21" s="100"/>
      <c r="AF21" s="114"/>
      <c r="AG21" s="103"/>
      <c r="AH21" s="100"/>
      <c r="AI21" s="114"/>
      <c r="AJ21" s="103"/>
      <c r="AK21" s="100"/>
    </row>
    <row r="22" ht="15.75" hidden="1" customHeight="1">
      <c r="A22" s="100" t="s">
        <v>115</v>
      </c>
      <c r="B22" s="92" t="s">
        <v>148</v>
      </c>
      <c r="C22" s="93" t="s">
        <v>107</v>
      </c>
      <c r="D22" s="100"/>
      <c r="E22" s="114"/>
      <c r="F22" s="102"/>
      <c r="G22" s="97"/>
      <c r="H22" s="97"/>
      <c r="I22" s="97"/>
      <c r="J22" s="97"/>
      <c r="K22" s="103"/>
      <c r="L22" s="100"/>
      <c r="M22" s="114"/>
      <c r="N22" s="114"/>
      <c r="O22" s="103"/>
      <c r="P22" s="100"/>
      <c r="Q22" s="114"/>
      <c r="R22" s="103"/>
      <c r="S22" s="100"/>
      <c r="T22" s="114"/>
      <c r="U22" s="103"/>
      <c r="V22" s="100"/>
      <c r="W22" s="114"/>
      <c r="X22" s="103"/>
      <c r="Y22" s="100"/>
      <c r="Z22" s="114"/>
      <c r="AA22" s="103"/>
      <c r="AB22" s="100"/>
      <c r="AC22" s="114"/>
      <c r="AD22" s="103"/>
      <c r="AE22" s="100"/>
      <c r="AF22" s="114"/>
      <c r="AG22" s="103"/>
      <c r="AH22" s="100"/>
      <c r="AI22" s="114"/>
      <c r="AJ22" s="103"/>
      <c r="AK22" s="100"/>
    </row>
    <row r="23" ht="15.75" hidden="1" customHeight="1">
      <c r="A23" s="100" t="s">
        <v>115</v>
      </c>
      <c r="B23" s="92" t="s">
        <v>152</v>
      </c>
      <c r="C23" s="93" t="s">
        <v>181</v>
      </c>
      <c r="D23" s="94"/>
      <c r="E23" s="113"/>
      <c r="F23" s="102"/>
      <c r="G23" s="97"/>
      <c r="H23" s="97"/>
      <c r="I23" s="97"/>
      <c r="J23" s="97"/>
      <c r="K23" s="103"/>
      <c r="L23" s="100"/>
      <c r="M23" s="114"/>
      <c r="N23" s="114"/>
      <c r="O23" s="103"/>
      <c r="P23" s="100"/>
      <c r="Q23" s="114"/>
      <c r="R23" s="103"/>
      <c r="S23" s="100"/>
      <c r="T23" s="114"/>
      <c r="U23" s="103"/>
      <c r="V23" s="100"/>
      <c r="W23" s="114"/>
      <c r="X23" s="103"/>
      <c r="Y23" s="100"/>
      <c r="Z23" s="114"/>
      <c r="AA23" s="103"/>
      <c r="AB23" s="100"/>
      <c r="AC23" s="114"/>
      <c r="AD23" s="103"/>
      <c r="AE23" s="100"/>
      <c r="AF23" s="114"/>
      <c r="AG23" s="103"/>
      <c r="AH23" s="100"/>
      <c r="AI23" s="114"/>
      <c r="AJ23" s="103"/>
      <c r="AK23" s="100"/>
    </row>
    <row r="24" ht="15.75" hidden="1" customHeight="1">
      <c r="A24" s="100" t="s">
        <v>115</v>
      </c>
      <c r="B24" s="92" t="s">
        <v>155</v>
      </c>
      <c r="C24" s="93" t="s">
        <v>107</v>
      </c>
      <c r="D24" s="100"/>
      <c r="E24" s="114"/>
      <c r="F24" s="102"/>
      <c r="G24" s="97"/>
      <c r="H24" s="97"/>
      <c r="I24" s="97"/>
      <c r="J24" s="97"/>
      <c r="K24" s="103"/>
      <c r="L24" s="100"/>
      <c r="M24" s="114"/>
      <c r="N24" s="114"/>
      <c r="O24" s="103"/>
      <c r="P24" s="100"/>
      <c r="Q24" s="114"/>
      <c r="R24" s="103"/>
      <c r="S24" s="100"/>
      <c r="T24" s="114"/>
      <c r="U24" s="103"/>
      <c r="V24" s="100"/>
      <c r="W24" s="114"/>
      <c r="X24" s="103"/>
      <c r="Y24" s="100"/>
      <c r="Z24" s="114"/>
      <c r="AA24" s="103"/>
      <c r="AB24" s="100"/>
      <c r="AC24" s="114"/>
      <c r="AD24" s="103"/>
      <c r="AE24" s="100"/>
      <c r="AF24" s="114"/>
      <c r="AG24" s="103"/>
      <c r="AH24" s="100"/>
      <c r="AI24" s="114"/>
      <c r="AJ24" s="103"/>
      <c r="AK24" s="100"/>
    </row>
    <row r="25" ht="15.75" hidden="1" customHeight="1">
      <c r="A25" s="100" t="s">
        <v>115</v>
      </c>
      <c r="B25" s="92" t="s">
        <v>93</v>
      </c>
      <c r="C25" s="93" t="s">
        <v>107</v>
      </c>
      <c r="D25" s="100"/>
      <c r="E25" s="100"/>
      <c r="F25" s="102"/>
      <c r="G25" s="97" t="s">
        <v>124</v>
      </c>
      <c r="H25" s="97"/>
      <c r="I25" s="97"/>
      <c r="J25" s="97"/>
      <c r="K25" s="103"/>
      <c r="L25" s="100"/>
      <c r="M25" s="100"/>
      <c r="N25" s="100"/>
      <c r="O25" s="103"/>
      <c r="P25" s="100"/>
      <c r="Q25" s="100"/>
      <c r="R25" s="103"/>
      <c r="S25" s="100"/>
      <c r="T25" s="100"/>
      <c r="U25" s="103"/>
      <c r="V25" s="100"/>
      <c r="W25" s="100"/>
      <c r="X25" s="103"/>
      <c r="Y25" s="100"/>
      <c r="Z25" s="100"/>
      <c r="AA25" s="103"/>
      <c r="AB25" s="100"/>
      <c r="AC25" s="100"/>
      <c r="AD25" s="103"/>
      <c r="AE25" s="100"/>
      <c r="AF25" s="100"/>
      <c r="AG25" s="103"/>
      <c r="AH25" s="100"/>
      <c r="AI25" s="100"/>
      <c r="AJ25" s="103"/>
      <c r="AK25" s="100"/>
    </row>
    <row r="26" ht="15.75" customHeight="1">
      <c r="A26" s="116" t="s">
        <v>121</v>
      </c>
      <c r="B26" s="116"/>
      <c r="C26" s="117"/>
      <c r="D26" s="118">
        <v>2.0</v>
      </c>
      <c r="E26" s="119" t="str">
        <f>'Habilidades de Rol'!D34</f>
        <v>Arcano, Historia, Perspicacia, Investigacion, Medicina, Religion, </v>
      </c>
      <c r="F26" s="120">
        <v>6.0</v>
      </c>
      <c r="G26" s="121" t="s">
        <v>182</v>
      </c>
      <c r="H26" s="121" t="s">
        <v>183</v>
      </c>
      <c r="I26" s="121"/>
      <c r="J26" s="121" t="s">
        <v>184</v>
      </c>
      <c r="K26" s="120" t="s">
        <v>185</v>
      </c>
      <c r="L26" s="122" t="s">
        <v>186</v>
      </c>
      <c r="M26" s="121" t="s">
        <v>187</v>
      </c>
      <c r="N26" s="121"/>
      <c r="O26" s="120" t="s">
        <v>188</v>
      </c>
      <c r="P26" s="121" t="s">
        <v>189</v>
      </c>
      <c r="Q26" s="121" t="s">
        <v>107</v>
      </c>
      <c r="R26" s="120" t="s">
        <v>103</v>
      </c>
      <c r="S26" s="121" t="s">
        <v>107</v>
      </c>
      <c r="T26" s="121" t="s">
        <v>190</v>
      </c>
      <c r="U26" s="120" t="s">
        <v>107</v>
      </c>
      <c r="V26" s="121" t="s">
        <v>103</v>
      </c>
      <c r="W26" s="121" t="s">
        <v>107</v>
      </c>
      <c r="X26" s="120" t="s">
        <v>191</v>
      </c>
      <c r="Y26" s="121" t="s">
        <v>107</v>
      </c>
      <c r="Z26" s="121" t="s">
        <v>103</v>
      </c>
      <c r="AA26" s="120" t="s">
        <v>107</v>
      </c>
      <c r="AB26" s="121" t="s">
        <v>192</v>
      </c>
      <c r="AC26" s="121" t="s">
        <v>107</v>
      </c>
      <c r="AD26" s="120" t="s">
        <v>103</v>
      </c>
      <c r="AE26" s="121"/>
      <c r="AF26" s="121" t="s">
        <v>193</v>
      </c>
      <c r="AG26" s="120" t="s">
        <v>103</v>
      </c>
      <c r="AH26" s="121" t="s">
        <v>194</v>
      </c>
      <c r="AI26" s="122" t="s">
        <v>135</v>
      </c>
      <c r="AJ26" s="118" t="s">
        <v>16</v>
      </c>
      <c r="AK26" s="121" t="s">
        <v>114</v>
      </c>
    </row>
    <row r="27" ht="15.75" customHeight="1">
      <c r="A27" s="123" t="s">
        <v>121</v>
      </c>
      <c r="B27" s="123" t="s">
        <v>126</v>
      </c>
      <c r="C27" s="71" t="s">
        <v>195</v>
      </c>
      <c r="D27" s="124">
        <v>3.0</v>
      </c>
      <c r="E27" s="125" t="str">
        <f>D26&amp;" Escogidas anteriormente + 1 de: "&amp;+E38</f>
        <v>2 Escogidas anteriormente + 1 de: Arcano, Engaño, Perspicacia, Intimidacion, Persuasion, Religion, </v>
      </c>
      <c r="F27" s="125" t="str">
        <f>F86&amp;" + "&amp;I27</f>
        <v>12 + SAB</v>
      </c>
      <c r="G27" s="126" t="str">
        <f>J26</f>
        <v>INT + SAB</v>
      </c>
      <c r="H27" s="126" t="str">
        <f>J38</f>
        <v>CON + CAR</v>
      </c>
      <c r="I27" s="126" t="s">
        <v>94</v>
      </c>
      <c r="J27" s="126" t="s">
        <v>150</v>
      </c>
      <c r="K27" s="127"/>
      <c r="L27" s="125"/>
      <c r="M27" s="128"/>
      <c r="N27" s="128"/>
      <c r="O27" s="129"/>
      <c r="P27" s="128"/>
      <c r="Q27" s="128"/>
      <c r="R27" s="129"/>
      <c r="S27" s="128"/>
      <c r="T27" s="128"/>
      <c r="U27" s="129"/>
      <c r="V27" s="128"/>
      <c r="W27" s="128"/>
      <c r="X27" s="129"/>
      <c r="Y27" s="128"/>
      <c r="Z27" s="128"/>
      <c r="AA27" s="129"/>
      <c r="AB27" s="128"/>
      <c r="AC27" s="128"/>
      <c r="AD27" s="129"/>
      <c r="AE27" s="128"/>
      <c r="AF27" s="128"/>
      <c r="AG27" s="129"/>
      <c r="AH27" s="128"/>
      <c r="AI27" s="130"/>
      <c r="AJ27" s="131"/>
      <c r="AK27" s="128"/>
    </row>
    <row r="28" ht="15.75" hidden="1" customHeight="1">
      <c r="A28" s="132" t="s">
        <v>121</v>
      </c>
      <c r="B28" s="116" t="s">
        <v>130</v>
      </c>
      <c r="C28" s="117" t="s">
        <v>196</v>
      </c>
      <c r="D28" s="118"/>
      <c r="E28" s="133"/>
      <c r="F28" s="134"/>
      <c r="G28" s="121"/>
      <c r="H28" s="121"/>
      <c r="I28" s="121"/>
      <c r="J28" s="121"/>
      <c r="K28" s="135"/>
      <c r="L28" s="132"/>
      <c r="M28" s="136"/>
      <c r="N28" s="136"/>
      <c r="O28" s="135"/>
      <c r="P28" s="132"/>
      <c r="Q28" s="136"/>
      <c r="R28" s="135"/>
      <c r="S28" s="132"/>
      <c r="T28" s="136"/>
      <c r="U28" s="135"/>
      <c r="V28" s="132"/>
      <c r="W28" s="136"/>
      <c r="X28" s="135"/>
      <c r="Y28" s="132"/>
      <c r="Z28" s="136"/>
      <c r="AA28" s="135"/>
      <c r="AB28" s="132"/>
      <c r="AC28" s="136"/>
      <c r="AD28" s="135"/>
      <c r="AE28" s="132"/>
      <c r="AF28" s="136"/>
      <c r="AG28" s="135"/>
      <c r="AH28" s="132"/>
      <c r="AI28" s="136"/>
      <c r="AJ28" s="135"/>
      <c r="AK28" s="132"/>
    </row>
    <row r="29" ht="15.75" customHeight="1">
      <c r="A29" s="123" t="s">
        <v>121</v>
      </c>
      <c r="B29" s="123" t="s">
        <v>136</v>
      </c>
      <c r="C29" s="71" t="s">
        <v>197</v>
      </c>
      <c r="D29" s="124">
        <v>3.0</v>
      </c>
      <c r="E29" s="125" t="str">
        <f>D26&amp;" Escogidas anteriormente + 1 de: "&amp;+E62</f>
        <v>2 Escogidas anteriormente + 1 de: Acrobacias, Atletismo, Engaño, Perspicacia, Intimidacion, Investigacion, Percepcion, Interpretacion, Persuasion, Juego de Manos, Sigilo, </v>
      </c>
      <c r="F29" s="125" t="str">
        <f>F62&amp;" + "&amp;I29</f>
        <v>8 + INT</v>
      </c>
      <c r="G29" s="126" t="str">
        <f>J26</f>
        <v>INT + SAB</v>
      </c>
      <c r="H29" s="126" t="str">
        <f>J62</f>
        <v>DES + INT</v>
      </c>
      <c r="I29" s="126" t="s">
        <v>151</v>
      </c>
      <c r="J29" s="126" t="s">
        <v>198</v>
      </c>
      <c r="K29" s="127"/>
      <c r="L29" s="125"/>
      <c r="M29" s="128"/>
      <c r="N29" s="128"/>
      <c r="O29" s="129"/>
      <c r="P29" s="128"/>
      <c r="Q29" s="128"/>
      <c r="R29" s="129"/>
      <c r="S29" s="128"/>
      <c r="T29" s="128"/>
      <c r="U29" s="129"/>
      <c r="V29" s="128"/>
      <c r="W29" s="128"/>
      <c r="X29" s="129"/>
      <c r="Y29" s="128"/>
      <c r="Z29" s="128"/>
      <c r="AA29" s="129"/>
      <c r="AB29" s="128"/>
      <c r="AC29" s="128"/>
      <c r="AD29" s="129"/>
      <c r="AE29" s="128"/>
      <c r="AF29" s="128"/>
      <c r="AG29" s="129"/>
      <c r="AH29" s="128"/>
      <c r="AI29" s="130"/>
      <c r="AJ29" s="131"/>
      <c r="AK29" s="128"/>
    </row>
    <row r="30" ht="15.75" hidden="1" customHeight="1">
      <c r="A30" s="132" t="s">
        <v>121</v>
      </c>
      <c r="B30" s="116" t="s">
        <v>139</v>
      </c>
      <c r="C30" s="117" t="s">
        <v>107</v>
      </c>
      <c r="D30" s="132"/>
      <c r="E30" s="136"/>
      <c r="F30" s="134"/>
      <c r="G30" s="121"/>
      <c r="H30" s="121"/>
      <c r="I30" s="121"/>
      <c r="J30" s="121"/>
      <c r="K30" s="135"/>
      <c r="L30" s="132"/>
      <c r="M30" s="136"/>
      <c r="N30" s="136"/>
      <c r="O30" s="135"/>
      <c r="P30" s="132"/>
      <c r="Q30" s="136"/>
      <c r="R30" s="135"/>
      <c r="S30" s="132"/>
      <c r="T30" s="136"/>
      <c r="U30" s="135"/>
      <c r="V30" s="132"/>
      <c r="W30" s="136"/>
      <c r="X30" s="135"/>
      <c r="Y30" s="132"/>
      <c r="Z30" s="136"/>
      <c r="AA30" s="135"/>
      <c r="AB30" s="132"/>
      <c r="AC30" s="136"/>
      <c r="AD30" s="135"/>
      <c r="AE30" s="132"/>
      <c r="AF30" s="136"/>
      <c r="AG30" s="135"/>
      <c r="AH30" s="132"/>
      <c r="AI30" s="136"/>
      <c r="AJ30" s="135"/>
      <c r="AK30" s="132"/>
    </row>
    <row r="31" ht="15.75" hidden="1" customHeight="1">
      <c r="A31" s="132" t="s">
        <v>121</v>
      </c>
      <c r="B31" s="116" t="s">
        <v>142</v>
      </c>
      <c r="C31" s="117" t="s">
        <v>199</v>
      </c>
      <c r="D31" s="118"/>
      <c r="E31" s="133"/>
      <c r="F31" s="134"/>
      <c r="G31" s="121"/>
      <c r="H31" s="121"/>
      <c r="I31" s="121"/>
      <c r="J31" s="121"/>
      <c r="K31" s="135"/>
      <c r="L31" s="132"/>
      <c r="M31" s="136"/>
      <c r="N31" s="136"/>
      <c r="O31" s="135"/>
      <c r="P31" s="132"/>
      <c r="Q31" s="136"/>
      <c r="R31" s="135"/>
      <c r="S31" s="132"/>
      <c r="T31" s="136"/>
      <c r="U31" s="135"/>
      <c r="V31" s="132"/>
      <c r="W31" s="136"/>
      <c r="X31" s="135"/>
      <c r="Y31" s="132"/>
      <c r="Z31" s="136"/>
      <c r="AA31" s="135"/>
      <c r="AB31" s="132"/>
      <c r="AC31" s="136"/>
      <c r="AD31" s="135"/>
      <c r="AE31" s="132"/>
      <c r="AF31" s="136"/>
      <c r="AG31" s="135"/>
      <c r="AH31" s="132"/>
      <c r="AI31" s="136"/>
      <c r="AJ31" s="135"/>
      <c r="AK31" s="132"/>
    </row>
    <row r="32" ht="15.75" hidden="1" customHeight="1">
      <c r="A32" s="132" t="s">
        <v>121</v>
      </c>
      <c r="B32" s="116" t="s">
        <v>145</v>
      </c>
      <c r="C32" s="117" t="s">
        <v>200</v>
      </c>
      <c r="D32" s="118"/>
      <c r="E32" s="133"/>
      <c r="F32" s="134"/>
      <c r="G32" s="121"/>
      <c r="H32" s="121"/>
      <c r="I32" s="121"/>
      <c r="J32" s="121"/>
      <c r="K32" s="135"/>
      <c r="L32" s="132"/>
      <c r="M32" s="136"/>
      <c r="N32" s="136"/>
      <c r="O32" s="135"/>
      <c r="P32" s="132"/>
      <c r="Q32" s="136"/>
      <c r="R32" s="135"/>
      <c r="S32" s="132"/>
      <c r="T32" s="136"/>
      <c r="U32" s="135"/>
      <c r="V32" s="132"/>
      <c r="W32" s="136"/>
      <c r="X32" s="135"/>
      <c r="Y32" s="132"/>
      <c r="Z32" s="136"/>
      <c r="AA32" s="135"/>
      <c r="AB32" s="132"/>
      <c r="AC32" s="136"/>
      <c r="AD32" s="135"/>
      <c r="AE32" s="132"/>
      <c r="AF32" s="136"/>
      <c r="AG32" s="135"/>
      <c r="AH32" s="132"/>
      <c r="AI32" s="136"/>
      <c r="AJ32" s="135"/>
      <c r="AK32" s="132"/>
    </row>
    <row r="33" ht="15.75" hidden="1" customHeight="1">
      <c r="A33" s="132" t="s">
        <v>121</v>
      </c>
      <c r="B33" s="116" t="s">
        <v>148</v>
      </c>
      <c r="C33" s="117" t="s">
        <v>201</v>
      </c>
      <c r="D33" s="118"/>
      <c r="E33" s="133"/>
      <c r="F33" s="134"/>
      <c r="G33" s="121"/>
      <c r="H33" s="121"/>
      <c r="I33" s="121"/>
      <c r="J33" s="121"/>
      <c r="K33" s="135"/>
      <c r="L33" s="132"/>
      <c r="M33" s="136"/>
      <c r="N33" s="136"/>
      <c r="O33" s="135"/>
      <c r="P33" s="132"/>
      <c r="Q33" s="136"/>
      <c r="R33" s="135"/>
      <c r="S33" s="132"/>
      <c r="T33" s="136"/>
      <c r="U33" s="135"/>
      <c r="V33" s="132"/>
      <c r="W33" s="136"/>
      <c r="X33" s="135"/>
      <c r="Y33" s="132"/>
      <c r="Z33" s="136"/>
      <c r="AA33" s="135"/>
      <c r="AB33" s="132"/>
      <c r="AC33" s="136"/>
      <c r="AD33" s="135"/>
      <c r="AE33" s="132"/>
      <c r="AF33" s="136"/>
      <c r="AG33" s="135"/>
      <c r="AH33" s="132"/>
      <c r="AI33" s="136"/>
      <c r="AJ33" s="135"/>
      <c r="AK33" s="132"/>
    </row>
    <row r="34" ht="15.75" hidden="1" customHeight="1">
      <c r="A34" s="132" t="s">
        <v>121</v>
      </c>
      <c r="B34" s="116" t="s">
        <v>152</v>
      </c>
      <c r="C34" s="117" t="s">
        <v>202</v>
      </c>
      <c r="D34" s="118"/>
      <c r="E34" s="133"/>
      <c r="F34" s="134"/>
      <c r="G34" s="121"/>
      <c r="H34" s="121"/>
      <c r="I34" s="121"/>
      <c r="J34" s="121"/>
      <c r="K34" s="135"/>
      <c r="L34" s="132"/>
      <c r="M34" s="136"/>
      <c r="N34" s="136"/>
      <c r="O34" s="135"/>
      <c r="P34" s="132"/>
      <c r="Q34" s="136"/>
      <c r="R34" s="135"/>
      <c r="S34" s="132"/>
      <c r="T34" s="136"/>
      <c r="U34" s="135"/>
      <c r="V34" s="132"/>
      <c r="W34" s="136"/>
      <c r="X34" s="135"/>
      <c r="Y34" s="132"/>
      <c r="Z34" s="136"/>
      <c r="AA34" s="135"/>
      <c r="AB34" s="132"/>
      <c r="AC34" s="136"/>
      <c r="AD34" s="135"/>
      <c r="AE34" s="132"/>
      <c r="AF34" s="136"/>
      <c r="AG34" s="135"/>
      <c r="AH34" s="132"/>
      <c r="AI34" s="136"/>
      <c r="AJ34" s="135"/>
      <c r="AK34" s="132"/>
    </row>
    <row r="35" ht="15.75" customHeight="1">
      <c r="A35" s="123" t="s">
        <v>121</v>
      </c>
      <c r="B35" s="123" t="s">
        <v>155</v>
      </c>
      <c r="C35" s="71" t="s">
        <v>203</v>
      </c>
      <c r="D35" s="124">
        <v>3.0</v>
      </c>
      <c r="E35" s="125" t="str">
        <f>D26&amp;" Escogidas anteriormente + 1 de: "&amp;+E134</f>
        <v>2 Escogidas anteriormente + 1 de: Acrobacias, Atletismo, Historia, Perspicacia, Religion, Sigilo, </v>
      </c>
      <c r="F35" s="125" t="str">
        <f>F134&amp;" + "&amp;I35</f>
        <v>8 + SAB</v>
      </c>
      <c r="G35" s="126" t="str">
        <f>J26</f>
        <v>INT + SAB</v>
      </c>
      <c r="H35" s="126" t="str">
        <f>J134</f>
        <v>DES + SAB</v>
      </c>
      <c r="I35" s="126" t="s">
        <v>94</v>
      </c>
      <c r="J35" s="126" t="s">
        <v>204</v>
      </c>
      <c r="K35" s="127"/>
      <c r="L35" s="125"/>
      <c r="M35" s="137"/>
      <c r="N35" s="137"/>
      <c r="O35" s="129"/>
      <c r="P35" s="128"/>
      <c r="Q35" s="137"/>
      <c r="R35" s="129"/>
      <c r="S35" s="128"/>
      <c r="T35" s="137"/>
      <c r="U35" s="129"/>
      <c r="V35" s="128"/>
      <c r="W35" s="137"/>
      <c r="X35" s="129"/>
      <c r="Y35" s="128"/>
      <c r="Z35" s="137"/>
      <c r="AA35" s="129"/>
      <c r="AB35" s="128"/>
      <c r="AC35" s="137"/>
      <c r="AD35" s="129"/>
      <c r="AE35" s="128"/>
      <c r="AF35" s="137"/>
      <c r="AG35" s="129"/>
      <c r="AH35" s="128"/>
      <c r="AI35" s="130"/>
      <c r="AJ35" s="131"/>
      <c r="AK35" s="128"/>
    </row>
    <row r="36" ht="15.75" hidden="1" customHeight="1">
      <c r="A36" s="132" t="s">
        <v>121</v>
      </c>
      <c r="B36" s="116" t="s">
        <v>93</v>
      </c>
      <c r="C36" s="117" t="s">
        <v>107</v>
      </c>
      <c r="D36" s="132"/>
      <c r="E36" s="132"/>
      <c r="F36" s="134"/>
      <c r="G36" s="121" t="s">
        <v>124</v>
      </c>
      <c r="H36" s="121"/>
      <c r="I36" s="121"/>
      <c r="J36" s="121"/>
      <c r="K36" s="135"/>
      <c r="L36" s="132"/>
      <c r="M36" s="132"/>
      <c r="N36" s="132"/>
      <c r="O36" s="135"/>
      <c r="P36" s="132"/>
      <c r="Q36" s="132"/>
      <c r="R36" s="135"/>
      <c r="S36" s="132"/>
      <c r="T36" s="132"/>
      <c r="U36" s="135"/>
      <c r="V36" s="132"/>
      <c r="W36" s="132"/>
      <c r="X36" s="135"/>
      <c r="Y36" s="132"/>
      <c r="Z36" s="132"/>
      <c r="AA36" s="135"/>
      <c r="AB36" s="132"/>
      <c r="AC36" s="132"/>
      <c r="AD36" s="135"/>
      <c r="AE36" s="132"/>
      <c r="AF36" s="132"/>
      <c r="AG36" s="135"/>
      <c r="AH36" s="132"/>
      <c r="AI36" s="132"/>
      <c r="AJ36" s="135"/>
      <c r="AK36" s="132"/>
    </row>
    <row r="37" ht="15.75" hidden="1" customHeight="1">
      <c r="A37" s="132" t="s">
        <v>121</v>
      </c>
      <c r="B37" s="116" t="s">
        <v>115</v>
      </c>
      <c r="C37" s="117" t="s">
        <v>107</v>
      </c>
      <c r="D37" s="132"/>
      <c r="E37" s="132"/>
      <c r="F37" s="134"/>
      <c r="G37" s="121"/>
      <c r="H37" s="121"/>
      <c r="I37" s="121"/>
      <c r="J37" s="121"/>
      <c r="K37" s="135"/>
      <c r="L37" s="132"/>
      <c r="M37" s="132"/>
      <c r="N37" s="132"/>
      <c r="O37" s="135"/>
      <c r="P37" s="132"/>
      <c r="Q37" s="132"/>
      <c r="R37" s="135"/>
      <c r="S37" s="132"/>
      <c r="T37" s="132"/>
      <c r="U37" s="135"/>
      <c r="V37" s="132"/>
      <c r="W37" s="132"/>
      <c r="X37" s="135"/>
      <c r="Y37" s="132"/>
      <c r="Z37" s="132"/>
      <c r="AA37" s="135"/>
      <c r="AB37" s="132"/>
      <c r="AC37" s="132"/>
      <c r="AD37" s="135"/>
      <c r="AE37" s="132"/>
      <c r="AF37" s="132"/>
      <c r="AG37" s="135"/>
      <c r="AH37" s="132"/>
      <c r="AI37" s="132"/>
      <c r="AJ37" s="135"/>
      <c r="AK37" s="132"/>
    </row>
    <row r="38" ht="15.75" customHeight="1">
      <c r="A38" s="138" t="s">
        <v>126</v>
      </c>
      <c r="B38" s="138"/>
      <c r="C38" s="139"/>
      <c r="D38" s="140">
        <v>2.0</v>
      </c>
      <c r="E38" s="141" t="str">
        <f>'Habilidades de Rol'!D32</f>
        <v>Arcano, Engaño, Perspicacia, Intimidacion, Persuasion, Religion, </v>
      </c>
      <c r="F38" s="142">
        <v>6.0</v>
      </c>
      <c r="G38" s="143" t="s">
        <v>158</v>
      </c>
      <c r="H38" s="143" t="s">
        <v>205</v>
      </c>
      <c r="I38" s="143"/>
      <c r="J38" s="143" t="s">
        <v>206</v>
      </c>
      <c r="K38" s="142" t="s">
        <v>185</v>
      </c>
      <c r="L38" s="144" t="s">
        <v>186</v>
      </c>
      <c r="M38" s="143" t="s">
        <v>207</v>
      </c>
      <c r="N38" s="143"/>
      <c r="O38" s="142" t="s">
        <v>208</v>
      </c>
      <c r="P38" s="143" t="s">
        <v>209</v>
      </c>
      <c r="Q38" s="143" t="s">
        <v>210</v>
      </c>
      <c r="R38" s="142" t="s">
        <v>103</v>
      </c>
      <c r="S38" s="143" t="s">
        <v>107</v>
      </c>
      <c r="T38" s="143" t="s">
        <v>211</v>
      </c>
      <c r="U38" s="142" t="s">
        <v>107</v>
      </c>
      <c r="V38" s="143" t="s">
        <v>103</v>
      </c>
      <c r="W38" s="143" t="s">
        <v>107</v>
      </c>
      <c r="X38" s="142" t="s">
        <v>210</v>
      </c>
      <c r="Y38" s="143" t="s">
        <v>107</v>
      </c>
      <c r="Z38" s="143" t="s">
        <v>103</v>
      </c>
      <c r="AA38" s="142" t="s">
        <v>107</v>
      </c>
      <c r="AB38" s="143" t="s">
        <v>212</v>
      </c>
      <c r="AC38" s="143" t="s">
        <v>107</v>
      </c>
      <c r="AD38" s="142" t="s">
        <v>103</v>
      </c>
      <c r="AE38" s="143" t="s">
        <v>210</v>
      </c>
      <c r="AF38" s="143" t="s">
        <v>213</v>
      </c>
      <c r="AG38" s="142" t="s">
        <v>103</v>
      </c>
      <c r="AH38" s="143" t="s">
        <v>214</v>
      </c>
      <c r="AI38" s="144" t="s">
        <v>135</v>
      </c>
      <c r="AJ38" s="140" t="s">
        <v>18</v>
      </c>
      <c r="AK38" s="143" t="s">
        <v>114</v>
      </c>
    </row>
    <row r="39" ht="15.75" hidden="1" customHeight="1">
      <c r="A39" s="145" t="s">
        <v>126</v>
      </c>
      <c r="B39" s="138" t="s">
        <v>130</v>
      </c>
      <c r="C39" s="139" t="s">
        <v>107</v>
      </c>
      <c r="D39" s="145"/>
      <c r="E39" s="146"/>
      <c r="F39" s="147"/>
      <c r="G39" s="143"/>
      <c r="H39" s="143"/>
      <c r="I39" s="143"/>
      <c r="J39" s="143"/>
      <c r="K39" s="148"/>
      <c r="L39" s="145"/>
      <c r="M39" s="146"/>
      <c r="N39" s="146"/>
      <c r="O39" s="148"/>
      <c r="P39" s="145"/>
      <c r="Q39" s="146"/>
      <c r="R39" s="148"/>
      <c r="S39" s="145"/>
      <c r="T39" s="146"/>
      <c r="U39" s="148"/>
      <c r="V39" s="145"/>
      <c r="W39" s="146"/>
      <c r="X39" s="148"/>
      <c r="Y39" s="145"/>
      <c r="Z39" s="146"/>
      <c r="AA39" s="148"/>
      <c r="AB39" s="145"/>
      <c r="AC39" s="146"/>
      <c r="AD39" s="148"/>
      <c r="AE39" s="145"/>
      <c r="AF39" s="146"/>
      <c r="AG39" s="148"/>
      <c r="AH39" s="145"/>
      <c r="AI39" s="146"/>
      <c r="AJ39" s="148"/>
      <c r="AK39" s="145"/>
    </row>
    <row r="40" ht="15.75" hidden="1" customHeight="1">
      <c r="A40" s="145" t="s">
        <v>126</v>
      </c>
      <c r="B40" s="138" t="s">
        <v>136</v>
      </c>
      <c r="C40" s="139" t="s">
        <v>107</v>
      </c>
      <c r="D40" s="145"/>
      <c r="E40" s="145"/>
      <c r="F40" s="147"/>
      <c r="G40" s="143"/>
      <c r="H40" s="143"/>
      <c r="I40" s="143"/>
      <c r="J40" s="143"/>
      <c r="K40" s="148"/>
      <c r="L40" s="145"/>
      <c r="M40" s="145"/>
      <c r="N40" s="145"/>
      <c r="O40" s="148"/>
      <c r="P40" s="145"/>
      <c r="Q40" s="145"/>
      <c r="R40" s="148"/>
      <c r="S40" s="145"/>
      <c r="T40" s="145"/>
      <c r="U40" s="148"/>
      <c r="V40" s="145"/>
      <c r="W40" s="145"/>
      <c r="X40" s="148"/>
      <c r="Y40" s="145"/>
      <c r="Z40" s="145"/>
      <c r="AA40" s="148"/>
      <c r="AB40" s="145"/>
      <c r="AC40" s="145"/>
      <c r="AD40" s="148"/>
      <c r="AE40" s="145"/>
      <c r="AF40" s="145"/>
      <c r="AG40" s="148"/>
      <c r="AH40" s="145"/>
      <c r="AI40" s="145"/>
      <c r="AJ40" s="148"/>
      <c r="AK40" s="145"/>
    </row>
    <row r="41" ht="15.75" hidden="1" customHeight="1">
      <c r="A41" s="145" t="s">
        <v>126</v>
      </c>
      <c r="B41" s="138" t="s">
        <v>139</v>
      </c>
      <c r="C41" s="139" t="s">
        <v>107</v>
      </c>
      <c r="D41" s="145"/>
      <c r="E41" s="146"/>
      <c r="F41" s="147"/>
      <c r="G41" s="143"/>
      <c r="H41" s="143"/>
      <c r="I41" s="143"/>
      <c r="J41" s="143"/>
      <c r="K41" s="148"/>
      <c r="L41" s="145"/>
      <c r="M41" s="146"/>
      <c r="N41" s="146"/>
      <c r="O41" s="148"/>
      <c r="P41" s="145"/>
      <c r="Q41" s="146"/>
      <c r="R41" s="148"/>
      <c r="S41" s="145"/>
      <c r="T41" s="146"/>
      <c r="U41" s="148"/>
      <c r="V41" s="145"/>
      <c r="W41" s="146"/>
      <c r="X41" s="148"/>
      <c r="Y41" s="145"/>
      <c r="Z41" s="146"/>
      <c r="AA41" s="148"/>
      <c r="AB41" s="145"/>
      <c r="AC41" s="146"/>
      <c r="AD41" s="148"/>
      <c r="AE41" s="145"/>
      <c r="AF41" s="146"/>
      <c r="AG41" s="148"/>
      <c r="AH41" s="145"/>
      <c r="AI41" s="146"/>
      <c r="AJ41" s="148"/>
      <c r="AK41" s="145"/>
    </row>
    <row r="42" ht="15.75" hidden="1" customHeight="1">
      <c r="A42" s="145" t="s">
        <v>126</v>
      </c>
      <c r="B42" s="138" t="s">
        <v>142</v>
      </c>
      <c r="C42" s="139" t="s">
        <v>107</v>
      </c>
      <c r="D42" s="145"/>
      <c r="E42" s="146"/>
      <c r="F42" s="147"/>
      <c r="G42" s="143"/>
      <c r="H42" s="143"/>
      <c r="I42" s="143"/>
      <c r="J42" s="143"/>
      <c r="K42" s="148"/>
      <c r="L42" s="145"/>
      <c r="M42" s="146"/>
      <c r="N42" s="146"/>
      <c r="O42" s="148"/>
      <c r="P42" s="145"/>
      <c r="Q42" s="146"/>
      <c r="R42" s="148"/>
      <c r="S42" s="145"/>
      <c r="T42" s="146"/>
      <c r="U42" s="148"/>
      <c r="V42" s="145"/>
      <c r="W42" s="146"/>
      <c r="X42" s="148"/>
      <c r="Y42" s="145"/>
      <c r="Z42" s="146"/>
      <c r="AA42" s="148"/>
      <c r="AB42" s="145"/>
      <c r="AC42" s="146"/>
      <c r="AD42" s="148"/>
      <c r="AE42" s="145"/>
      <c r="AF42" s="146"/>
      <c r="AG42" s="148"/>
      <c r="AH42" s="145"/>
      <c r="AI42" s="146"/>
      <c r="AJ42" s="148"/>
      <c r="AK42" s="145"/>
    </row>
    <row r="43" ht="15.75" customHeight="1">
      <c r="A43" s="149" t="s">
        <v>126</v>
      </c>
      <c r="B43" s="149" t="s">
        <v>145</v>
      </c>
      <c r="C43" s="71" t="s">
        <v>215</v>
      </c>
      <c r="D43" s="150">
        <v>3.0</v>
      </c>
      <c r="E43" s="151" t="str">
        <f>D38&amp;" Escogidas anteriormente + 1 de: "&amp;E98</f>
        <v>2 Escogidas anteriormente + 1 de: Arcano, Atletismo, Historia, Perspicacia, Investigacion, Medicina, Naturaleza, Percepcion, Juego de Manos, </v>
      </c>
      <c r="F43" s="151" t="str">
        <f>F98&amp;" + "&amp;I43</f>
        <v>8 + CAR</v>
      </c>
      <c r="G43" s="152" t="str">
        <f>J38</f>
        <v>CON + CAR</v>
      </c>
      <c r="H43" s="152" t="str">
        <f>J98</f>
        <v>INT + DES</v>
      </c>
      <c r="I43" s="152" t="s">
        <v>95</v>
      </c>
      <c r="J43" s="152" t="s">
        <v>216</v>
      </c>
      <c r="K43" s="153"/>
      <c r="L43" s="151"/>
      <c r="M43" s="154"/>
      <c r="N43" s="154"/>
      <c r="O43" s="155"/>
      <c r="P43" s="156"/>
      <c r="Q43" s="154"/>
      <c r="R43" s="155"/>
      <c r="S43" s="156"/>
      <c r="T43" s="154"/>
      <c r="U43" s="155"/>
      <c r="V43" s="156"/>
      <c r="W43" s="154"/>
      <c r="X43" s="155"/>
      <c r="Y43" s="156"/>
      <c r="Z43" s="154"/>
      <c r="AA43" s="155"/>
      <c r="AB43" s="156"/>
      <c r="AC43" s="154"/>
      <c r="AD43" s="155"/>
      <c r="AE43" s="156"/>
      <c r="AF43" s="154"/>
      <c r="AG43" s="155"/>
      <c r="AH43" s="156"/>
      <c r="AI43" s="157"/>
      <c r="AJ43" s="158"/>
      <c r="AK43" s="156"/>
    </row>
    <row r="44" ht="15.75" hidden="1" customHeight="1">
      <c r="A44" s="145" t="s">
        <v>126</v>
      </c>
      <c r="B44" s="138" t="s">
        <v>148</v>
      </c>
      <c r="C44" s="139" t="s">
        <v>107</v>
      </c>
      <c r="D44" s="145"/>
      <c r="E44" s="146"/>
      <c r="F44" s="147"/>
      <c r="G44" s="143"/>
      <c r="H44" s="143"/>
      <c r="I44" s="143"/>
      <c r="J44" s="143"/>
      <c r="K44" s="148"/>
      <c r="L44" s="145"/>
      <c r="M44" s="146"/>
      <c r="N44" s="146"/>
      <c r="O44" s="148"/>
      <c r="P44" s="145"/>
      <c r="Q44" s="146"/>
      <c r="R44" s="148"/>
      <c r="S44" s="145"/>
      <c r="T44" s="146"/>
      <c r="U44" s="148"/>
      <c r="V44" s="145"/>
      <c r="W44" s="146"/>
      <c r="X44" s="148"/>
      <c r="Y44" s="145"/>
      <c r="Z44" s="146"/>
      <c r="AA44" s="148"/>
      <c r="AB44" s="145"/>
      <c r="AC44" s="146"/>
      <c r="AD44" s="148"/>
      <c r="AE44" s="145"/>
      <c r="AF44" s="146"/>
      <c r="AG44" s="148"/>
      <c r="AH44" s="145"/>
      <c r="AI44" s="146"/>
      <c r="AJ44" s="148"/>
      <c r="AK44" s="145"/>
    </row>
    <row r="45" ht="15.75" hidden="1" customHeight="1">
      <c r="A45" s="145" t="s">
        <v>126</v>
      </c>
      <c r="B45" s="138" t="s">
        <v>152</v>
      </c>
      <c r="C45" s="139" t="s">
        <v>107</v>
      </c>
      <c r="D45" s="145"/>
      <c r="E45" s="146"/>
      <c r="F45" s="147"/>
      <c r="G45" s="143"/>
      <c r="H45" s="143"/>
      <c r="I45" s="143"/>
      <c r="J45" s="143"/>
      <c r="K45" s="148"/>
      <c r="L45" s="145"/>
      <c r="M45" s="146"/>
      <c r="N45" s="146"/>
      <c r="O45" s="148"/>
      <c r="P45" s="145"/>
      <c r="Q45" s="146"/>
      <c r="R45" s="148"/>
      <c r="S45" s="145"/>
      <c r="T45" s="146"/>
      <c r="U45" s="148"/>
      <c r="V45" s="145"/>
      <c r="W45" s="146"/>
      <c r="X45" s="148"/>
      <c r="Y45" s="145"/>
      <c r="Z45" s="146"/>
      <c r="AA45" s="148"/>
      <c r="AB45" s="145"/>
      <c r="AC45" s="146"/>
      <c r="AD45" s="148"/>
      <c r="AE45" s="145"/>
      <c r="AF45" s="146"/>
      <c r="AG45" s="148"/>
      <c r="AH45" s="145"/>
      <c r="AI45" s="146"/>
      <c r="AJ45" s="148"/>
      <c r="AK45" s="145"/>
    </row>
    <row r="46" ht="15.75" hidden="1" customHeight="1">
      <c r="A46" s="145" t="s">
        <v>126</v>
      </c>
      <c r="B46" s="138" t="s">
        <v>155</v>
      </c>
      <c r="C46" s="139" t="s">
        <v>217</v>
      </c>
      <c r="D46" s="140"/>
      <c r="E46" s="159"/>
      <c r="F46" s="147"/>
      <c r="G46" s="143"/>
      <c r="H46" s="143"/>
      <c r="I46" s="143"/>
      <c r="J46" s="143"/>
      <c r="K46" s="148"/>
      <c r="L46" s="145"/>
      <c r="M46" s="146"/>
      <c r="N46" s="146"/>
      <c r="O46" s="148"/>
      <c r="P46" s="145"/>
      <c r="Q46" s="146"/>
      <c r="R46" s="148"/>
      <c r="S46" s="145"/>
      <c r="T46" s="146"/>
      <c r="U46" s="148"/>
      <c r="V46" s="145"/>
      <c r="W46" s="146"/>
      <c r="X46" s="148"/>
      <c r="Y46" s="145"/>
      <c r="Z46" s="146"/>
      <c r="AA46" s="148"/>
      <c r="AB46" s="145"/>
      <c r="AC46" s="146"/>
      <c r="AD46" s="148"/>
      <c r="AE46" s="145"/>
      <c r="AF46" s="146"/>
      <c r="AG46" s="148"/>
      <c r="AH46" s="145"/>
      <c r="AI46" s="146"/>
      <c r="AJ46" s="148"/>
      <c r="AK46" s="145"/>
    </row>
    <row r="47" ht="15.75" hidden="1" customHeight="1">
      <c r="A47" s="145" t="s">
        <v>126</v>
      </c>
      <c r="B47" s="138" t="s">
        <v>93</v>
      </c>
      <c r="C47" s="139" t="s">
        <v>107</v>
      </c>
      <c r="D47" s="145"/>
      <c r="E47" s="145"/>
      <c r="F47" s="147"/>
      <c r="G47" s="143" t="s">
        <v>124</v>
      </c>
      <c r="H47" s="143"/>
      <c r="I47" s="143"/>
      <c r="J47" s="143"/>
      <c r="K47" s="148"/>
      <c r="L47" s="145"/>
      <c r="M47" s="145"/>
      <c r="N47" s="145"/>
      <c r="O47" s="148"/>
      <c r="P47" s="145"/>
      <c r="Q47" s="145"/>
      <c r="R47" s="148"/>
      <c r="S47" s="145"/>
      <c r="T47" s="145"/>
      <c r="U47" s="148"/>
      <c r="V47" s="145"/>
      <c r="W47" s="145"/>
      <c r="X47" s="148"/>
      <c r="Y47" s="145"/>
      <c r="Z47" s="145"/>
      <c r="AA47" s="148"/>
      <c r="AB47" s="145"/>
      <c r="AC47" s="145"/>
      <c r="AD47" s="148"/>
      <c r="AE47" s="145"/>
      <c r="AF47" s="145"/>
      <c r="AG47" s="148"/>
      <c r="AH47" s="145"/>
      <c r="AI47" s="145"/>
      <c r="AJ47" s="148"/>
      <c r="AK47" s="145"/>
    </row>
    <row r="48" ht="15.75" customHeight="1">
      <c r="A48" s="149" t="s">
        <v>126</v>
      </c>
      <c r="B48" s="149" t="s">
        <v>115</v>
      </c>
      <c r="C48" s="71" t="s">
        <v>218</v>
      </c>
      <c r="D48" s="150">
        <v>3.0</v>
      </c>
      <c r="E48" s="151" t="str">
        <f>D38&amp;" Escogidas anteriormente + 1 de: "&amp;E14</f>
        <v>2 Escogidas anteriormente + 1 de: Acrobacias, Trato con animales, Atletismo, Historia, Perspicacia, Intimidacion, Percepcion, Supervivencia, </v>
      </c>
      <c r="F48" s="151" t="str">
        <f>F14&amp;" + "&amp;I48</f>
        <v>10 + CONS</v>
      </c>
      <c r="G48" s="152" t="str">
        <f>J38</f>
        <v>CON + CAR</v>
      </c>
      <c r="H48" s="152" t="str">
        <f>J14</f>
        <v>FUE + CONS</v>
      </c>
      <c r="I48" s="152" t="s">
        <v>117</v>
      </c>
      <c r="J48" s="152" t="s">
        <v>219</v>
      </c>
      <c r="K48" s="153"/>
      <c r="L48" s="151"/>
      <c r="M48" s="156"/>
      <c r="N48" s="156"/>
      <c r="O48" s="155"/>
      <c r="P48" s="156"/>
      <c r="Q48" s="156"/>
      <c r="R48" s="155"/>
      <c r="S48" s="156"/>
      <c r="T48" s="156"/>
      <c r="U48" s="155"/>
      <c r="V48" s="156"/>
      <c r="W48" s="156"/>
      <c r="X48" s="155"/>
      <c r="Y48" s="156"/>
      <c r="Z48" s="156"/>
      <c r="AA48" s="155"/>
      <c r="AB48" s="156"/>
      <c r="AC48" s="156"/>
      <c r="AD48" s="155"/>
      <c r="AE48" s="156"/>
      <c r="AF48" s="156"/>
      <c r="AG48" s="155"/>
      <c r="AH48" s="156"/>
      <c r="AI48" s="157"/>
      <c r="AJ48" s="158"/>
      <c r="AK48" s="156"/>
    </row>
    <row r="49" ht="15.75" hidden="1" customHeight="1">
      <c r="A49" s="145" t="s">
        <v>126</v>
      </c>
      <c r="B49" s="138" t="s">
        <v>121</v>
      </c>
      <c r="C49" s="139" t="s">
        <v>107</v>
      </c>
      <c r="D49" s="145"/>
      <c r="E49" s="145"/>
      <c r="F49" s="147"/>
      <c r="G49" s="143"/>
      <c r="H49" s="143"/>
      <c r="I49" s="143"/>
      <c r="J49" s="143"/>
      <c r="K49" s="148"/>
      <c r="L49" s="145"/>
      <c r="M49" s="145"/>
      <c r="N49" s="145"/>
      <c r="O49" s="148"/>
      <c r="P49" s="145"/>
      <c r="Q49" s="145"/>
      <c r="R49" s="148"/>
      <c r="S49" s="145"/>
      <c r="T49" s="145"/>
      <c r="U49" s="148"/>
      <c r="V49" s="145"/>
      <c r="W49" s="145"/>
      <c r="X49" s="148"/>
      <c r="Y49" s="145"/>
      <c r="Z49" s="145"/>
      <c r="AA49" s="148"/>
      <c r="AB49" s="145"/>
      <c r="AC49" s="145"/>
      <c r="AD49" s="148"/>
      <c r="AE49" s="145"/>
      <c r="AF49" s="145"/>
      <c r="AG49" s="148"/>
      <c r="AH49" s="145"/>
      <c r="AI49" s="145"/>
      <c r="AJ49" s="148"/>
      <c r="AK49" s="145"/>
    </row>
    <row r="50" ht="15.75" customHeight="1">
      <c r="A50" s="160" t="s">
        <v>130</v>
      </c>
      <c r="B50" s="160"/>
      <c r="C50" s="161"/>
      <c r="D50" s="162">
        <v>2.0</v>
      </c>
      <c r="E50" s="163" t="str">
        <f>'Habilidades de Rol'!D33</f>
        <v>Arcano, Engaño, Historia, Intimidacion, Investigacion, Naturaleza, Religion, </v>
      </c>
      <c r="F50" s="164">
        <v>8.0</v>
      </c>
      <c r="G50" s="165" t="s">
        <v>183</v>
      </c>
      <c r="H50" s="165" t="s">
        <v>205</v>
      </c>
      <c r="I50" s="165"/>
      <c r="J50" s="165" t="s">
        <v>96</v>
      </c>
      <c r="K50" s="166" t="s">
        <v>220</v>
      </c>
      <c r="L50" s="167" t="s">
        <v>221</v>
      </c>
      <c r="M50" s="165" t="s">
        <v>222</v>
      </c>
      <c r="N50" s="165"/>
      <c r="O50" s="165" t="s">
        <v>223</v>
      </c>
      <c r="P50" s="164" t="s">
        <v>224</v>
      </c>
      <c r="Q50" s="165" t="s">
        <v>225</v>
      </c>
      <c r="R50" s="165" t="s">
        <v>103</v>
      </c>
      <c r="S50" s="164" t="s">
        <v>107</v>
      </c>
      <c r="T50" s="165" t="s">
        <v>226</v>
      </c>
      <c r="U50" s="165" t="s">
        <v>107</v>
      </c>
      <c r="V50" s="164" t="s">
        <v>103</v>
      </c>
      <c r="W50" s="165" t="s">
        <v>107</v>
      </c>
      <c r="X50" s="165" t="s">
        <v>227</v>
      </c>
      <c r="Y50" s="164" t="s">
        <v>228</v>
      </c>
      <c r="Z50" s="165" t="s">
        <v>103</v>
      </c>
      <c r="AA50" s="165" t="s">
        <v>229</v>
      </c>
      <c r="AB50" s="164" t="s">
        <v>230</v>
      </c>
      <c r="AC50" s="165" t="s">
        <v>231</v>
      </c>
      <c r="AD50" s="165" t="s">
        <v>103</v>
      </c>
      <c r="AE50" s="164" t="s">
        <v>232</v>
      </c>
      <c r="AF50" s="165" t="s">
        <v>107</v>
      </c>
      <c r="AG50" s="165" t="s">
        <v>103</v>
      </c>
      <c r="AH50" s="164" t="s">
        <v>233</v>
      </c>
      <c r="AI50" s="168" t="s">
        <v>135</v>
      </c>
      <c r="AJ50" s="162" t="s">
        <v>18</v>
      </c>
      <c r="AK50" s="164" t="s">
        <v>114</v>
      </c>
    </row>
    <row r="51" ht="15.75" hidden="1" customHeight="1">
      <c r="A51" s="169" t="s">
        <v>130</v>
      </c>
      <c r="B51" s="160" t="s">
        <v>136</v>
      </c>
      <c r="C51" s="161" t="s">
        <v>234</v>
      </c>
      <c r="D51" s="162"/>
      <c r="E51" s="170"/>
      <c r="F51" s="171"/>
      <c r="G51" s="165"/>
      <c r="H51" s="165"/>
      <c r="I51" s="165"/>
      <c r="J51" s="165"/>
      <c r="K51" s="172"/>
      <c r="L51" s="169"/>
      <c r="M51" s="173"/>
      <c r="N51" s="173"/>
      <c r="O51" s="172"/>
      <c r="P51" s="169"/>
      <c r="Q51" s="173"/>
      <c r="R51" s="172"/>
      <c r="S51" s="169"/>
      <c r="T51" s="173"/>
      <c r="U51" s="172"/>
      <c r="V51" s="169"/>
      <c r="W51" s="173"/>
      <c r="X51" s="172"/>
      <c r="Y51" s="169"/>
      <c r="Z51" s="173"/>
      <c r="AA51" s="172"/>
      <c r="AB51" s="169"/>
      <c r="AC51" s="173"/>
      <c r="AD51" s="172"/>
      <c r="AE51" s="169"/>
      <c r="AF51" s="173"/>
      <c r="AG51" s="172"/>
      <c r="AH51" s="169"/>
      <c r="AI51" s="173"/>
      <c r="AJ51" s="172"/>
      <c r="AK51" s="169"/>
    </row>
    <row r="52" ht="15.75" hidden="1" customHeight="1">
      <c r="A52" s="169" t="s">
        <v>130</v>
      </c>
      <c r="B52" s="160" t="s">
        <v>139</v>
      </c>
      <c r="C52" s="161" t="s">
        <v>235</v>
      </c>
      <c r="D52" s="162"/>
      <c r="E52" s="174"/>
      <c r="F52" s="171"/>
      <c r="G52" s="165"/>
      <c r="H52" s="165"/>
      <c r="I52" s="165"/>
      <c r="J52" s="165"/>
      <c r="K52" s="172"/>
      <c r="L52" s="169"/>
      <c r="M52" s="169"/>
      <c r="N52" s="169"/>
      <c r="O52" s="172"/>
      <c r="P52" s="169"/>
      <c r="Q52" s="169"/>
      <c r="R52" s="172"/>
      <c r="S52" s="169"/>
      <c r="T52" s="169"/>
      <c r="U52" s="172"/>
      <c r="V52" s="169"/>
      <c r="W52" s="169"/>
      <c r="X52" s="172"/>
      <c r="Y52" s="169"/>
      <c r="Z52" s="169"/>
      <c r="AA52" s="172"/>
      <c r="AB52" s="169"/>
      <c r="AC52" s="169"/>
      <c r="AD52" s="172"/>
      <c r="AE52" s="169"/>
      <c r="AF52" s="169"/>
      <c r="AG52" s="172"/>
      <c r="AH52" s="169"/>
      <c r="AI52" s="169"/>
      <c r="AJ52" s="172"/>
      <c r="AK52" s="169"/>
    </row>
    <row r="53" ht="15.75" customHeight="1">
      <c r="A53" s="175" t="s">
        <v>130</v>
      </c>
      <c r="B53" s="175" t="s">
        <v>142</v>
      </c>
      <c r="C53" s="71" t="s">
        <v>236</v>
      </c>
      <c r="D53" s="176">
        <v>3.0</v>
      </c>
      <c r="E53" s="177" t="str">
        <f>D50&amp;" Escogidas anteriormente + 1 de: "&amp;E86</f>
        <v>2 Escogidas anteriormente + 1 de: Trato con animales, Atletismo, Intimidacion, Naturaleza, Percepcion, Supervivencia, </v>
      </c>
      <c r="F53" s="177" t="str">
        <f>F86&amp;" + "&amp;I53</f>
        <v>12 + CONS</v>
      </c>
      <c r="G53" s="178" t="str">
        <f>J50</f>
        <v>SAB + CAR</v>
      </c>
      <c r="H53" s="178" t="str">
        <f>J86</f>
        <v>FUE + CONS</v>
      </c>
      <c r="I53" s="178" t="s">
        <v>117</v>
      </c>
      <c r="J53" s="178" t="s">
        <v>237</v>
      </c>
      <c r="K53" s="179"/>
      <c r="L53" s="177"/>
      <c r="M53" s="180"/>
      <c r="N53" s="180"/>
      <c r="O53" s="181"/>
      <c r="P53" s="180"/>
      <c r="Q53" s="180"/>
      <c r="R53" s="181"/>
      <c r="S53" s="180"/>
      <c r="T53" s="180"/>
      <c r="U53" s="181"/>
      <c r="V53" s="180"/>
      <c r="W53" s="180"/>
      <c r="X53" s="181"/>
      <c r="Y53" s="180"/>
      <c r="Z53" s="180"/>
      <c r="AA53" s="181"/>
      <c r="AB53" s="180"/>
      <c r="AC53" s="180"/>
      <c r="AD53" s="181"/>
      <c r="AE53" s="180"/>
      <c r="AF53" s="180"/>
      <c r="AG53" s="181"/>
      <c r="AH53" s="180"/>
      <c r="AI53" s="182"/>
      <c r="AJ53" s="183"/>
      <c r="AK53" s="180"/>
    </row>
    <row r="54" ht="15.75" hidden="1" customHeight="1">
      <c r="A54" s="169" t="s">
        <v>130</v>
      </c>
      <c r="B54" s="160" t="s">
        <v>145</v>
      </c>
      <c r="C54" s="161" t="s">
        <v>107</v>
      </c>
      <c r="D54" s="169"/>
      <c r="E54" s="169"/>
      <c r="F54" s="171"/>
      <c r="G54" s="165"/>
      <c r="H54" s="165"/>
      <c r="I54" s="165"/>
      <c r="J54" s="165"/>
      <c r="K54" s="172"/>
      <c r="L54" s="169"/>
      <c r="M54" s="169"/>
      <c r="N54" s="169"/>
      <c r="O54" s="172"/>
      <c r="P54" s="169"/>
      <c r="Q54" s="169"/>
      <c r="R54" s="172"/>
      <c r="S54" s="169"/>
      <c r="T54" s="169"/>
      <c r="U54" s="172"/>
      <c r="V54" s="169"/>
      <c r="W54" s="169"/>
      <c r="X54" s="172"/>
      <c r="Y54" s="169"/>
      <c r="Z54" s="169"/>
      <c r="AA54" s="172"/>
      <c r="AB54" s="169"/>
      <c r="AC54" s="169"/>
      <c r="AD54" s="172"/>
      <c r="AE54" s="169"/>
      <c r="AF54" s="169"/>
      <c r="AG54" s="172"/>
      <c r="AH54" s="169"/>
      <c r="AI54" s="169"/>
      <c r="AJ54" s="172"/>
      <c r="AK54" s="169"/>
    </row>
    <row r="55" ht="15.75" hidden="1" customHeight="1">
      <c r="A55" s="169" t="s">
        <v>130</v>
      </c>
      <c r="B55" s="160" t="s">
        <v>148</v>
      </c>
      <c r="C55" s="161" t="s">
        <v>107</v>
      </c>
      <c r="D55" s="169"/>
      <c r="E55" s="169"/>
      <c r="F55" s="171"/>
      <c r="G55" s="165"/>
      <c r="H55" s="165"/>
      <c r="I55" s="165"/>
      <c r="J55" s="165"/>
      <c r="K55" s="172"/>
      <c r="L55" s="169"/>
      <c r="M55" s="169"/>
      <c r="N55" s="169"/>
      <c r="O55" s="172"/>
      <c r="P55" s="169"/>
      <c r="Q55" s="169"/>
      <c r="R55" s="172"/>
      <c r="S55" s="169"/>
      <c r="T55" s="169"/>
      <c r="U55" s="172"/>
      <c r="V55" s="169"/>
      <c r="W55" s="169"/>
      <c r="X55" s="172"/>
      <c r="Y55" s="169"/>
      <c r="Z55" s="169"/>
      <c r="AA55" s="172"/>
      <c r="AB55" s="169"/>
      <c r="AC55" s="169"/>
      <c r="AD55" s="172"/>
      <c r="AE55" s="169"/>
      <c r="AF55" s="169"/>
      <c r="AG55" s="172"/>
      <c r="AH55" s="169"/>
      <c r="AI55" s="169"/>
      <c r="AJ55" s="172"/>
      <c r="AK55" s="169"/>
    </row>
    <row r="56" ht="15.75" customHeight="1">
      <c r="A56" s="175" t="s">
        <v>130</v>
      </c>
      <c r="B56" s="175" t="s">
        <v>152</v>
      </c>
      <c r="C56" s="71" t="s">
        <v>238</v>
      </c>
      <c r="D56" s="176">
        <v>3.0</v>
      </c>
      <c r="E56" s="177" t="str">
        <f>D50&amp;" Escogidas anteriormente + 1 de: "&amp;E122</f>
        <v>2 Escogidas anteriormente + 1 de: Trato con animales, Atletismo, Perspicacia, Investigacion, Naturaleza, Percepcion, Sigilo, Supervivencia, </v>
      </c>
      <c r="F56" s="177" t="str">
        <f>F122&amp;" + "&amp;I56</f>
        <v>10 + CAR</v>
      </c>
      <c r="G56" s="178" t="str">
        <f>J50</f>
        <v>SAB + CAR</v>
      </c>
      <c r="H56" s="178" t="str">
        <f>J122</f>
        <v>DES + FUE</v>
      </c>
      <c r="I56" s="178" t="s">
        <v>95</v>
      </c>
      <c r="J56" s="178" t="s">
        <v>239</v>
      </c>
      <c r="K56" s="179"/>
      <c r="L56" s="177"/>
      <c r="M56" s="180"/>
      <c r="N56" s="180"/>
      <c r="O56" s="181"/>
      <c r="P56" s="180"/>
      <c r="Q56" s="180"/>
      <c r="R56" s="181"/>
      <c r="S56" s="180"/>
      <c r="T56" s="180"/>
      <c r="U56" s="181"/>
      <c r="V56" s="180"/>
      <c r="W56" s="180"/>
      <c r="X56" s="181"/>
      <c r="Y56" s="180"/>
      <c r="Z56" s="180"/>
      <c r="AA56" s="181"/>
      <c r="AB56" s="180"/>
      <c r="AC56" s="180"/>
      <c r="AD56" s="181"/>
      <c r="AE56" s="180"/>
      <c r="AF56" s="180"/>
      <c r="AG56" s="181"/>
      <c r="AH56" s="180"/>
      <c r="AI56" s="182"/>
      <c r="AJ56" s="183"/>
      <c r="AK56" s="180"/>
    </row>
    <row r="57" ht="15.75" hidden="1" customHeight="1">
      <c r="A57" s="169" t="s">
        <v>130</v>
      </c>
      <c r="B57" s="160" t="s">
        <v>155</v>
      </c>
      <c r="C57" s="161" t="s">
        <v>107</v>
      </c>
      <c r="D57" s="169"/>
      <c r="E57" s="169"/>
      <c r="F57" s="171"/>
      <c r="G57" s="165"/>
      <c r="H57" s="165"/>
      <c r="I57" s="165"/>
      <c r="J57" s="165"/>
      <c r="K57" s="172"/>
      <c r="L57" s="169"/>
      <c r="M57" s="169"/>
      <c r="N57" s="169"/>
      <c r="O57" s="172"/>
      <c r="P57" s="169"/>
      <c r="Q57" s="169"/>
      <c r="R57" s="172"/>
      <c r="S57" s="169"/>
      <c r="T57" s="169"/>
      <c r="U57" s="172"/>
      <c r="V57" s="169"/>
      <c r="W57" s="169"/>
      <c r="X57" s="172"/>
      <c r="Y57" s="169"/>
      <c r="Z57" s="169"/>
      <c r="AA57" s="172"/>
      <c r="AB57" s="169"/>
      <c r="AC57" s="169"/>
      <c r="AD57" s="172"/>
      <c r="AE57" s="169"/>
      <c r="AF57" s="169"/>
      <c r="AG57" s="172"/>
      <c r="AH57" s="169"/>
      <c r="AI57" s="169"/>
      <c r="AJ57" s="172"/>
      <c r="AK57" s="169"/>
    </row>
    <row r="58" ht="15.75" customHeight="1">
      <c r="A58" s="175" t="s">
        <v>130</v>
      </c>
      <c r="B58" s="175" t="s">
        <v>93</v>
      </c>
      <c r="C58" s="71" t="s">
        <v>240</v>
      </c>
      <c r="D58" s="176">
        <v>3.0</v>
      </c>
      <c r="E58" s="177" t="str">
        <f>D50&amp;" Escogidas anteriormente + 1 de: "&amp;E2</f>
        <v>2 Escogidas anteriormente + 1 de: Atletismo, Perspicacia, Intimidacion, Medicina, Persuasion, Religion, </v>
      </c>
      <c r="F58" s="177" t="str">
        <f>F2&amp;" + "&amp;I58</f>
        <v>10 + CAR</v>
      </c>
      <c r="G58" s="178" t="str">
        <f>J50</f>
        <v>SAB + CAR</v>
      </c>
      <c r="H58" s="178" t="str">
        <f>J2</f>
        <v>SAB + CAR</v>
      </c>
      <c r="I58" s="178" t="s">
        <v>95</v>
      </c>
      <c r="J58" s="178" t="s">
        <v>241</v>
      </c>
      <c r="K58" s="179"/>
      <c r="L58" s="177"/>
      <c r="M58" s="184"/>
      <c r="N58" s="184"/>
      <c r="O58" s="181"/>
      <c r="P58" s="180"/>
      <c r="Q58" s="184"/>
      <c r="R58" s="181"/>
      <c r="S58" s="180"/>
      <c r="T58" s="184"/>
      <c r="U58" s="181"/>
      <c r="V58" s="180"/>
      <c r="W58" s="184"/>
      <c r="X58" s="181"/>
      <c r="Y58" s="180"/>
      <c r="Z58" s="184"/>
      <c r="AA58" s="181"/>
      <c r="AB58" s="180"/>
      <c r="AC58" s="184"/>
      <c r="AD58" s="181"/>
      <c r="AE58" s="180"/>
      <c r="AF58" s="184"/>
      <c r="AG58" s="181"/>
      <c r="AH58" s="180"/>
      <c r="AI58" s="182"/>
      <c r="AJ58" s="183"/>
      <c r="AK58" s="180"/>
    </row>
    <row r="59" ht="15.75" hidden="1" customHeight="1">
      <c r="A59" s="169" t="s">
        <v>130</v>
      </c>
      <c r="B59" s="160" t="s">
        <v>115</v>
      </c>
      <c r="C59" s="161" t="s">
        <v>107</v>
      </c>
      <c r="D59" s="169"/>
      <c r="E59" s="173"/>
      <c r="F59" s="171"/>
      <c r="G59" s="165"/>
      <c r="H59" s="165"/>
      <c r="I59" s="165"/>
      <c r="J59" s="165"/>
      <c r="K59" s="172"/>
      <c r="L59" s="169"/>
      <c r="M59" s="173"/>
      <c r="N59" s="173"/>
      <c r="O59" s="172"/>
      <c r="P59" s="169"/>
      <c r="Q59" s="173"/>
      <c r="R59" s="172"/>
      <c r="S59" s="169"/>
      <c r="T59" s="173"/>
      <c r="U59" s="172"/>
      <c r="V59" s="169"/>
      <c r="W59" s="173"/>
      <c r="X59" s="172"/>
      <c r="Y59" s="169"/>
      <c r="Z59" s="173"/>
      <c r="AA59" s="172"/>
      <c r="AB59" s="169"/>
      <c r="AC59" s="173"/>
      <c r="AD59" s="172"/>
      <c r="AE59" s="169"/>
      <c r="AF59" s="173"/>
      <c r="AG59" s="172"/>
      <c r="AH59" s="169"/>
      <c r="AI59" s="173"/>
      <c r="AJ59" s="172"/>
      <c r="AK59" s="169"/>
    </row>
    <row r="60" ht="15.75" hidden="1" customHeight="1">
      <c r="A60" s="169" t="s">
        <v>130</v>
      </c>
      <c r="B60" s="160" t="s">
        <v>121</v>
      </c>
      <c r="C60" s="161" t="s">
        <v>107</v>
      </c>
      <c r="D60" s="169"/>
      <c r="E60" s="173"/>
      <c r="F60" s="171"/>
      <c r="G60" s="165"/>
      <c r="H60" s="165"/>
      <c r="I60" s="165"/>
      <c r="J60" s="165"/>
      <c r="K60" s="172"/>
      <c r="L60" s="169"/>
      <c r="M60" s="173"/>
      <c r="N60" s="173"/>
      <c r="O60" s="172"/>
      <c r="P60" s="169"/>
      <c r="Q60" s="173"/>
      <c r="R60" s="172"/>
      <c r="S60" s="169"/>
      <c r="T60" s="173"/>
      <c r="U60" s="172"/>
      <c r="V60" s="169"/>
      <c r="W60" s="173"/>
      <c r="X60" s="172"/>
      <c r="Y60" s="169"/>
      <c r="Z60" s="173"/>
      <c r="AA60" s="172"/>
      <c r="AB60" s="169"/>
      <c r="AC60" s="173"/>
      <c r="AD60" s="172"/>
      <c r="AE60" s="169"/>
      <c r="AF60" s="173"/>
      <c r="AG60" s="172"/>
      <c r="AH60" s="169"/>
      <c r="AI60" s="173"/>
      <c r="AJ60" s="172"/>
      <c r="AK60" s="169"/>
    </row>
    <row r="61" ht="15.75" hidden="1" customHeight="1">
      <c r="A61" s="169" t="s">
        <v>130</v>
      </c>
      <c r="B61" s="160" t="s">
        <v>126</v>
      </c>
      <c r="C61" s="161" t="s">
        <v>107</v>
      </c>
      <c r="D61" s="169"/>
      <c r="E61" s="173"/>
      <c r="F61" s="171"/>
      <c r="G61" s="165"/>
      <c r="H61" s="165"/>
      <c r="I61" s="165"/>
      <c r="J61" s="165"/>
      <c r="K61" s="172"/>
      <c r="L61" s="169"/>
      <c r="M61" s="173"/>
      <c r="N61" s="173"/>
      <c r="O61" s="172"/>
      <c r="P61" s="169"/>
      <c r="Q61" s="173"/>
      <c r="R61" s="172"/>
      <c r="S61" s="169"/>
      <c r="T61" s="173"/>
      <c r="U61" s="172"/>
      <c r="V61" s="169"/>
      <c r="W61" s="173"/>
      <c r="X61" s="172"/>
      <c r="Y61" s="169"/>
      <c r="Z61" s="173"/>
      <c r="AA61" s="172"/>
      <c r="AB61" s="169"/>
      <c r="AC61" s="173"/>
      <c r="AD61" s="172"/>
      <c r="AE61" s="169"/>
      <c r="AF61" s="173"/>
      <c r="AG61" s="172"/>
      <c r="AH61" s="169"/>
      <c r="AI61" s="173"/>
      <c r="AJ61" s="172"/>
      <c r="AK61" s="169"/>
    </row>
    <row r="62" ht="15.75" customHeight="1">
      <c r="A62" s="185" t="s">
        <v>136</v>
      </c>
      <c r="B62" s="185"/>
      <c r="C62" s="186"/>
      <c r="D62" s="187">
        <v>4.0</v>
      </c>
      <c r="E62" s="188" t="str">
        <f>'Habilidades de Rol'!D31</f>
        <v>Acrobacias, Atletismo, Engaño, Perspicacia, Intimidacion, Investigacion, Percepcion, Interpretacion, Persuasion, Juego de Manos, Sigilo, </v>
      </c>
      <c r="F62" s="189">
        <v>8.0</v>
      </c>
      <c r="G62" s="190" t="s">
        <v>242</v>
      </c>
      <c r="H62" s="190" t="s">
        <v>182</v>
      </c>
      <c r="I62" s="190"/>
      <c r="J62" s="190" t="s">
        <v>243</v>
      </c>
      <c r="K62" s="191" t="s">
        <v>244</v>
      </c>
      <c r="L62" s="192" t="s">
        <v>221</v>
      </c>
      <c r="M62" s="190" t="s">
        <v>245</v>
      </c>
      <c r="N62" s="190"/>
      <c r="O62" s="190" t="s">
        <v>246</v>
      </c>
      <c r="P62" s="193" t="s">
        <v>247</v>
      </c>
      <c r="Q62" s="190" t="s">
        <v>248</v>
      </c>
      <c r="R62" s="190" t="s">
        <v>103</v>
      </c>
      <c r="S62" s="193" t="s">
        <v>249</v>
      </c>
      <c r="T62" s="190" t="s">
        <v>250</v>
      </c>
      <c r="U62" s="190" t="s">
        <v>251</v>
      </c>
      <c r="V62" s="193" t="s">
        <v>103</v>
      </c>
      <c r="W62" s="190" t="s">
        <v>248</v>
      </c>
      <c r="X62" s="190" t="s">
        <v>103</v>
      </c>
      <c r="Y62" s="193" t="s">
        <v>252</v>
      </c>
      <c r="Z62" s="190" t="s">
        <v>103</v>
      </c>
      <c r="AA62" s="190" t="s">
        <v>253</v>
      </c>
      <c r="AB62" s="193" t="s">
        <v>254</v>
      </c>
      <c r="AC62" s="190" t="s">
        <v>255</v>
      </c>
      <c r="AD62" s="190" t="s">
        <v>103</v>
      </c>
      <c r="AE62" s="193" t="s">
        <v>256</v>
      </c>
      <c r="AF62" s="190" t="s">
        <v>257</v>
      </c>
      <c r="AG62" s="190" t="s">
        <v>103</v>
      </c>
      <c r="AH62" s="193" t="s">
        <v>258</v>
      </c>
      <c r="AI62" s="194" t="s">
        <v>171</v>
      </c>
      <c r="AJ62" s="195"/>
      <c r="AK62" s="190"/>
    </row>
    <row r="63" ht="15.75" hidden="1" customHeight="1">
      <c r="A63" s="196" t="s">
        <v>136</v>
      </c>
      <c r="B63" s="185" t="s">
        <v>139</v>
      </c>
      <c r="C63" s="186" t="s">
        <v>259</v>
      </c>
      <c r="D63" s="187"/>
      <c r="E63" s="197"/>
      <c r="F63" s="198"/>
      <c r="G63" s="190"/>
      <c r="H63" s="190"/>
      <c r="I63" s="190"/>
      <c r="J63" s="190"/>
      <c r="K63" s="199"/>
      <c r="L63" s="196"/>
      <c r="M63" s="200"/>
      <c r="N63" s="200"/>
      <c r="O63" s="199"/>
      <c r="P63" s="196"/>
      <c r="Q63" s="200"/>
      <c r="R63" s="199"/>
      <c r="S63" s="196"/>
      <c r="T63" s="200"/>
      <c r="U63" s="199"/>
      <c r="V63" s="196"/>
      <c r="W63" s="200"/>
      <c r="X63" s="199"/>
      <c r="Y63" s="196"/>
      <c r="Z63" s="200"/>
      <c r="AA63" s="199"/>
      <c r="AB63" s="196"/>
      <c r="AC63" s="200"/>
      <c r="AD63" s="199"/>
      <c r="AE63" s="196"/>
      <c r="AF63" s="200"/>
      <c r="AG63" s="199"/>
      <c r="AH63" s="196"/>
      <c r="AI63" s="200"/>
      <c r="AJ63" s="199"/>
      <c r="AK63" s="196"/>
    </row>
    <row r="64" ht="15.75" hidden="1" customHeight="1">
      <c r="A64" s="196" t="s">
        <v>136</v>
      </c>
      <c r="B64" s="185" t="s">
        <v>142</v>
      </c>
      <c r="C64" s="186" t="s">
        <v>107</v>
      </c>
      <c r="D64" s="196"/>
      <c r="E64" s="200"/>
      <c r="F64" s="198"/>
      <c r="G64" s="190"/>
      <c r="H64" s="190"/>
      <c r="I64" s="190"/>
      <c r="J64" s="190"/>
      <c r="K64" s="199"/>
      <c r="L64" s="196"/>
      <c r="M64" s="200"/>
      <c r="N64" s="200"/>
      <c r="O64" s="199"/>
      <c r="P64" s="196"/>
      <c r="Q64" s="200"/>
      <c r="R64" s="199"/>
      <c r="S64" s="196"/>
      <c r="T64" s="200"/>
      <c r="U64" s="199"/>
      <c r="V64" s="196"/>
      <c r="W64" s="200"/>
      <c r="X64" s="199"/>
      <c r="Y64" s="196"/>
      <c r="Z64" s="200"/>
      <c r="AA64" s="199"/>
      <c r="AB64" s="196"/>
      <c r="AC64" s="200"/>
      <c r="AD64" s="199"/>
      <c r="AE64" s="196"/>
      <c r="AF64" s="200"/>
      <c r="AG64" s="199"/>
      <c r="AH64" s="196"/>
      <c r="AI64" s="200"/>
      <c r="AJ64" s="199"/>
      <c r="AK64" s="196"/>
    </row>
    <row r="65" ht="15.75" customHeight="1">
      <c r="A65" s="201" t="s">
        <v>136</v>
      </c>
      <c r="B65" s="201" t="s">
        <v>145</v>
      </c>
      <c r="C65" s="71" t="s">
        <v>260</v>
      </c>
      <c r="D65" s="202">
        <v>5.0</v>
      </c>
      <c r="E65" s="203" t="str">
        <f>D62&amp;" Escogidas anteriormente + 1 de: "&amp;E98</f>
        <v>4 Escogidas anteriormente + 1 de: Arcano, Atletismo, Historia, Perspicacia, Investigacion, Medicina, Naturaleza, Percepcion, Juego de Manos, </v>
      </c>
      <c r="F65" s="203" t="str">
        <f>F98&amp;" + "&amp;I65</f>
        <v>8 + INT</v>
      </c>
      <c r="G65" s="204" t="str">
        <f>J62</f>
        <v>DES + INT</v>
      </c>
      <c r="H65" s="204" t="str">
        <f>J98</f>
        <v>INT + DES</v>
      </c>
      <c r="I65" s="204" t="s">
        <v>151</v>
      </c>
      <c r="J65" s="204" t="s">
        <v>261</v>
      </c>
      <c r="K65" s="205"/>
      <c r="L65" s="203"/>
      <c r="M65" s="206"/>
      <c r="N65" s="206"/>
      <c r="O65" s="207"/>
      <c r="P65" s="208"/>
      <c r="Q65" s="206"/>
      <c r="R65" s="207"/>
      <c r="S65" s="208"/>
      <c r="T65" s="206"/>
      <c r="U65" s="207"/>
      <c r="V65" s="208"/>
      <c r="W65" s="206"/>
      <c r="X65" s="207"/>
      <c r="Y65" s="208"/>
      <c r="Z65" s="206"/>
      <c r="AA65" s="207"/>
      <c r="AB65" s="208"/>
      <c r="AC65" s="206"/>
      <c r="AD65" s="207"/>
      <c r="AE65" s="208"/>
      <c r="AF65" s="206"/>
      <c r="AG65" s="207"/>
      <c r="AH65" s="208"/>
      <c r="AI65" s="209"/>
      <c r="AJ65" s="210"/>
      <c r="AK65" s="208"/>
    </row>
    <row r="66" ht="15.75" customHeight="1">
      <c r="A66" s="201" t="s">
        <v>136</v>
      </c>
      <c r="B66" s="201" t="s">
        <v>148</v>
      </c>
      <c r="C66" s="71" t="s">
        <v>262</v>
      </c>
      <c r="D66" s="202">
        <v>5.0</v>
      </c>
      <c r="E66" s="203" t="str">
        <f>D62&amp;" Escogidas anteriormente + 1 de: "&amp;E110</f>
        <v>4 Escogidas anteriormente + 1 de: Trato con animales, Arcano, Perspicacia, Medicina, Naturaleza, Percepcion, Religion, Supervivencia, </v>
      </c>
      <c r="F66" s="203" t="str">
        <f>F110&amp;" + "&amp;I66</f>
        <v>8 + INT</v>
      </c>
      <c r="G66" s="204" t="str">
        <f>J62</f>
        <v>DES + INT</v>
      </c>
      <c r="H66" s="204" t="str">
        <f>J110</f>
        <v>INT + SAB</v>
      </c>
      <c r="I66" s="204" t="s">
        <v>151</v>
      </c>
      <c r="J66" s="204" t="s">
        <v>263</v>
      </c>
      <c r="K66" s="205"/>
      <c r="L66" s="203"/>
      <c r="M66" s="206"/>
      <c r="N66" s="206"/>
      <c r="O66" s="207"/>
      <c r="P66" s="208"/>
      <c r="Q66" s="206"/>
      <c r="R66" s="207"/>
      <c r="S66" s="208"/>
      <c r="T66" s="206"/>
      <c r="U66" s="207"/>
      <c r="V66" s="208"/>
      <c r="W66" s="206"/>
      <c r="X66" s="207"/>
      <c r="Y66" s="208"/>
      <c r="Z66" s="206"/>
      <c r="AA66" s="207"/>
      <c r="AB66" s="208"/>
      <c r="AC66" s="206"/>
      <c r="AD66" s="207"/>
      <c r="AE66" s="208"/>
      <c r="AF66" s="206"/>
      <c r="AG66" s="207"/>
      <c r="AH66" s="208"/>
      <c r="AI66" s="209"/>
      <c r="AJ66" s="210"/>
      <c r="AK66" s="208"/>
    </row>
    <row r="67" ht="15.75" hidden="1" customHeight="1">
      <c r="A67" s="196" t="s">
        <v>136</v>
      </c>
      <c r="B67" s="185" t="s">
        <v>152</v>
      </c>
      <c r="C67" s="186" t="s">
        <v>107</v>
      </c>
      <c r="D67" s="196"/>
      <c r="E67" s="200"/>
      <c r="F67" s="198"/>
      <c r="G67" s="190"/>
      <c r="H67" s="190"/>
      <c r="I67" s="190"/>
      <c r="J67" s="190"/>
      <c r="K67" s="199"/>
      <c r="L67" s="196"/>
      <c r="M67" s="200"/>
      <c r="N67" s="200"/>
      <c r="O67" s="199"/>
      <c r="P67" s="196"/>
      <c r="Q67" s="200"/>
      <c r="R67" s="199"/>
      <c r="S67" s="196"/>
      <c r="T67" s="200"/>
      <c r="U67" s="199"/>
      <c r="V67" s="196"/>
      <c r="W67" s="200"/>
      <c r="X67" s="199"/>
      <c r="Y67" s="196"/>
      <c r="Z67" s="200"/>
      <c r="AA67" s="199"/>
      <c r="AB67" s="196"/>
      <c r="AC67" s="200"/>
      <c r="AD67" s="199"/>
      <c r="AE67" s="196"/>
      <c r="AF67" s="200"/>
      <c r="AG67" s="199"/>
      <c r="AH67" s="196"/>
      <c r="AI67" s="200"/>
      <c r="AJ67" s="199"/>
      <c r="AK67" s="196"/>
    </row>
    <row r="68" ht="15.75" hidden="1" customHeight="1">
      <c r="A68" s="196" t="s">
        <v>136</v>
      </c>
      <c r="B68" s="185" t="s">
        <v>155</v>
      </c>
      <c r="C68" s="186" t="s">
        <v>264</v>
      </c>
      <c r="D68" s="187"/>
      <c r="E68" s="197"/>
      <c r="F68" s="198"/>
      <c r="G68" s="190"/>
      <c r="H68" s="190"/>
      <c r="I68" s="190"/>
      <c r="J68" s="190"/>
      <c r="K68" s="199"/>
      <c r="L68" s="196"/>
      <c r="M68" s="200"/>
      <c r="N68" s="200"/>
      <c r="O68" s="199"/>
      <c r="P68" s="196"/>
      <c r="Q68" s="200"/>
      <c r="R68" s="199"/>
      <c r="S68" s="196"/>
      <c r="T68" s="200"/>
      <c r="U68" s="199"/>
      <c r="V68" s="196"/>
      <c r="W68" s="200"/>
      <c r="X68" s="199"/>
      <c r="Y68" s="196"/>
      <c r="Z68" s="200"/>
      <c r="AA68" s="199"/>
      <c r="AB68" s="196"/>
      <c r="AC68" s="200"/>
      <c r="AD68" s="199"/>
      <c r="AE68" s="196"/>
      <c r="AF68" s="200"/>
      <c r="AG68" s="199"/>
      <c r="AH68" s="196"/>
      <c r="AI68" s="200"/>
      <c r="AJ68" s="199"/>
      <c r="AK68" s="196"/>
    </row>
    <row r="69" ht="15.75" hidden="1" customHeight="1">
      <c r="A69" s="196" t="s">
        <v>136</v>
      </c>
      <c r="B69" s="185" t="s">
        <v>93</v>
      </c>
      <c r="C69" s="186" t="s">
        <v>107</v>
      </c>
      <c r="D69" s="196"/>
      <c r="E69" s="196"/>
      <c r="F69" s="198"/>
      <c r="G69" s="190" t="s">
        <v>124</v>
      </c>
      <c r="H69" s="190"/>
      <c r="I69" s="190"/>
      <c r="J69" s="190"/>
      <c r="K69" s="199"/>
      <c r="L69" s="196"/>
      <c r="M69" s="196"/>
      <c r="N69" s="196"/>
      <c r="O69" s="199"/>
      <c r="P69" s="196"/>
      <c r="Q69" s="196"/>
      <c r="R69" s="199"/>
      <c r="S69" s="196"/>
      <c r="T69" s="196"/>
      <c r="U69" s="199"/>
      <c r="V69" s="196"/>
      <c r="W69" s="196"/>
      <c r="X69" s="199"/>
      <c r="Y69" s="196"/>
      <c r="Z69" s="196"/>
      <c r="AA69" s="199"/>
      <c r="AB69" s="196"/>
      <c r="AC69" s="196"/>
      <c r="AD69" s="199"/>
      <c r="AE69" s="196"/>
      <c r="AF69" s="196"/>
      <c r="AG69" s="199"/>
      <c r="AH69" s="196"/>
      <c r="AI69" s="196"/>
      <c r="AJ69" s="199"/>
      <c r="AK69" s="196"/>
    </row>
    <row r="70" ht="15.75" hidden="1" customHeight="1">
      <c r="A70" s="196" t="s">
        <v>136</v>
      </c>
      <c r="B70" s="185" t="s">
        <v>115</v>
      </c>
      <c r="C70" s="186" t="s">
        <v>107</v>
      </c>
      <c r="D70" s="196"/>
      <c r="E70" s="196"/>
      <c r="F70" s="198"/>
      <c r="G70" s="190"/>
      <c r="H70" s="190"/>
      <c r="I70" s="190"/>
      <c r="J70" s="190"/>
      <c r="K70" s="199"/>
      <c r="L70" s="196"/>
      <c r="M70" s="196"/>
      <c r="N70" s="196"/>
      <c r="O70" s="199"/>
      <c r="P70" s="196"/>
      <c r="Q70" s="196"/>
      <c r="R70" s="199"/>
      <c r="S70" s="196"/>
      <c r="T70" s="196"/>
      <c r="U70" s="199"/>
      <c r="V70" s="196"/>
      <c r="W70" s="196"/>
      <c r="X70" s="199"/>
      <c r="Y70" s="196"/>
      <c r="Z70" s="196"/>
      <c r="AA70" s="199"/>
      <c r="AB70" s="196"/>
      <c r="AC70" s="196"/>
      <c r="AD70" s="199"/>
      <c r="AE70" s="196"/>
      <c r="AF70" s="196"/>
      <c r="AG70" s="199"/>
      <c r="AH70" s="196"/>
      <c r="AI70" s="196"/>
      <c r="AJ70" s="199"/>
      <c r="AK70" s="196"/>
    </row>
    <row r="71" ht="15.75" hidden="1" customHeight="1">
      <c r="A71" s="196" t="s">
        <v>136</v>
      </c>
      <c r="B71" s="185" t="s">
        <v>121</v>
      </c>
      <c r="C71" s="186" t="s">
        <v>107</v>
      </c>
      <c r="D71" s="196"/>
      <c r="E71" s="196"/>
      <c r="F71" s="198"/>
      <c r="G71" s="190"/>
      <c r="H71" s="190"/>
      <c r="I71" s="190"/>
      <c r="J71" s="190"/>
      <c r="K71" s="199"/>
      <c r="L71" s="196"/>
      <c r="M71" s="196"/>
      <c r="N71" s="196"/>
      <c r="O71" s="199"/>
      <c r="P71" s="196"/>
      <c r="Q71" s="196"/>
      <c r="R71" s="199"/>
      <c r="S71" s="196"/>
      <c r="T71" s="196"/>
      <c r="U71" s="199"/>
      <c r="V71" s="196"/>
      <c r="W71" s="196"/>
      <c r="X71" s="199"/>
      <c r="Y71" s="196"/>
      <c r="Z71" s="196"/>
      <c r="AA71" s="199"/>
      <c r="AB71" s="196"/>
      <c r="AC71" s="196"/>
      <c r="AD71" s="199"/>
      <c r="AE71" s="196"/>
      <c r="AF71" s="196"/>
      <c r="AG71" s="199"/>
      <c r="AH71" s="196"/>
      <c r="AI71" s="196"/>
      <c r="AJ71" s="199"/>
      <c r="AK71" s="196"/>
    </row>
    <row r="72" ht="15.75" hidden="1" customHeight="1">
      <c r="A72" s="196" t="s">
        <v>136</v>
      </c>
      <c r="B72" s="185" t="s">
        <v>126</v>
      </c>
      <c r="C72" s="186" t="s">
        <v>107</v>
      </c>
      <c r="D72" s="196"/>
      <c r="E72" s="196"/>
      <c r="F72" s="198"/>
      <c r="G72" s="190"/>
      <c r="H72" s="190"/>
      <c r="I72" s="190"/>
      <c r="J72" s="190"/>
      <c r="K72" s="199"/>
      <c r="L72" s="196"/>
      <c r="M72" s="196"/>
      <c r="N72" s="196"/>
      <c r="O72" s="199"/>
      <c r="P72" s="196"/>
      <c r="Q72" s="196"/>
      <c r="R72" s="199"/>
      <c r="S72" s="196"/>
      <c r="T72" s="196"/>
      <c r="U72" s="199"/>
      <c r="V72" s="196"/>
      <c r="W72" s="196"/>
      <c r="X72" s="199"/>
      <c r="Y72" s="196"/>
      <c r="Z72" s="196"/>
      <c r="AA72" s="199"/>
      <c r="AB72" s="196"/>
      <c r="AC72" s="196"/>
      <c r="AD72" s="199"/>
      <c r="AE72" s="196"/>
      <c r="AF72" s="196"/>
      <c r="AG72" s="199"/>
      <c r="AH72" s="196"/>
      <c r="AI72" s="196"/>
      <c r="AJ72" s="199"/>
      <c r="AK72" s="196"/>
    </row>
    <row r="73" ht="15.75" customHeight="1">
      <c r="A73" s="201" t="s">
        <v>136</v>
      </c>
      <c r="B73" s="201" t="s">
        <v>130</v>
      </c>
      <c r="C73" s="71" t="s">
        <v>265</v>
      </c>
      <c r="D73" s="202">
        <v>5.0</v>
      </c>
      <c r="E73" s="203" t="str">
        <f>D62&amp;" Escogidas anteriormente + 1 de: "&amp;E50</f>
        <v>4 Escogidas anteriormente + 1 de: Arcano, Engaño, Historia, Intimidacion, Investigacion, Naturaleza, Religion, </v>
      </c>
      <c r="F73" s="203" t="str">
        <f>F50&amp;" + "&amp;I73</f>
        <v>8 + CAR</v>
      </c>
      <c r="G73" s="204" t="str">
        <f>J62</f>
        <v>DES + INT</v>
      </c>
      <c r="H73" s="204" t="str">
        <f>J50</f>
        <v>SAB + CAR</v>
      </c>
      <c r="I73" s="204" t="s">
        <v>95</v>
      </c>
      <c r="J73" s="204" t="s">
        <v>239</v>
      </c>
      <c r="K73" s="205"/>
      <c r="L73" s="203"/>
      <c r="M73" s="206"/>
      <c r="N73" s="206"/>
      <c r="O73" s="207"/>
      <c r="P73" s="208"/>
      <c r="Q73" s="206"/>
      <c r="R73" s="207"/>
      <c r="S73" s="208"/>
      <c r="T73" s="206"/>
      <c r="U73" s="207"/>
      <c r="V73" s="208"/>
      <c r="W73" s="206"/>
      <c r="X73" s="207"/>
      <c r="Y73" s="208"/>
      <c r="Z73" s="206"/>
      <c r="AA73" s="207"/>
      <c r="AB73" s="208"/>
      <c r="AC73" s="206"/>
      <c r="AD73" s="207"/>
      <c r="AE73" s="208"/>
      <c r="AF73" s="206"/>
      <c r="AG73" s="207"/>
      <c r="AH73" s="208"/>
      <c r="AI73" s="209"/>
      <c r="AJ73" s="210"/>
      <c r="AK73" s="208"/>
    </row>
    <row r="74" ht="15.75" customHeight="1">
      <c r="A74" s="211" t="s">
        <v>139</v>
      </c>
      <c r="B74" s="211"/>
      <c r="C74" s="212"/>
      <c r="D74" s="213">
        <v>3.0</v>
      </c>
      <c r="E74" s="214" t="str">
        <f>'Habilidades de Rol'!D24</f>
        <v>Acrobacias, Trato con animales, Arcano, Atletismo, Engaño, Historia, Perspicacia, Intimidacion, Investigacion, Medicina, Naturaleza, Percepcion, Interpretacion, Persuasion, Religion, Juego de Manos, Sigilo, Supervivencia, </v>
      </c>
      <c r="F74" s="215">
        <v>8.0</v>
      </c>
      <c r="G74" s="215" t="s">
        <v>242</v>
      </c>
      <c r="H74" s="215" t="s">
        <v>205</v>
      </c>
      <c r="I74" s="216"/>
      <c r="J74" s="216" t="s">
        <v>266</v>
      </c>
      <c r="K74" s="215" t="s">
        <v>267</v>
      </c>
      <c r="L74" s="217" t="s">
        <v>221</v>
      </c>
      <c r="M74" s="215" t="s">
        <v>268</v>
      </c>
      <c r="N74" s="215"/>
      <c r="O74" s="215" t="s">
        <v>269</v>
      </c>
      <c r="P74" s="215" t="s">
        <v>270</v>
      </c>
      <c r="Q74" s="215" t="s">
        <v>271</v>
      </c>
      <c r="R74" s="215" t="s">
        <v>103</v>
      </c>
      <c r="S74" s="215" t="s">
        <v>272</v>
      </c>
      <c r="T74" s="215" t="s">
        <v>273</v>
      </c>
      <c r="U74" s="215" t="s">
        <v>107</v>
      </c>
      <c r="V74" s="215" t="s">
        <v>103</v>
      </c>
      <c r="W74" s="215" t="s">
        <v>274</v>
      </c>
      <c r="X74" s="215" t="s">
        <v>275</v>
      </c>
      <c r="Y74" s="215" t="s">
        <v>107</v>
      </c>
      <c r="Z74" s="215" t="s">
        <v>103</v>
      </c>
      <c r="AA74" s="215" t="s">
        <v>276</v>
      </c>
      <c r="AB74" s="215" t="s">
        <v>277</v>
      </c>
      <c r="AC74" s="215" t="s">
        <v>278</v>
      </c>
      <c r="AD74" s="215" t="s">
        <v>103</v>
      </c>
      <c r="AE74" s="215" t="s">
        <v>279</v>
      </c>
      <c r="AF74" s="215" t="s">
        <v>280</v>
      </c>
      <c r="AG74" s="215" t="s">
        <v>103</v>
      </c>
      <c r="AH74" s="215" t="s">
        <v>281</v>
      </c>
      <c r="AI74" s="217" t="s">
        <v>135</v>
      </c>
      <c r="AJ74" s="218" t="s">
        <v>18</v>
      </c>
      <c r="AK74" s="215" t="s">
        <v>114</v>
      </c>
    </row>
    <row r="75" ht="15.75" hidden="1" customHeight="1">
      <c r="A75" s="219" t="s">
        <v>139</v>
      </c>
      <c r="B75" s="211" t="s">
        <v>142</v>
      </c>
      <c r="C75" s="212" t="s">
        <v>107</v>
      </c>
      <c r="D75" s="219"/>
      <c r="E75" s="219"/>
      <c r="F75" s="220"/>
      <c r="G75" s="216"/>
      <c r="H75" s="216"/>
      <c r="I75" s="216"/>
      <c r="J75" s="216"/>
      <c r="K75" s="221"/>
      <c r="L75" s="219"/>
      <c r="M75" s="219"/>
      <c r="N75" s="219"/>
      <c r="O75" s="221"/>
      <c r="P75" s="219"/>
      <c r="Q75" s="219"/>
      <c r="R75" s="221"/>
      <c r="S75" s="219"/>
      <c r="T75" s="219"/>
      <c r="U75" s="221"/>
      <c r="V75" s="219"/>
      <c r="W75" s="219"/>
      <c r="X75" s="221"/>
      <c r="Y75" s="219"/>
      <c r="Z75" s="219"/>
      <c r="AA75" s="221"/>
      <c r="AB75" s="219"/>
      <c r="AC75" s="219"/>
      <c r="AD75" s="221"/>
      <c r="AE75" s="219"/>
      <c r="AF75" s="219"/>
      <c r="AG75" s="221"/>
      <c r="AH75" s="219"/>
      <c r="AI75" s="219"/>
      <c r="AJ75" s="221"/>
      <c r="AK75" s="219"/>
    </row>
    <row r="76" ht="15.75" hidden="1" customHeight="1">
      <c r="A76" s="219" t="s">
        <v>139</v>
      </c>
      <c r="B76" s="211" t="s">
        <v>145</v>
      </c>
      <c r="C76" s="212" t="s">
        <v>107</v>
      </c>
      <c r="D76" s="219"/>
      <c r="E76" s="219"/>
      <c r="F76" s="220"/>
      <c r="G76" s="216"/>
      <c r="H76" s="216"/>
      <c r="I76" s="216"/>
      <c r="J76" s="216"/>
      <c r="K76" s="221"/>
      <c r="L76" s="219"/>
      <c r="M76" s="219"/>
      <c r="N76" s="219"/>
      <c r="O76" s="221"/>
      <c r="P76" s="219"/>
      <c r="Q76" s="219"/>
      <c r="R76" s="221"/>
      <c r="S76" s="219"/>
      <c r="T76" s="219"/>
      <c r="U76" s="221"/>
      <c r="V76" s="219"/>
      <c r="W76" s="219"/>
      <c r="X76" s="221"/>
      <c r="Y76" s="219"/>
      <c r="Z76" s="219"/>
      <c r="AA76" s="221"/>
      <c r="AB76" s="219"/>
      <c r="AC76" s="219"/>
      <c r="AD76" s="221"/>
      <c r="AE76" s="219"/>
      <c r="AF76" s="219"/>
      <c r="AG76" s="221"/>
      <c r="AH76" s="219"/>
      <c r="AI76" s="219"/>
      <c r="AJ76" s="221"/>
      <c r="AK76" s="219"/>
    </row>
    <row r="77" ht="15.75" hidden="1" customHeight="1">
      <c r="A77" s="219" t="s">
        <v>139</v>
      </c>
      <c r="B77" s="211" t="s">
        <v>148</v>
      </c>
      <c r="C77" s="212" t="s">
        <v>282</v>
      </c>
      <c r="D77" s="218"/>
      <c r="E77" s="222"/>
      <c r="F77" s="220"/>
      <c r="G77" s="216"/>
      <c r="H77" s="216"/>
      <c r="I77" s="216"/>
      <c r="J77" s="216"/>
      <c r="K77" s="221"/>
      <c r="L77" s="219"/>
      <c r="M77" s="219"/>
      <c r="N77" s="219"/>
      <c r="O77" s="221"/>
      <c r="P77" s="219"/>
      <c r="Q77" s="219"/>
      <c r="R77" s="221"/>
      <c r="S77" s="219"/>
      <c r="T77" s="219"/>
      <c r="U77" s="221"/>
      <c r="V77" s="219"/>
      <c r="W77" s="219"/>
      <c r="X77" s="221"/>
      <c r="Y77" s="219"/>
      <c r="Z77" s="219"/>
      <c r="AA77" s="221"/>
      <c r="AB77" s="219"/>
      <c r="AC77" s="219"/>
      <c r="AD77" s="221"/>
      <c r="AE77" s="219"/>
      <c r="AF77" s="219"/>
      <c r="AG77" s="221"/>
      <c r="AH77" s="219"/>
      <c r="AI77" s="219"/>
      <c r="AJ77" s="221"/>
      <c r="AK77" s="219"/>
    </row>
    <row r="78" ht="15.75" hidden="1" customHeight="1">
      <c r="A78" s="219" t="s">
        <v>139</v>
      </c>
      <c r="B78" s="211" t="s">
        <v>152</v>
      </c>
      <c r="C78" s="212" t="s">
        <v>107</v>
      </c>
      <c r="D78" s="219"/>
      <c r="E78" s="219"/>
      <c r="F78" s="220"/>
      <c r="G78" s="216"/>
      <c r="H78" s="216"/>
      <c r="I78" s="216"/>
      <c r="J78" s="216"/>
      <c r="K78" s="221"/>
      <c r="L78" s="219"/>
      <c r="M78" s="219"/>
      <c r="N78" s="219"/>
      <c r="O78" s="221"/>
      <c r="P78" s="219"/>
      <c r="Q78" s="219"/>
      <c r="R78" s="221"/>
      <c r="S78" s="219"/>
      <c r="T78" s="219"/>
      <c r="U78" s="221"/>
      <c r="V78" s="219"/>
      <c r="W78" s="219"/>
      <c r="X78" s="221"/>
      <c r="Y78" s="219"/>
      <c r="Z78" s="219"/>
      <c r="AA78" s="221"/>
      <c r="AB78" s="219"/>
      <c r="AC78" s="219"/>
      <c r="AD78" s="221"/>
      <c r="AE78" s="219"/>
      <c r="AF78" s="219"/>
      <c r="AG78" s="221"/>
      <c r="AH78" s="219"/>
      <c r="AI78" s="219"/>
      <c r="AJ78" s="221"/>
      <c r="AK78" s="219"/>
    </row>
    <row r="79" ht="15.75" customHeight="1">
      <c r="A79" s="223" t="s">
        <v>139</v>
      </c>
      <c r="B79" s="223" t="s">
        <v>155</v>
      </c>
      <c r="C79" s="71" t="s">
        <v>283</v>
      </c>
      <c r="D79" s="224">
        <v>4.0</v>
      </c>
      <c r="E79" s="225" t="str">
        <f>D74&amp;" Escogidas anteriormente + 1 de: "&amp;E134</f>
        <v>3 Escogidas anteriormente + 1 de: Acrobacias, Atletismo, Historia, Perspicacia, Religion, Sigilo, </v>
      </c>
      <c r="F79" s="225" t="str">
        <f>F134&amp;" + "&amp;I79</f>
        <v>8 + DES </v>
      </c>
      <c r="G79" s="226" t="str">
        <f>J74</f>
        <v>DES + CAR</v>
      </c>
      <c r="H79" s="226" t="str">
        <f>J134</f>
        <v>DES + SAB</v>
      </c>
      <c r="I79" s="226" t="s">
        <v>284</v>
      </c>
      <c r="J79" s="226" t="s">
        <v>285</v>
      </c>
      <c r="K79" s="227"/>
      <c r="L79" s="225"/>
      <c r="M79" s="228"/>
      <c r="N79" s="228"/>
      <c r="O79" s="229"/>
      <c r="P79" s="228"/>
      <c r="Q79" s="228"/>
      <c r="R79" s="229"/>
      <c r="S79" s="228"/>
      <c r="T79" s="228"/>
      <c r="U79" s="229"/>
      <c r="V79" s="228"/>
      <c r="W79" s="228"/>
      <c r="X79" s="229"/>
      <c r="Y79" s="228"/>
      <c r="Z79" s="228"/>
      <c r="AA79" s="229"/>
      <c r="AB79" s="228"/>
      <c r="AC79" s="228"/>
      <c r="AD79" s="229"/>
      <c r="AE79" s="228"/>
      <c r="AF79" s="228"/>
      <c r="AG79" s="229"/>
      <c r="AH79" s="228"/>
      <c r="AI79" s="230"/>
      <c r="AJ79" s="231"/>
      <c r="AK79" s="228"/>
    </row>
    <row r="80" ht="15.75" customHeight="1">
      <c r="A80" s="223" t="s">
        <v>139</v>
      </c>
      <c r="B80" s="223" t="s">
        <v>93</v>
      </c>
      <c r="C80" s="71" t="s">
        <v>286</v>
      </c>
      <c r="D80" s="224">
        <v>4.0</v>
      </c>
      <c r="E80" s="225" t="str">
        <f>D74&amp;" Escogidas anteriormente + 1 de: "&amp;E2</f>
        <v>3 Escogidas anteriormente + 1 de: Atletismo, Perspicacia, Intimidacion, Medicina, Persuasion, Religion, </v>
      </c>
      <c r="F80" s="225" t="str">
        <f>F2&amp;" + "&amp;I80</f>
        <v>10 + CAR</v>
      </c>
      <c r="G80" s="226" t="str">
        <f>J74</f>
        <v>DES + CAR</v>
      </c>
      <c r="H80" s="226" t="str">
        <f>J2</f>
        <v>SAB + CAR</v>
      </c>
      <c r="I80" s="226" t="s">
        <v>95</v>
      </c>
      <c r="J80" s="226" t="s">
        <v>285</v>
      </c>
      <c r="K80" s="227"/>
      <c r="L80" s="225"/>
      <c r="M80" s="232"/>
      <c r="N80" s="232"/>
      <c r="O80" s="229"/>
      <c r="P80" s="228"/>
      <c r="Q80" s="232"/>
      <c r="R80" s="229"/>
      <c r="S80" s="228"/>
      <c r="T80" s="232"/>
      <c r="U80" s="229"/>
      <c r="V80" s="228"/>
      <c r="W80" s="232"/>
      <c r="X80" s="229"/>
      <c r="Y80" s="228"/>
      <c r="Z80" s="232"/>
      <c r="AA80" s="229"/>
      <c r="AB80" s="228"/>
      <c r="AC80" s="232"/>
      <c r="AD80" s="229"/>
      <c r="AE80" s="228"/>
      <c r="AF80" s="232"/>
      <c r="AG80" s="229"/>
      <c r="AH80" s="228"/>
      <c r="AI80" s="230"/>
      <c r="AJ80" s="231"/>
      <c r="AK80" s="228"/>
    </row>
    <row r="81" ht="15.75" hidden="1" customHeight="1">
      <c r="A81" s="219" t="s">
        <v>139</v>
      </c>
      <c r="B81" s="211" t="s">
        <v>115</v>
      </c>
      <c r="C81" s="212" t="s">
        <v>107</v>
      </c>
      <c r="D81" s="219"/>
      <c r="E81" s="233"/>
      <c r="F81" s="220"/>
      <c r="G81" s="216"/>
      <c r="H81" s="216"/>
      <c r="I81" s="216"/>
      <c r="J81" s="216"/>
      <c r="K81" s="221"/>
      <c r="L81" s="219"/>
      <c r="M81" s="233"/>
      <c r="N81" s="233"/>
      <c r="O81" s="221"/>
      <c r="P81" s="219"/>
      <c r="Q81" s="233"/>
      <c r="R81" s="221"/>
      <c r="S81" s="219"/>
      <c r="T81" s="233"/>
      <c r="U81" s="221"/>
      <c r="V81" s="219"/>
      <c r="W81" s="233"/>
      <c r="X81" s="221"/>
      <c r="Y81" s="219"/>
      <c r="Z81" s="233"/>
      <c r="AA81" s="221"/>
      <c r="AB81" s="219"/>
      <c r="AC81" s="233"/>
      <c r="AD81" s="221"/>
      <c r="AE81" s="219"/>
      <c r="AF81" s="233"/>
      <c r="AG81" s="221"/>
      <c r="AH81" s="219"/>
      <c r="AI81" s="233"/>
      <c r="AJ81" s="221"/>
      <c r="AK81" s="219"/>
    </row>
    <row r="82" ht="15.75" hidden="1" customHeight="1">
      <c r="A82" s="219" t="s">
        <v>139</v>
      </c>
      <c r="B82" s="211" t="s">
        <v>121</v>
      </c>
      <c r="C82" s="212" t="s">
        <v>107</v>
      </c>
      <c r="D82" s="219"/>
      <c r="E82" s="233"/>
      <c r="F82" s="220"/>
      <c r="G82" s="216"/>
      <c r="H82" s="216"/>
      <c r="I82" s="216"/>
      <c r="J82" s="216"/>
      <c r="K82" s="221"/>
      <c r="L82" s="219"/>
      <c r="M82" s="233"/>
      <c r="N82" s="233"/>
      <c r="O82" s="221"/>
      <c r="P82" s="219"/>
      <c r="Q82" s="233"/>
      <c r="R82" s="221"/>
      <c r="S82" s="219"/>
      <c r="T82" s="233"/>
      <c r="U82" s="221"/>
      <c r="V82" s="219"/>
      <c r="W82" s="233"/>
      <c r="X82" s="221"/>
      <c r="Y82" s="219"/>
      <c r="Z82" s="233"/>
      <c r="AA82" s="221"/>
      <c r="AB82" s="219"/>
      <c r="AC82" s="233"/>
      <c r="AD82" s="221"/>
      <c r="AE82" s="219"/>
      <c r="AF82" s="233"/>
      <c r="AG82" s="221"/>
      <c r="AH82" s="219"/>
      <c r="AI82" s="233"/>
      <c r="AJ82" s="221"/>
      <c r="AK82" s="219"/>
    </row>
    <row r="83" ht="15.75" hidden="1" customHeight="1">
      <c r="A83" s="219" t="s">
        <v>139</v>
      </c>
      <c r="B83" s="211" t="s">
        <v>126</v>
      </c>
      <c r="C83" s="212" t="s">
        <v>287</v>
      </c>
      <c r="D83" s="218"/>
      <c r="E83" s="234"/>
      <c r="F83" s="220"/>
      <c r="G83" s="216"/>
      <c r="H83" s="216"/>
      <c r="I83" s="216"/>
      <c r="J83" s="216"/>
      <c r="K83" s="221"/>
      <c r="L83" s="219"/>
      <c r="M83" s="233"/>
      <c r="N83" s="233"/>
      <c r="O83" s="221"/>
      <c r="P83" s="219"/>
      <c r="Q83" s="233"/>
      <c r="R83" s="221"/>
      <c r="S83" s="219"/>
      <c r="T83" s="233"/>
      <c r="U83" s="221"/>
      <c r="V83" s="219"/>
      <c r="W83" s="233"/>
      <c r="X83" s="221"/>
      <c r="Y83" s="219"/>
      <c r="Z83" s="233"/>
      <c r="AA83" s="221"/>
      <c r="AB83" s="219"/>
      <c r="AC83" s="233"/>
      <c r="AD83" s="221"/>
      <c r="AE83" s="219"/>
      <c r="AF83" s="233"/>
      <c r="AG83" s="221"/>
      <c r="AH83" s="219"/>
      <c r="AI83" s="233"/>
      <c r="AJ83" s="221"/>
      <c r="AK83" s="219"/>
    </row>
    <row r="84" ht="15.75" customHeight="1">
      <c r="A84" s="223" t="s">
        <v>139</v>
      </c>
      <c r="B84" s="223" t="s">
        <v>130</v>
      </c>
      <c r="C84" s="71" t="s">
        <v>288</v>
      </c>
      <c r="D84" s="224">
        <v>4.0</v>
      </c>
      <c r="E84" s="225" t="str">
        <f>D74&amp;" Escogidas anteriormente + 1 de: "&amp;E50</f>
        <v>3 Escogidas anteriormente + 1 de: Arcano, Engaño, Historia, Intimidacion, Investigacion, Naturaleza, Religion, </v>
      </c>
      <c r="F84" s="225" t="str">
        <f>F50&amp;" + "&amp;I84</f>
        <v>8 + CAR</v>
      </c>
      <c r="G84" s="226" t="str">
        <f>J74</f>
        <v>DES + CAR</v>
      </c>
      <c r="H84" s="226" t="str">
        <f>J50</f>
        <v>SAB + CAR</v>
      </c>
      <c r="I84" s="226" t="s">
        <v>95</v>
      </c>
      <c r="J84" s="226" t="s">
        <v>289</v>
      </c>
      <c r="K84" s="227"/>
      <c r="L84" s="225"/>
      <c r="M84" s="228"/>
      <c r="N84" s="228"/>
      <c r="O84" s="229"/>
      <c r="P84" s="228"/>
      <c r="Q84" s="228"/>
      <c r="R84" s="229"/>
      <c r="S84" s="228"/>
      <c r="T84" s="228"/>
      <c r="U84" s="229"/>
      <c r="V84" s="228"/>
      <c r="W84" s="228"/>
      <c r="X84" s="229"/>
      <c r="Y84" s="228"/>
      <c r="Z84" s="228"/>
      <c r="AA84" s="229"/>
      <c r="AB84" s="228"/>
      <c r="AC84" s="228"/>
      <c r="AD84" s="229"/>
      <c r="AE84" s="228"/>
      <c r="AF84" s="228"/>
      <c r="AG84" s="229"/>
      <c r="AH84" s="228"/>
      <c r="AI84" s="230"/>
      <c r="AJ84" s="231"/>
      <c r="AK84" s="228"/>
    </row>
    <row r="85" ht="15.75" hidden="1" customHeight="1">
      <c r="A85" s="219" t="s">
        <v>139</v>
      </c>
      <c r="B85" s="211" t="s">
        <v>136</v>
      </c>
      <c r="C85" s="212" t="s">
        <v>290</v>
      </c>
      <c r="D85" s="218"/>
      <c r="E85" s="234"/>
      <c r="F85" s="220"/>
      <c r="G85" s="216"/>
      <c r="H85" s="216"/>
      <c r="I85" s="216"/>
      <c r="J85" s="216"/>
      <c r="K85" s="221"/>
      <c r="L85" s="219"/>
      <c r="M85" s="233"/>
      <c r="N85" s="233"/>
      <c r="O85" s="221"/>
      <c r="P85" s="219"/>
      <c r="Q85" s="233"/>
      <c r="R85" s="221"/>
      <c r="S85" s="219"/>
      <c r="T85" s="233"/>
      <c r="U85" s="221"/>
      <c r="V85" s="219"/>
      <c r="W85" s="233"/>
      <c r="X85" s="221"/>
      <c r="Y85" s="219"/>
      <c r="Z85" s="233"/>
      <c r="AA85" s="221"/>
      <c r="AB85" s="219"/>
      <c r="AC85" s="233"/>
      <c r="AD85" s="221"/>
      <c r="AE85" s="219"/>
      <c r="AF85" s="233"/>
      <c r="AG85" s="221"/>
      <c r="AH85" s="219"/>
      <c r="AI85" s="233"/>
      <c r="AJ85" s="221"/>
      <c r="AK85" s="219"/>
    </row>
    <row r="86" ht="15.75" customHeight="1">
      <c r="A86" s="235" t="s">
        <v>142</v>
      </c>
      <c r="B86" s="235"/>
      <c r="C86" s="236"/>
      <c r="D86" s="237">
        <v>2.0</v>
      </c>
      <c r="E86" s="238" t="str">
        <f>'Habilidades de Rol'!D23</f>
        <v>Trato con animales, Atletismo, Intimidacion, Naturaleza, Percepcion, Supervivencia, </v>
      </c>
      <c r="F86" s="239">
        <v>12.0</v>
      </c>
      <c r="G86" s="240" t="s">
        <v>157</v>
      </c>
      <c r="H86" s="240" t="s">
        <v>158</v>
      </c>
      <c r="I86" s="240"/>
      <c r="J86" s="240" t="s">
        <v>159</v>
      </c>
      <c r="K86" s="239" t="s">
        <v>291</v>
      </c>
      <c r="L86" s="241" t="s">
        <v>292</v>
      </c>
      <c r="M86" s="240" t="s">
        <v>293</v>
      </c>
      <c r="N86" s="240"/>
      <c r="O86" s="240" t="s">
        <v>294</v>
      </c>
      <c r="P86" s="239" t="s">
        <v>295</v>
      </c>
      <c r="Q86" s="240" t="s">
        <v>296</v>
      </c>
      <c r="R86" s="240" t="s">
        <v>103</v>
      </c>
      <c r="S86" s="239" t="s">
        <v>297</v>
      </c>
      <c r="T86" s="240" t="s">
        <v>298</v>
      </c>
      <c r="U86" s="240" t="s">
        <v>299</v>
      </c>
      <c r="V86" s="239" t="s">
        <v>103</v>
      </c>
      <c r="W86" s="240" t="s">
        <v>300</v>
      </c>
      <c r="X86" s="240" t="s">
        <v>301</v>
      </c>
      <c r="Y86" s="239" t="s">
        <v>302</v>
      </c>
      <c r="Z86" s="240" t="s">
        <v>103</v>
      </c>
      <c r="AA86" s="240" t="s">
        <v>300</v>
      </c>
      <c r="AB86" s="239" t="s">
        <v>303</v>
      </c>
      <c r="AC86" s="240" t="s">
        <v>304</v>
      </c>
      <c r="AD86" s="240" t="s">
        <v>103</v>
      </c>
      <c r="AE86" s="239" t="s">
        <v>300</v>
      </c>
      <c r="AF86" s="240" t="s">
        <v>305</v>
      </c>
      <c r="AG86" s="240" t="s">
        <v>103</v>
      </c>
      <c r="AH86" s="239" t="s">
        <v>306</v>
      </c>
      <c r="AI86" s="242" t="s">
        <v>171</v>
      </c>
      <c r="AJ86" s="237"/>
      <c r="AK86" s="240"/>
    </row>
    <row r="87" ht="15.75" hidden="1" customHeight="1">
      <c r="A87" s="243" t="s">
        <v>142</v>
      </c>
      <c r="B87" s="235" t="s">
        <v>145</v>
      </c>
      <c r="C87" s="236" t="s">
        <v>107</v>
      </c>
      <c r="D87" s="243"/>
      <c r="E87" s="243"/>
      <c r="F87" s="244"/>
      <c r="G87" s="240"/>
      <c r="H87" s="240"/>
      <c r="I87" s="240"/>
      <c r="J87" s="240"/>
      <c r="K87" s="245"/>
      <c r="L87" s="243"/>
      <c r="M87" s="243"/>
      <c r="N87" s="243"/>
      <c r="O87" s="245"/>
      <c r="P87" s="243"/>
      <c r="Q87" s="243"/>
      <c r="R87" s="245"/>
      <c r="S87" s="243"/>
      <c r="T87" s="243"/>
      <c r="U87" s="245"/>
      <c r="V87" s="243"/>
      <c r="W87" s="243"/>
      <c r="X87" s="245"/>
      <c r="Y87" s="243"/>
      <c r="Z87" s="243"/>
      <c r="AA87" s="245"/>
      <c r="AB87" s="243"/>
      <c r="AC87" s="243"/>
      <c r="AD87" s="245"/>
      <c r="AE87" s="243"/>
      <c r="AF87" s="243"/>
      <c r="AG87" s="245"/>
      <c r="AH87" s="243"/>
      <c r="AI87" s="243"/>
      <c r="AJ87" s="245"/>
      <c r="AK87" s="243"/>
    </row>
    <row r="88" ht="15.75" customHeight="1">
      <c r="A88" s="246" t="s">
        <v>142</v>
      </c>
      <c r="B88" s="246" t="s">
        <v>148</v>
      </c>
      <c r="C88" s="71" t="s">
        <v>307</v>
      </c>
      <c r="D88" s="247">
        <v>3.0</v>
      </c>
      <c r="E88" s="248" t="str">
        <f>D86&amp;" Escogidas anteriormente + 1 de: "&amp;E110</f>
        <v>2 Escogidas anteriormente + 1 de: Trato con animales, Arcano, Perspicacia, Medicina, Naturaleza, Percepcion, Religion, Supervivencia, </v>
      </c>
      <c r="F88" s="248" t="str">
        <f>F110&amp;" + "&amp;I88</f>
        <v>8 + FUE</v>
      </c>
      <c r="G88" s="249" t="str">
        <f>J86</f>
        <v>FUE + CONS</v>
      </c>
      <c r="H88" s="249" t="str">
        <f>J110</f>
        <v>INT + SAB</v>
      </c>
      <c r="I88" s="249" t="s">
        <v>308</v>
      </c>
      <c r="J88" s="249" t="s">
        <v>309</v>
      </c>
      <c r="K88" s="250"/>
      <c r="L88" s="248"/>
      <c r="M88" s="251"/>
      <c r="N88" s="251"/>
      <c r="O88" s="252"/>
      <c r="P88" s="251"/>
      <c r="Q88" s="251"/>
      <c r="R88" s="252"/>
      <c r="S88" s="251"/>
      <c r="T88" s="251"/>
      <c r="U88" s="252"/>
      <c r="V88" s="251"/>
      <c r="W88" s="251"/>
      <c r="X88" s="252"/>
      <c r="Y88" s="251"/>
      <c r="Z88" s="251"/>
      <c r="AA88" s="252"/>
      <c r="AB88" s="251"/>
      <c r="AC88" s="251"/>
      <c r="AD88" s="252"/>
      <c r="AE88" s="251"/>
      <c r="AF88" s="251"/>
      <c r="AG88" s="252"/>
      <c r="AH88" s="251"/>
      <c r="AI88" s="253"/>
      <c r="AJ88" s="254"/>
      <c r="AK88" s="251"/>
    </row>
    <row r="89" ht="15.75" hidden="1" customHeight="1">
      <c r="A89" s="243" t="s">
        <v>142</v>
      </c>
      <c r="B89" s="235" t="s">
        <v>152</v>
      </c>
      <c r="C89" s="236" t="s">
        <v>107</v>
      </c>
      <c r="D89" s="243"/>
      <c r="E89" s="243"/>
      <c r="F89" s="244"/>
      <c r="G89" s="240"/>
      <c r="H89" s="240"/>
      <c r="I89" s="240"/>
      <c r="J89" s="240"/>
      <c r="K89" s="245"/>
      <c r="L89" s="243"/>
      <c r="M89" s="243"/>
      <c r="N89" s="243"/>
      <c r="O89" s="245"/>
      <c r="P89" s="243"/>
      <c r="Q89" s="243"/>
      <c r="R89" s="245"/>
      <c r="S89" s="243"/>
      <c r="T89" s="243"/>
      <c r="U89" s="245"/>
      <c r="V89" s="243"/>
      <c r="W89" s="243"/>
      <c r="X89" s="245"/>
      <c r="Y89" s="243"/>
      <c r="Z89" s="243"/>
      <c r="AA89" s="245"/>
      <c r="AB89" s="243"/>
      <c r="AC89" s="243"/>
      <c r="AD89" s="245"/>
      <c r="AE89" s="243"/>
      <c r="AF89" s="243"/>
      <c r="AG89" s="245"/>
      <c r="AH89" s="243"/>
      <c r="AI89" s="243"/>
      <c r="AJ89" s="245"/>
      <c r="AK89" s="243"/>
    </row>
    <row r="90" ht="15.75" hidden="1" customHeight="1">
      <c r="A90" s="243" t="s">
        <v>142</v>
      </c>
      <c r="B90" s="235" t="s">
        <v>155</v>
      </c>
      <c r="C90" s="236" t="s">
        <v>310</v>
      </c>
      <c r="D90" s="237"/>
      <c r="E90" s="255"/>
      <c r="F90" s="244"/>
      <c r="G90" s="240"/>
      <c r="H90" s="240"/>
      <c r="I90" s="240"/>
      <c r="J90" s="240"/>
      <c r="K90" s="245"/>
      <c r="L90" s="243"/>
      <c r="M90" s="243"/>
      <c r="N90" s="243"/>
      <c r="O90" s="245"/>
      <c r="P90" s="243"/>
      <c r="Q90" s="243"/>
      <c r="R90" s="245"/>
      <c r="S90" s="243"/>
      <c r="T90" s="243"/>
      <c r="U90" s="245"/>
      <c r="V90" s="243"/>
      <c r="W90" s="243"/>
      <c r="X90" s="245"/>
      <c r="Y90" s="243"/>
      <c r="Z90" s="243"/>
      <c r="AA90" s="245"/>
      <c r="AB90" s="243"/>
      <c r="AC90" s="243"/>
      <c r="AD90" s="245"/>
      <c r="AE90" s="243"/>
      <c r="AF90" s="243"/>
      <c r="AG90" s="245"/>
      <c r="AH90" s="243"/>
      <c r="AI90" s="243"/>
      <c r="AJ90" s="245"/>
      <c r="AK90" s="243"/>
    </row>
    <row r="91" ht="15.75" customHeight="1">
      <c r="A91" s="246" t="s">
        <v>142</v>
      </c>
      <c r="B91" s="246" t="s">
        <v>93</v>
      </c>
      <c r="C91" s="256" t="s">
        <v>311</v>
      </c>
      <c r="D91" s="247">
        <v>3.0</v>
      </c>
      <c r="E91" s="248" t="str">
        <f>D86&amp;" Escogidas anteriormente + 1 de: "&amp;E2</f>
        <v>2 Escogidas anteriormente + 1 de: Atletismo, Perspicacia, Intimidacion, Medicina, Persuasion, Religion, </v>
      </c>
      <c r="F91" s="248" t="str">
        <f>F2&amp;" + "&amp;I91</f>
        <v>10 + CONS</v>
      </c>
      <c r="G91" s="249" t="str">
        <f>J86</f>
        <v>FUE + CONS</v>
      </c>
      <c r="H91" s="249" t="str">
        <f>J2</f>
        <v>SAB + CAR</v>
      </c>
      <c r="I91" s="249" t="s">
        <v>117</v>
      </c>
      <c r="J91" s="249" t="s">
        <v>144</v>
      </c>
      <c r="K91" s="250"/>
      <c r="L91" s="248"/>
      <c r="M91" s="257"/>
      <c r="N91" s="257"/>
      <c r="O91" s="252"/>
      <c r="P91" s="251"/>
      <c r="Q91" s="257"/>
      <c r="R91" s="252"/>
      <c r="S91" s="251"/>
      <c r="T91" s="257"/>
      <c r="U91" s="252"/>
      <c r="V91" s="251"/>
      <c r="W91" s="257"/>
      <c r="X91" s="252"/>
      <c r="Y91" s="251"/>
      <c r="Z91" s="257"/>
      <c r="AA91" s="252"/>
      <c r="AB91" s="251"/>
      <c r="AC91" s="257"/>
      <c r="AD91" s="252"/>
      <c r="AE91" s="251"/>
      <c r="AF91" s="257"/>
      <c r="AG91" s="252"/>
      <c r="AH91" s="251"/>
      <c r="AI91" s="253"/>
      <c r="AJ91" s="254"/>
      <c r="AK91" s="251"/>
    </row>
    <row r="92" ht="15.75" hidden="1" customHeight="1">
      <c r="A92" s="243" t="s">
        <v>142</v>
      </c>
      <c r="B92" s="235" t="s">
        <v>115</v>
      </c>
      <c r="C92" s="236" t="s">
        <v>312</v>
      </c>
      <c r="D92" s="237"/>
      <c r="E92" s="258"/>
      <c r="F92" s="244"/>
      <c r="G92" s="240"/>
      <c r="H92" s="240"/>
      <c r="I92" s="240"/>
      <c r="J92" s="240"/>
      <c r="K92" s="245"/>
      <c r="L92" s="243"/>
      <c r="M92" s="259"/>
      <c r="N92" s="259"/>
      <c r="O92" s="245"/>
      <c r="P92" s="243"/>
      <c r="Q92" s="259"/>
      <c r="R92" s="245"/>
      <c r="S92" s="243"/>
      <c r="T92" s="259"/>
      <c r="U92" s="245"/>
      <c r="V92" s="243"/>
      <c r="W92" s="259"/>
      <c r="X92" s="245"/>
      <c r="Y92" s="243"/>
      <c r="Z92" s="259"/>
      <c r="AA92" s="245"/>
      <c r="AB92" s="243"/>
      <c r="AC92" s="259"/>
      <c r="AD92" s="245"/>
      <c r="AE92" s="243"/>
      <c r="AF92" s="259"/>
      <c r="AG92" s="245"/>
      <c r="AH92" s="243"/>
      <c r="AI92" s="259"/>
      <c r="AJ92" s="245"/>
      <c r="AK92" s="243"/>
    </row>
    <row r="93" ht="15.75" hidden="1" customHeight="1">
      <c r="A93" s="243" t="s">
        <v>142</v>
      </c>
      <c r="B93" s="235" t="s">
        <v>121</v>
      </c>
      <c r="C93" s="236" t="s">
        <v>107</v>
      </c>
      <c r="D93" s="243"/>
      <c r="E93" s="259"/>
      <c r="F93" s="244"/>
      <c r="G93" s="240"/>
      <c r="H93" s="240"/>
      <c r="I93" s="240"/>
      <c r="J93" s="240"/>
      <c r="K93" s="245"/>
      <c r="L93" s="243"/>
      <c r="M93" s="259"/>
      <c r="N93" s="259"/>
      <c r="O93" s="245"/>
      <c r="P93" s="243"/>
      <c r="Q93" s="259"/>
      <c r="R93" s="245"/>
      <c r="S93" s="243"/>
      <c r="T93" s="259"/>
      <c r="U93" s="245"/>
      <c r="V93" s="243"/>
      <c r="W93" s="259"/>
      <c r="X93" s="245"/>
      <c r="Y93" s="243"/>
      <c r="Z93" s="259"/>
      <c r="AA93" s="245"/>
      <c r="AB93" s="243"/>
      <c r="AC93" s="259"/>
      <c r="AD93" s="245"/>
      <c r="AE93" s="243"/>
      <c r="AF93" s="259"/>
      <c r="AG93" s="245"/>
      <c r="AH93" s="243"/>
      <c r="AI93" s="259"/>
      <c r="AJ93" s="245"/>
      <c r="AK93" s="243"/>
    </row>
    <row r="94" ht="15.75" hidden="1" customHeight="1">
      <c r="A94" s="243" t="s">
        <v>142</v>
      </c>
      <c r="B94" s="235" t="s">
        <v>126</v>
      </c>
      <c r="C94" s="236" t="s">
        <v>313</v>
      </c>
      <c r="D94" s="237"/>
      <c r="E94" s="258"/>
      <c r="F94" s="244"/>
      <c r="G94" s="240"/>
      <c r="H94" s="240"/>
      <c r="I94" s="240"/>
      <c r="J94" s="240"/>
      <c r="K94" s="245"/>
      <c r="L94" s="243"/>
      <c r="M94" s="259"/>
      <c r="N94" s="259"/>
      <c r="O94" s="245"/>
      <c r="P94" s="243"/>
      <c r="Q94" s="259"/>
      <c r="R94" s="245"/>
      <c r="S94" s="243"/>
      <c r="T94" s="259"/>
      <c r="U94" s="245"/>
      <c r="V94" s="243"/>
      <c r="W94" s="259"/>
      <c r="X94" s="245"/>
      <c r="Y94" s="243"/>
      <c r="Z94" s="259"/>
      <c r="AA94" s="245"/>
      <c r="AB94" s="243"/>
      <c r="AC94" s="259"/>
      <c r="AD94" s="245"/>
      <c r="AE94" s="243"/>
      <c r="AF94" s="259"/>
      <c r="AG94" s="245"/>
      <c r="AH94" s="243"/>
      <c r="AI94" s="259"/>
      <c r="AJ94" s="245"/>
      <c r="AK94" s="243"/>
    </row>
    <row r="95" ht="15.75" customHeight="1">
      <c r="A95" s="246" t="s">
        <v>142</v>
      </c>
      <c r="B95" s="246" t="s">
        <v>130</v>
      </c>
      <c r="C95" s="256" t="s">
        <v>314</v>
      </c>
      <c r="D95" s="247">
        <v>3.0</v>
      </c>
      <c r="E95" s="248" t="str">
        <f>D86&amp;" Escogidas anteriormente + 1 de: "&amp;E50</f>
        <v>2 Escogidas anteriormente + 1 de: Arcano, Engaño, Historia, Intimidacion, Investigacion, Naturaleza, Religion, </v>
      </c>
      <c r="F95" s="248" t="str">
        <f>F50&amp;" + "&amp;I95</f>
        <v>8 + CAR</v>
      </c>
      <c r="G95" s="249" t="str">
        <f>J86</f>
        <v>FUE + CONS</v>
      </c>
      <c r="H95" s="249" t="str">
        <f>J50</f>
        <v>SAB + CAR</v>
      </c>
      <c r="I95" s="249" t="s">
        <v>95</v>
      </c>
      <c r="J95" s="249" t="s">
        <v>315</v>
      </c>
      <c r="K95" s="250"/>
      <c r="L95" s="248"/>
      <c r="M95" s="251"/>
      <c r="N95" s="251"/>
      <c r="O95" s="252"/>
      <c r="P95" s="251"/>
      <c r="Q95" s="251"/>
      <c r="R95" s="252"/>
      <c r="S95" s="251"/>
      <c r="T95" s="251"/>
      <c r="U95" s="252"/>
      <c r="V95" s="251"/>
      <c r="W95" s="251"/>
      <c r="X95" s="252"/>
      <c r="Y95" s="251"/>
      <c r="Z95" s="251"/>
      <c r="AA95" s="252"/>
      <c r="AB95" s="251"/>
      <c r="AC95" s="251"/>
      <c r="AD95" s="252"/>
      <c r="AE95" s="251"/>
      <c r="AF95" s="251"/>
      <c r="AG95" s="252"/>
      <c r="AH95" s="251"/>
      <c r="AI95" s="253"/>
      <c r="AJ95" s="254"/>
      <c r="AK95" s="251"/>
    </row>
    <row r="96" ht="15.75" hidden="1" customHeight="1">
      <c r="A96" s="243" t="s">
        <v>142</v>
      </c>
      <c r="B96" s="235" t="s">
        <v>136</v>
      </c>
      <c r="C96" s="236" t="s">
        <v>107</v>
      </c>
      <c r="D96" s="243"/>
      <c r="E96" s="259"/>
      <c r="F96" s="244"/>
      <c r="G96" s="240"/>
      <c r="H96" s="240"/>
      <c r="I96" s="240"/>
      <c r="J96" s="240"/>
      <c r="K96" s="245"/>
      <c r="L96" s="243"/>
      <c r="M96" s="259"/>
      <c r="N96" s="259"/>
      <c r="O96" s="245"/>
      <c r="P96" s="243"/>
      <c r="Q96" s="259"/>
      <c r="R96" s="245"/>
      <c r="S96" s="243"/>
      <c r="T96" s="259"/>
      <c r="U96" s="245"/>
      <c r="V96" s="243"/>
      <c r="W96" s="259"/>
      <c r="X96" s="245"/>
      <c r="Y96" s="243"/>
      <c r="Z96" s="259"/>
      <c r="AA96" s="245"/>
      <c r="AB96" s="243"/>
      <c r="AC96" s="259"/>
      <c r="AD96" s="245"/>
      <c r="AE96" s="243"/>
      <c r="AF96" s="259"/>
      <c r="AG96" s="245"/>
      <c r="AH96" s="243"/>
      <c r="AI96" s="259"/>
      <c r="AJ96" s="245"/>
      <c r="AK96" s="243"/>
    </row>
    <row r="97" ht="15.75" hidden="1" customHeight="1">
      <c r="A97" s="243" t="s">
        <v>142</v>
      </c>
      <c r="B97" s="235" t="s">
        <v>139</v>
      </c>
      <c r="C97" s="236" t="s">
        <v>107</v>
      </c>
      <c r="D97" s="243"/>
      <c r="E97" s="243"/>
      <c r="F97" s="244"/>
      <c r="G97" s="240"/>
      <c r="H97" s="240"/>
      <c r="I97" s="240"/>
      <c r="J97" s="240"/>
      <c r="K97" s="245"/>
      <c r="L97" s="243"/>
      <c r="M97" s="243"/>
      <c r="N97" s="243"/>
      <c r="O97" s="245"/>
      <c r="P97" s="243"/>
      <c r="Q97" s="243"/>
      <c r="R97" s="245"/>
      <c r="S97" s="243"/>
      <c r="T97" s="243"/>
      <c r="U97" s="245"/>
      <c r="V97" s="243"/>
      <c r="W97" s="243"/>
      <c r="X97" s="245"/>
      <c r="Y97" s="243"/>
      <c r="Z97" s="243"/>
      <c r="AA97" s="245"/>
      <c r="AB97" s="243"/>
      <c r="AC97" s="243"/>
      <c r="AD97" s="245"/>
      <c r="AE97" s="243"/>
      <c r="AF97" s="243"/>
      <c r="AG97" s="245"/>
      <c r="AH97" s="243"/>
      <c r="AI97" s="243"/>
      <c r="AJ97" s="245"/>
      <c r="AK97" s="243"/>
    </row>
    <row r="98" ht="15.75" customHeight="1">
      <c r="A98" s="260" t="s">
        <v>145</v>
      </c>
      <c r="B98" s="260"/>
      <c r="C98" s="261"/>
      <c r="D98" s="262">
        <v>4.0</v>
      </c>
      <c r="E98" s="263" t="str">
        <f>'Habilidades de Rol'!D25</f>
        <v>Arcano, Atletismo, Historia, Perspicacia, Investigacion, Medicina, Naturaleza, Percepcion, Juego de Manos, </v>
      </c>
      <c r="F98" s="264">
        <v>8.0</v>
      </c>
      <c r="G98" s="265" t="s">
        <v>151</v>
      </c>
      <c r="H98" s="265" t="s">
        <v>316</v>
      </c>
      <c r="I98" s="265"/>
      <c r="J98" s="265" t="s">
        <v>317</v>
      </c>
      <c r="K98" s="266" t="s">
        <v>318</v>
      </c>
      <c r="L98" s="265" t="s">
        <v>292</v>
      </c>
      <c r="M98" s="265"/>
      <c r="N98" s="265"/>
      <c r="O98" s="267"/>
      <c r="P98" s="265"/>
      <c r="Q98" s="265"/>
      <c r="R98" s="267"/>
      <c r="S98" s="265"/>
      <c r="T98" s="265"/>
      <c r="U98" s="267"/>
      <c r="V98" s="265"/>
      <c r="W98" s="265"/>
      <c r="X98" s="267"/>
      <c r="Y98" s="265"/>
      <c r="Z98" s="265"/>
      <c r="AA98" s="267"/>
      <c r="AB98" s="265"/>
      <c r="AC98" s="265"/>
      <c r="AD98" s="267"/>
      <c r="AE98" s="265"/>
      <c r="AF98" s="265"/>
      <c r="AG98" s="267"/>
      <c r="AH98" s="265"/>
      <c r="AI98" s="265"/>
      <c r="AJ98" s="267"/>
      <c r="AK98" s="265"/>
    </row>
    <row r="99" ht="15.75" hidden="1" customHeight="1">
      <c r="A99" s="268" t="s">
        <v>145</v>
      </c>
      <c r="B99" s="260" t="s">
        <v>148</v>
      </c>
      <c r="C99" s="261" t="s">
        <v>107</v>
      </c>
      <c r="D99" s="268"/>
      <c r="E99" s="268"/>
      <c r="F99" s="269"/>
      <c r="G99" s="265"/>
      <c r="H99" s="265"/>
      <c r="I99" s="265"/>
      <c r="J99" s="265"/>
      <c r="K99" s="270"/>
      <c r="L99" s="268"/>
      <c r="M99" s="268"/>
      <c r="N99" s="268"/>
      <c r="O99" s="270"/>
      <c r="P99" s="268"/>
      <c r="Q99" s="268"/>
      <c r="R99" s="270"/>
      <c r="S99" s="268"/>
      <c r="T99" s="268"/>
      <c r="U99" s="270"/>
      <c r="V99" s="268"/>
      <c r="W99" s="268"/>
      <c r="X99" s="270"/>
      <c r="Y99" s="268"/>
      <c r="Z99" s="268"/>
      <c r="AA99" s="270"/>
      <c r="AB99" s="268"/>
      <c r="AC99" s="268"/>
      <c r="AD99" s="270"/>
      <c r="AE99" s="268"/>
      <c r="AF99" s="268"/>
      <c r="AG99" s="270"/>
      <c r="AH99" s="268"/>
      <c r="AI99" s="268"/>
      <c r="AJ99" s="270"/>
      <c r="AK99" s="268"/>
    </row>
    <row r="100" ht="15.75" customHeight="1">
      <c r="A100" s="271" t="s">
        <v>145</v>
      </c>
      <c r="B100" s="271" t="s">
        <v>152</v>
      </c>
      <c r="C100" s="272" t="s">
        <v>319</v>
      </c>
      <c r="D100" s="273">
        <v>5.0</v>
      </c>
      <c r="E100" s="274" t="str">
        <f>D98&amp;" Escogidas anteriormente + 1 de: "&amp;E122</f>
        <v>4 Escogidas anteriormente + 1 de: Trato con animales, Atletismo, Perspicacia, Investigacion, Naturaleza, Percepcion, Sigilo, Supervivencia, </v>
      </c>
      <c r="F100" s="274" t="str">
        <f>F122&amp;" + "&amp;I100</f>
        <v>10 + DES</v>
      </c>
      <c r="G100" s="275" t="str">
        <f>J98</f>
        <v>INT + DES</v>
      </c>
      <c r="H100" s="275" t="str">
        <f>J122</f>
        <v>DES + FUE</v>
      </c>
      <c r="I100" s="275" t="s">
        <v>316</v>
      </c>
      <c r="J100" s="275" t="s">
        <v>320</v>
      </c>
      <c r="K100" s="276"/>
      <c r="L100" s="274"/>
      <c r="M100" s="277"/>
      <c r="N100" s="277"/>
      <c r="O100" s="278"/>
      <c r="P100" s="277"/>
      <c r="Q100" s="277"/>
      <c r="R100" s="278"/>
      <c r="S100" s="277"/>
      <c r="T100" s="277"/>
      <c r="U100" s="278"/>
      <c r="V100" s="277"/>
      <c r="W100" s="277"/>
      <c r="X100" s="278"/>
      <c r="Y100" s="277"/>
      <c r="Z100" s="277"/>
      <c r="AA100" s="278"/>
      <c r="AB100" s="277"/>
      <c r="AC100" s="277"/>
      <c r="AD100" s="278"/>
      <c r="AE100" s="277"/>
      <c r="AF100" s="277"/>
      <c r="AG100" s="278"/>
      <c r="AH100" s="277"/>
      <c r="AI100" s="279"/>
      <c r="AJ100" s="280"/>
      <c r="AK100" s="277"/>
    </row>
    <row r="101" ht="15.75" hidden="1" customHeight="1">
      <c r="A101" s="268" t="s">
        <v>145</v>
      </c>
      <c r="B101" s="260" t="s">
        <v>155</v>
      </c>
      <c r="C101" s="261" t="s">
        <v>107</v>
      </c>
      <c r="D101" s="268"/>
      <c r="E101" s="268"/>
      <c r="F101" s="269"/>
      <c r="G101" s="265"/>
      <c r="H101" s="265"/>
      <c r="I101" s="265"/>
      <c r="J101" s="265"/>
      <c r="K101" s="270"/>
      <c r="L101" s="268"/>
      <c r="M101" s="268"/>
      <c r="N101" s="268"/>
      <c r="O101" s="270"/>
      <c r="P101" s="268"/>
      <c r="Q101" s="268"/>
      <c r="R101" s="270"/>
      <c r="S101" s="268"/>
      <c r="T101" s="268"/>
      <c r="U101" s="270"/>
      <c r="V101" s="268"/>
      <c r="W101" s="268"/>
      <c r="X101" s="270"/>
      <c r="Y101" s="268"/>
      <c r="Z101" s="268"/>
      <c r="AA101" s="270"/>
      <c r="AB101" s="268"/>
      <c r="AC101" s="268"/>
      <c r="AD101" s="270"/>
      <c r="AE101" s="268"/>
      <c r="AF101" s="268"/>
      <c r="AG101" s="270"/>
      <c r="AH101" s="268"/>
      <c r="AI101" s="268"/>
      <c r="AJ101" s="270"/>
      <c r="AK101" s="268"/>
    </row>
    <row r="102" ht="15.75" hidden="1" customHeight="1">
      <c r="A102" s="268" t="s">
        <v>145</v>
      </c>
      <c r="B102" s="260" t="s">
        <v>93</v>
      </c>
      <c r="C102" s="261" t="s">
        <v>321</v>
      </c>
      <c r="D102" s="262"/>
      <c r="E102" s="281"/>
      <c r="F102" s="269"/>
      <c r="G102" s="265" t="s">
        <v>124</v>
      </c>
      <c r="H102" s="265"/>
      <c r="I102" s="265"/>
      <c r="J102" s="265"/>
      <c r="K102" s="270"/>
      <c r="L102" s="268"/>
      <c r="M102" s="282"/>
      <c r="N102" s="282"/>
      <c r="O102" s="270"/>
      <c r="P102" s="268"/>
      <c r="Q102" s="282"/>
      <c r="R102" s="270"/>
      <c r="S102" s="268"/>
      <c r="T102" s="282"/>
      <c r="U102" s="270"/>
      <c r="V102" s="268"/>
      <c r="W102" s="282"/>
      <c r="X102" s="270"/>
      <c r="Y102" s="268"/>
      <c r="Z102" s="282"/>
      <c r="AA102" s="270"/>
      <c r="AB102" s="268"/>
      <c r="AC102" s="282"/>
      <c r="AD102" s="270"/>
      <c r="AE102" s="268"/>
      <c r="AF102" s="282"/>
      <c r="AG102" s="270"/>
      <c r="AH102" s="268"/>
      <c r="AI102" s="282"/>
      <c r="AJ102" s="270"/>
      <c r="AK102" s="268"/>
    </row>
    <row r="103" ht="15.75" hidden="1" customHeight="1">
      <c r="A103" s="268" t="s">
        <v>145</v>
      </c>
      <c r="B103" s="260" t="s">
        <v>115</v>
      </c>
      <c r="C103" s="261" t="s">
        <v>107</v>
      </c>
      <c r="D103" s="268"/>
      <c r="E103" s="282"/>
      <c r="F103" s="269"/>
      <c r="G103" s="265"/>
      <c r="H103" s="265"/>
      <c r="I103" s="265"/>
      <c r="J103" s="265"/>
      <c r="K103" s="270"/>
      <c r="L103" s="268"/>
      <c r="M103" s="282"/>
      <c r="N103" s="282"/>
      <c r="O103" s="270"/>
      <c r="P103" s="268"/>
      <c r="Q103" s="282"/>
      <c r="R103" s="270"/>
      <c r="S103" s="268"/>
      <c r="T103" s="282"/>
      <c r="U103" s="270"/>
      <c r="V103" s="268"/>
      <c r="W103" s="282"/>
      <c r="X103" s="270"/>
      <c r="Y103" s="268"/>
      <c r="Z103" s="282"/>
      <c r="AA103" s="270"/>
      <c r="AB103" s="268"/>
      <c r="AC103" s="282"/>
      <c r="AD103" s="270"/>
      <c r="AE103" s="268"/>
      <c r="AF103" s="282"/>
      <c r="AG103" s="270"/>
      <c r="AH103" s="268"/>
      <c r="AI103" s="282"/>
      <c r="AJ103" s="270"/>
      <c r="AK103" s="268"/>
    </row>
    <row r="104" ht="15.75" hidden="1" customHeight="1">
      <c r="A104" s="268" t="s">
        <v>145</v>
      </c>
      <c r="B104" s="260" t="s">
        <v>121</v>
      </c>
      <c r="C104" s="261" t="s">
        <v>107</v>
      </c>
      <c r="D104" s="268"/>
      <c r="E104" s="282"/>
      <c r="F104" s="269"/>
      <c r="G104" s="265"/>
      <c r="H104" s="265"/>
      <c r="I104" s="265"/>
      <c r="J104" s="265"/>
      <c r="K104" s="270"/>
      <c r="L104" s="268"/>
      <c r="M104" s="282"/>
      <c r="N104" s="282"/>
      <c r="O104" s="270"/>
      <c r="P104" s="268"/>
      <c r="Q104" s="282"/>
      <c r="R104" s="270"/>
      <c r="S104" s="268"/>
      <c r="T104" s="282"/>
      <c r="U104" s="270"/>
      <c r="V104" s="268"/>
      <c r="W104" s="282"/>
      <c r="X104" s="270"/>
      <c r="Y104" s="268"/>
      <c r="Z104" s="282"/>
      <c r="AA104" s="270"/>
      <c r="AB104" s="268"/>
      <c r="AC104" s="282"/>
      <c r="AD104" s="270"/>
      <c r="AE104" s="268"/>
      <c r="AF104" s="282"/>
      <c r="AG104" s="270"/>
      <c r="AH104" s="268"/>
      <c r="AI104" s="282"/>
      <c r="AJ104" s="270"/>
      <c r="AK104" s="268"/>
    </row>
    <row r="105" ht="15.75" hidden="1" customHeight="1">
      <c r="A105" s="268" t="s">
        <v>145</v>
      </c>
      <c r="B105" s="260" t="s">
        <v>126</v>
      </c>
      <c r="C105" s="261" t="s">
        <v>107</v>
      </c>
      <c r="D105" s="268"/>
      <c r="E105" s="282"/>
      <c r="F105" s="269"/>
      <c r="G105" s="265"/>
      <c r="H105" s="265"/>
      <c r="I105" s="265"/>
      <c r="J105" s="265"/>
      <c r="K105" s="270"/>
      <c r="L105" s="268"/>
      <c r="M105" s="282"/>
      <c r="N105" s="282"/>
      <c r="O105" s="270"/>
      <c r="P105" s="268"/>
      <c r="Q105" s="282"/>
      <c r="R105" s="270"/>
      <c r="S105" s="268"/>
      <c r="T105" s="282"/>
      <c r="U105" s="270"/>
      <c r="V105" s="268"/>
      <c r="W105" s="282"/>
      <c r="X105" s="270"/>
      <c r="Y105" s="268"/>
      <c r="Z105" s="282"/>
      <c r="AA105" s="270"/>
      <c r="AB105" s="268"/>
      <c r="AC105" s="282"/>
      <c r="AD105" s="270"/>
      <c r="AE105" s="268"/>
      <c r="AF105" s="282"/>
      <c r="AG105" s="270"/>
      <c r="AH105" s="268"/>
      <c r="AI105" s="282"/>
      <c r="AJ105" s="270"/>
      <c r="AK105" s="268"/>
    </row>
    <row r="106" ht="15.75" customHeight="1">
      <c r="A106" s="271" t="s">
        <v>145</v>
      </c>
      <c r="B106" s="271" t="s">
        <v>130</v>
      </c>
      <c r="C106" s="272" t="s">
        <v>322</v>
      </c>
      <c r="D106" s="273">
        <v>5.0</v>
      </c>
      <c r="E106" s="274" t="str">
        <f>D98&amp;" Escogidas anteriormente + 1 de: "&amp;E50</f>
        <v>4 Escogidas anteriormente + 1 de: Arcano, Engaño, Historia, Intimidacion, Investigacion, Naturaleza, Religion, </v>
      </c>
      <c r="F106" s="274" t="str">
        <f>F50&amp;" + "&amp;I106</f>
        <v>8 + SAB</v>
      </c>
      <c r="G106" s="275" t="str">
        <f>J98</f>
        <v>INT + DES</v>
      </c>
      <c r="H106" s="275" t="str">
        <f>J50</f>
        <v>SAB + CAR</v>
      </c>
      <c r="I106" s="275" t="s">
        <v>94</v>
      </c>
      <c r="J106" s="275" t="s">
        <v>323</v>
      </c>
      <c r="K106" s="276"/>
      <c r="L106" s="274"/>
      <c r="M106" s="277"/>
      <c r="N106" s="277"/>
      <c r="O106" s="278"/>
      <c r="P106" s="277"/>
      <c r="Q106" s="277"/>
      <c r="R106" s="278"/>
      <c r="S106" s="277"/>
      <c r="T106" s="277"/>
      <c r="U106" s="278"/>
      <c r="V106" s="277"/>
      <c r="W106" s="277"/>
      <c r="X106" s="278"/>
      <c r="Y106" s="277"/>
      <c r="Z106" s="277"/>
      <c r="AA106" s="278"/>
      <c r="AB106" s="277"/>
      <c r="AC106" s="277"/>
      <c r="AD106" s="278"/>
      <c r="AE106" s="277"/>
      <c r="AF106" s="277"/>
      <c r="AG106" s="278"/>
      <c r="AH106" s="277"/>
      <c r="AI106" s="279"/>
      <c r="AJ106" s="280"/>
      <c r="AK106" s="277"/>
    </row>
    <row r="107" ht="15.75" hidden="1" customHeight="1">
      <c r="A107" s="268" t="s">
        <v>145</v>
      </c>
      <c r="B107" s="260" t="s">
        <v>136</v>
      </c>
      <c r="C107" s="261" t="s">
        <v>107</v>
      </c>
      <c r="D107" s="268"/>
      <c r="E107" s="282"/>
      <c r="F107" s="269"/>
      <c r="G107" s="265"/>
      <c r="H107" s="265"/>
      <c r="I107" s="265"/>
      <c r="J107" s="265"/>
      <c r="K107" s="270"/>
      <c r="L107" s="268"/>
      <c r="M107" s="282"/>
      <c r="N107" s="282"/>
      <c r="O107" s="270"/>
      <c r="P107" s="268"/>
      <c r="Q107" s="282"/>
      <c r="R107" s="270"/>
      <c r="S107" s="268"/>
      <c r="T107" s="282"/>
      <c r="U107" s="270"/>
      <c r="V107" s="268"/>
      <c r="W107" s="282"/>
      <c r="X107" s="270"/>
      <c r="Y107" s="268"/>
      <c r="Z107" s="282"/>
      <c r="AA107" s="270"/>
      <c r="AB107" s="268"/>
      <c r="AC107" s="282"/>
      <c r="AD107" s="270"/>
      <c r="AE107" s="268"/>
      <c r="AF107" s="282"/>
      <c r="AG107" s="270"/>
      <c r="AH107" s="268"/>
      <c r="AI107" s="282"/>
      <c r="AJ107" s="270"/>
      <c r="AK107" s="268"/>
    </row>
    <row r="108" ht="15.75" hidden="1" customHeight="1">
      <c r="A108" s="268" t="s">
        <v>145</v>
      </c>
      <c r="B108" s="260" t="s">
        <v>139</v>
      </c>
      <c r="C108" s="261" t="s">
        <v>107</v>
      </c>
      <c r="D108" s="268"/>
      <c r="E108" s="268"/>
      <c r="F108" s="269"/>
      <c r="G108" s="265"/>
      <c r="H108" s="265"/>
      <c r="I108" s="265"/>
      <c r="J108" s="265"/>
      <c r="K108" s="270"/>
      <c r="L108" s="268"/>
      <c r="M108" s="268"/>
      <c r="N108" s="268"/>
      <c r="O108" s="270"/>
      <c r="P108" s="268"/>
      <c r="Q108" s="268"/>
      <c r="R108" s="270"/>
      <c r="S108" s="268"/>
      <c r="T108" s="268"/>
      <c r="U108" s="270"/>
      <c r="V108" s="268"/>
      <c r="W108" s="268"/>
      <c r="X108" s="270"/>
      <c r="Y108" s="268"/>
      <c r="Z108" s="268"/>
      <c r="AA108" s="270"/>
      <c r="AB108" s="268"/>
      <c r="AC108" s="268"/>
      <c r="AD108" s="270"/>
      <c r="AE108" s="268"/>
      <c r="AF108" s="268"/>
      <c r="AG108" s="270"/>
      <c r="AH108" s="268"/>
      <c r="AI108" s="268"/>
      <c r="AJ108" s="270"/>
      <c r="AK108" s="268"/>
    </row>
    <row r="109" ht="15.75" customHeight="1">
      <c r="A109" s="271" t="s">
        <v>145</v>
      </c>
      <c r="B109" s="271" t="s">
        <v>142</v>
      </c>
      <c r="C109" s="272" t="s">
        <v>324</v>
      </c>
      <c r="D109" s="273">
        <v>5.0</v>
      </c>
      <c r="E109" s="274" t="str">
        <f>D98&amp;" Escogidas anteriormente + 1 de: "&amp;E86</f>
        <v>4 Escogidas anteriormente + 1 de: Trato con animales, Atletismo, Intimidacion, Naturaleza, Percepcion, Supervivencia, </v>
      </c>
      <c r="F109" s="274" t="str">
        <f>F86&amp;" + "&amp;I109</f>
        <v>12 + FUE</v>
      </c>
      <c r="G109" s="275" t="str">
        <f>J98</f>
        <v>INT + DES</v>
      </c>
      <c r="H109" s="275" t="str">
        <f>J86</f>
        <v>FUE + CONS</v>
      </c>
      <c r="I109" s="275" t="s">
        <v>308</v>
      </c>
      <c r="J109" s="275" t="s">
        <v>325</v>
      </c>
      <c r="K109" s="276"/>
      <c r="L109" s="274"/>
      <c r="M109" s="277"/>
      <c r="N109" s="277"/>
      <c r="O109" s="278"/>
      <c r="P109" s="277"/>
      <c r="Q109" s="277"/>
      <c r="R109" s="278"/>
      <c r="S109" s="277"/>
      <c r="T109" s="277"/>
      <c r="U109" s="278"/>
      <c r="V109" s="277"/>
      <c r="W109" s="277"/>
      <c r="X109" s="278"/>
      <c r="Y109" s="277"/>
      <c r="Z109" s="277"/>
      <c r="AA109" s="278"/>
      <c r="AB109" s="277"/>
      <c r="AC109" s="277"/>
      <c r="AD109" s="278"/>
      <c r="AE109" s="277"/>
      <c r="AF109" s="277"/>
      <c r="AG109" s="278"/>
      <c r="AH109" s="277"/>
      <c r="AI109" s="279"/>
      <c r="AJ109" s="280"/>
      <c r="AK109" s="277"/>
    </row>
    <row r="110" ht="15.75" customHeight="1">
      <c r="A110" s="283" t="s">
        <v>148</v>
      </c>
      <c r="B110" s="283"/>
      <c r="C110" s="284"/>
      <c r="D110" s="285">
        <v>2.0</v>
      </c>
      <c r="E110" s="286" t="str">
        <f>'Habilidades de Rol'!D26</f>
        <v>Trato con animales, Arcano, Perspicacia, Medicina, Naturaleza, Percepcion, Religion, Supervivencia, </v>
      </c>
      <c r="F110" s="287">
        <v>8.0</v>
      </c>
      <c r="G110" s="288" t="s">
        <v>182</v>
      </c>
      <c r="H110" s="288" t="s">
        <v>183</v>
      </c>
      <c r="I110" s="288"/>
      <c r="J110" s="288" t="s">
        <v>184</v>
      </c>
      <c r="K110" s="287" t="s">
        <v>326</v>
      </c>
      <c r="L110" s="289" t="s">
        <v>327</v>
      </c>
      <c r="M110" s="288" t="s">
        <v>328</v>
      </c>
      <c r="N110" s="288"/>
      <c r="O110" s="287" t="s">
        <v>329</v>
      </c>
      <c r="P110" s="288" t="s">
        <v>330</v>
      </c>
      <c r="Q110" s="288" t="s">
        <v>107</v>
      </c>
      <c r="R110" s="287" t="s">
        <v>331</v>
      </c>
      <c r="S110" s="288" t="s">
        <v>107</v>
      </c>
      <c r="T110" s="288" t="s">
        <v>332</v>
      </c>
      <c r="U110" s="287" t="s">
        <v>107</v>
      </c>
      <c r="V110" s="288" t="s">
        <v>331</v>
      </c>
      <c r="W110" s="288" t="s">
        <v>107</v>
      </c>
      <c r="X110" s="287" t="s">
        <v>333</v>
      </c>
      <c r="Y110" s="288" t="s">
        <v>107</v>
      </c>
      <c r="Z110" s="288" t="s">
        <v>103</v>
      </c>
      <c r="AA110" s="287" t="s">
        <v>107</v>
      </c>
      <c r="AB110" s="288" t="s">
        <v>334</v>
      </c>
      <c r="AC110" s="288" t="s">
        <v>107</v>
      </c>
      <c r="AD110" s="287" t="s">
        <v>103</v>
      </c>
      <c r="AE110" s="288" t="s">
        <v>107</v>
      </c>
      <c r="AF110" s="288" t="s">
        <v>335</v>
      </c>
      <c r="AG110" s="287" t="s">
        <v>103</v>
      </c>
      <c r="AH110" s="288" t="s">
        <v>336</v>
      </c>
      <c r="AI110" s="289" t="s">
        <v>135</v>
      </c>
      <c r="AJ110" s="285" t="s">
        <v>17</v>
      </c>
      <c r="AK110" s="288" t="s">
        <v>114</v>
      </c>
    </row>
    <row r="111" ht="15.75" customHeight="1">
      <c r="A111" s="290" t="s">
        <v>148</v>
      </c>
      <c r="B111" s="290" t="s">
        <v>152</v>
      </c>
      <c r="C111" s="71" t="s">
        <v>337</v>
      </c>
      <c r="D111" s="291">
        <v>3.0</v>
      </c>
      <c r="E111" s="292" t="str">
        <f>D110&amp;" Escogidas anteriormente + 1 de: "&amp;E122</f>
        <v>2 Escogidas anteriormente + 1 de: Trato con animales, Atletismo, Perspicacia, Investigacion, Naturaleza, Percepcion, Sigilo, Supervivencia, </v>
      </c>
      <c r="F111" s="292" t="str">
        <f>F122&amp;" + "&amp;I111</f>
        <v>10 + DES</v>
      </c>
      <c r="G111" s="293" t="str">
        <f>J110</f>
        <v>INT + SAB</v>
      </c>
      <c r="H111" s="293" t="str">
        <f>J122</f>
        <v>DES + FUE</v>
      </c>
      <c r="I111" s="293" t="s">
        <v>316</v>
      </c>
      <c r="J111" s="293" t="s">
        <v>204</v>
      </c>
      <c r="K111" s="294"/>
      <c r="L111" s="292"/>
      <c r="M111" s="295"/>
      <c r="N111" s="295"/>
      <c r="O111" s="296"/>
      <c r="P111" s="295"/>
      <c r="Q111" s="295"/>
      <c r="R111" s="296"/>
      <c r="S111" s="295"/>
      <c r="T111" s="295"/>
      <c r="U111" s="296"/>
      <c r="V111" s="295"/>
      <c r="W111" s="295"/>
      <c r="X111" s="296"/>
      <c r="Y111" s="295"/>
      <c r="Z111" s="295"/>
      <c r="AA111" s="296"/>
      <c r="AB111" s="295"/>
      <c r="AC111" s="295"/>
      <c r="AD111" s="296"/>
      <c r="AE111" s="295"/>
      <c r="AF111" s="295"/>
      <c r="AG111" s="296"/>
      <c r="AH111" s="295"/>
      <c r="AI111" s="297"/>
      <c r="AJ111" s="298"/>
      <c r="AK111" s="295"/>
    </row>
    <row r="112" ht="15.75" customHeight="1">
      <c r="A112" s="290" t="s">
        <v>148</v>
      </c>
      <c r="B112" s="290" t="s">
        <v>155</v>
      </c>
      <c r="C112" s="299" t="s">
        <v>338</v>
      </c>
      <c r="D112" s="291">
        <v>3.0</v>
      </c>
      <c r="E112" s="292" t="str">
        <f>D110&amp;" Escogidas anteriormente + 1 de: "&amp;E134</f>
        <v>2 Escogidas anteriormente + 1 de: Acrobacias, Atletismo, Historia, Perspicacia, Religion, Sigilo, </v>
      </c>
      <c r="F112" s="292" t="str">
        <f>F134&amp;" + "&amp;I112</f>
        <v>8 + INT</v>
      </c>
      <c r="G112" s="293" t="str">
        <f>J110</f>
        <v>INT + SAB</v>
      </c>
      <c r="H112" s="293" t="str">
        <f>J134</f>
        <v>DES + SAB</v>
      </c>
      <c r="I112" s="293" t="s">
        <v>151</v>
      </c>
      <c r="J112" s="293" t="s">
        <v>204</v>
      </c>
      <c r="K112" s="294"/>
      <c r="L112" s="292"/>
      <c r="M112" s="295"/>
      <c r="N112" s="295"/>
      <c r="O112" s="296"/>
      <c r="P112" s="295"/>
      <c r="Q112" s="295"/>
      <c r="R112" s="296"/>
      <c r="S112" s="295"/>
      <c r="T112" s="295"/>
      <c r="U112" s="296"/>
      <c r="V112" s="295"/>
      <c r="W112" s="295"/>
      <c r="X112" s="296"/>
      <c r="Y112" s="295"/>
      <c r="Z112" s="295"/>
      <c r="AA112" s="296"/>
      <c r="AB112" s="295"/>
      <c r="AC112" s="295"/>
      <c r="AD112" s="296"/>
      <c r="AE112" s="295"/>
      <c r="AF112" s="295"/>
      <c r="AG112" s="296"/>
      <c r="AH112" s="295"/>
      <c r="AI112" s="297"/>
      <c r="AJ112" s="298"/>
      <c r="AK112" s="295"/>
    </row>
    <row r="113" ht="15.75" hidden="1" customHeight="1">
      <c r="A113" s="300" t="s">
        <v>148</v>
      </c>
      <c r="B113" s="283" t="s">
        <v>93</v>
      </c>
      <c r="C113" s="284" t="s">
        <v>107</v>
      </c>
      <c r="D113" s="300"/>
      <c r="E113" s="301"/>
      <c r="F113" s="302"/>
      <c r="G113" s="288" t="s">
        <v>124</v>
      </c>
      <c r="H113" s="288"/>
      <c r="I113" s="288"/>
      <c r="J113" s="288"/>
      <c r="K113" s="303"/>
      <c r="L113" s="300"/>
      <c r="M113" s="301"/>
      <c r="N113" s="301"/>
      <c r="O113" s="303"/>
      <c r="P113" s="300"/>
      <c r="Q113" s="301"/>
      <c r="R113" s="303"/>
      <c r="S113" s="300"/>
      <c r="T113" s="301"/>
      <c r="U113" s="303"/>
      <c r="V113" s="300"/>
      <c r="W113" s="301"/>
      <c r="X113" s="303"/>
      <c r="Y113" s="300"/>
      <c r="Z113" s="301"/>
      <c r="AA113" s="303"/>
      <c r="AB113" s="300"/>
      <c r="AC113" s="301"/>
      <c r="AD113" s="303"/>
      <c r="AE113" s="300"/>
      <c r="AF113" s="301"/>
      <c r="AG113" s="303"/>
      <c r="AH113" s="300"/>
      <c r="AI113" s="301"/>
      <c r="AJ113" s="303"/>
      <c r="AK113" s="300"/>
    </row>
    <row r="114" ht="15.75" hidden="1" customHeight="1">
      <c r="A114" s="300" t="s">
        <v>148</v>
      </c>
      <c r="B114" s="283" t="s">
        <v>115</v>
      </c>
      <c r="C114" s="284" t="s">
        <v>107</v>
      </c>
      <c r="D114" s="300"/>
      <c r="E114" s="301"/>
      <c r="F114" s="302"/>
      <c r="G114" s="288"/>
      <c r="H114" s="288"/>
      <c r="I114" s="288"/>
      <c r="J114" s="288"/>
      <c r="K114" s="303"/>
      <c r="L114" s="300"/>
      <c r="M114" s="301"/>
      <c r="N114" s="301"/>
      <c r="O114" s="303"/>
      <c r="P114" s="300"/>
      <c r="Q114" s="301"/>
      <c r="R114" s="303"/>
      <c r="S114" s="300"/>
      <c r="T114" s="301"/>
      <c r="U114" s="303"/>
      <c r="V114" s="300"/>
      <c r="W114" s="301"/>
      <c r="X114" s="303"/>
      <c r="Y114" s="300"/>
      <c r="Z114" s="301"/>
      <c r="AA114" s="303"/>
      <c r="AB114" s="300"/>
      <c r="AC114" s="301"/>
      <c r="AD114" s="303"/>
      <c r="AE114" s="300"/>
      <c r="AF114" s="301"/>
      <c r="AG114" s="303"/>
      <c r="AH114" s="300"/>
      <c r="AI114" s="301"/>
      <c r="AJ114" s="303"/>
      <c r="AK114" s="300"/>
    </row>
    <row r="115" ht="15.75" customHeight="1">
      <c r="A115" s="290" t="s">
        <v>148</v>
      </c>
      <c r="B115" s="290" t="s">
        <v>121</v>
      </c>
      <c r="C115" s="299" t="s">
        <v>339</v>
      </c>
      <c r="D115" s="291">
        <v>3.0</v>
      </c>
      <c r="E115" s="292" t="str">
        <f>D110&amp;" Escogidas anteriormente + 1 de: "&amp;E26</f>
        <v>2 Escogidas anteriormente + 1 de: Arcano, Historia, Perspicacia, Investigacion, Medicina, Religion, </v>
      </c>
      <c r="F115" s="292" t="str">
        <f>F26&amp;" + "&amp;I115</f>
        <v>6 + SAB</v>
      </c>
      <c r="G115" s="293" t="str">
        <f>J110</f>
        <v>INT + SAB</v>
      </c>
      <c r="H115" s="293" t="str">
        <f>J26</f>
        <v>INT + SAB</v>
      </c>
      <c r="I115" s="293" t="s">
        <v>94</v>
      </c>
      <c r="J115" s="293" t="s">
        <v>340</v>
      </c>
      <c r="K115" s="294"/>
      <c r="L115" s="292"/>
      <c r="M115" s="304"/>
      <c r="N115" s="304"/>
      <c r="O115" s="296"/>
      <c r="P115" s="295"/>
      <c r="Q115" s="304"/>
      <c r="R115" s="296"/>
      <c r="S115" s="295"/>
      <c r="T115" s="304"/>
      <c r="U115" s="296"/>
      <c r="V115" s="295"/>
      <c r="W115" s="304"/>
      <c r="X115" s="296"/>
      <c r="Y115" s="295"/>
      <c r="Z115" s="304"/>
      <c r="AA115" s="296"/>
      <c r="AB115" s="295"/>
      <c r="AC115" s="304"/>
      <c r="AD115" s="296"/>
      <c r="AE115" s="295"/>
      <c r="AF115" s="304"/>
      <c r="AG115" s="296"/>
      <c r="AH115" s="295"/>
      <c r="AI115" s="297"/>
      <c r="AJ115" s="298"/>
      <c r="AK115" s="295"/>
    </row>
    <row r="116" ht="15.75" hidden="1" customHeight="1">
      <c r="A116" s="300" t="s">
        <v>148</v>
      </c>
      <c r="B116" s="283" t="s">
        <v>126</v>
      </c>
      <c r="C116" s="284" t="s">
        <v>107</v>
      </c>
      <c r="D116" s="300"/>
      <c r="E116" s="301"/>
      <c r="F116" s="302"/>
      <c r="G116" s="288"/>
      <c r="H116" s="288"/>
      <c r="I116" s="288"/>
      <c r="J116" s="288"/>
      <c r="K116" s="303"/>
      <c r="L116" s="300"/>
      <c r="M116" s="301"/>
      <c r="N116" s="301"/>
      <c r="O116" s="303"/>
      <c r="P116" s="300"/>
      <c r="Q116" s="301"/>
      <c r="R116" s="303"/>
      <c r="S116" s="300"/>
      <c r="T116" s="301"/>
      <c r="U116" s="303"/>
      <c r="V116" s="300"/>
      <c r="W116" s="301"/>
      <c r="X116" s="303"/>
      <c r="Y116" s="300"/>
      <c r="Z116" s="301"/>
      <c r="AA116" s="303"/>
      <c r="AB116" s="300"/>
      <c r="AC116" s="301"/>
      <c r="AD116" s="303"/>
      <c r="AE116" s="300"/>
      <c r="AF116" s="301"/>
      <c r="AG116" s="303"/>
      <c r="AH116" s="300"/>
      <c r="AI116" s="301"/>
      <c r="AJ116" s="303"/>
      <c r="AK116" s="300"/>
    </row>
    <row r="117" ht="15.75" customHeight="1">
      <c r="A117" s="290" t="s">
        <v>148</v>
      </c>
      <c r="B117" s="290" t="s">
        <v>130</v>
      </c>
      <c r="C117" s="299" t="s">
        <v>341</v>
      </c>
      <c r="D117" s="291">
        <v>3.0</v>
      </c>
      <c r="E117" s="292" t="str">
        <f>D110&amp;" Escogidas anteriormente + 1 de: "&amp;E50</f>
        <v>2 Escogidas anteriormente + 1 de: Arcano, Engaño, Historia, Intimidacion, Investigacion, Naturaleza, Religion, </v>
      </c>
      <c r="F117" s="292" t="str">
        <f>F50&amp;" + "&amp;I117</f>
        <v>8 + CAR</v>
      </c>
      <c r="G117" s="293" t="str">
        <f>J110</f>
        <v>INT + SAB</v>
      </c>
      <c r="H117" s="293" t="str">
        <f>J50</f>
        <v>SAB + CAR</v>
      </c>
      <c r="I117" s="293" t="s">
        <v>95</v>
      </c>
      <c r="J117" s="293" t="s">
        <v>150</v>
      </c>
      <c r="K117" s="294"/>
      <c r="L117" s="292"/>
      <c r="M117" s="295"/>
      <c r="N117" s="295"/>
      <c r="O117" s="296"/>
      <c r="P117" s="295"/>
      <c r="Q117" s="295"/>
      <c r="R117" s="296"/>
      <c r="S117" s="295"/>
      <c r="T117" s="295"/>
      <c r="U117" s="296"/>
      <c r="V117" s="295"/>
      <c r="W117" s="295"/>
      <c r="X117" s="296"/>
      <c r="Y117" s="295"/>
      <c r="Z117" s="295"/>
      <c r="AA117" s="296"/>
      <c r="AB117" s="295"/>
      <c r="AC117" s="295"/>
      <c r="AD117" s="296"/>
      <c r="AE117" s="295"/>
      <c r="AF117" s="295"/>
      <c r="AG117" s="296"/>
      <c r="AH117" s="295"/>
      <c r="AI117" s="297"/>
      <c r="AJ117" s="298"/>
      <c r="AK117" s="295"/>
    </row>
    <row r="118" ht="15.75" hidden="1" customHeight="1">
      <c r="A118" s="300" t="s">
        <v>148</v>
      </c>
      <c r="B118" s="283" t="s">
        <v>136</v>
      </c>
      <c r="C118" s="284" t="s">
        <v>107</v>
      </c>
      <c r="D118" s="300"/>
      <c r="E118" s="301"/>
      <c r="F118" s="302"/>
      <c r="G118" s="288"/>
      <c r="H118" s="288"/>
      <c r="I118" s="288"/>
      <c r="J118" s="288"/>
      <c r="K118" s="303"/>
      <c r="L118" s="300"/>
      <c r="M118" s="301"/>
      <c r="N118" s="301"/>
      <c r="O118" s="303"/>
      <c r="P118" s="300"/>
      <c r="Q118" s="301"/>
      <c r="R118" s="303"/>
      <c r="S118" s="300"/>
      <c r="T118" s="301"/>
      <c r="U118" s="303"/>
      <c r="V118" s="300"/>
      <c r="W118" s="301"/>
      <c r="X118" s="303"/>
      <c r="Y118" s="300"/>
      <c r="Z118" s="301"/>
      <c r="AA118" s="303"/>
      <c r="AB118" s="300"/>
      <c r="AC118" s="301"/>
      <c r="AD118" s="303"/>
      <c r="AE118" s="300"/>
      <c r="AF118" s="301"/>
      <c r="AG118" s="303"/>
      <c r="AH118" s="300"/>
      <c r="AI118" s="301"/>
      <c r="AJ118" s="303"/>
      <c r="AK118" s="300"/>
    </row>
    <row r="119" ht="15.75" hidden="1" customHeight="1">
      <c r="A119" s="300" t="s">
        <v>148</v>
      </c>
      <c r="B119" s="283" t="s">
        <v>139</v>
      </c>
      <c r="C119" s="284" t="s">
        <v>107</v>
      </c>
      <c r="D119" s="300"/>
      <c r="E119" s="300"/>
      <c r="F119" s="302"/>
      <c r="G119" s="288"/>
      <c r="H119" s="288"/>
      <c r="I119" s="288"/>
      <c r="J119" s="288"/>
      <c r="K119" s="303"/>
      <c r="L119" s="300"/>
      <c r="M119" s="300"/>
      <c r="N119" s="300"/>
      <c r="O119" s="303"/>
      <c r="P119" s="300"/>
      <c r="Q119" s="300"/>
      <c r="R119" s="303"/>
      <c r="S119" s="300"/>
      <c r="T119" s="300"/>
      <c r="U119" s="303"/>
      <c r="V119" s="300"/>
      <c r="W119" s="300"/>
      <c r="X119" s="303"/>
      <c r="Y119" s="300"/>
      <c r="Z119" s="300"/>
      <c r="AA119" s="303"/>
      <c r="AB119" s="300"/>
      <c r="AC119" s="300"/>
      <c r="AD119" s="303"/>
      <c r="AE119" s="300"/>
      <c r="AF119" s="300"/>
      <c r="AG119" s="303"/>
      <c r="AH119" s="300"/>
      <c r="AI119" s="300"/>
      <c r="AJ119" s="303"/>
      <c r="AK119" s="300"/>
    </row>
    <row r="120" ht="15.75" hidden="1" customHeight="1">
      <c r="A120" s="300" t="s">
        <v>148</v>
      </c>
      <c r="B120" s="283" t="s">
        <v>142</v>
      </c>
      <c r="C120" s="284" t="s">
        <v>107</v>
      </c>
      <c r="D120" s="300"/>
      <c r="E120" s="300"/>
      <c r="F120" s="302"/>
      <c r="G120" s="288"/>
      <c r="H120" s="288"/>
      <c r="I120" s="288"/>
      <c r="J120" s="288"/>
      <c r="K120" s="303"/>
      <c r="L120" s="300"/>
      <c r="M120" s="300"/>
      <c r="N120" s="300"/>
      <c r="O120" s="303"/>
      <c r="P120" s="300"/>
      <c r="Q120" s="300"/>
      <c r="R120" s="303"/>
      <c r="S120" s="300"/>
      <c r="T120" s="300"/>
      <c r="U120" s="303"/>
      <c r="V120" s="300"/>
      <c r="W120" s="300"/>
      <c r="X120" s="303"/>
      <c r="Y120" s="300"/>
      <c r="Z120" s="300"/>
      <c r="AA120" s="303"/>
      <c r="AB120" s="300"/>
      <c r="AC120" s="300"/>
      <c r="AD120" s="303"/>
      <c r="AE120" s="300"/>
      <c r="AF120" s="300"/>
      <c r="AG120" s="303"/>
      <c r="AH120" s="300"/>
      <c r="AI120" s="300"/>
      <c r="AJ120" s="303"/>
      <c r="AK120" s="300"/>
    </row>
    <row r="121" ht="15.75" hidden="1" customHeight="1">
      <c r="A121" s="300" t="s">
        <v>148</v>
      </c>
      <c r="B121" s="283" t="s">
        <v>145</v>
      </c>
      <c r="C121" s="284" t="s">
        <v>107</v>
      </c>
      <c r="D121" s="300"/>
      <c r="E121" s="300"/>
      <c r="F121" s="302"/>
      <c r="G121" s="288"/>
      <c r="H121" s="288"/>
      <c r="I121" s="288"/>
      <c r="J121" s="288"/>
      <c r="K121" s="303"/>
      <c r="L121" s="300"/>
      <c r="M121" s="300"/>
      <c r="N121" s="300"/>
      <c r="O121" s="303"/>
      <c r="P121" s="300"/>
      <c r="Q121" s="300"/>
      <c r="R121" s="303"/>
      <c r="S121" s="300"/>
      <c r="T121" s="300"/>
      <c r="U121" s="303"/>
      <c r="V121" s="300"/>
      <c r="W121" s="300"/>
      <c r="X121" s="303"/>
      <c r="Y121" s="300"/>
      <c r="Z121" s="300"/>
      <c r="AA121" s="303"/>
      <c r="AB121" s="300"/>
      <c r="AC121" s="300"/>
      <c r="AD121" s="303"/>
      <c r="AE121" s="300"/>
      <c r="AF121" s="300"/>
      <c r="AG121" s="303"/>
      <c r="AH121" s="300"/>
      <c r="AI121" s="300"/>
      <c r="AJ121" s="303"/>
      <c r="AK121" s="300"/>
    </row>
    <row r="122" ht="15.75" customHeight="1">
      <c r="A122" s="70" t="s">
        <v>152</v>
      </c>
      <c r="B122" s="70"/>
      <c r="C122" s="305"/>
      <c r="D122" s="72">
        <v>3.0</v>
      </c>
      <c r="E122" s="73" t="str">
        <f>'Habilidades de Rol'!D30</f>
        <v>Trato con animales, Atletismo, Perspicacia, Investigacion, Naturaleza, Percepcion, Sigilo, Supervivencia, </v>
      </c>
      <c r="F122" s="75">
        <v>10.0</v>
      </c>
      <c r="G122" s="74" t="s">
        <v>242</v>
      </c>
      <c r="H122" s="74" t="s">
        <v>157</v>
      </c>
      <c r="I122" s="74"/>
      <c r="J122" s="74" t="s">
        <v>342</v>
      </c>
      <c r="K122" s="75" t="s">
        <v>97</v>
      </c>
      <c r="L122" s="76" t="s">
        <v>343</v>
      </c>
      <c r="M122" s="74" t="s">
        <v>344</v>
      </c>
      <c r="N122" s="74"/>
      <c r="O122" s="75" t="s">
        <v>345</v>
      </c>
      <c r="P122" s="74" t="s">
        <v>346</v>
      </c>
      <c r="Q122" s="74" t="s">
        <v>347</v>
      </c>
      <c r="R122" s="75" t="s">
        <v>103</v>
      </c>
      <c r="S122" s="74" t="s">
        <v>104</v>
      </c>
      <c r="T122" s="74" t="s">
        <v>348</v>
      </c>
      <c r="U122" s="75" t="s">
        <v>349</v>
      </c>
      <c r="V122" s="74" t="s">
        <v>350</v>
      </c>
      <c r="W122" s="74" t="s">
        <v>107</v>
      </c>
      <c r="X122" s="75" t="s">
        <v>351</v>
      </c>
      <c r="Y122" s="74" t="s">
        <v>352</v>
      </c>
      <c r="Z122" s="74" t="s">
        <v>103</v>
      </c>
      <c r="AA122" s="75" t="s">
        <v>107</v>
      </c>
      <c r="AB122" s="74" t="s">
        <v>353</v>
      </c>
      <c r="AC122" s="74" t="s">
        <v>354</v>
      </c>
      <c r="AD122" s="75" t="s">
        <v>103</v>
      </c>
      <c r="AE122" s="74" t="s">
        <v>107</v>
      </c>
      <c r="AF122" s="74" t="s">
        <v>355</v>
      </c>
      <c r="AG122" s="75" t="s">
        <v>103</v>
      </c>
      <c r="AH122" s="74" t="s">
        <v>356</v>
      </c>
      <c r="AI122" s="76" t="s">
        <v>113</v>
      </c>
      <c r="AJ122" s="72" t="s">
        <v>17</v>
      </c>
      <c r="AK122" s="74" t="s">
        <v>114</v>
      </c>
    </row>
    <row r="123" ht="15.75" hidden="1" customHeight="1">
      <c r="A123" s="84" t="s">
        <v>152</v>
      </c>
      <c r="B123" s="70" t="s">
        <v>155</v>
      </c>
      <c r="C123" s="305" t="s">
        <v>107</v>
      </c>
      <c r="D123" s="84"/>
      <c r="E123" s="84"/>
      <c r="F123" s="306"/>
      <c r="G123" s="74"/>
      <c r="H123" s="74"/>
      <c r="I123" s="74"/>
      <c r="J123" s="74"/>
      <c r="K123" s="90"/>
      <c r="L123" s="84"/>
      <c r="M123" s="84"/>
      <c r="N123" s="84"/>
      <c r="O123" s="90"/>
      <c r="P123" s="84"/>
      <c r="Q123" s="84"/>
      <c r="R123" s="90"/>
      <c r="S123" s="84"/>
      <c r="T123" s="84"/>
      <c r="U123" s="90"/>
      <c r="V123" s="84"/>
      <c r="W123" s="84"/>
      <c r="X123" s="90"/>
      <c r="Y123" s="84"/>
      <c r="Z123" s="84"/>
      <c r="AA123" s="90"/>
      <c r="AB123" s="84"/>
      <c r="AC123" s="84"/>
      <c r="AD123" s="90"/>
      <c r="AE123" s="84"/>
      <c r="AF123" s="84"/>
      <c r="AG123" s="90"/>
      <c r="AH123" s="84"/>
      <c r="AI123" s="84"/>
      <c r="AJ123" s="90"/>
      <c r="AK123" s="84"/>
    </row>
    <row r="124" ht="15.75" hidden="1" customHeight="1">
      <c r="A124" s="84" t="s">
        <v>152</v>
      </c>
      <c r="B124" s="70" t="s">
        <v>93</v>
      </c>
      <c r="C124" s="305" t="s">
        <v>107</v>
      </c>
      <c r="D124" s="84"/>
      <c r="E124" s="78"/>
      <c r="F124" s="306"/>
      <c r="G124" s="74" t="s">
        <v>124</v>
      </c>
      <c r="H124" s="74"/>
      <c r="I124" s="74"/>
      <c r="J124" s="74"/>
      <c r="K124" s="90"/>
      <c r="L124" s="84"/>
      <c r="M124" s="78"/>
      <c r="N124" s="78"/>
      <c r="O124" s="90"/>
      <c r="P124" s="84"/>
      <c r="Q124" s="78"/>
      <c r="R124" s="90"/>
      <c r="S124" s="84"/>
      <c r="T124" s="78"/>
      <c r="U124" s="90"/>
      <c r="V124" s="84"/>
      <c r="W124" s="78"/>
      <c r="X124" s="90"/>
      <c r="Y124" s="84"/>
      <c r="Z124" s="78"/>
      <c r="AA124" s="90"/>
      <c r="AB124" s="84"/>
      <c r="AC124" s="78"/>
      <c r="AD124" s="90"/>
      <c r="AE124" s="84"/>
      <c r="AF124" s="78"/>
      <c r="AG124" s="90"/>
      <c r="AH124" s="84"/>
      <c r="AI124" s="78"/>
      <c r="AJ124" s="90"/>
      <c r="AK124" s="84"/>
    </row>
    <row r="125" ht="15.75" customHeight="1">
      <c r="A125" s="307" t="s">
        <v>152</v>
      </c>
      <c r="B125" s="307" t="s">
        <v>115</v>
      </c>
      <c r="C125" s="308" t="s">
        <v>357</v>
      </c>
      <c r="D125" s="309">
        <v>4.0</v>
      </c>
      <c r="E125" s="310" t="str">
        <f>D122&amp;" Escogidas anteriormente + 1 de: "&amp;E14</f>
        <v>3 Escogidas anteriormente + 1 de: Acrobacias, Trato con animales, Atletismo, Historia, Perspicacia, Intimidacion, Percepcion, Supervivencia, </v>
      </c>
      <c r="F125" s="310" t="str">
        <f>F14&amp;" + "&amp;I125</f>
        <v>10 + DES</v>
      </c>
      <c r="G125" s="311" t="str">
        <f>J122</f>
        <v>DES + FUE</v>
      </c>
      <c r="H125" s="311" t="str">
        <f>J14</f>
        <v>FUE + CONS</v>
      </c>
      <c r="I125" s="311" t="s">
        <v>316</v>
      </c>
      <c r="J125" s="311" t="s">
        <v>358</v>
      </c>
      <c r="K125" s="312"/>
      <c r="L125" s="310"/>
      <c r="M125" s="313"/>
      <c r="N125" s="313"/>
      <c r="O125" s="314"/>
      <c r="P125" s="315"/>
      <c r="Q125" s="313"/>
      <c r="R125" s="314"/>
      <c r="S125" s="315"/>
      <c r="T125" s="313"/>
      <c r="U125" s="314"/>
      <c r="V125" s="315"/>
      <c r="W125" s="313"/>
      <c r="X125" s="314"/>
      <c r="Y125" s="315"/>
      <c r="Z125" s="313"/>
      <c r="AA125" s="314"/>
      <c r="AB125" s="315"/>
      <c r="AC125" s="313"/>
      <c r="AD125" s="314"/>
      <c r="AE125" s="315"/>
      <c r="AF125" s="313"/>
      <c r="AG125" s="314"/>
      <c r="AH125" s="315"/>
      <c r="AI125" s="316"/>
      <c r="AJ125" s="317"/>
      <c r="AK125" s="315"/>
    </row>
    <row r="126" ht="15.75" hidden="1" customHeight="1">
      <c r="A126" s="84" t="s">
        <v>152</v>
      </c>
      <c r="B126" s="70" t="s">
        <v>121</v>
      </c>
      <c r="C126" s="305" t="s">
        <v>107</v>
      </c>
      <c r="D126" s="84"/>
      <c r="E126" s="78"/>
      <c r="F126" s="306"/>
      <c r="G126" s="74"/>
      <c r="H126" s="74"/>
      <c r="I126" s="74"/>
      <c r="J126" s="74"/>
      <c r="K126" s="90"/>
      <c r="L126" s="84"/>
      <c r="M126" s="78"/>
      <c r="N126" s="78"/>
      <c r="O126" s="90"/>
      <c r="P126" s="84"/>
      <c r="Q126" s="78"/>
      <c r="R126" s="90"/>
      <c r="S126" s="84"/>
      <c r="T126" s="78"/>
      <c r="U126" s="90"/>
      <c r="V126" s="84"/>
      <c r="W126" s="78"/>
      <c r="X126" s="90"/>
      <c r="Y126" s="84"/>
      <c r="Z126" s="78"/>
      <c r="AA126" s="90"/>
      <c r="AB126" s="84"/>
      <c r="AC126" s="78"/>
      <c r="AD126" s="90"/>
      <c r="AE126" s="84"/>
      <c r="AF126" s="78"/>
      <c r="AG126" s="90"/>
      <c r="AH126" s="84"/>
      <c r="AI126" s="78"/>
      <c r="AJ126" s="90"/>
      <c r="AK126" s="84"/>
    </row>
    <row r="127" ht="15.75" customHeight="1">
      <c r="A127" s="307" t="s">
        <v>152</v>
      </c>
      <c r="B127" s="307" t="s">
        <v>126</v>
      </c>
      <c r="C127" s="308" t="s">
        <v>359</v>
      </c>
      <c r="D127" s="309">
        <v>4.0</v>
      </c>
      <c r="E127" s="310" t="str">
        <f>D122&amp;" Escogidas anteriormente + 1 de: "&amp;E38</f>
        <v>3 Escogidas anteriormente + 1 de: Arcano, Engaño, Perspicacia, Intimidacion, Persuasion, Religion, </v>
      </c>
      <c r="F127" s="310" t="str">
        <f>F38&amp;" + "&amp;I127</f>
        <v>6 + CAR</v>
      </c>
      <c r="G127" s="311" t="str">
        <f>J122</f>
        <v>DES + FUE</v>
      </c>
      <c r="H127" s="311" t="str">
        <f>J38</f>
        <v>CON + CAR</v>
      </c>
      <c r="I127" s="311" t="s">
        <v>95</v>
      </c>
      <c r="J127" s="311" t="s">
        <v>360</v>
      </c>
      <c r="K127" s="312"/>
      <c r="L127" s="310"/>
      <c r="M127" s="313"/>
      <c r="N127" s="313"/>
      <c r="O127" s="314"/>
      <c r="P127" s="315"/>
      <c r="Q127" s="313"/>
      <c r="R127" s="314"/>
      <c r="S127" s="315"/>
      <c r="T127" s="313"/>
      <c r="U127" s="314"/>
      <c r="V127" s="315"/>
      <c r="W127" s="313"/>
      <c r="X127" s="314"/>
      <c r="Y127" s="315"/>
      <c r="Z127" s="313"/>
      <c r="AA127" s="314"/>
      <c r="AB127" s="315"/>
      <c r="AC127" s="313"/>
      <c r="AD127" s="314"/>
      <c r="AE127" s="315"/>
      <c r="AF127" s="313"/>
      <c r="AG127" s="314"/>
      <c r="AH127" s="315"/>
      <c r="AI127" s="316"/>
      <c r="AJ127" s="317"/>
      <c r="AK127" s="315"/>
    </row>
    <row r="128" ht="15.75" hidden="1" customHeight="1">
      <c r="A128" s="84" t="s">
        <v>152</v>
      </c>
      <c r="B128" s="70" t="s">
        <v>130</v>
      </c>
      <c r="C128" s="305" t="s">
        <v>107</v>
      </c>
      <c r="D128" s="84"/>
      <c r="E128" s="84"/>
      <c r="F128" s="306"/>
      <c r="G128" s="74"/>
      <c r="H128" s="74"/>
      <c r="I128" s="74"/>
      <c r="J128" s="74"/>
      <c r="K128" s="90"/>
      <c r="L128" s="84"/>
      <c r="M128" s="84"/>
      <c r="N128" s="84"/>
      <c r="O128" s="90"/>
      <c r="P128" s="84"/>
      <c r="Q128" s="84"/>
      <c r="R128" s="90"/>
      <c r="S128" s="84"/>
      <c r="T128" s="84"/>
      <c r="U128" s="90"/>
      <c r="V128" s="84"/>
      <c r="W128" s="84"/>
      <c r="X128" s="90"/>
      <c r="Y128" s="84"/>
      <c r="Z128" s="84"/>
      <c r="AA128" s="90"/>
      <c r="AB128" s="84"/>
      <c r="AC128" s="84"/>
      <c r="AD128" s="90"/>
      <c r="AE128" s="84"/>
      <c r="AF128" s="84"/>
      <c r="AG128" s="90"/>
      <c r="AH128" s="84"/>
      <c r="AI128" s="84"/>
      <c r="AJ128" s="90"/>
      <c r="AK128" s="84"/>
    </row>
    <row r="129" ht="15.75" customHeight="1">
      <c r="A129" s="307" t="s">
        <v>152</v>
      </c>
      <c r="B129" s="307" t="s">
        <v>136</v>
      </c>
      <c r="C129" s="308" t="s">
        <v>361</v>
      </c>
      <c r="D129" s="309">
        <v>4.0</v>
      </c>
      <c r="E129" s="310" t="str">
        <f>D122&amp;" Escogidas anteriormente + 1 de: "&amp;E62</f>
        <v>3 Escogidas anteriormente + 1 de: Acrobacias, Atletismo, Engaño, Perspicacia, Intimidacion, Investigacion, Percepcion, Interpretacion, Persuasion, Juego de Manos, Sigilo, </v>
      </c>
      <c r="F129" s="310" t="str">
        <f>F62&amp;" + "&amp;I129</f>
        <v>8 + INT</v>
      </c>
      <c r="G129" s="311" t="str">
        <f>J122</f>
        <v>DES + FUE</v>
      </c>
      <c r="H129" s="311" t="str">
        <f>J62</f>
        <v>DES + INT</v>
      </c>
      <c r="I129" s="311" t="s">
        <v>151</v>
      </c>
      <c r="J129" s="311" t="s">
        <v>362</v>
      </c>
      <c r="K129" s="312"/>
      <c r="L129" s="310"/>
      <c r="M129" s="313"/>
      <c r="N129" s="313"/>
      <c r="O129" s="314"/>
      <c r="P129" s="315"/>
      <c r="Q129" s="313"/>
      <c r="R129" s="314"/>
      <c r="S129" s="315"/>
      <c r="T129" s="313"/>
      <c r="U129" s="314"/>
      <c r="V129" s="315"/>
      <c r="W129" s="313"/>
      <c r="X129" s="314"/>
      <c r="Y129" s="315"/>
      <c r="Z129" s="313"/>
      <c r="AA129" s="314"/>
      <c r="AB129" s="315"/>
      <c r="AC129" s="313"/>
      <c r="AD129" s="314"/>
      <c r="AE129" s="315"/>
      <c r="AF129" s="313"/>
      <c r="AG129" s="314"/>
      <c r="AH129" s="315"/>
      <c r="AI129" s="316"/>
      <c r="AJ129" s="317"/>
      <c r="AK129" s="315"/>
    </row>
    <row r="130" ht="15.75" hidden="1" customHeight="1">
      <c r="A130" s="84" t="s">
        <v>152</v>
      </c>
      <c r="B130" s="70" t="s">
        <v>139</v>
      </c>
      <c r="C130" s="305" t="s">
        <v>107</v>
      </c>
      <c r="D130" s="84"/>
      <c r="E130" s="84"/>
      <c r="F130" s="306"/>
      <c r="G130" s="74"/>
      <c r="H130" s="74"/>
      <c r="I130" s="74"/>
      <c r="J130" s="74"/>
      <c r="K130" s="90"/>
      <c r="L130" s="84"/>
      <c r="M130" s="84"/>
      <c r="N130" s="84"/>
      <c r="O130" s="90"/>
      <c r="P130" s="84"/>
      <c r="Q130" s="84"/>
      <c r="R130" s="90"/>
      <c r="S130" s="84"/>
      <c r="T130" s="84"/>
      <c r="U130" s="90"/>
      <c r="V130" s="84"/>
      <c r="W130" s="84"/>
      <c r="X130" s="90"/>
      <c r="Y130" s="84"/>
      <c r="Z130" s="84"/>
      <c r="AA130" s="90"/>
      <c r="AB130" s="84"/>
      <c r="AC130" s="84"/>
      <c r="AD130" s="90"/>
      <c r="AE130" s="84"/>
      <c r="AF130" s="84"/>
      <c r="AG130" s="90"/>
      <c r="AH130" s="84"/>
      <c r="AI130" s="84"/>
      <c r="AJ130" s="90"/>
      <c r="AK130" s="84"/>
    </row>
    <row r="131" ht="15.75" hidden="1" customHeight="1">
      <c r="A131" s="84" t="s">
        <v>152</v>
      </c>
      <c r="B131" s="70" t="s">
        <v>142</v>
      </c>
      <c r="C131" s="305" t="s">
        <v>107</v>
      </c>
      <c r="D131" s="84"/>
      <c r="E131" s="84"/>
      <c r="F131" s="306"/>
      <c r="G131" s="74"/>
      <c r="H131" s="74"/>
      <c r="I131" s="74"/>
      <c r="J131" s="74"/>
      <c r="K131" s="90"/>
      <c r="L131" s="84"/>
      <c r="M131" s="84"/>
      <c r="N131" s="84"/>
      <c r="O131" s="90"/>
      <c r="P131" s="84"/>
      <c r="Q131" s="84"/>
      <c r="R131" s="90"/>
      <c r="S131" s="84"/>
      <c r="T131" s="84"/>
      <c r="U131" s="90"/>
      <c r="V131" s="84"/>
      <c r="W131" s="84"/>
      <c r="X131" s="90"/>
      <c r="Y131" s="84"/>
      <c r="Z131" s="84"/>
      <c r="AA131" s="90"/>
      <c r="AB131" s="84"/>
      <c r="AC131" s="84"/>
      <c r="AD131" s="90"/>
      <c r="AE131" s="84"/>
      <c r="AF131" s="84"/>
      <c r="AG131" s="90"/>
      <c r="AH131" s="84"/>
      <c r="AI131" s="84"/>
      <c r="AJ131" s="90"/>
      <c r="AK131" s="84"/>
    </row>
    <row r="132" ht="15.75" hidden="1" customHeight="1">
      <c r="A132" s="84" t="s">
        <v>152</v>
      </c>
      <c r="B132" s="70" t="s">
        <v>145</v>
      </c>
      <c r="C132" s="305" t="s">
        <v>107</v>
      </c>
      <c r="D132" s="84"/>
      <c r="E132" s="84"/>
      <c r="F132" s="306"/>
      <c r="G132" s="74"/>
      <c r="H132" s="74"/>
      <c r="I132" s="74"/>
      <c r="J132" s="74"/>
      <c r="K132" s="90"/>
      <c r="L132" s="84"/>
      <c r="M132" s="84"/>
      <c r="N132" s="84"/>
      <c r="O132" s="90"/>
      <c r="P132" s="84"/>
      <c r="Q132" s="84"/>
      <c r="R132" s="90"/>
      <c r="S132" s="84"/>
      <c r="T132" s="84"/>
      <c r="U132" s="90"/>
      <c r="V132" s="84"/>
      <c r="W132" s="84"/>
      <c r="X132" s="90"/>
      <c r="Y132" s="84"/>
      <c r="Z132" s="84"/>
      <c r="AA132" s="90"/>
      <c r="AB132" s="84"/>
      <c r="AC132" s="84"/>
      <c r="AD132" s="90"/>
      <c r="AE132" s="84"/>
      <c r="AF132" s="84"/>
      <c r="AG132" s="90"/>
      <c r="AH132" s="84"/>
      <c r="AI132" s="84"/>
      <c r="AJ132" s="90"/>
      <c r="AK132" s="84"/>
    </row>
    <row r="133" ht="15.75" hidden="1" customHeight="1">
      <c r="A133" s="84" t="s">
        <v>152</v>
      </c>
      <c r="B133" s="70" t="s">
        <v>148</v>
      </c>
      <c r="C133" s="305" t="s">
        <v>107</v>
      </c>
      <c r="D133" s="84"/>
      <c r="E133" s="84"/>
      <c r="F133" s="306"/>
      <c r="G133" s="74"/>
      <c r="H133" s="74"/>
      <c r="I133" s="74"/>
      <c r="J133" s="74"/>
      <c r="K133" s="90"/>
      <c r="L133" s="84"/>
      <c r="M133" s="84"/>
      <c r="N133" s="84"/>
      <c r="O133" s="90"/>
      <c r="P133" s="84"/>
      <c r="Q133" s="84"/>
      <c r="R133" s="90"/>
      <c r="S133" s="84"/>
      <c r="T133" s="84"/>
      <c r="U133" s="90"/>
      <c r="V133" s="84"/>
      <c r="W133" s="84"/>
      <c r="X133" s="90"/>
      <c r="Y133" s="84"/>
      <c r="Z133" s="84"/>
      <c r="AA133" s="90"/>
      <c r="AB133" s="84"/>
      <c r="AC133" s="84"/>
      <c r="AD133" s="90"/>
      <c r="AE133" s="84"/>
      <c r="AF133" s="84"/>
      <c r="AG133" s="90"/>
      <c r="AH133" s="84"/>
      <c r="AI133" s="84"/>
      <c r="AJ133" s="90"/>
      <c r="AK133" s="84"/>
    </row>
    <row r="134" ht="15.75" customHeight="1">
      <c r="A134" s="104" t="s">
        <v>155</v>
      </c>
      <c r="B134" s="104"/>
      <c r="C134" s="318"/>
      <c r="D134" s="105">
        <v>2.0</v>
      </c>
      <c r="E134" s="106" t="str">
        <f>'Habilidades de Rol'!D28</f>
        <v>Acrobacias, Atletismo, Historia, Perspicacia, Religion, Sigilo, </v>
      </c>
      <c r="F134" s="108">
        <v>8.0</v>
      </c>
      <c r="G134" s="107" t="s">
        <v>242</v>
      </c>
      <c r="H134" s="107" t="s">
        <v>183</v>
      </c>
      <c r="I134" s="107"/>
      <c r="J134" s="107" t="s">
        <v>363</v>
      </c>
      <c r="K134" s="108" t="s">
        <v>364</v>
      </c>
      <c r="L134" s="319" t="s">
        <v>365</v>
      </c>
      <c r="M134" s="107" t="s">
        <v>366</v>
      </c>
      <c r="N134" s="107"/>
      <c r="O134" s="107" t="s">
        <v>367</v>
      </c>
      <c r="P134" s="108" t="s">
        <v>368</v>
      </c>
      <c r="Q134" s="107" t="s">
        <v>369</v>
      </c>
      <c r="R134" s="107" t="s">
        <v>370</v>
      </c>
      <c r="S134" s="108" t="s">
        <v>371</v>
      </c>
      <c r="T134" s="107" t="s">
        <v>372</v>
      </c>
      <c r="U134" s="107" t="s">
        <v>373</v>
      </c>
      <c r="V134" s="108" t="s">
        <v>103</v>
      </c>
      <c r="W134" s="107" t="s">
        <v>374</v>
      </c>
      <c r="X134" s="107" t="s">
        <v>375</v>
      </c>
      <c r="Y134" s="108" t="s">
        <v>376</v>
      </c>
      <c r="Z134" s="107" t="s">
        <v>103</v>
      </c>
      <c r="AA134" s="107" t="s">
        <v>377</v>
      </c>
      <c r="AB134" s="108" t="s">
        <v>378</v>
      </c>
      <c r="AC134" s="107" t="s">
        <v>379</v>
      </c>
      <c r="AD134" s="107" t="s">
        <v>103</v>
      </c>
      <c r="AE134" s="108" t="s">
        <v>380</v>
      </c>
      <c r="AF134" s="107" t="s">
        <v>381</v>
      </c>
      <c r="AG134" s="107" t="s">
        <v>103</v>
      </c>
      <c r="AH134" s="108" t="s">
        <v>382</v>
      </c>
      <c r="AI134" s="111" t="s">
        <v>171</v>
      </c>
      <c r="AJ134" s="105"/>
      <c r="AK134" s="107"/>
    </row>
    <row r="135" ht="15.75" customHeight="1">
      <c r="A135" s="320" t="s">
        <v>155</v>
      </c>
      <c r="B135" s="320" t="s">
        <v>93</v>
      </c>
      <c r="C135" s="321" t="s">
        <v>383</v>
      </c>
      <c r="D135" s="322">
        <v>3.0</v>
      </c>
      <c r="E135" s="323" t="str">
        <f>D134&amp;" Escogidas anteriormente + 1 de: "&amp;E2</f>
        <v>2 Escogidas anteriormente + 1 de: Atletismo, Perspicacia, Intimidacion, Medicina, Persuasion, Religion, </v>
      </c>
      <c r="F135" s="323" t="str">
        <f>F2&amp;" + "&amp;I135</f>
        <v>10 + DES</v>
      </c>
      <c r="G135" s="324" t="str">
        <f>J134</f>
        <v>DES + SAB</v>
      </c>
      <c r="H135" s="324" t="str">
        <f>J2</f>
        <v>SAB + CAR</v>
      </c>
      <c r="I135" s="324" t="s">
        <v>316</v>
      </c>
      <c r="J135" s="324" t="s">
        <v>384</v>
      </c>
      <c r="K135" s="325"/>
      <c r="L135" s="323"/>
      <c r="M135" s="326"/>
      <c r="N135" s="326"/>
      <c r="O135" s="327"/>
      <c r="P135" s="328"/>
      <c r="Q135" s="326"/>
      <c r="R135" s="327"/>
      <c r="S135" s="328"/>
      <c r="T135" s="326"/>
      <c r="U135" s="327"/>
      <c r="V135" s="328"/>
      <c r="W135" s="326"/>
      <c r="X135" s="327"/>
      <c r="Y135" s="328"/>
      <c r="Z135" s="326"/>
      <c r="AA135" s="327"/>
      <c r="AB135" s="328"/>
      <c r="AC135" s="326"/>
      <c r="AD135" s="327"/>
      <c r="AE135" s="328"/>
      <c r="AF135" s="326"/>
      <c r="AG135" s="327"/>
      <c r="AH135" s="328"/>
      <c r="AI135" s="329"/>
      <c r="AJ135" s="330"/>
      <c r="AK135" s="328"/>
    </row>
    <row r="136" ht="15.75" hidden="1" customHeight="1">
      <c r="A136" s="115" t="s">
        <v>155</v>
      </c>
      <c r="B136" s="104" t="s">
        <v>115</v>
      </c>
      <c r="C136" s="318" t="s">
        <v>107</v>
      </c>
      <c r="D136" s="115"/>
      <c r="E136" s="109"/>
      <c r="F136" s="331"/>
      <c r="G136" s="107"/>
      <c r="H136" s="107"/>
      <c r="I136" s="107"/>
      <c r="J136" s="107"/>
      <c r="K136" s="110"/>
      <c r="L136" s="115"/>
      <c r="M136" s="109"/>
      <c r="N136" s="109"/>
      <c r="O136" s="110"/>
      <c r="P136" s="115"/>
      <c r="Q136" s="109"/>
      <c r="R136" s="110"/>
      <c r="S136" s="115"/>
      <c r="T136" s="109"/>
      <c r="U136" s="110"/>
      <c r="V136" s="115"/>
      <c r="W136" s="109"/>
      <c r="X136" s="110"/>
      <c r="Y136" s="115"/>
      <c r="Z136" s="109"/>
      <c r="AA136" s="110"/>
      <c r="AB136" s="115"/>
      <c r="AC136" s="109"/>
      <c r="AD136" s="110"/>
      <c r="AE136" s="115"/>
      <c r="AF136" s="109"/>
      <c r="AG136" s="110"/>
      <c r="AH136" s="115"/>
      <c r="AI136" s="109"/>
      <c r="AJ136" s="110"/>
      <c r="AK136" s="115"/>
    </row>
    <row r="137" ht="15.75" customHeight="1">
      <c r="A137" s="320" t="s">
        <v>155</v>
      </c>
      <c r="B137" s="320" t="s">
        <v>121</v>
      </c>
      <c r="C137" s="321" t="s">
        <v>385</v>
      </c>
      <c r="D137" s="322">
        <v>3.0</v>
      </c>
      <c r="E137" s="323" t="str">
        <f>D134&amp;" Escogidas anteriormente + 1 de: "&amp;E26</f>
        <v>2 Escogidas anteriormente + 1 de: Arcano, Historia, Perspicacia, Investigacion, Medicina, Religion, </v>
      </c>
      <c r="F137" s="323" t="str">
        <f>F26&amp;" + "&amp;I137</f>
        <v>6 + INT </v>
      </c>
      <c r="G137" s="324" t="str">
        <f>J134</f>
        <v>DES + SAB</v>
      </c>
      <c r="H137" s="324" t="str">
        <f>J26</f>
        <v>INT + SAB</v>
      </c>
      <c r="I137" s="324" t="s">
        <v>386</v>
      </c>
      <c r="J137" s="324" t="s">
        <v>387</v>
      </c>
      <c r="K137" s="325"/>
      <c r="L137" s="323"/>
      <c r="M137" s="326"/>
      <c r="N137" s="326"/>
      <c r="O137" s="327"/>
      <c r="P137" s="328"/>
      <c r="Q137" s="326"/>
      <c r="R137" s="327"/>
      <c r="S137" s="328"/>
      <c r="T137" s="326"/>
      <c r="U137" s="327"/>
      <c r="V137" s="328"/>
      <c r="W137" s="326"/>
      <c r="X137" s="327"/>
      <c r="Y137" s="328"/>
      <c r="Z137" s="326"/>
      <c r="AA137" s="327"/>
      <c r="AB137" s="328"/>
      <c r="AC137" s="326"/>
      <c r="AD137" s="327"/>
      <c r="AE137" s="328"/>
      <c r="AF137" s="326"/>
      <c r="AG137" s="327"/>
      <c r="AH137" s="328"/>
      <c r="AI137" s="329"/>
      <c r="AJ137" s="330"/>
      <c r="AK137" s="328"/>
    </row>
    <row r="138" ht="15.75" hidden="1" customHeight="1">
      <c r="A138" s="115" t="s">
        <v>155</v>
      </c>
      <c r="B138" s="104" t="s">
        <v>126</v>
      </c>
      <c r="C138" s="318" t="s">
        <v>107</v>
      </c>
      <c r="D138" s="115"/>
      <c r="E138" s="109"/>
      <c r="F138" s="331"/>
      <c r="G138" s="107"/>
      <c r="H138" s="107"/>
      <c r="I138" s="107"/>
      <c r="J138" s="107"/>
      <c r="K138" s="110"/>
      <c r="L138" s="115"/>
      <c r="M138" s="109"/>
      <c r="N138" s="109"/>
      <c r="O138" s="110"/>
      <c r="P138" s="115"/>
      <c r="Q138" s="109"/>
      <c r="R138" s="110"/>
      <c r="S138" s="115"/>
      <c r="T138" s="109"/>
      <c r="U138" s="110"/>
      <c r="V138" s="115"/>
      <c r="W138" s="109"/>
      <c r="X138" s="110"/>
      <c r="Y138" s="115"/>
      <c r="Z138" s="109"/>
      <c r="AA138" s="110"/>
      <c r="AB138" s="115"/>
      <c r="AC138" s="109"/>
      <c r="AD138" s="110"/>
      <c r="AE138" s="115"/>
      <c r="AF138" s="109"/>
      <c r="AG138" s="110"/>
      <c r="AH138" s="115"/>
      <c r="AI138" s="109"/>
      <c r="AJ138" s="110"/>
      <c r="AK138" s="115"/>
    </row>
    <row r="139" ht="15.75" customHeight="1">
      <c r="A139" s="320" t="s">
        <v>155</v>
      </c>
      <c r="B139" s="320" t="s">
        <v>130</v>
      </c>
      <c r="C139" s="321" t="s">
        <v>388</v>
      </c>
      <c r="D139" s="322">
        <v>3.0</v>
      </c>
      <c r="E139" s="323" t="str">
        <f>D134&amp;" Escogidas anteriormente + 1 de: "&amp;E50</f>
        <v>2 Escogidas anteriormente + 1 de: Arcano, Engaño, Historia, Intimidacion, Investigacion, Naturaleza, Religion, </v>
      </c>
      <c r="F139" s="323" t="str">
        <f>F50&amp;" + "&amp;I139</f>
        <v>8 + CAR</v>
      </c>
      <c r="G139" s="324" t="str">
        <f>J134</f>
        <v>DES + SAB</v>
      </c>
      <c r="H139" s="324" t="str">
        <f>J50</f>
        <v>SAB + CAR</v>
      </c>
      <c r="I139" s="324" t="s">
        <v>95</v>
      </c>
      <c r="J139" s="324" t="s">
        <v>384</v>
      </c>
      <c r="K139" s="325"/>
      <c r="L139" s="323"/>
      <c r="M139" s="328"/>
      <c r="N139" s="328"/>
      <c r="O139" s="327"/>
      <c r="P139" s="328"/>
      <c r="Q139" s="328"/>
      <c r="R139" s="327"/>
      <c r="S139" s="328"/>
      <c r="T139" s="328"/>
      <c r="U139" s="327"/>
      <c r="V139" s="328"/>
      <c r="W139" s="328"/>
      <c r="X139" s="327"/>
      <c r="Y139" s="328"/>
      <c r="Z139" s="328"/>
      <c r="AA139" s="327"/>
      <c r="AB139" s="328"/>
      <c r="AC139" s="328"/>
      <c r="AD139" s="327"/>
      <c r="AE139" s="328"/>
      <c r="AF139" s="328"/>
      <c r="AG139" s="327"/>
      <c r="AH139" s="328"/>
      <c r="AI139" s="329"/>
      <c r="AJ139" s="330"/>
      <c r="AK139" s="328"/>
    </row>
    <row r="140" ht="15.75" hidden="1" customHeight="1">
      <c r="A140" s="115" t="s">
        <v>155</v>
      </c>
      <c r="B140" s="104" t="s">
        <v>136</v>
      </c>
      <c r="C140" s="318" t="s">
        <v>107</v>
      </c>
      <c r="D140" s="115"/>
      <c r="E140" s="109"/>
      <c r="F140" s="331"/>
      <c r="G140" s="107"/>
      <c r="H140" s="107"/>
      <c r="I140" s="107"/>
      <c r="J140" s="107"/>
      <c r="K140" s="110"/>
      <c r="L140" s="115"/>
      <c r="M140" s="109"/>
      <c r="N140" s="109"/>
      <c r="O140" s="110"/>
      <c r="P140" s="115"/>
      <c r="Q140" s="109"/>
      <c r="R140" s="110"/>
      <c r="S140" s="115"/>
      <c r="T140" s="109"/>
      <c r="U140" s="110"/>
      <c r="V140" s="115"/>
      <c r="W140" s="109"/>
      <c r="X140" s="110"/>
      <c r="Y140" s="115"/>
      <c r="Z140" s="109"/>
      <c r="AA140" s="110"/>
      <c r="AB140" s="115"/>
      <c r="AC140" s="109"/>
      <c r="AD140" s="110"/>
      <c r="AE140" s="115"/>
      <c r="AF140" s="109"/>
      <c r="AG140" s="110"/>
      <c r="AH140" s="115"/>
      <c r="AI140" s="109"/>
      <c r="AJ140" s="110"/>
      <c r="AK140" s="115"/>
    </row>
    <row r="141" ht="15.75" hidden="1" customHeight="1">
      <c r="A141" s="115" t="s">
        <v>155</v>
      </c>
      <c r="B141" s="104" t="s">
        <v>139</v>
      </c>
      <c r="C141" s="318" t="s">
        <v>107</v>
      </c>
      <c r="D141" s="115"/>
      <c r="E141" s="115"/>
      <c r="F141" s="331"/>
      <c r="G141" s="107"/>
      <c r="H141" s="107"/>
      <c r="I141" s="107"/>
      <c r="J141" s="107"/>
      <c r="K141" s="110"/>
      <c r="L141" s="115"/>
      <c r="M141" s="115"/>
      <c r="N141" s="115"/>
      <c r="O141" s="110"/>
      <c r="P141" s="115"/>
      <c r="Q141" s="115"/>
      <c r="R141" s="110"/>
      <c r="S141" s="115"/>
      <c r="T141" s="115"/>
      <c r="U141" s="110"/>
      <c r="V141" s="115"/>
      <c r="W141" s="115"/>
      <c r="X141" s="110"/>
      <c r="Y141" s="115"/>
      <c r="Z141" s="115"/>
      <c r="AA141" s="110"/>
      <c r="AB141" s="115"/>
      <c r="AC141" s="115"/>
      <c r="AD141" s="110"/>
      <c r="AE141" s="115"/>
      <c r="AF141" s="115"/>
      <c r="AG141" s="110"/>
      <c r="AH141" s="115"/>
      <c r="AI141" s="115"/>
      <c r="AJ141" s="110"/>
      <c r="AK141" s="115"/>
    </row>
    <row r="142" ht="15.75" customHeight="1">
      <c r="A142" s="320" t="s">
        <v>155</v>
      </c>
      <c r="B142" s="320" t="s">
        <v>142</v>
      </c>
      <c r="C142" s="321" t="s">
        <v>389</v>
      </c>
      <c r="D142" s="322">
        <v>3.0</v>
      </c>
      <c r="E142" s="323" t="str">
        <f>D134&amp;" Escogidas anteriormente + 1 de: "&amp;E86</f>
        <v>2 Escogidas anteriormente + 1 de: Trato con animales, Atletismo, Intimidacion, Naturaleza, Percepcion, Supervivencia, </v>
      </c>
      <c r="F142" s="323" t="str">
        <f>F86&amp;" + "&amp;I142</f>
        <v>12 + CONS</v>
      </c>
      <c r="G142" s="324" t="str">
        <f>J134</f>
        <v>DES + SAB</v>
      </c>
      <c r="H142" s="324" t="str">
        <f>J86</f>
        <v>FUE + CONS</v>
      </c>
      <c r="I142" s="324" t="s">
        <v>117</v>
      </c>
      <c r="J142" s="324" t="s">
        <v>390</v>
      </c>
      <c r="K142" s="325"/>
      <c r="L142" s="323"/>
      <c r="M142" s="328"/>
      <c r="N142" s="328"/>
      <c r="O142" s="327"/>
      <c r="P142" s="328"/>
      <c r="Q142" s="328"/>
      <c r="R142" s="327"/>
      <c r="S142" s="328"/>
      <c r="T142" s="328"/>
      <c r="U142" s="327"/>
      <c r="V142" s="328"/>
      <c r="W142" s="328"/>
      <c r="X142" s="327"/>
      <c r="Y142" s="328"/>
      <c r="Z142" s="328"/>
      <c r="AA142" s="327"/>
      <c r="AB142" s="328"/>
      <c r="AC142" s="328"/>
      <c r="AD142" s="327"/>
      <c r="AE142" s="328"/>
      <c r="AF142" s="328"/>
      <c r="AG142" s="327"/>
      <c r="AH142" s="328"/>
      <c r="AI142" s="329"/>
      <c r="AJ142" s="330"/>
      <c r="AK142" s="328"/>
    </row>
    <row r="143" ht="15.75" hidden="1" customHeight="1">
      <c r="A143" s="115" t="s">
        <v>155</v>
      </c>
      <c r="B143" s="104" t="s">
        <v>145</v>
      </c>
      <c r="C143" s="318" t="s">
        <v>107</v>
      </c>
      <c r="D143" s="115"/>
      <c r="E143" s="115"/>
      <c r="F143" s="331"/>
      <c r="G143" s="107"/>
      <c r="H143" s="107"/>
      <c r="I143" s="107"/>
      <c r="J143" s="107"/>
      <c r="K143" s="110"/>
      <c r="L143" s="115"/>
      <c r="M143" s="115"/>
      <c r="N143" s="115"/>
      <c r="O143" s="110"/>
      <c r="P143" s="115"/>
      <c r="Q143" s="115"/>
      <c r="R143" s="110"/>
      <c r="S143" s="115"/>
      <c r="T143" s="115"/>
      <c r="U143" s="110"/>
      <c r="V143" s="115"/>
      <c r="W143" s="115"/>
      <c r="X143" s="110"/>
      <c r="Y143" s="115"/>
      <c r="Z143" s="115"/>
      <c r="AA143" s="110"/>
      <c r="AB143" s="115"/>
      <c r="AC143" s="115"/>
      <c r="AD143" s="110"/>
      <c r="AE143" s="115"/>
      <c r="AF143" s="115"/>
      <c r="AG143" s="110"/>
      <c r="AH143" s="115"/>
      <c r="AI143" s="115"/>
      <c r="AJ143" s="110"/>
      <c r="AK143" s="115"/>
    </row>
    <row r="144" ht="15.75" customHeight="1">
      <c r="A144" s="320" t="s">
        <v>155</v>
      </c>
      <c r="B144" s="320" t="s">
        <v>148</v>
      </c>
      <c r="C144" s="321" t="s">
        <v>391</v>
      </c>
      <c r="D144" s="322">
        <v>3.0</v>
      </c>
      <c r="E144" s="323" t="str">
        <f>D134&amp;" Escogidas anteriormente + 1 de: "&amp;E110</f>
        <v>2 Escogidas anteriormente + 1 de: Trato con animales, Arcano, Perspicacia, Medicina, Naturaleza, Percepcion, Religion, Supervivencia, </v>
      </c>
      <c r="F144" s="323" t="str">
        <f>F110&amp;" + "&amp;I144</f>
        <v>8 + SAB</v>
      </c>
      <c r="G144" s="324" t="str">
        <f>J134</f>
        <v>DES + SAB</v>
      </c>
      <c r="H144" s="324" t="str">
        <f>J110</f>
        <v>INT + SAB</v>
      </c>
      <c r="I144" s="324" t="s">
        <v>94</v>
      </c>
      <c r="J144" s="324" t="s">
        <v>387</v>
      </c>
      <c r="K144" s="325"/>
      <c r="L144" s="323"/>
      <c r="M144" s="328"/>
      <c r="N144" s="328"/>
      <c r="O144" s="327"/>
      <c r="P144" s="328"/>
      <c r="Q144" s="328"/>
      <c r="R144" s="327"/>
      <c r="S144" s="328"/>
      <c r="T144" s="328"/>
      <c r="U144" s="327"/>
      <c r="V144" s="328"/>
      <c r="W144" s="328"/>
      <c r="X144" s="327"/>
      <c r="Y144" s="328"/>
      <c r="Z144" s="328"/>
      <c r="AA144" s="327"/>
      <c r="AB144" s="328"/>
      <c r="AC144" s="328"/>
      <c r="AD144" s="327"/>
      <c r="AE144" s="328"/>
      <c r="AF144" s="328"/>
      <c r="AG144" s="327"/>
      <c r="AH144" s="328"/>
      <c r="AI144" s="329"/>
      <c r="AJ144" s="330"/>
      <c r="AK144" s="328"/>
    </row>
    <row r="145" ht="15.75" hidden="1" customHeight="1">
      <c r="A145" s="115" t="s">
        <v>155</v>
      </c>
      <c r="B145" s="104" t="s">
        <v>152</v>
      </c>
      <c r="C145" s="318" t="s">
        <v>107</v>
      </c>
      <c r="D145" s="115"/>
      <c r="E145" s="115"/>
      <c r="F145" s="331"/>
      <c r="G145" s="107"/>
      <c r="H145" s="107"/>
      <c r="I145" s="107"/>
      <c r="J145" s="107"/>
      <c r="K145" s="110"/>
      <c r="L145" s="115"/>
      <c r="M145" s="115"/>
      <c r="N145" s="115"/>
      <c r="O145" s="110"/>
      <c r="P145" s="115"/>
      <c r="Q145" s="115"/>
      <c r="R145" s="110"/>
      <c r="S145" s="115"/>
      <c r="T145" s="115"/>
      <c r="U145" s="110"/>
      <c r="V145" s="115"/>
      <c r="W145" s="115"/>
      <c r="X145" s="110"/>
      <c r="Y145" s="115"/>
      <c r="Z145" s="115"/>
      <c r="AA145" s="110"/>
      <c r="AB145" s="115"/>
      <c r="AC145" s="115"/>
      <c r="AD145" s="110"/>
      <c r="AE145" s="115"/>
      <c r="AF145" s="115"/>
      <c r="AG145" s="110"/>
      <c r="AH145" s="115"/>
      <c r="AI145" s="115"/>
      <c r="AJ145" s="110"/>
      <c r="AK145" s="115"/>
    </row>
    <row r="146" ht="15.75" customHeight="1">
      <c r="A146" s="332"/>
      <c r="B146" s="333"/>
      <c r="C146" s="334"/>
      <c r="D146" s="335"/>
      <c r="E146" s="336"/>
      <c r="F146" s="337"/>
      <c r="G146" s="337"/>
      <c r="H146" s="337"/>
      <c r="I146" s="337"/>
      <c r="J146" s="337"/>
      <c r="K146" s="338"/>
      <c r="L146" s="339"/>
      <c r="M146" s="340"/>
      <c r="N146" s="340"/>
      <c r="O146" s="341"/>
      <c r="P146" s="340"/>
      <c r="Q146" s="341"/>
      <c r="R146" s="340"/>
      <c r="S146" s="341"/>
      <c r="T146" s="340"/>
      <c r="U146" s="341"/>
      <c r="V146" s="340"/>
      <c r="W146" s="341"/>
      <c r="X146" s="340"/>
      <c r="Y146" s="341"/>
      <c r="Z146" s="340"/>
      <c r="AA146" s="341"/>
      <c r="AB146" s="340"/>
      <c r="AC146" s="341"/>
      <c r="AD146" s="340"/>
      <c r="AE146" s="341"/>
      <c r="AF146" s="340"/>
      <c r="AG146" s="341"/>
      <c r="AH146" s="340"/>
      <c r="AI146" s="342"/>
      <c r="AJ146" s="343"/>
      <c r="AK146" s="340"/>
    </row>
    <row r="147" ht="15.75" customHeight="1">
      <c r="A147" s="332"/>
      <c r="B147" s="333"/>
      <c r="C147" s="334"/>
      <c r="D147" s="335"/>
      <c r="E147" s="336"/>
      <c r="F147" s="337"/>
      <c r="G147" s="337"/>
      <c r="H147" s="337"/>
      <c r="I147" s="337"/>
      <c r="J147" s="337"/>
      <c r="K147" s="338"/>
      <c r="L147" s="339"/>
      <c r="M147" s="340"/>
      <c r="N147" s="340"/>
      <c r="O147" s="341"/>
      <c r="P147" s="340"/>
      <c r="Q147" s="341"/>
      <c r="R147" s="340"/>
      <c r="S147" s="341"/>
      <c r="T147" s="340"/>
      <c r="U147" s="341"/>
      <c r="V147" s="340"/>
      <c r="W147" s="341"/>
      <c r="X147" s="340"/>
      <c r="Y147" s="341"/>
      <c r="Z147" s="340"/>
      <c r="AA147" s="341"/>
      <c r="AB147" s="340"/>
      <c r="AC147" s="341"/>
      <c r="AD147" s="340"/>
      <c r="AE147" s="341"/>
      <c r="AF147" s="340"/>
      <c r="AG147" s="341"/>
      <c r="AH147" s="340"/>
      <c r="AI147" s="342"/>
      <c r="AJ147" s="343"/>
      <c r="AK147" s="340"/>
    </row>
    <row r="148" ht="15.75" customHeight="1">
      <c r="A148" s="332"/>
      <c r="B148" s="333"/>
      <c r="C148" s="334"/>
      <c r="D148" s="335"/>
      <c r="E148" s="336"/>
      <c r="F148" s="337"/>
      <c r="G148" s="337"/>
      <c r="H148" s="337"/>
      <c r="I148" s="337"/>
      <c r="J148" s="337"/>
      <c r="K148" s="338"/>
      <c r="L148" s="339"/>
      <c r="M148" s="340"/>
      <c r="N148" s="340"/>
      <c r="O148" s="341"/>
      <c r="P148" s="340"/>
      <c r="Q148" s="341"/>
      <c r="R148" s="340"/>
      <c r="S148" s="341"/>
      <c r="T148" s="340"/>
      <c r="U148" s="341"/>
      <c r="V148" s="340"/>
      <c r="W148" s="341"/>
      <c r="X148" s="340"/>
      <c r="Y148" s="341"/>
      <c r="Z148" s="340"/>
      <c r="AA148" s="341"/>
      <c r="AB148" s="340"/>
      <c r="AC148" s="341"/>
      <c r="AD148" s="340"/>
      <c r="AE148" s="341"/>
      <c r="AF148" s="340"/>
      <c r="AG148" s="341"/>
      <c r="AH148" s="340"/>
      <c r="AI148" s="342"/>
      <c r="AJ148" s="343"/>
      <c r="AK148" s="340"/>
    </row>
    <row r="149" ht="15.75" customHeight="1">
      <c r="A149" s="332"/>
      <c r="B149" s="333"/>
      <c r="C149" s="334"/>
      <c r="D149" s="335"/>
      <c r="E149" s="336"/>
      <c r="F149" s="337"/>
      <c r="G149" s="337"/>
      <c r="H149" s="337"/>
      <c r="I149" s="337"/>
      <c r="J149" s="337"/>
      <c r="K149" s="338"/>
      <c r="L149" s="339"/>
      <c r="M149" s="340"/>
      <c r="N149" s="340"/>
      <c r="O149" s="341"/>
      <c r="P149" s="340"/>
      <c r="Q149" s="341"/>
      <c r="R149" s="340"/>
      <c r="S149" s="341"/>
      <c r="T149" s="340"/>
      <c r="U149" s="341"/>
      <c r="V149" s="340"/>
      <c r="W149" s="341"/>
      <c r="X149" s="340"/>
      <c r="Y149" s="341"/>
      <c r="Z149" s="340"/>
      <c r="AA149" s="341"/>
      <c r="AB149" s="340"/>
      <c r="AC149" s="341"/>
      <c r="AD149" s="340"/>
      <c r="AE149" s="341"/>
      <c r="AF149" s="340"/>
      <c r="AG149" s="341"/>
      <c r="AH149" s="340"/>
      <c r="AI149" s="342"/>
      <c r="AJ149" s="343"/>
      <c r="AK149" s="340"/>
    </row>
    <row r="150" ht="15.75" customHeight="1">
      <c r="A150" s="332"/>
      <c r="B150" s="333"/>
      <c r="C150" s="334"/>
      <c r="D150" s="335"/>
      <c r="E150" s="336"/>
      <c r="F150" s="337"/>
      <c r="G150" s="337"/>
      <c r="H150" s="337"/>
      <c r="I150" s="337"/>
      <c r="J150" s="337"/>
      <c r="K150" s="338"/>
      <c r="L150" s="339"/>
      <c r="M150" s="340"/>
      <c r="N150" s="340"/>
      <c r="O150" s="341"/>
      <c r="P150" s="340"/>
      <c r="Q150" s="341"/>
      <c r="R150" s="340"/>
      <c r="S150" s="341"/>
      <c r="T150" s="340"/>
      <c r="U150" s="341"/>
      <c r="V150" s="340"/>
      <c r="W150" s="341"/>
      <c r="X150" s="340"/>
      <c r="Y150" s="341"/>
      <c r="Z150" s="340"/>
      <c r="AA150" s="341"/>
      <c r="AB150" s="340"/>
      <c r="AC150" s="341"/>
      <c r="AD150" s="340"/>
      <c r="AE150" s="341"/>
      <c r="AF150" s="340"/>
      <c r="AG150" s="341"/>
      <c r="AH150" s="340"/>
      <c r="AI150" s="342"/>
      <c r="AJ150" s="343"/>
      <c r="AK150" s="340"/>
    </row>
    <row r="151" ht="15.75" customHeight="1">
      <c r="A151" s="332"/>
      <c r="B151" s="333"/>
      <c r="C151" s="334"/>
      <c r="D151" s="335"/>
      <c r="E151" s="336"/>
      <c r="F151" s="337"/>
      <c r="G151" s="337"/>
      <c r="H151" s="337"/>
      <c r="I151" s="337"/>
      <c r="J151" s="337"/>
      <c r="K151" s="338"/>
      <c r="L151" s="339"/>
      <c r="M151" s="340"/>
      <c r="N151" s="340"/>
      <c r="O151" s="341"/>
      <c r="P151" s="340"/>
      <c r="Q151" s="341"/>
      <c r="R151" s="340"/>
      <c r="S151" s="341"/>
      <c r="T151" s="340"/>
      <c r="U151" s="341"/>
      <c r="V151" s="340"/>
      <c r="W151" s="341"/>
      <c r="X151" s="340"/>
      <c r="Y151" s="341"/>
      <c r="Z151" s="340"/>
      <c r="AA151" s="341"/>
      <c r="AB151" s="340"/>
      <c r="AC151" s="341"/>
      <c r="AD151" s="340"/>
      <c r="AE151" s="341"/>
      <c r="AF151" s="340"/>
      <c r="AG151" s="341"/>
      <c r="AH151" s="340"/>
      <c r="AI151" s="342"/>
      <c r="AJ151" s="343"/>
      <c r="AK151" s="340"/>
    </row>
    <row r="152" ht="15.75" customHeight="1">
      <c r="A152" s="332"/>
      <c r="B152" s="333"/>
      <c r="C152" s="334"/>
      <c r="D152" s="335"/>
      <c r="E152" s="336"/>
      <c r="F152" s="337"/>
      <c r="G152" s="337"/>
      <c r="H152" s="337"/>
      <c r="I152" s="337"/>
      <c r="J152" s="337"/>
      <c r="K152" s="338"/>
      <c r="L152" s="339"/>
      <c r="M152" s="340"/>
      <c r="N152" s="340"/>
      <c r="O152" s="341"/>
      <c r="P152" s="340"/>
      <c r="Q152" s="341"/>
      <c r="R152" s="340"/>
      <c r="S152" s="341"/>
      <c r="T152" s="340"/>
      <c r="U152" s="341"/>
      <c r="V152" s="340"/>
      <c r="W152" s="341"/>
      <c r="X152" s="340"/>
      <c r="Y152" s="341"/>
      <c r="Z152" s="340"/>
      <c r="AA152" s="341"/>
      <c r="AB152" s="340"/>
      <c r="AC152" s="341"/>
      <c r="AD152" s="340"/>
      <c r="AE152" s="341"/>
      <c r="AF152" s="340"/>
      <c r="AG152" s="341"/>
      <c r="AH152" s="340"/>
      <c r="AI152" s="342"/>
      <c r="AJ152" s="343"/>
      <c r="AK152" s="340"/>
    </row>
    <row r="153" ht="15.75" customHeight="1">
      <c r="A153" s="332"/>
      <c r="B153" s="333"/>
      <c r="C153" s="334"/>
      <c r="D153" s="335"/>
      <c r="E153" s="336"/>
      <c r="F153" s="337"/>
      <c r="G153" s="337"/>
      <c r="H153" s="337"/>
      <c r="I153" s="337"/>
      <c r="J153" s="337"/>
      <c r="K153" s="338"/>
      <c r="L153" s="339"/>
      <c r="M153" s="340"/>
      <c r="N153" s="340"/>
      <c r="O153" s="341"/>
      <c r="P153" s="340"/>
      <c r="Q153" s="341"/>
      <c r="R153" s="340"/>
      <c r="S153" s="341"/>
      <c r="T153" s="340"/>
      <c r="U153" s="341"/>
      <c r="V153" s="340"/>
      <c r="W153" s="341"/>
      <c r="X153" s="340"/>
      <c r="Y153" s="341"/>
      <c r="Z153" s="340"/>
      <c r="AA153" s="341"/>
      <c r="AB153" s="340"/>
      <c r="AC153" s="341"/>
      <c r="AD153" s="340"/>
      <c r="AE153" s="341"/>
      <c r="AF153" s="340"/>
      <c r="AG153" s="341"/>
      <c r="AH153" s="340"/>
      <c r="AI153" s="342"/>
      <c r="AJ153" s="343"/>
      <c r="AK153" s="340"/>
    </row>
    <row r="154" ht="15.75" customHeight="1">
      <c r="A154" s="332"/>
      <c r="B154" s="333"/>
      <c r="C154" s="334"/>
      <c r="D154" s="335"/>
      <c r="E154" s="336"/>
      <c r="F154" s="337"/>
      <c r="G154" s="337"/>
      <c r="H154" s="337"/>
      <c r="I154" s="337"/>
      <c r="J154" s="337"/>
      <c r="K154" s="338"/>
      <c r="L154" s="339"/>
      <c r="M154" s="340"/>
      <c r="N154" s="340"/>
      <c r="O154" s="341"/>
      <c r="P154" s="340"/>
      <c r="Q154" s="341"/>
      <c r="R154" s="340"/>
      <c r="S154" s="341"/>
      <c r="T154" s="340"/>
      <c r="U154" s="341"/>
      <c r="V154" s="340"/>
      <c r="W154" s="341"/>
      <c r="X154" s="340"/>
      <c r="Y154" s="341"/>
      <c r="Z154" s="340"/>
      <c r="AA154" s="341"/>
      <c r="AB154" s="340"/>
      <c r="AC154" s="341"/>
      <c r="AD154" s="340"/>
      <c r="AE154" s="341"/>
      <c r="AF154" s="340"/>
      <c r="AG154" s="341"/>
      <c r="AH154" s="340"/>
      <c r="AI154" s="342"/>
      <c r="AJ154" s="343"/>
      <c r="AK154" s="340"/>
    </row>
    <row r="155" ht="15.75" customHeight="1">
      <c r="A155" s="332"/>
      <c r="B155" s="333"/>
      <c r="C155" s="334"/>
      <c r="D155" s="335"/>
      <c r="E155" s="336"/>
      <c r="F155" s="337"/>
      <c r="G155" s="337"/>
      <c r="H155" s="337"/>
      <c r="I155" s="337"/>
      <c r="J155" s="337"/>
      <c r="K155" s="338"/>
      <c r="L155" s="339"/>
      <c r="M155" s="340"/>
      <c r="N155" s="340"/>
      <c r="O155" s="341"/>
      <c r="P155" s="340"/>
      <c r="Q155" s="341"/>
      <c r="R155" s="340"/>
      <c r="S155" s="341"/>
      <c r="T155" s="340"/>
      <c r="U155" s="341"/>
      <c r="V155" s="340"/>
      <c r="W155" s="341"/>
      <c r="X155" s="340"/>
      <c r="Y155" s="341"/>
      <c r="Z155" s="340"/>
      <c r="AA155" s="341"/>
      <c r="AB155" s="340"/>
      <c r="AC155" s="341"/>
      <c r="AD155" s="340"/>
      <c r="AE155" s="341"/>
      <c r="AF155" s="340"/>
      <c r="AG155" s="341"/>
      <c r="AH155" s="340"/>
      <c r="AI155" s="342"/>
      <c r="AJ155" s="343"/>
      <c r="AK155" s="340"/>
    </row>
    <row r="156" ht="15.75" customHeight="1">
      <c r="A156" s="332"/>
      <c r="B156" s="333"/>
      <c r="C156" s="334"/>
      <c r="D156" s="335"/>
      <c r="E156" s="336"/>
      <c r="F156" s="337"/>
      <c r="G156" s="337"/>
      <c r="H156" s="337"/>
      <c r="I156" s="337"/>
      <c r="J156" s="337"/>
      <c r="K156" s="338"/>
      <c r="L156" s="339"/>
      <c r="M156" s="340"/>
      <c r="N156" s="340"/>
      <c r="O156" s="341"/>
      <c r="P156" s="340"/>
      <c r="Q156" s="341"/>
      <c r="R156" s="340"/>
      <c r="S156" s="341"/>
      <c r="T156" s="340"/>
      <c r="U156" s="341"/>
      <c r="V156" s="340"/>
      <c r="W156" s="341"/>
      <c r="X156" s="340"/>
      <c r="Y156" s="341"/>
      <c r="Z156" s="340"/>
      <c r="AA156" s="341"/>
      <c r="AB156" s="340"/>
      <c r="AC156" s="341"/>
      <c r="AD156" s="340"/>
      <c r="AE156" s="341"/>
      <c r="AF156" s="340"/>
      <c r="AG156" s="341"/>
      <c r="AH156" s="340"/>
      <c r="AI156" s="342"/>
      <c r="AJ156" s="343"/>
      <c r="AK156" s="340"/>
    </row>
    <row r="157" ht="15.75" customHeight="1">
      <c r="A157" s="332"/>
      <c r="B157" s="333"/>
      <c r="C157" s="334"/>
      <c r="D157" s="335"/>
      <c r="E157" s="336"/>
      <c r="F157" s="337"/>
      <c r="G157" s="337"/>
      <c r="H157" s="337"/>
      <c r="I157" s="337"/>
      <c r="J157" s="337"/>
      <c r="K157" s="338"/>
      <c r="L157" s="339"/>
      <c r="M157" s="340"/>
      <c r="N157" s="340"/>
      <c r="O157" s="341"/>
      <c r="P157" s="340"/>
      <c r="Q157" s="341"/>
      <c r="R157" s="340"/>
      <c r="S157" s="341"/>
      <c r="T157" s="340"/>
      <c r="U157" s="341"/>
      <c r="V157" s="340"/>
      <c r="W157" s="341"/>
      <c r="X157" s="340"/>
      <c r="Y157" s="341"/>
      <c r="Z157" s="340"/>
      <c r="AA157" s="341"/>
      <c r="AB157" s="340"/>
      <c r="AC157" s="341"/>
      <c r="AD157" s="340"/>
      <c r="AE157" s="341"/>
      <c r="AF157" s="340"/>
      <c r="AG157" s="341"/>
      <c r="AH157" s="340"/>
      <c r="AI157" s="342"/>
      <c r="AJ157" s="343"/>
      <c r="AK157" s="340"/>
    </row>
    <row r="158" ht="15.75" customHeight="1">
      <c r="A158" s="332"/>
      <c r="B158" s="333"/>
      <c r="C158" s="334"/>
      <c r="D158" s="335"/>
      <c r="E158" s="336"/>
      <c r="F158" s="337"/>
      <c r="G158" s="337"/>
      <c r="H158" s="337"/>
      <c r="I158" s="337"/>
      <c r="J158" s="337"/>
      <c r="K158" s="338"/>
      <c r="L158" s="339"/>
      <c r="M158" s="340"/>
      <c r="N158" s="340"/>
      <c r="O158" s="341"/>
      <c r="P158" s="340"/>
      <c r="Q158" s="341"/>
      <c r="R158" s="340"/>
      <c r="S158" s="341"/>
      <c r="T158" s="340"/>
      <c r="U158" s="341"/>
      <c r="V158" s="340"/>
      <c r="W158" s="341"/>
      <c r="X158" s="340"/>
      <c r="Y158" s="341"/>
      <c r="Z158" s="340"/>
      <c r="AA158" s="341"/>
      <c r="AB158" s="340"/>
      <c r="AC158" s="341"/>
      <c r="AD158" s="340"/>
      <c r="AE158" s="341"/>
      <c r="AF158" s="340"/>
      <c r="AG158" s="341"/>
      <c r="AH158" s="340"/>
      <c r="AI158" s="342"/>
      <c r="AJ158" s="343"/>
      <c r="AK158" s="340"/>
    </row>
    <row r="159" ht="15.75" customHeight="1">
      <c r="A159" s="332"/>
      <c r="B159" s="333"/>
      <c r="C159" s="334"/>
      <c r="D159" s="335"/>
      <c r="E159" s="336"/>
      <c r="F159" s="337"/>
      <c r="G159" s="337"/>
      <c r="H159" s="337"/>
      <c r="I159" s="337"/>
      <c r="J159" s="337"/>
      <c r="K159" s="338"/>
      <c r="L159" s="339"/>
      <c r="M159" s="340"/>
      <c r="N159" s="340"/>
      <c r="O159" s="341"/>
      <c r="P159" s="340"/>
      <c r="Q159" s="341"/>
      <c r="R159" s="340"/>
      <c r="S159" s="341"/>
      <c r="T159" s="340"/>
      <c r="U159" s="341"/>
      <c r="V159" s="340"/>
      <c r="W159" s="341"/>
      <c r="X159" s="340"/>
      <c r="Y159" s="341"/>
      <c r="Z159" s="340"/>
      <c r="AA159" s="341"/>
      <c r="AB159" s="340"/>
      <c r="AC159" s="341"/>
      <c r="AD159" s="340"/>
      <c r="AE159" s="341"/>
      <c r="AF159" s="340"/>
      <c r="AG159" s="341"/>
      <c r="AH159" s="340"/>
      <c r="AI159" s="342"/>
      <c r="AJ159" s="343"/>
      <c r="AK159" s="340"/>
    </row>
    <row r="160" ht="15.75" customHeight="1">
      <c r="A160" s="332"/>
      <c r="B160" s="333"/>
      <c r="C160" s="334"/>
      <c r="D160" s="335"/>
      <c r="E160" s="336"/>
      <c r="F160" s="337"/>
      <c r="G160" s="337"/>
      <c r="H160" s="337"/>
      <c r="I160" s="337"/>
      <c r="J160" s="337"/>
      <c r="K160" s="338"/>
      <c r="L160" s="339"/>
      <c r="M160" s="340"/>
      <c r="N160" s="340"/>
      <c r="O160" s="341"/>
      <c r="P160" s="340"/>
      <c r="Q160" s="341"/>
      <c r="R160" s="340"/>
      <c r="S160" s="341"/>
      <c r="T160" s="340"/>
      <c r="U160" s="341"/>
      <c r="V160" s="340"/>
      <c r="W160" s="341"/>
      <c r="X160" s="340"/>
      <c r="Y160" s="341"/>
      <c r="Z160" s="340"/>
      <c r="AA160" s="341"/>
      <c r="AB160" s="340"/>
      <c r="AC160" s="341"/>
      <c r="AD160" s="340"/>
      <c r="AE160" s="341"/>
      <c r="AF160" s="340"/>
      <c r="AG160" s="341"/>
      <c r="AH160" s="340"/>
      <c r="AI160" s="342"/>
      <c r="AJ160" s="343"/>
      <c r="AK160" s="340"/>
    </row>
    <row r="161" ht="15.75" customHeight="1">
      <c r="A161" s="332"/>
      <c r="B161" s="333"/>
      <c r="C161" s="334"/>
      <c r="D161" s="335"/>
      <c r="E161" s="336"/>
      <c r="F161" s="337"/>
      <c r="G161" s="337"/>
      <c r="H161" s="337"/>
      <c r="I161" s="337"/>
      <c r="J161" s="337"/>
      <c r="K161" s="338"/>
      <c r="L161" s="339"/>
      <c r="M161" s="340"/>
      <c r="N161" s="340"/>
      <c r="O161" s="341"/>
      <c r="P161" s="340"/>
      <c r="Q161" s="341"/>
      <c r="R161" s="340"/>
      <c r="S161" s="341"/>
      <c r="T161" s="340"/>
      <c r="U161" s="341"/>
      <c r="V161" s="340"/>
      <c r="W161" s="341"/>
      <c r="X161" s="340"/>
      <c r="Y161" s="341"/>
      <c r="Z161" s="340"/>
      <c r="AA161" s="341"/>
      <c r="AB161" s="340"/>
      <c r="AC161" s="341"/>
      <c r="AD161" s="340"/>
      <c r="AE161" s="341"/>
      <c r="AF161" s="340"/>
      <c r="AG161" s="341"/>
      <c r="AH161" s="340"/>
      <c r="AI161" s="342"/>
      <c r="AJ161" s="343"/>
      <c r="AK161" s="340"/>
    </row>
    <row r="162" ht="15.75" customHeight="1">
      <c r="A162" s="332"/>
      <c r="B162" s="333"/>
      <c r="C162" s="334"/>
      <c r="D162" s="335"/>
      <c r="E162" s="336"/>
      <c r="F162" s="337"/>
      <c r="G162" s="337"/>
      <c r="H162" s="337"/>
      <c r="I162" s="337"/>
      <c r="J162" s="337"/>
      <c r="K162" s="338"/>
      <c r="L162" s="339"/>
      <c r="M162" s="340"/>
      <c r="N162" s="340"/>
      <c r="O162" s="341"/>
      <c r="P162" s="340"/>
      <c r="Q162" s="341"/>
      <c r="R162" s="340"/>
      <c r="S162" s="341"/>
      <c r="T162" s="340"/>
      <c r="U162" s="341"/>
      <c r="V162" s="340"/>
      <c r="W162" s="341"/>
      <c r="X162" s="340"/>
      <c r="Y162" s="341"/>
      <c r="Z162" s="340"/>
      <c r="AA162" s="341"/>
      <c r="AB162" s="340"/>
      <c r="AC162" s="341"/>
      <c r="AD162" s="340"/>
      <c r="AE162" s="341"/>
      <c r="AF162" s="340"/>
      <c r="AG162" s="341"/>
      <c r="AH162" s="340"/>
      <c r="AI162" s="342"/>
      <c r="AJ162" s="343"/>
      <c r="AK162" s="340"/>
    </row>
    <row r="163" ht="15.75" customHeight="1">
      <c r="A163" s="332"/>
      <c r="B163" s="333"/>
      <c r="C163" s="334"/>
      <c r="D163" s="335"/>
      <c r="E163" s="336"/>
      <c r="F163" s="337"/>
      <c r="G163" s="337"/>
      <c r="H163" s="337"/>
      <c r="I163" s="337"/>
      <c r="J163" s="337"/>
      <c r="K163" s="338"/>
      <c r="L163" s="339"/>
      <c r="M163" s="340"/>
      <c r="N163" s="340"/>
      <c r="O163" s="341"/>
      <c r="P163" s="340"/>
      <c r="Q163" s="341"/>
      <c r="R163" s="340"/>
      <c r="S163" s="341"/>
      <c r="T163" s="340"/>
      <c r="U163" s="341"/>
      <c r="V163" s="340"/>
      <c r="W163" s="341"/>
      <c r="X163" s="340"/>
      <c r="Y163" s="341"/>
      <c r="Z163" s="340"/>
      <c r="AA163" s="341"/>
      <c r="AB163" s="340"/>
      <c r="AC163" s="341"/>
      <c r="AD163" s="340"/>
      <c r="AE163" s="341"/>
      <c r="AF163" s="340"/>
      <c r="AG163" s="341"/>
      <c r="AH163" s="340"/>
      <c r="AI163" s="342"/>
      <c r="AJ163" s="343"/>
      <c r="AK163" s="340"/>
    </row>
    <row r="164" ht="15.75" customHeight="1">
      <c r="A164" s="332"/>
      <c r="B164" s="333"/>
      <c r="C164" s="334"/>
      <c r="D164" s="335"/>
      <c r="E164" s="336"/>
      <c r="F164" s="337"/>
      <c r="G164" s="337"/>
      <c r="H164" s="337"/>
      <c r="I164" s="337"/>
      <c r="J164" s="337"/>
      <c r="K164" s="338"/>
      <c r="L164" s="339"/>
      <c r="M164" s="340"/>
      <c r="N164" s="340"/>
      <c r="O164" s="341"/>
      <c r="P164" s="340"/>
      <c r="Q164" s="341"/>
      <c r="R164" s="340"/>
      <c r="S164" s="341"/>
      <c r="T164" s="340"/>
      <c r="U164" s="341"/>
      <c r="V164" s="340"/>
      <c r="W164" s="341"/>
      <c r="X164" s="340"/>
      <c r="Y164" s="341"/>
      <c r="Z164" s="340"/>
      <c r="AA164" s="341"/>
      <c r="AB164" s="340"/>
      <c r="AC164" s="341"/>
      <c r="AD164" s="340"/>
      <c r="AE164" s="341"/>
      <c r="AF164" s="340"/>
      <c r="AG164" s="341"/>
      <c r="AH164" s="340"/>
      <c r="AI164" s="342"/>
      <c r="AJ164" s="343"/>
      <c r="AK164" s="340"/>
    </row>
    <row r="165" ht="15.75" customHeight="1">
      <c r="A165" s="332"/>
      <c r="B165" s="333"/>
      <c r="C165" s="334"/>
      <c r="D165" s="335"/>
      <c r="E165" s="336"/>
      <c r="F165" s="337"/>
      <c r="G165" s="337"/>
      <c r="H165" s="337"/>
      <c r="I165" s="337"/>
      <c r="J165" s="337"/>
      <c r="K165" s="338"/>
      <c r="L165" s="339"/>
      <c r="M165" s="340"/>
      <c r="N165" s="340"/>
      <c r="O165" s="341"/>
      <c r="P165" s="340"/>
      <c r="Q165" s="341"/>
      <c r="R165" s="340"/>
      <c r="S165" s="341"/>
      <c r="T165" s="340"/>
      <c r="U165" s="341"/>
      <c r="V165" s="340"/>
      <c r="W165" s="341"/>
      <c r="X165" s="340"/>
      <c r="Y165" s="341"/>
      <c r="Z165" s="340"/>
      <c r="AA165" s="341"/>
      <c r="AB165" s="340"/>
      <c r="AC165" s="341"/>
      <c r="AD165" s="340"/>
      <c r="AE165" s="341"/>
      <c r="AF165" s="340"/>
      <c r="AG165" s="341"/>
      <c r="AH165" s="340"/>
      <c r="AI165" s="342"/>
      <c r="AJ165" s="343"/>
      <c r="AK165" s="340"/>
    </row>
    <row r="166" ht="15.75" customHeight="1">
      <c r="A166" s="332"/>
      <c r="B166" s="333"/>
      <c r="C166" s="334"/>
      <c r="D166" s="335"/>
      <c r="E166" s="336"/>
      <c r="F166" s="337"/>
      <c r="G166" s="337"/>
      <c r="H166" s="337"/>
      <c r="I166" s="337"/>
      <c r="J166" s="337"/>
      <c r="K166" s="338"/>
      <c r="L166" s="339"/>
      <c r="M166" s="340"/>
      <c r="N166" s="340"/>
      <c r="O166" s="341"/>
      <c r="P166" s="340"/>
      <c r="Q166" s="341"/>
      <c r="R166" s="340"/>
      <c r="S166" s="341"/>
      <c r="T166" s="340"/>
      <c r="U166" s="341"/>
      <c r="V166" s="340"/>
      <c r="W166" s="341"/>
      <c r="X166" s="340"/>
      <c r="Y166" s="341"/>
      <c r="Z166" s="340"/>
      <c r="AA166" s="341"/>
      <c r="AB166" s="340"/>
      <c r="AC166" s="341"/>
      <c r="AD166" s="340"/>
      <c r="AE166" s="341"/>
      <c r="AF166" s="340"/>
      <c r="AG166" s="341"/>
      <c r="AH166" s="340"/>
      <c r="AI166" s="342"/>
      <c r="AJ166" s="343"/>
      <c r="AK166" s="340"/>
    </row>
    <row r="167" ht="15.75" customHeight="1">
      <c r="A167" s="332"/>
      <c r="B167" s="333"/>
      <c r="C167" s="334"/>
      <c r="D167" s="335"/>
      <c r="E167" s="336"/>
      <c r="F167" s="337"/>
      <c r="G167" s="337"/>
      <c r="H167" s="337"/>
      <c r="I167" s="337"/>
      <c r="J167" s="337"/>
      <c r="K167" s="338"/>
      <c r="L167" s="339"/>
      <c r="M167" s="340"/>
      <c r="N167" s="340"/>
      <c r="O167" s="341"/>
      <c r="P167" s="340"/>
      <c r="Q167" s="341"/>
      <c r="R167" s="340"/>
      <c r="S167" s="341"/>
      <c r="T167" s="340"/>
      <c r="U167" s="341"/>
      <c r="V167" s="340"/>
      <c r="W167" s="341"/>
      <c r="X167" s="340"/>
      <c r="Y167" s="341"/>
      <c r="Z167" s="340"/>
      <c r="AA167" s="341"/>
      <c r="AB167" s="340"/>
      <c r="AC167" s="341"/>
      <c r="AD167" s="340"/>
      <c r="AE167" s="341"/>
      <c r="AF167" s="340"/>
      <c r="AG167" s="341"/>
      <c r="AH167" s="340"/>
      <c r="AI167" s="342"/>
      <c r="AJ167" s="343"/>
      <c r="AK167" s="340"/>
    </row>
    <row r="168" ht="15.75" customHeight="1">
      <c r="A168" s="332"/>
      <c r="B168" s="333"/>
      <c r="C168" s="334"/>
      <c r="D168" s="335"/>
      <c r="E168" s="336"/>
      <c r="F168" s="337"/>
      <c r="G168" s="337"/>
      <c r="H168" s="337"/>
      <c r="I168" s="337"/>
      <c r="J168" s="337"/>
      <c r="K168" s="338"/>
      <c r="L168" s="339"/>
      <c r="M168" s="340"/>
      <c r="N168" s="340"/>
      <c r="O168" s="341"/>
      <c r="P168" s="340"/>
      <c r="Q168" s="341"/>
      <c r="R168" s="340"/>
      <c r="S168" s="341"/>
      <c r="T168" s="340"/>
      <c r="U168" s="341"/>
      <c r="V168" s="340"/>
      <c r="W168" s="341"/>
      <c r="X168" s="340"/>
      <c r="Y168" s="341"/>
      <c r="Z168" s="340"/>
      <c r="AA168" s="341"/>
      <c r="AB168" s="340"/>
      <c r="AC168" s="341"/>
      <c r="AD168" s="340"/>
      <c r="AE168" s="341"/>
      <c r="AF168" s="340"/>
      <c r="AG168" s="341"/>
      <c r="AH168" s="340"/>
      <c r="AI168" s="342"/>
      <c r="AJ168" s="343"/>
      <c r="AK168" s="340"/>
    </row>
    <row r="169" ht="15.75" customHeight="1">
      <c r="A169" s="332"/>
      <c r="B169" s="333"/>
      <c r="C169" s="334"/>
      <c r="D169" s="335"/>
      <c r="E169" s="336"/>
      <c r="F169" s="337"/>
      <c r="G169" s="337"/>
      <c r="H169" s="337"/>
      <c r="I169" s="337"/>
      <c r="J169" s="337"/>
      <c r="K169" s="338"/>
      <c r="L169" s="339"/>
      <c r="M169" s="340"/>
      <c r="N169" s="340"/>
      <c r="O169" s="341"/>
      <c r="P169" s="340"/>
      <c r="Q169" s="341"/>
      <c r="R169" s="340"/>
      <c r="S169" s="341"/>
      <c r="T169" s="340"/>
      <c r="U169" s="341"/>
      <c r="V169" s="340"/>
      <c r="W169" s="341"/>
      <c r="X169" s="340"/>
      <c r="Y169" s="341"/>
      <c r="Z169" s="340"/>
      <c r="AA169" s="341"/>
      <c r="AB169" s="340"/>
      <c r="AC169" s="341"/>
      <c r="AD169" s="340"/>
      <c r="AE169" s="341"/>
      <c r="AF169" s="340"/>
      <c r="AG169" s="341"/>
      <c r="AH169" s="340"/>
      <c r="AI169" s="342"/>
      <c r="AJ169" s="343"/>
      <c r="AK169" s="340"/>
    </row>
    <row r="170" ht="15.75" customHeight="1">
      <c r="A170" s="332"/>
      <c r="B170" s="333"/>
      <c r="C170" s="334"/>
      <c r="D170" s="335"/>
      <c r="E170" s="336"/>
      <c r="F170" s="337"/>
      <c r="G170" s="337"/>
      <c r="H170" s="337"/>
      <c r="I170" s="337"/>
      <c r="J170" s="337"/>
      <c r="K170" s="338"/>
      <c r="L170" s="339"/>
      <c r="M170" s="340"/>
      <c r="N170" s="340"/>
      <c r="O170" s="341"/>
      <c r="P170" s="340"/>
      <c r="Q170" s="341"/>
      <c r="R170" s="340"/>
      <c r="S170" s="341"/>
      <c r="T170" s="340"/>
      <c r="U170" s="341"/>
      <c r="V170" s="340"/>
      <c r="W170" s="341"/>
      <c r="X170" s="340"/>
      <c r="Y170" s="341"/>
      <c r="Z170" s="340"/>
      <c r="AA170" s="341"/>
      <c r="AB170" s="340"/>
      <c r="AC170" s="341"/>
      <c r="AD170" s="340"/>
      <c r="AE170" s="341"/>
      <c r="AF170" s="340"/>
      <c r="AG170" s="341"/>
      <c r="AH170" s="340"/>
      <c r="AI170" s="342"/>
      <c r="AJ170" s="343"/>
      <c r="AK170" s="340"/>
    </row>
    <row r="171" ht="15.75" customHeight="1">
      <c r="A171" s="332"/>
      <c r="B171" s="333"/>
      <c r="C171" s="334"/>
      <c r="D171" s="335"/>
      <c r="E171" s="336"/>
      <c r="F171" s="337"/>
      <c r="G171" s="337"/>
      <c r="H171" s="337"/>
      <c r="I171" s="337"/>
      <c r="J171" s="337"/>
      <c r="K171" s="338"/>
      <c r="L171" s="339"/>
      <c r="M171" s="340"/>
      <c r="N171" s="340"/>
      <c r="O171" s="341"/>
      <c r="P171" s="340"/>
      <c r="Q171" s="341"/>
      <c r="R171" s="340"/>
      <c r="S171" s="341"/>
      <c r="T171" s="340"/>
      <c r="U171" s="341"/>
      <c r="V171" s="340"/>
      <c r="W171" s="341"/>
      <c r="X171" s="340"/>
      <c r="Y171" s="341"/>
      <c r="Z171" s="340"/>
      <c r="AA171" s="341"/>
      <c r="AB171" s="340"/>
      <c r="AC171" s="341"/>
      <c r="AD171" s="340"/>
      <c r="AE171" s="341"/>
      <c r="AF171" s="340"/>
      <c r="AG171" s="341"/>
      <c r="AH171" s="340"/>
      <c r="AI171" s="342"/>
      <c r="AJ171" s="343"/>
      <c r="AK171" s="340"/>
    </row>
    <row r="172" ht="15.75" customHeight="1">
      <c r="A172" s="332"/>
      <c r="B172" s="333"/>
      <c r="C172" s="334"/>
      <c r="D172" s="335"/>
      <c r="E172" s="336"/>
      <c r="F172" s="337"/>
      <c r="G172" s="337"/>
      <c r="H172" s="337"/>
      <c r="I172" s="337"/>
      <c r="J172" s="337"/>
      <c r="K172" s="338"/>
      <c r="L172" s="339"/>
      <c r="M172" s="340"/>
      <c r="N172" s="340"/>
      <c r="O172" s="341"/>
      <c r="P172" s="340"/>
      <c r="Q172" s="341"/>
      <c r="R172" s="340"/>
      <c r="S172" s="341"/>
      <c r="T172" s="340"/>
      <c r="U172" s="341"/>
      <c r="V172" s="340"/>
      <c r="W172" s="341"/>
      <c r="X172" s="340"/>
      <c r="Y172" s="341"/>
      <c r="Z172" s="340"/>
      <c r="AA172" s="341"/>
      <c r="AB172" s="340"/>
      <c r="AC172" s="341"/>
      <c r="AD172" s="340"/>
      <c r="AE172" s="341"/>
      <c r="AF172" s="340"/>
      <c r="AG172" s="341"/>
      <c r="AH172" s="340"/>
      <c r="AI172" s="342"/>
      <c r="AJ172" s="343"/>
      <c r="AK172" s="340"/>
    </row>
    <row r="173" ht="15.75" customHeight="1">
      <c r="A173" s="332"/>
      <c r="B173" s="333"/>
      <c r="C173" s="334"/>
      <c r="D173" s="335"/>
      <c r="E173" s="336"/>
      <c r="F173" s="337"/>
      <c r="G173" s="337"/>
      <c r="H173" s="337"/>
      <c r="I173" s="337"/>
      <c r="J173" s="337"/>
      <c r="K173" s="338"/>
      <c r="L173" s="339"/>
      <c r="M173" s="340"/>
      <c r="N173" s="340"/>
      <c r="O173" s="341"/>
      <c r="P173" s="340"/>
      <c r="Q173" s="341"/>
      <c r="R173" s="340"/>
      <c r="S173" s="341"/>
      <c r="T173" s="340"/>
      <c r="U173" s="341"/>
      <c r="V173" s="340"/>
      <c r="W173" s="341"/>
      <c r="X173" s="340"/>
      <c r="Y173" s="341"/>
      <c r="Z173" s="340"/>
      <c r="AA173" s="341"/>
      <c r="AB173" s="340"/>
      <c r="AC173" s="341"/>
      <c r="AD173" s="340"/>
      <c r="AE173" s="341"/>
      <c r="AF173" s="340"/>
      <c r="AG173" s="341"/>
      <c r="AH173" s="340"/>
      <c r="AI173" s="342"/>
      <c r="AJ173" s="343"/>
      <c r="AK173" s="340"/>
    </row>
    <row r="174" ht="15.75" customHeight="1">
      <c r="A174" s="332"/>
      <c r="B174" s="333"/>
      <c r="C174" s="334"/>
      <c r="D174" s="335"/>
      <c r="E174" s="336"/>
      <c r="F174" s="337"/>
      <c r="G174" s="337"/>
      <c r="H174" s="337"/>
      <c r="I174" s="337"/>
      <c r="J174" s="337"/>
      <c r="K174" s="338"/>
      <c r="L174" s="339"/>
      <c r="M174" s="340"/>
      <c r="N174" s="340"/>
      <c r="O174" s="341"/>
      <c r="P174" s="340"/>
      <c r="Q174" s="341"/>
      <c r="R174" s="340"/>
      <c r="S174" s="341"/>
      <c r="T174" s="340"/>
      <c r="U174" s="341"/>
      <c r="V174" s="340"/>
      <c r="W174" s="341"/>
      <c r="X174" s="340"/>
      <c r="Y174" s="341"/>
      <c r="Z174" s="340"/>
      <c r="AA174" s="341"/>
      <c r="AB174" s="340"/>
      <c r="AC174" s="341"/>
      <c r="AD174" s="340"/>
      <c r="AE174" s="341"/>
      <c r="AF174" s="340"/>
      <c r="AG174" s="341"/>
      <c r="AH174" s="340"/>
      <c r="AI174" s="342"/>
      <c r="AJ174" s="343"/>
      <c r="AK174" s="340"/>
    </row>
    <row r="175" ht="15.75" customHeight="1">
      <c r="A175" s="332"/>
      <c r="B175" s="333"/>
      <c r="C175" s="334"/>
      <c r="D175" s="335"/>
      <c r="E175" s="336"/>
      <c r="F175" s="337"/>
      <c r="G175" s="337"/>
      <c r="H175" s="337"/>
      <c r="I175" s="337"/>
      <c r="J175" s="337"/>
      <c r="K175" s="338"/>
      <c r="L175" s="339"/>
      <c r="M175" s="340"/>
      <c r="N175" s="340"/>
      <c r="O175" s="341"/>
      <c r="P175" s="340"/>
      <c r="Q175" s="341"/>
      <c r="R175" s="340"/>
      <c r="S175" s="341"/>
      <c r="T175" s="340"/>
      <c r="U175" s="341"/>
      <c r="V175" s="340"/>
      <c r="W175" s="341"/>
      <c r="X175" s="340"/>
      <c r="Y175" s="341"/>
      <c r="Z175" s="340"/>
      <c r="AA175" s="341"/>
      <c r="AB175" s="340"/>
      <c r="AC175" s="341"/>
      <c r="AD175" s="340"/>
      <c r="AE175" s="341"/>
      <c r="AF175" s="340"/>
      <c r="AG175" s="341"/>
      <c r="AH175" s="340"/>
      <c r="AI175" s="342"/>
      <c r="AJ175" s="343"/>
      <c r="AK175" s="340"/>
    </row>
    <row r="176" ht="15.75" customHeight="1">
      <c r="A176" s="332"/>
      <c r="B176" s="333"/>
      <c r="C176" s="334"/>
      <c r="D176" s="335"/>
      <c r="E176" s="336"/>
      <c r="F176" s="337"/>
      <c r="G176" s="337"/>
      <c r="H176" s="337"/>
      <c r="I176" s="337"/>
      <c r="J176" s="337"/>
      <c r="K176" s="338"/>
      <c r="L176" s="339"/>
      <c r="M176" s="340"/>
      <c r="N176" s="340"/>
      <c r="O176" s="341"/>
      <c r="P176" s="340"/>
      <c r="Q176" s="341"/>
      <c r="R176" s="340"/>
      <c r="S176" s="341"/>
      <c r="T176" s="340"/>
      <c r="U176" s="341"/>
      <c r="V176" s="340"/>
      <c r="W176" s="341"/>
      <c r="X176" s="340"/>
      <c r="Y176" s="341"/>
      <c r="Z176" s="340"/>
      <c r="AA176" s="341"/>
      <c r="AB176" s="340"/>
      <c r="AC176" s="341"/>
      <c r="AD176" s="340"/>
      <c r="AE176" s="341"/>
      <c r="AF176" s="340"/>
      <c r="AG176" s="341"/>
      <c r="AH176" s="340"/>
      <c r="AI176" s="342"/>
      <c r="AJ176" s="343"/>
      <c r="AK176" s="340"/>
    </row>
    <row r="177" ht="15.75" customHeight="1">
      <c r="A177" s="332"/>
      <c r="B177" s="333"/>
      <c r="C177" s="334"/>
      <c r="D177" s="335"/>
      <c r="E177" s="336"/>
      <c r="F177" s="337"/>
      <c r="G177" s="337"/>
      <c r="H177" s="337"/>
      <c r="I177" s="337"/>
      <c r="J177" s="337"/>
      <c r="K177" s="338"/>
      <c r="L177" s="339"/>
      <c r="M177" s="340"/>
      <c r="N177" s="340"/>
      <c r="O177" s="341"/>
      <c r="P177" s="340"/>
      <c r="Q177" s="341"/>
      <c r="R177" s="340"/>
      <c r="S177" s="341"/>
      <c r="T177" s="340"/>
      <c r="U177" s="341"/>
      <c r="V177" s="340"/>
      <c r="W177" s="341"/>
      <c r="X177" s="340"/>
      <c r="Y177" s="341"/>
      <c r="Z177" s="340"/>
      <c r="AA177" s="341"/>
      <c r="AB177" s="340"/>
      <c r="AC177" s="341"/>
      <c r="AD177" s="340"/>
      <c r="AE177" s="341"/>
      <c r="AF177" s="340"/>
      <c r="AG177" s="341"/>
      <c r="AH177" s="340"/>
      <c r="AI177" s="342"/>
      <c r="AJ177" s="343"/>
      <c r="AK177" s="340"/>
    </row>
    <row r="178" ht="15.75" customHeight="1">
      <c r="A178" s="332"/>
      <c r="B178" s="333"/>
      <c r="C178" s="334"/>
      <c r="D178" s="335"/>
      <c r="E178" s="336"/>
      <c r="F178" s="337"/>
      <c r="G178" s="337"/>
      <c r="H178" s="337"/>
      <c r="I178" s="337"/>
      <c r="J178" s="337"/>
      <c r="K178" s="338"/>
      <c r="L178" s="339"/>
      <c r="M178" s="340"/>
      <c r="N178" s="340"/>
      <c r="O178" s="341"/>
      <c r="P178" s="340"/>
      <c r="Q178" s="341"/>
      <c r="R178" s="340"/>
      <c r="S178" s="341"/>
      <c r="T178" s="340"/>
      <c r="U178" s="341"/>
      <c r="V178" s="340"/>
      <c r="W178" s="341"/>
      <c r="X178" s="340"/>
      <c r="Y178" s="341"/>
      <c r="Z178" s="340"/>
      <c r="AA178" s="341"/>
      <c r="AB178" s="340"/>
      <c r="AC178" s="341"/>
      <c r="AD178" s="340"/>
      <c r="AE178" s="341"/>
      <c r="AF178" s="340"/>
      <c r="AG178" s="341"/>
      <c r="AH178" s="340"/>
      <c r="AI178" s="342"/>
      <c r="AJ178" s="343"/>
      <c r="AK178" s="340"/>
    </row>
    <row r="179" ht="15.75" customHeight="1">
      <c r="A179" s="332"/>
      <c r="B179" s="333"/>
      <c r="C179" s="334"/>
      <c r="D179" s="335"/>
      <c r="E179" s="336"/>
      <c r="F179" s="337"/>
      <c r="G179" s="337"/>
      <c r="H179" s="337"/>
      <c r="I179" s="337"/>
      <c r="J179" s="337"/>
      <c r="K179" s="338"/>
      <c r="L179" s="339"/>
      <c r="M179" s="340"/>
      <c r="N179" s="340"/>
      <c r="O179" s="341"/>
      <c r="P179" s="340"/>
      <c r="Q179" s="341"/>
      <c r="R179" s="340"/>
      <c r="S179" s="341"/>
      <c r="T179" s="340"/>
      <c r="U179" s="341"/>
      <c r="V179" s="340"/>
      <c r="W179" s="341"/>
      <c r="X179" s="340"/>
      <c r="Y179" s="341"/>
      <c r="Z179" s="340"/>
      <c r="AA179" s="341"/>
      <c r="AB179" s="340"/>
      <c r="AC179" s="341"/>
      <c r="AD179" s="340"/>
      <c r="AE179" s="341"/>
      <c r="AF179" s="340"/>
      <c r="AG179" s="341"/>
      <c r="AH179" s="340"/>
      <c r="AI179" s="342"/>
      <c r="AJ179" s="343"/>
      <c r="AK179" s="340"/>
    </row>
    <row r="180" ht="15.75" customHeight="1">
      <c r="A180" s="332"/>
      <c r="B180" s="333"/>
      <c r="C180" s="334"/>
      <c r="D180" s="335"/>
      <c r="E180" s="336"/>
      <c r="F180" s="337"/>
      <c r="G180" s="337"/>
      <c r="H180" s="337"/>
      <c r="I180" s="337"/>
      <c r="J180" s="337"/>
      <c r="K180" s="338"/>
      <c r="L180" s="339"/>
      <c r="M180" s="340"/>
      <c r="N180" s="340"/>
      <c r="O180" s="341"/>
      <c r="P180" s="340"/>
      <c r="Q180" s="341"/>
      <c r="R180" s="340"/>
      <c r="S180" s="341"/>
      <c r="T180" s="340"/>
      <c r="U180" s="341"/>
      <c r="V180" s="340"/>
      <c r="W180" s="341"/>
      <c r="X180" s="340"/>
      <c r="Y180" s="341"/>
      <c r="Z180" s="340"/>
      <c r="AA180" s="341"/>
      <c r="AB180" s="340"/>
      <c r="AC180" s="341"/>
      <c r="AD180" s="340"/>
      <c r="AE180" s="341"/>
      <c r="AF180" s="340"/>
      <c r="AG180" s="341"/>
      <c r="AH180" s="340"/>
      <c r="AI180" s="342"/>
      <c r="AJ180" s="343"/>
      <c r="AK180" s="340"/>
    </row>
    <row r="181" ht="15.75" customHeight="1">
      <c r="A181" s="332"/>
      <c r="B181" s="333"/>
      <c r="C181" s="334"/>
      <c r="D181" s="335"/>
      <c r="E181" s="336"/>
      <c r="F181" s="337"/>
      <c r="G181" s="337"/>
      <c r="H181" s="337"/>
      <c r="I181" s="337"/>
      <c r="J181" s="337"/>
      <c r="K181" s="338"/>
      <c r="L181" s="339"/>
      <c r="M181" s="340"/>
      <c r="N181" s="340"/>
      <c r="O181" s="341"/>
      <c r="P181" s="340"/>
      <c r="Q181" s="341"/>
      <c r="R181" s="340"/>
      <c r="S181" s="341"/>
      <c r="T181" s="340"/>
      <c r="U181" s="341"/>
      <c r="V181" s="340"/>
      <c r="W181" s="341"/>
      <c r="X181" s="340"/>
      <c r="Y181" s="341"/>
      <c r="Z181" s="340"/>
      <c r="AA181" s="341"/>
      <c r="AB181" s="340"/>
      <c r="AC181" s="341"/>
      <c r="AD181" s="340"/>
      <c r="AE181" s="341"/>
      <c r="AF181" s="340"/>
      <c r="AG181" s="341"/>
      <c r="AH181" s="340"/>
      <c r="AI181" s="342"/>
      <c r="AJ181" s="343"/>
      <c r="AK181" s="340"/>
    </row>
    <row r="182" ht="15.75" customHeight="1">
      <c r="A182" s="332"/>
      <c r="B182" s="333"/>
      <c r="C182" s="334"/>
      <c r="D182" s="335"/>
      <c r="E182" s="336"/>
      <c r="F182" s="337"/>
      <c r="G182" s="337"/>
      <c r="H182" s="337"/>
      <c r="I182" s="337"/>
      <c r="J182" s="337"/>
      <c r="K182" s="338"/>
      <c r="L182" s="339"/>
      <c r="M182" s="340"/>
      <c r="N182" s="340"/>
      <c r="O182" s="341"/>
      <c r="P182" s="340"/>
      <c r="Q182" s="341"/>
      <c r="R182" s="340"/>
      <c r="S182" s="341"/>
      <c r="T182" s="340"/>
      <c r="U182" s="341"/>
      <c r="V182" s="340"/>
      <c r="W182" s="341"/>
      <c r="X182" s="340"/>
      <c r="Y182" s="341"/>
      <c r="Z182" s="340"/>
      <c r="AA182" s="341"/>
      <c r="AB182" s="340"/>
      <c r="AC182" s="341"/>
      <c r="AD182" s="340"/>
      <c r="AE182" s="341"/>
      <c r="AF182" s="340"/>
      <c r="AG182" s="341"/>
      <c r="AH182" s="340"/>
      <c r="AI182" s="342"/>
      <c r="AJ182" s="343"/>
      <c r="AK182" s="340"/>
    </row>
    <row r="183" ht="15.75" customHeight="1">
      <c r="A183" s="332"/>
      <c r="B183" s="333"/>
      <c r="C183" s="334"/>
      <c r="D183" s="335"/>
      <c r="E183" s="336"/>
      <c r="F183" s="337"/>
      <c r="G183" s="337"/>
      <c r="H183" s="337"/>
      <c r="I183" s="337"/>
      <c r="J183" s="337"/>
      <c r="K183" s="338"/>
      <c r="L183" s="339"/>
      <c r="M183" s="340"/>
      <c r="N183" s="340"/>
      <c r="O183" s="341"/>
      <c r="P183" s="340"/>
      <c r="Q183" s="341"/>
      <c r="R183" s="340"/>
      <c r="S183" s="341"/>
      <c r="T183" s="340"/>
      <c r="U183" s="341"/>
      <c r="V183" s="340"/>
      <c r="W183" s="341"/>
      <c r="X183" s="340"/>
      <c r="Y183" s="341"/>
      <c r="Z183" s="340"/>
      <c r="AA183" s="341"/>
      <c r="AB183" s="340"/>
      <c r="AC183" s="341"/>
      <c r="AD183" s="340"/>
      <c r="AE183" s="341"/>
      <c r="AF183" s="340"/>
      <c r="AG183" s="341"/>
      <c r="AH183" s="340"/>
      <c r="AI183" s="342"/>
      <c r="AJ183" s="343"/>
      <c r="AK183" s="340"/>
    </row>
    <row r="184" ht="15.75" customHeight="1">
      <c r="A184" s="332"/>
      <c r="B184" s="333"/>
      <c r="C184" s="334"/>
      <c r="D184" s="335"/>
      <c r="E184" s="336"/>
      <c r="F184" s="337"/>
      <c r="G184" s="337"/>
      <c r="H184" s="337"/>
      <c r="I184" s="337"/>
      <c r="J184" s="337"/>
      <c r="K184" s="338"/>
      <c r="L184" s="339"/>
      <c r="M184" s="340"/>
      <c r="N184" s="340"/>
      <c r="O184" s="341"/>
      <c r="P184" s="340"/>
      <c r="Q184" s="341"/>
      <c r="R184" s="340"/>
      <c r="S184" s="341"/>
      <c r="T184" s="340"/>
      <c r="U184" s="341"/>
      <c r="V184" s="340"/>
      <c r="W184" s="341"/>
      <c r="X184" s="340"/>
      <c r="Y184" s="341"/>
      <c r="Z184" s="340"/>
      <c r="AA184" s="341"/>
      <c r="AB184" s="340"/>
      <c r="AC184" s="341"/>
      <c r="AD184" s="340"/>
      <c r="AE184" s="341"/>
      <c r="AF184" s="340"/>
      <c r="AG184" s="341"/>
      <c r="AH184" s="340"/>
      <c r="AI184" s="342"/>
      <c r="AJ184" s="343"/>
      <c r="AK184" s="340"/>
    </row>
    <row r="185" ht="15.75" customHeight="1">
      <c r="A185" s="332"/>
      <c r="B185" s="333"/>
      <c r="C185" s="334"/>
      <c r="D185" s="335"/>
      <c r="E185" s="336"/>
      <c r="F185" s="337"/>
      <c r="G185" s="337"/>
      <c r="H185" s="337"/>
      <c r="I185" s="337"/>
      <c r="J185" s="337"/>
      <c r="K185" s="338"/>
      <c r="L185" s="339"/>
      <c r="M185" s="340"/>
      <c r="N185" s="340"/>
      <c r="O185" s="341"/>
      <c r="P185" s="340"/>
      <c r="Q185" s="341"/>
      <c r="R185" s="340"/>
      <c r="S185" s="341"/>
      <c r="T185" s="340"/>
      <c r="U185" s="341"/>
      <c r="V185" s="340"/>
      <c r="W185" s="341"/>
      <c r="X185" s="340"/>
      <c r="Y185" s="341"/>
      <c r="Z185" s="340"/>
      <c r="AA185" s="341"/>
      <c r="AB185" s="340"/>
      <c r="AC185" s="341"/>
      <c r="AD185" s="340"/>
      <c r="AE185" s="341"/>
      <c r="AF185" s="340"/>
      <c r="AG185" s="341"/>
      <c r="AH185" s="340"/>
      <c r="AI185" s="342"/>
      <c r="AJ185" s="343"/>
      <c r="AK185" s="340"/>
    </row>
    <row r="186" ht="15.75" customHeight="1">
      <c r="A186" s="332"/>
      <c r="B186" s="333"/>
      <c r="C186" s="334"/>
      <c r="D186" s="335"/>
      <c r="E186" s="336"/>
      <c r="F186" s="337"/>
      <c r="G186" s="337"/>
      <c r="H186" s="337"/>
      <c r="I186" s="337"/>
      <c r="J186" s="337"/>
      <c r="K186" s="338"/>
      <c r="L186" s="339"/>
      <c r="M186" s="340"/>
      <c r="N186" s="340"/>
      <c r="O186" s="341"/>
      <c r="P186" s="340"/>
      <c r="Q186" s="341"/>
      <c r="R186" s="340"/>
      <c r="S186" s="341"/>
      <c r="T186" s="340"/>
      <c r="U186" s="341"/>
      <c r="V186" s="340"/>
      <c r="W186" s="341"/>
      <c r="X186" s="340"/>
      <c r="Y186" s="341"/>
      <c r="Z186" s="340"/>
      <c r="AA186" s="341"/>
      <c r="AB186" s="340"/>
      <c r="AC186" s="341"/>
      <c r="AD186" s="340"/>
      <c r="AE186" s="341"/>
      <c r="AF186" s="340"/>
      <c r="AG186" s="341"/>
      <c r="AH186" s="340"/>
      <c r="AI186" s="342"/>
      <c r="AJ186" s="343"/>
      <c r="AK186" s="340"/>
    </row>
    <row r="187" ht="15.75" customHeight="1">
      <c r="A187" s="332"/>
      <c r="B187" s="333"/>
      <c r="C187" s="334"/>
      <c r="D187" s="335"/>
      <c r="E187" s="336"/>
      <c r="F187" s="337"/>
      <c r="G187" s="337"/>
      <c r="H187" s="337"/>
      <c r="I187" s="337"/>
      <c r="J187" s="337"/>
      <c r="K187" s="338"/>
      <c r="L187" s="339"/>
      <c r="M187" s="340"/>
      <c r="N187" s="340"/>
      <c r="O187" s="341"/>
      <c r="P187" s="340"/>
      <c r="Q187" s="341"/>
      <c r="R187" s="340"/>
      <c r="S187" s="341"/>
      <c r="T187" s="340"/>
      <c r="U187" s="341"/>
      <c r="V187" s="340"/>
      <c r="W187" s="341"/>
      <c r="X187" s="340"/>
      <c r="Y187" s="341"/>
      <c r="Z187" s="340"/>
      <c r="AA187" s="341"/>
      <c r="AB187" s="340"/>
      <c r="AC187" s="341"/>
      <c r="AD187" s="340"/>
      <c r="AE187" s="341"/>
      <c r="AF187" s="340"/>
      <c r="AG187" s="341"/>
      <c r="AH187" s="340"/>
      <c r="AI187" s="342"/>
      <c r="AJ187" s="343"/>
      <c r="AK187" s="340"/>
    </row>
    <row r="188" ht="15.75" customHeight="1">
      <c r="A188" s="332"/>
      <c r="B188" s="333"/>
      <c r="C188" s="334"/>
      <c r="D188" s="335"/>
      <c r="E188" s="336"/>
      <c r="F188" s="337"/>
      <c r="G188" s="337"/>
      <c r="H188" s="337"/>
      <c r="I188" s="337"/>
      <c r="J188" s="337"/>
      <c r="K188" s="338"/>
      <c r="L188" s="339"/>
      <c r="M188" s="340"/>
      <c r="N188" s="340"/>
      <c r="O188" s="341"/>
      <c r="P188" s="340"/>
      <c r="Q188" s="341"/>
      <c r="R188" s="340"/>
      <c r="S188" s="341"/>
      <c r="T188" s="340"/>
      <c r="U188" s="341"/>
      <c r="V188" s="340"/>
      <c r="W188" s="341"/>
      <c r="X188" s="340"/>
      <c r="Y188" s="341"/>
      <c r="Z188" s="340"/>
      <c r="AA188" s="341"/>
      <c r="AB188" s="340"/>
      <c r="AC188" s="341"/>
      <c r="AD188" s="340"/>
      <c r="AE188" s="341"/>
      <c r="AF188" s="340"/>
      <c r="AG188" s="341"/>
      <c r="AH188" s="340"/>
      <c r="AI188" s="342"/>
      <c r="AJ188" s="343"/>
      <c r="AK188" s="340"/>
    </row>
    <row r="189" ht="15.75" customHeight="1">
      <c r="A189" s="332"/>
      <c r="B189" s="333"/>
      <c r="C189" s="334"/>
      <c r="D189" s="335"/>
      <c r="E189" s="336"/>
      <c r="F189" s="337"/>
      <c r="G189" s="337"/>
      <c r="H189" s="337"/>
      <c r="I189" s="337"/>
      <c r="J189" s="337"/>
      <c r="K189" s="338"/>
      <c r="L189" s="339"/>
      <c r="M189" s="340"/>
      <c r="N189" s="340"/>
      <c r="O189" s="341"/>
      <c r="P189" s="340"/>
      <c r="Q189" s="341"/>
      <c r="R189" s="340"/>
      <c r="S189" s="341"/>
      <c r="T189" s="340"/>
      <c r="U189" s="341"/>
      <c r="V189" s="340"/>
      <c r="W189" s="341"/>
      <c r="X189" s="340"/>
      <c r="Y189" s="341"/>
      <c r="Z189" s="340"/>
      <c r="AA189" s="341"/>
      <c r="AB189" s="340"/>
      <c r="AC189" s="341"/>
      <c r="AD189" s="340"/>
      <c r="AE189" s="341"/>
      <c r="AF189" s="340"/>
      <c r="AG189" s="341"/>
      <c r="AH189" s="340"/>
      <c r="AI189" s="342"/>
      <c r="AJ189" s="343"/>
      <c r="AK189" s="340"/>
    </row>
    <row r="190" ht="15.75" customHeight="1">
      <c r="A190" s="332"/>
      <c r="B190" s="333"/>
      <c r="C190" s="334"/>
      <c r="D190" s="335"/>
      <c r="E190" s="336"/>
      <c r="F190" s="337"/>
      <c r="G190" s="337"/>
      <c r="H190" s="337"/>
      <c r="I190" s="337"/>
      <c r="J190" s="337"/>
      <c r="K190" s="338"/>
      <c r="L190" s="339"/>
      <c r="M190" s="340"/>
      <c r="N190" s="340"/>
      <c r="O190" s="341"/>
      <c r="P190" s="340"/>
      <c r="Q190" s="341"/>
      <c r="R190" s="340"/>
      <c r="S190" s="341"/>
      <c r="T190" s="340"/>
      <c r="U190" s="341"/>
      <c r="V190" s="340"/>
      <c r="W190" s="341"/>
      <c r="X190" s="340"/>
      <c r="Y190" s="341"/>
      <c r="Z190" s="340"/>
      <c r="AA190" s="341"/>
      <c r="AB190" s="340"/>
      <c r="AC190" s="341"/>
      <c r="AD190" s="340"/>
      <c r="AE190" s="341"/>
      <c r="AF190" s="340"/>
      <c r="AG190" s="341"/>
      <c r="AH190" s="340"/>
      <c r="AI190" s="342"/>
      <c r="AJ190" s="343"/>
      <c r="AK190" s="340"/>
    </row>
    <row r="191" ht="15.75" customHeight="1">
      <c r="A191" s="332"/>
      <c r="B191" s="333"/>
      <c r="C191" s="334"/>
      <c r="D191" s="335"/>
      <c r="E191" s="336"/>
      <c r="F191" s="337"/>
      <c r="G191" s="337"/>
      <c r="H191" s="337"/>
      <c r="I191" s="337"/>
      <c r="J191" s="337"/>
      <c r="K191" s="338"/>
      <c r="L191" s="339"/>
      <c r="M191" s="340"/>
      <c r="N191" s="340"/>
      <c r="O191" s="341"/>
      <c r="P191" s="340"/>
      <c r="Q191" s="341"/>
      <c r="R191" s="340"/>
      <c r="S191" s="341"/>
      <c r="T191" s="340"/>
      <c r="U191" s="341"/>
      <c r="V191" s="340"/>
      <c r="W191" s="341"/>
      <c r="X191" s="340"/>
      <c r="Y191" s="341"/>
      <c r="Z191" s="340"/>
      <c r="AA191" s="341"/>
      <c r="AB191" s="340"/>
      <c r="AC191" s="341"/>
      <c r="AD191" s="340"/>
      <c r="AE191" s="341"/>
      <c r="AF191" s="340"/>
      <c r="AG191" s="341"/>
      <c r="AH191" s="340"/>
      <c r="AI191" s="342"/>
      <c r="AJ191" s="343"/>
      <c r="AK191" s="340"/>
    </row>
    <row r="192" ht="15.75" customHeight="1">
      <c r="A192" s="332"/>
      <c r="B192" s="333"/>
      <c r="C192" s="334"/>
      <c r="D192" s="335"/>
      <c r="E192" s="336"/>
      <c r="F192" s="337"/>
      <c r="G192" s="337"/>
      <c r="H192" s="337"/>
      <c r="I192" s="337"/>
      <c r="J192" s="337"/>
      <c r="K192" s="338"/>
      <c r="L192" s="339"/>
      <c r="M192" s="340"/>
      <c r="N192" s="340"/>
      <c r="O192" s="341"/>
      <c r="P192" s="340"/>
      <c r="Q192" s="341"/>
      <c r="R192" s="340"/>
      <c r="S192" s="341"/>
      <c r="T192" s="340"/>
      <c r="U192" s="341"/>
      <c r="V192" s="340"/>
      <c r="W192" s="341"/>
      <c r="X192" s="340"/>
      <c r="Y192" s="341"/>
      <c r="Z192" s="340"/>
      <c r="AA192" s="341"/>
      <c r="AB192" s="340"/>
      <c r="AC192" s="341"/>
      <c r="AD192" s="340"/>
      <c r="AE192" s="341"/>
      <c r="AF192" s="340"/>
      <c r="AG192" s="341"/>
      <c r="AH192" s="340"/>
      <c r="AI192" s="342"/>
      <c r="AJ192" s="343"/>
      <c r="AK192" s="340"/>
    </row>
    <row r="193" ht="15.75" customHeight="1">
      <c r="A193" s="332"/>
      <c r="B193" s="333"/>
      <c r="C193" s="334"/>
      <c r="D193" s="335"/>
      <c r="E193" s="336"/>
      <c r="F193" s="337"/>
      <c r="G193" s="337"/>
      <c r="H193" s="337"/>
      <c r="I193" s="337"/>
      <c r="J193" s="337"/>
      <c r="K193" s="338"/>
      <c r="L193" s="339"/>
      <c r="M193" s="340"/>
      <c r="N193" s="340"/>
      <c r="O193" s="341"/>
      <c r="P193" s="340"/>
      <c r="Q193" s="341"/>
      <c r="R193" s="340"/>
      <c r="S193" s="341"/>
      <c r="T193" s="340"/>
      <c r="U193" s="341"/>
      <c r="V193" s="340"/>
      <c r="W193" s="341"/>
      <c r="X193" s="340"/>
      <c r="Y193" s="341"/>
      <c r="Z193" s="340"/>
      <c r="AA193" s="341"/>
      <c r="AB193" s="340"/>
      <c r="AC193" s="341"/>
      <c r="AD193" s="340"/>
      <c r="AE193" s="341"/>
      <c r="AF193" s="340"/>
      <c r="AG193" s="341"/>
      <c r="AH193" s="340"/>
      <c r="AI193" s="342"/>
      <c r="AJ193" s="343"/>
      <c r="AK193" s="340"/>
    </row>
    <row r="194" ht="15.75" customHeight="1">
      <c r="A194" s="332"/>
      <c r="B194" s="333"/>
      <c r="C194" s="334"/>
      <c r="D194" s="335"/>
      <c r="E194" s="336"/>
      <c r="F194" s="337"/>
      <c r="G194" s="337"/>
      <c r="H194" s="337"/>
      <c r="I194" s="337"/>
      <c r="J194" s="337"/>
      <c r="K194" s="338"/>
      <c r="L194" s="339"/>
      <c r="M194" s="340"/>
      <c r="N194" s="340"/>
      <c r="O194" s="341"/>
      <c r="P194" s="340"/>
      <c r="Q194" s="341"/>
      <c r="R194" s="340"/>
      <c r="S194" s="341"/>
      <c r="T194" s="340"/>
      <c r="U194" s="341"/>
      <c r="V194" s="340"/>
      <c r="W194" s="341"/>
      <c r="X194" s="340"/>
      <c r="Y194" s="341"/>
      <c r="Z194" s="340"/>
      <c r="AA194" s="341"/>
      <c r="AB194" s="340"/>
      <c r="AC194" s="341"/>
      <c r="AD194" s="340"/>
      <c r="AE194" s="341"/>
      <c r="AF194" s="340"/>
      <c r="AG194" s="341"/>
      <c r="AH194" s="340"/>
      <c r="AI194" s="342"/>
      <c r="AJ194" s="343"/>
      <c r="AK194" s="340"/>
    </row>
    <row r="195" ht="15.75" customHeight="1">
      <c r="A195" s="332"/>
      <c r="B195" s="333"/>
      <c r="C195" s="334"/>
      <c r="D195" s="335"/>
      <c r="E195" s="336"/>
      <c r="F195" s="337"/>
      <c r="G195" s="337"/>
      <c r="H195" s="337"/>
      <c r="I195" s="337"/>
      <c r="J195" s="337"/>
      <c r="K195" s="338"/>
      <c r="L195" s="339"/>
      <c r="M195" s="340"/>
      <c r="N195" s="340"/>
      <c r="O195" s="341"/>
      <c r="P195" s="340"/>
      <c r="Q195" s="341"/>
      <c r="R195" s="340"/>
      <c r="S195" s="341"/>
      <c r="T195" s="340"/>
      <c r="U195" s="341"/>
      <c r="V195" s="340"/>
      <c r="W195" s="341"/>
      <c r="X195" s="340"/>
      <c r="Y195" s="341"/>
      <c r="Z195" s="340"/>
      <c r="AA195" s="341"/>
      <c r="AB195" s="340"/>
      <c r="AC195" s="341"/>
      <c r="AD195" s="340"/>
      <c r="AE195" s="341"/>
      <c r="AF195" s="340"/>
      <c r="AG195" s="341"/>
      <c r="AH195" s="340"/>
      <c r="AI195" s="342"/>
      <c r="AJ195" s="343"/>
      <c r="AK195" s="340"/>
    </row>
    <row r="196" ht="15.75" customHeight="1">
      <c r="A196" s="332"/>
      <c r="B196" s="333"/>
      <c r="C196" s="334"/>
      <c r="D196" s="335"/>
      <c r="E196" s="336"/>
      <c r="F196" s="337"/>
      <c r="G196" s="337"/>
      <c r="H196" s="337"/>
      <c r="I196" s="337"/>
      <c r="J196" s="337"/>
      <c r="K196" s="338"/>
      <c r="L196" s="339"/>
      <c r="M196" s="340"/>
      <c r="N196" s="340"/>
      <c r="O196" s="341"/>
      <c r="P196" s="340"/>
      <c r="Q196" s="341"/>
      <c r="R196" s="340"/>
      <c r="S196" s="341"/>
      <c r="T196" s="340"/>
      <c r="U196" s="341"/>
      <c r="V196" s="340"/>
      <c r="W196" s="341"/>
      <c r="X196" s="340"/>
      <c r="Y196" s="341"/>
      <c r="Z196" s="340"/>
      <c r="AA196" s="341"/>
      <c r="AB196" s="340"/>
      <c r="AC196" s="341"/>
      <c r="AD196" s="340"/>
      <c r="AE196" s="341"/>
      <c r="AF196" s="340"/>
      <c r="AG196" s="341"/>
      <c r="AH196" s="340"/>
      <c r="AI196" s="342"/>
      <c r="AJ196" s="343"/>
      <c r="AK196" s="340"/>
    </row>
    <row r="197" ht="15.75" customHeight="1">
      <c r="A197" s="332"/>
      <c r="B197" s="333"/>
      <c r="C197" s="334"/>
      <c r="D197" s="335"/>
      <c r="E197" s="336"/>
      <c r="F197" s="337"/>
      <c r="G197" s="337"/>
      <c r="H197" s="337"/>
      <c r="I197" s="337"/>
      <c r="J197" s="337"/>
      <c r="K197" s="338"/>
      <c r="L197" s="339"/>
      <c r="M197" s="340"/>
      <c r="N197" s="340"/>
      <c r="O197" s="341"/>
      <c r="P197" s="340"/>
      <c r="Q197" s="341"/>
      <c r="R197" s="340"/>
      <c r="S197" s="341"/>
      <c r="T197" s="340"/>
      <c r="U197" s="341"/>
      <c r="V197" s="340"/>
      <c r="W197" s="341"/>
      <c r="X197" s="340"/>
      <c r="Y197" s="341"/>
      <c r="Z197" s="340"/>
      <c r="AA197" s="341"/>
      <c r="AB197" s="340"/>
      <c r="AC197" s="341"/>
      <c r="AD197" s="340"/>
      <c r="AE197" s="341"/>
      <c r="AF197" s="340"/>
      <c r="AG197" s="341"/>
      <c r="AH197" s="340"/>
      <c r="AI197" s="342"/>
      <c r="AJ197" s="343"/>
      <c r="AK197" s="340"/>
    </row>
    <row r="198" ht="15.75" customHeight="1">
      <c r="A198" s="332"/>
      <c r="B198" s="333"/>
      <c r="C198" s="334"/>
      <c r="D198" s="335"/>
      <c r="E198" s="336"/>
      <c r="F198" s="337"/>
      <c r="G198" s="337"/>
      <c r="H198" s="337"/>
      <c r="I198" s="337"/>
      <c r="J198" s="337"/>
      <c r="K198" s="338"/>
      <c r="L198" s="339"/>
      <c r="M198" s="340"/>
      <c r="N198" s="340"/>
      <c r="O198" s="341"/>
      <c r="P198" s="340"/>
      <c r="Q198" s="341"/>
      <c r="R198" s="340"/>
      <c r="S198" s="341"/>
      <c r="T198" s="340"/>
      <c r="U198" s="341"/>
      <c r="V198" s="340"/>
      <c r="W198" s="341"/>
      <c r="X198" s="340"/>
      <c r="Y198" s="341"/>
      <c r="Z198" s="340"/>
      <c r="AA198" s="341"/>
      <c r="AB198" s="340"/>
      <c r="AC198" s="341"/>
      <c r="AD198" s="340"/>
      <c r="AE198" s="341"/>
      <c r="AF198" s="340"/>
      <c r="AG198" s="341"/>
      <c r="AH198" s="340"/>
      <c r="AI198" s="342"/>
      <c r="AJ198" s="343"/>
      <c r="AK198" s="340"/>
    </row>
    <row r="199" ht="15.75" customHeight="1">
      <c r="A199" s="332"/>
      <c r="B199" s="333"/>
      <c r="C199" s="334"/>
      <c r="D199" s="335"/>
      <c r="E199" s="336"/>
      <c r="F199" s="337"/>
      <c r="G199" s="337"/>
      <c r="H199" s="337"/>
      <c r="I199" s="337"/>
      <c r="J199" s="337"/>
      <c r="K199" s="338"/>
      <c r="L199" s="339"/>
      <c r="M199" s="340"/>
      <c r="N199" s="340"/>
      <c r="O199" s="341"/>
      <c r="P199" s="340"/>
      <c r="Q199" s="341"/>
      <c r="R199" s="340"/>
      <c r="S199" s="341"/>
      <c r="T199" s="340"/>
      <c r="U199" s="341"/>
      <c r="V199" s="340"/>
      <c r="W199" s="341"/>
      <c r="X199" s="340"/>
      <c r="Y199" s="341"/>
      <c r="Z199" s="340"/>
      <c r="AA199" s="341"/>
      <c r="AB199" s="340"/>
      <c r="AC199" s="341"/>
      <c r="AD199" s="340"/>
      <c r="AE199" s="341"/>
      <c r="AF199" s="340"/>
      <c r="AG199" s="341"/>
      <c r="AH199" s="340"/>
      <c r="AI199" s="342"/>
      <c r="AJ199" s="343"/>
      <c r="AK199" s="340"/>
    </row>
    <row r="200" ht="15.75" customHeight="1">
      <c r="A200" s="332"/>
      <c r="B200" s="333"/>
      <c r="C200" s="334"/>
      <c r="D200" s="335"/>
      <c r="E200" s="336"/>
      <c r="F200" s="337"/>
      <c r="G200" s="337"/>
      <c r="H200" s="337"/>
      <c r="I200" s="337"/>
      <c r="J200" s="337"/>
      <c r="K200" s="338"/>
      <c r="L200" s="339"/>
      <c r="M200" s="340"/>
      <c r="N200" s="340"/>
      <c r="O200" s="341"/>
      <c r="P200" s="340"/>
      <c r="Q200" s="341"/>
      <c r="R200" s="340"/>
      <c r="S200" s="341"/>
      <c r="T200" s="340"/>
      <c r="U200" s="341"/>
      <c r="V200" s="340"/>
      <c r="W200" s="341"/>
      <c r="X200" s="340"/>
      <c r="Y200" s="341"/>
      <c r="Z200" s="340"/>
      <c r="AA200" s="341"/>
      <c r="AB200" s="340"/>
      <c r="AC200" s="341"/>
      <c r="AD200" s="340"/>
      <c r="AE200" s="341"/>
      <c r="AF200" s="340"/>
      <c r="AG200" s="341"/>
      <c r="AH200" s="340"/>
      <c r="AI200" s="342"/>
      <c r="AJ200" s="343"/>
      <c r="AK200" s="340"/>
    </row>
    <row r="201" ht="15.75" customHeight="1">
      <c r="A201" s="332"/>
      <c r="B201" s="333"/>
      <c r="C201" s="334"/>
      <c r="D201" s="335"/>
      <c r="E201" s="336"/>
      <c r="F201" s="337"/>
      <c r="G201" s="337"/>
      <c r="H201" s="337"/>
      <c r="I201" s="337"/>
      <c r="J201" s="337"/>
      <c r="K201" s="338"/>
      <c r="L201" s="339"/>
      <c r="M201" s="340"/>
      <c r="N201" s="340"/>
      <c r="O201" s="341"/>
      <c r="P201" s="340"/>
      <c r="Q201" s="341"/>
      <c r="R201" s="340"/>
      <c r="S201" s="341"/>
      <c r="T201" s="340"/>
      <c r="U201" s="341"/>
      <c r="V201" s="340"/>
      <c r="W201" s="341"/>
      <c r="X201" s="340"/>
      <c r="Y201" s="341"/>
      <c r="Z201" s="340"/>
      <c r="AA201" s="341"/>
      <c r="AB201" s="340"/>
      <c r="AC201" s="341"/>
      <c r="AD201" s="340"/>
      <c r="AE201" s="341"/>
      <c r="AF201" s="340"/>
      <c r="AG201" s="341"/>
      <c r="AH201" s="340"/>
      <c r="AI201" s="342"/>
      <c r="AJ201" s="343"/>
      <c r="AK201" s="340"/>
    </row>
    <row r="202" ht="15.75" customHeight="1">
      <c r="A202" s="332"/>
      <c r="B202" s="333"/>
      <c r="C202" s="334"/>
      <c r="D202" s="335"/>
      <c r="E202" s="336"/>
      <c r="F202" s="337"/>
      <c r="G202" s="337"/>
      <c r="H202" s="337"/>
      <c r="I202" s="337"/>
      <c r="J202" s="337"/>
      <c r="K202" s="338"/>
      <c r="L202" s="339"/>
      <c r="M202" s="340"/>
      <c r="N202" s="340"/>
      <c r="O202" s="341"/>
      <c r="P202" s="340"/>
      <c r="Q202" s="341"/>
      <c r="R202" s="340"/>
      <c r="S202" s="341"/>
      <c r="T202" s="340"/>
      <c r="U202" s="341"/>
      <c r="V202" s="340"/>
      <c r="W202" s="341"/>
      <c r="X202" s="340"/>
      <c r="Y202" s="341"/>
      <c r="Z202" s="340"/>
      <c r="AA202" s="341"/>
      <c r="AB202" s="340"/>
      <c r="AC202" s="341"/>
      <c r="AD202" s="340"/>
      <c r="AE202" s="341"/>
      <c r="AF202" s="340"/>
      <c r="AG202" s="341"/>
      <c r="AH202" s="340"/>
      <c r="AI202" s="342"/>
      <c r="AJ202" s="343"/>
      <c r="AK202" s="340"/>
    </row>
    <row r="203" ht="15.75" customHeight="1">
      <c r="A203" s="332"/>
      <c r="B203" s="333"/>
      <c r="C203" s="334"/>
      <c r="D203" s="335"/>
      <c r="E203" s="336"/>
      <c r="F203" s="337"/>
      <c r="G203" s="337"/>
      <c r="H203" s="337"/>
      <c r="I203" s="337"/>
      <c r="J203" s="337"/>
      <c r="K203" s="338"/>
      <c r="L203" s="339"/>
      <c r="M203" s="340"/>
      <c r="N203" s="340"/>
      <c r="O203" s="341"/>
      <c r="P203" s="340"/>
      <c r="Q203" s="341"/>
      <c r="R203" s="340"/>
      <c r="S203" s="341"/>
      <c r="T203" s="340"/>
      <c r="U203" s="341"/>
      <c r="V203" s="340"/>
      <c r="W203" s="341"/>
      <c r="X203" s="340"/>
      <c r="Y203" s="341"/>
      <c r="Z203" s="340"/>
      <c r="AA203" s="341"/>
      <c r="AB203" s="340"/>
      <c r="AC203" s="341"/>
      <c r="AD203" s="340"/>
      <c r="AE203" s="341"/>
      <c r="AF203" s="340"/>
      <c r="AG203" s="341"/>
      <c r="AH203" s="340"/>
      <c r="AI203" s="342"/>
      <c r="AJ203" s="343"/>
      <c r="AK203" s="340"/>
    </row>
    <row r="204" ht="15.75" customHeight="1">
      <c r="A204" s="332"/>
      <c r="B204" s="333"/>
      <c r="C204" s="334"/>
      <c r="D204" s="335"/>
      <c r="E204" s="336"/>
      <c r="F204" s="337"/>
      <c r="G204" s="337"/>
      <c r="H204" s="337"/>
      <c r="I204" s="337"/>
      <c r="J204" s="337"/>
      <c r="K204" s="338"/>
      <c r="L204" s="339"/>
      <c r="M204" s="340"/>
      <c r="N204" s="340"/>
      <c r="O204" s="341"/>
      <c r="P204" s="340"/>
      <c r="Q204" s="341"/>
      <c r="R204" s="340"/>
      <c r="S204" s="341"/>
      <c r="T204" s="340"/>
      <c r="U204" s="341"/>
      <c r="V204" s="340"/>
      <c r="W204" s="341"/>
      <c r="X204" s="340"/>
      <c r="Y204" s="341"/>
      <c r="Z204" s="340"/>
      <c r="AA204" s="341"/>
      <c r="AB204" s="340"/>
      <c r="AC204" s="341"/>
      <c r="AD204" s="340"/>
      <c r="AE204" s="341"/>
      <c r="AF204" s="340"/>
      <c r="AG204" s="341"/>
      <c r="AH204" s="340"/>
      <c r="AI204" s="342"/>
      <c r="AJ204" s="343"/>
      <c r="AK204" s="340"/>
    </row>
    <row r="205" ht="15.75" customHeight="1">
      <c r="A205" s="332"/>
      <c r="B205" s="333"/>
      <c r="C205" s="334"/>
      <c r="D205" s="335"/>
      <c r="E205" s="336"/>
      <c r="F205" s="337"/>
      <c r="G205" s="337"/>
      <c r="H205" s="337"/>
      <c r="I205" s="337"/>
      <c r="J205" s="337"/>
      <c r="K205" s="338"/>
      <c r="L205" s="339"/>
      <c r="M205" s="340"/>
      <c r="N205" s="340"/>
      <c r="O205" s="341"/>
      <c r="P205" s="340"/>
      <c r="Q205" s="341"/>
      <c r="R205" s="340"/>
      <c r="S205" s="341"/>
      <c r="T205" s="340"/>
      <c r="U205" s="341"/>
      <c r="V205" s="340"/>
      <c r="W205" s="341"/>
      <c r="X205" s="340"/>
      <c r="Y205" s="341"/>
      <c r="Z205" s="340"/>
      <c r="AA205" s="341"/>
      <c r="AB205" s="340"/>
      <c r="AC205" s="341"/>
      <c r="AD205" s="340"/>
      <c r="AE205" s="341"/>
      <c r="AF205" s="340"/>
      <c r="AG205" s="341"/>
      <c r="AH205" s="340"/>
      <c r="AI205" s="342"/>
      <c r="AJ205" s="343"/>
      <c r="AK205" s="340"/>
    </row>
    <row r="206" ht="15.75" customHeight="1">
      <c r="A206" s="332"/>
      <c r="B206" s="333"/>
      <c r="C206" s="334"/>
      <c r="D206" s="335"/>
      <c r="E206" s="336"/>
      <c r="F206" s="337"/>
      <c r="G206" s="337"/>
      <c r="H206" s="337"/>
      <c r="I206" s="337"/>
      <c r="J206" s="337"/>
      <c r="K206" s="338"/>
      <c r="L206" s="339"/>
      <c r="M206" s="340"/>
      <c r="N206" s="340"/>
      <c r="O206" s="341"/>
      <c r="P206" s="340"/>
      <c r="Q206" s="341"/>
      <c r="R206" s="340"/>
      <c r="S206" s="341"/>
      <c r="T206" s="340"/>
      <c r="U206" s="341"/>
      <c r="V206" s="340"/>
      <c r="W206" s="341"/>
      <c r="X206" s="340"/>
      <c r="Y206" s="341"/>
      <c r="Z206" s="340"/>
      <c r="AA206" s="341"/>
      <c r="AB206" s="340"/>
      <c r="AC206" s="341"/>
      <c r="AD206" s="340"/>
      <c r="AE206" s="341"/>
      <c r="AF206" s="340"/>
      <c r="AG206" s="341"/>
      <c r="AH206" s="340"/>
      <c r="AI206" s="342"/>
      <c r="AJ206" s="343"/>
      <c r="AK206" s="340"/>
    </row>
    <row r="207" ht="15.75" customHeight="1">
      <c r="A207" s="332"/>
      <c r="B207" s="333"/>
      <c r="C207" s="334"/>
      <c r="D207" s="335"/>
      <c r="E207" s="336"/>
      <c r="F207" s="337"/>
      <c r="G207" s="337"/>
      <c r="H207" s="337"/>
      <c r="I207" s="337"/>
      <c r="J207" s="337"/>
      <c r="K207" s="338"/>
      <c r="L207" s="339"/>
      <c r="M207" s="340"/>
      <c r="N207" s="340"/>
      <c r="O207" s="341"/>
      <c r="P207" s="340"/>
      <c r="Q207" s="341"/>
      <c r="R207" s="340"/>
      <c r="S207" s="341"/>
      <c r="T207" s="340"/>
      <c r="U207" s="341"/>
      <c r="V207" s="340"/>
      <c r="W207" s="341"/>
      <c r="X207" s="340"/>
      <c r="Y207" s="341"/>
      <c r="Z207" s="340"/>
      <c r="AA207" s="341"/>
      <c r="AB207" s="340"/>
      <c r="AC207" s="341"/>
      <c r="AD207" s="340"/>
      <c r="AE207" s="341"/>
      <c r="AF207" s="340"/>
      <c r="AG207" s="341"/>
      <c r="AH207" s="340"/>
      <c r="AI207" s="342"/>
      <c r="AJ207" s="343"/>
      <c r="AK207" s="340"/>
    </row>
    <row r="208" ht="15.75" customHeight="1">
      <c r="A208" s="332"/>
      <c r="B208" s="333"/>
      <c r="C208" s="334"/>
      <c r="D208" s="335"/>
      <c r="E208" s="336"/>
      <c r="F208" s="337"/>
      <c r="G208" s="337"/>
      <c r="H208" s="337"/>
      <c r="I208" s="337"/>
      <c r="J208" s="337"/>
      <c r="K208" s="338"/>
      <c r="L208" s="339"/>
      <c r="M208" s="340"/>
      <c r="N208" s="340"/>
      <c r="O208" s="341"/>
      <c r="P208" s="340"/>
      <c r="Q208" s="341"/>
      <c r="R208" s="340"/>
      <c r="S208" s="341"/>
      <c r="T208" s="340"/>
      <c r="U208" s="341"/>
      <c r="V208" s="340"/>
      <c r="W208" s="341"/>
      <c r="X208" s="340"/>
      <c r="Y208" s="341"/>
      <c r="Z208" s="340"/>
      <c r="AA208" s="341"/>
      <c r="AB208" s="340"/>
      <c r="AC208" s="341"/>
      <c r="AD208" s="340"/>
      <c r="AE208" s="341"/>
      <c r="AF208" s="340"/>
      <c r="AG208" s="341"/>
      <c r="AH208" s="340"/>
      <c r="AI208" s="342"/>
      <c r="AJ208" s="343"/>
      <c r="AK208" s="340"/>
    </row>
    <row r="209" ht="15.75" customHeight="1">
      <c r="A209" s="332"/>
      <c r="B209" s="333"/>
      <c r="C209" s="334"/>
      <c r="D209" s="335"/>
      <c r="E209" s="336"/>
      <c r="F209" s="337"/>
      <c r="G209" s="337"/>
      <c r="H209" s="337"/>
      <c r="I209" s="337"/>
      <c r="J209" s="337"/>
      <c r="K209" s="338"/>
      <c r="L209" s="339"/>
      <c r="M209" s="340"/>
      <c r="N209" s="340"/>
      <c r="O209" s="341"/>
      <c r="P209" s="340"/>
      <c r="Q209" s="341"/>
      <c r="R209" s="340"/>
      <c r="S209" s="341"/>
      <c r="T209" s="340"/>
      <c r="U209" s="341"/>
      <c r="V209" s="340"/>
      <c r="W209" s="341"/>
      <c r="X209" s="340"/>
      <c r="Y209" s="341"/>
      <c r="Z209" s="340"/>
      <c r="AA209" s="341"/>
      <c r="AB209" s="340"/>
      <c r="AC209" s="341"/>
      <c r="AD209" s="340"/>
      <c r="AE209" s="341"/>
      <c r="AF209" s="340"/>
      <c r="AG209" s="341"/>
      <c r="AH209" s="340"/>
      <c r="AI209" s="342"/>
      <c r="AJ209" s="343"/>
      <c r="AK209" s="340"/>
    </row>
    <row r="210" ht="15.75" customHeight="1">
      <c r="A210" s="332"/>
      <c r="B210" s="333"/>
      <c r="C210" s="334"/>
      <c r="D210" s="335"/>
      <c r="E210" s="336"/>
      <c r="F210" s="337"/>
      <c r="G210" s="337"/>
      <c r="H210" s="337"/>
      <c r="I210" s="337"/>
      <c r="J210" s="337"/>
      <c r="K210" s="338"/>
      <c r="L210" s="339"/>
      <c r="M210" s="340"/>
      <c r="N210" s="340"/>
      <c r="O210" s="341"/>
      <c r="P210" s="340"/>
      <c r="Q210" s="341"/>
      <c r="R210" s="340"/>
      <c r="S210" s="341"/>
      <c r="T210" s="340"/>
      <c r="U210" s="341"/>
      <c r="V210" s="340"/>
      <c r="W210" s="341"/>
      <c r="X210" s="340"/>
      <c r="Y210" s="341"/>
      <c r="Z210" s="340"/>
      <c r="AA210" s="341"/>
      <c r="AB210" s="340"/>
      <c r="AC210" s="341"/>
      <c r="AD210" s="340"/>
      <c r="AE210" s="341"/>
      <c r="AF210" s="340"/>
      <c r="AG210" s="341"/>
      <c r="AH210" s="340"/>
      <c r="AI210" s="342"/>
      <c r="AJ210" s="343"/>
      <c r="AK210" s="340"/>
    </row>
    <row r="211" ht="15.75" customHeight="1">
      <c r="A211" s="332"/>
      <c r="B211" s="333"/>
      <c r="C211" s="334"/>
      <c r="D211" s="335"/>
      <c r="E211" s="336"/>
      <c r="F211" s="337"/>
      <c r="G211" s="337"/>
      <c r="H211" s="337"/>
      <c r="I211" s="337"/>
      <c r="J211" s="337"/>
      <c r="K211" s="338"/>
      <c r="L211" s="339"/>
      <c r="M211" s="340"/>
      <c r="N211" s="340"/>
      <c r="O211" s="341"/>
      <c r="P211" s="340"/>
      <c r="Q211" s="341"/>
      <c r="R211" s="340"/>
      <c r="S211" s="341"/>
      <c r="T211" s="340"/>
      <c r="U211" s="341"/>
      <c r="V211" s="340"/>
      <c r="W211" s="341"/>
      <c r="X211" s="340"/>
      <c r="Y211" s="341"/>
      <c r="Z211" s="340"/>
      <c r="AA211" s="341"/>
      <c r="AB211" s="340"/>
      <c r="AC211" s="341"/>
      <c r="AD211" s="340"/>
      <c r="AE211" s="341"/>
      <c r="AF211" s="340"/>
      <c r="AG211" s="341"/>
      <c r="AH211" s="340"/>
      <c r="AI211" s="342"/>
      <c r="AJ211" s="343"/>
      <c r="AK211" s="340"/>
    </row>
    <row r="212" ht="15.75" customHeight="1">
      <c r="A212" s="332"/>
      <c r="B212" s="333"/>
      <c r="C212" s="334"/>
      <c r="D212" s="335"/>
      <c r="E212" s="336"/>
      <c r="F212" s="337"/>
      <c r="G212" s="337"/>
      <c r="H212" s="337"/>
      <c r="I212" s="337"/>
      <c r="J212" s="337"/>
      <c r="K212" s="338"/>
      <c r="L212" s="339"/>
      <c r="M212" s="340"/>
      <c r="N212" s="340"/>
      <c r="O212" s="341"/>
      <c r="P212" s="340"/>
      <c r="Q212" s="341"/>
      <c r="R212" s="340"/>
      <c r="S212" s="341"/>
      <c r="T212" s="340"/>
      <c r="U212" s="341"/>
      <c r="V212" s="340"/>
      <c r="W212" s="341"/>
      <c r="X212" s="340"/>
      <c r="Y212" s="341"/>
      <c r="Z212" s="340"/>
      <c r="AA212" s="341"/>
      <c r="AB212" s="340"/>
      <c r="AC212" s="341"/>
      <c r="AD212" s="340"/>
      <c r="AE212" s="341"/>
      <c r="AF212" s="340"/>
      <c r="AG212" s="341"/>
      <c r="AH212" s="340"/>
      <c r="AI212" s="342"/>
      <c r="AJ212" s="343"/>
      <c r="AK212" s="340"/>
    </row>
    <row r="213" ht="15.75" customHeight="1">
      <c r="A213" s="332"/>
      <c r="B213" s="333"/>
      <c r="C213" s="334"/>
      <c r="D213" s="335"/>
      <c r="E213" s="336"/>
      <c r="F213" s="337"/>
      <c r="G213" s="337"/>
      <c r="H213" s="337"/>
      <c r="I213" s="337"/>
      <c r="J213" s="337"/>
      <c r="K213" s="338"/>
      <c r="L213" s="339"/>
      <c r="M213" s="340"/>
      <c r="N213" s="340"/>
      <c r="O213" s="341"/>
      <c r="P213" s="340"/>
      <c r="Q213" s="341"/>
      <c r="R213" s="340"/>
      <c r="S213" s="341"/>
      <c r="T213" s="340"/>
      <c r="U213" s="341"/>
      <c r="V213" s="340"/>
      <c r="W213" s="341"/>
      <c r="X213" s="340"/>
      <c r="Y213" s="341"/>
      <c r="Z213" s="340"/>
      <c r="AA213" s="341"/>
      <c r="AB213" s="340"/>
      <c r="AC213" s="341"/>
      <c r="AD213" s="340"/>
      <c r="AE213" s="341"/>
      <c r="AF213" s="340"/>
      <c r="AG213" s="341"/>
      <c r="AH213" s="340"/>
      <c r="AI213" s="342"/>
      <c r="AJ213" s="343"/>
      <c r="AK213" s="340"/>
    </row>
    <row r="214" ht="15.75" customHeight="1">
      <c r="A214" s="332"/>
      <c r="B214" s="333"/>
      <c r="C214" s="334"/>
      <c r="D214" s="335"/>
      <c r="E214" s="336"/>
      <c r="F214" s="337"/>
      <c r="G214" s="337"/>
      <c r="H214" s="337"/>
      <c r="I214" s="337"/>
      <c r="J214" s="337"/>
      <c r="K214" s="338"/>
      <c r="L214" s="339"/>
      <c r="M214" s="340"/>
      <c r="N214" s="340"/>
      <c r="O214" s="341"/>
      <c r="P214" s="340"/>
      <c r="Q214" s="341"/>
      <c r="R214" s="340"/>
      <c r="S214" s="341"/>
      <c r="T214" s="340"/>
      <c r="U214" s="341"/>
      <c r="V214" s="340"/>
      <c r="W214" s="341"/>
      <c r="X214" s="340"/>
      <c r="Y214" s="341"/>
      <c r="Z214" s="340"/>
      <c r="AA214" s="341"/>
      <c r="AB214" s="340"/>
      <c r="AC214" s="341"/>
      <c r="AD214" s="340"/>
      <c r="AE214" s="341"/>
      <c r="AF214" s="340"/>
      <c r="AG214" s="341"/>
      <c r="AH214" s="340"/>
      <c r="AI214" s="342"/>
      <c r="AJ214" s="343"/>
      <c r="AK214" s="340"/>
    </row>
    <row r="215" ht="15.75" customHeight="1">
      <c r="A215" s="332"/>
      <c r="B215" s="333"/>
      <c r="C215" s="334"/>
      <c r="D215" s="335"/>
      <c r="E215" s="336"/>
      <c r="F215" s="337"/>
      <c r="G215" s="337"/>
      <c r="H215" s="337"/>
      <c r="I215" s="337"/>
      <c r="J215" s="337"/>
      <c r="K215" s="338"/>
      <c r="L215" s="339"/>
      <c r="M215" s="340"/>
      <c r="N215" s="340"/>
      <c r="O215" s="341"/>
      <c r="P215" s="340"/>
      <c r="Q215" s="341"/>
      <c r="R215" s="340"/>
      <c r="S215" s="341"/>
      <c r="T215" s="340"/>
      <c r="U215" s="341"/>
      <c r="V215" s="340"/>
      <c r="W215" s="341"/>
      <c r="X215" s="340"/>
      <c r="Y215" s="341"/>
      <c r="Z215" s="340"/>
      <c r="AA215" s="341"/>
      <c r="AB215" s="340"/>
      <c r="AC215" s="341"/>
      <c r="AD215" s="340"/>
      <c r="AE215" s="341"/>
      <c r="AF215" s="340"/>
      <c r="AG215" s="341"/>
      <c r="AH215" s="340"/>
      <c r="AI215" s="342"/>
      <c r="AJ215" s="343"/>
      <c r="AK215" s="340"/>
    </row>
    <row r="216" ht="15.75" customHeight="1">
      <c r="A216" s="332"/>
      <c r="B216" s="333"/>
      <c r="C216" s="334"/>
      <c r="D216" s="335"/>
      <c r="E216" s="336"/>
      <c r="F216" s="337"/>
      <c r="G216" s="337"/>
      <c r="H216" s="337"/>
      <c r="I216" s="337"/>
      <c r="J216" s="337"/>
      <c r="K216" s="338"/>
      <c r="L216" s="339"/>
      <c r="M216" s="340"/>
      <c r="N216" s="340"/>
      <c r="O216" s="341"/>
      <c r="P216" s="340"/>
      <c r="Q216" s="341"/>
      <c r="R216" s="340"/>
      <c r="S216" s="341"/>
      <c r="T216" s="340"/>
      <c r="U216" s="341"/>
      <c r="V216" s="340"/>
      <c r="W216" s="341"/>
      <c r="X216" s="340"/>
      <c r="Y216" s="341"/>
      <c r="Z216" s="340"/>
      <c r="AA216" s="341"/>
      <c r="AB216" s="340"/>
      <c r="AC216" s="341"/>
      <c r="AD216" s="340"/>
      <c r="AE216" s="341"/>
      <c r="AF216" s="340"/>
      <c r="AG216" s="341"/>
      <c r="AH216" s="340"/>
      <c r="AI216" s="342"/>
      <c r="AJ216" s="343"/>
      <c r="AK216" s="340"/>
    </row>
    <row r="217" ht="15.75" customHeight="1">
      <c r="A217" s="332"/>
      <c r="B217" s="333"/>
      <c r="C217" s="334"/>
      <c r="D217" s="335"/>
      <c r="E217" s="336"/>
      <c r="F217" s="337"/>
      <c r="G217" s="337"/>
      <c r="H217" s="337"/>
      <c r="I217" s="337"/>
      <c r="J217" s="337"/>
      <c r="K217" s="338"/>
      <c r="L217" s="339"/>
      <c r="M217" s="340"/>
      <c r="N217" s="340"/>
      <c r="O217" s="341"/>
      <c r="P217" s="340"/>
      <c r="Q217" s="341"/>
      <c r="R217" s="340"/>
      <c r="S217" s="341"/>
      <c r="T217" s="340"/>
      <c r="U217" s="341"/>
      <c r="V217" s="340"/>
      <c r="W217" s="341"/>
      <c r="X217" s="340"/>
      <c r="Y217" s="341"/>
      <c r="Z217" s="340"/>
      <c r="AA217" s="341"/>
      <c r="AB217" s="340"/>
      <c r="AC217" s="341"/>
      <c r="AD217" s="340"/>
      <c r="AE217" s="341"/>
      <c r="AF217" s="340"/>
      <c r="AG217" s="341"/>
      <c r="AH217" s="340"/>
      <c r="AI217" s="342"/>
      <c r="AJ217" s="343"/>
      <c r="AK217" s="340"/>
    </row>
    <row r="218" ht="15.75" customHeight="1">
      <c r="A218" s="332"/>
      <c r="B218" s="333"/>
      <c r="C218" s="334"/>
      <c r="D218" s="335"/>
      <c r="E218" s="336"/>
      <c r="F218" s="337"/>
      <c r="G218" s="337"/>
      <c r="H218" s="337"/>
      <c r="I218" s="337"/>
      <c r="J218" s="337"/>
      <c r="K218" s="338"/>
      <c r="L218" s="339"/>
      <c r="M218" s="340"/>
      <c r="N218" s="340"/>
      <c r="O218" s="341"/>
      <c r="P218" s="340"/>
      <c r="Q218" s="341"/>
      <c r="R218" s="340"/>
      <c r="S218" s="341"/>
      <c r="T218" s="340"/>
      <c r="U218" s="341"/>
      <c r="V218" s="340"/>
      <c r="W218" s="341"/>
      <c r="X218" s="340"/>
      <c r="Y218" s="341"/>
      <c r="Z218" s="340"/>
      <c r="AA218" s="341"/>
      <c r="AB218" s="340"/>
      <c r="AC218" s="341"/>
      <c r="AD218" s="340"/>
      <c r="AE218" s="341"/>
      <c r="AF218" s="340"/>
      <c r="AG218" s="341"/>
      <c r="AH218" s="340"/>
      <c r="AI218" s="342"/>
      <c r="AJ218" s="343"/>
      <c r="AK218" s="340"/>
    </row>
    <row r="219" ht="15.75" customHeight="1">
      <c r="A219" s="332"/>
      <c r="B219" s="333"/>
      <c r="C219" s="334"/>
      <c r="D219" s="335"/>
      <c r="E219" s="336"/>
      <c r="F219" s="337"/>
      <c r="G219" s="337"/>
      <c r="H219" s="337"/>
      <c r="I219" s="337"/>
      <c r="J219" s="337"/>
      <c r="K219" s="338"/>
      <c r="L219" s="339"/>
      <c r="M219" s="340"/>
      <c r="N219" s="340"/>
      <c r="O219" s="341"/>
      <c r="P219" s="340"/>
      <c r="Q219" s="341"/>
      <c r="R219" s="340"/>
      <c r="S219" s="341"/>
      <c r="T219" s="340"/>
      <c r="U219" s="341"/>
      <c r="V219" s="340"/>
      <c r="W219" s="341"/>
      <c r="X219" s="340"/>
      <c r="Y219" s="341"/>
      <c r="Z219" s="340"/>
      <c r="AA219" s="341"/>
      <c r="AB219" s="340"/>
      <c r="AC219" s="341"/>
      <c r="AD219" s="340"/>
      <c r="AE219" s="341"/>
      <c r="AF219" s="340"/>
      <c r="AG219" s="341"/>
      <c r="AH219" s="340"/>
      <c r="AI219" s="342"/>
      <c r="AJ219" s="343"/>
      <c r="AK219" s="340"/>
    </row>
    <row r="220" ht="15.75" customHeight="1">
      <c r="A220" s="332"/>
      <c r="B220" s="333"/>
      <c r="C220" s="334"/>
      <c r="D220" s="335"/>
      <c r="E220" s="336"/>
      <c r="F220" s="337"/>
      <c r="G220" s="337"/>
      <c r="H220" s="337"/>
      <c r="I220" s="337"/>
      <c r="J220" s="337"/>
      <c r="K220" s="338"/>
      <c r="L220" s="339"/>
      <c r="M220" s="340"/>
      <c r="N220" s="340"/>
      <c r="O220" s="341"/>
      <c r="P220" s="340"/>
      <c r="Q220" s="341"/>
      <c r="R220" s="340"/>
      <c r="S220" s="341"/>
      <c r="T220" s="340"/>
      <c r="U220" s="341"/>
      <c r="V220" s="340"/>
      <c r="W220" s="341"/>
      <c r="X220" s="340"/>
      <c r="Y220" s="341"/>
      <c r="Z220" s="340"/>
      <c r="AA220" s="341"/>
      <c r="AB220" s="340"/>
      <c r="AC220" s="341"/>
      <c r="AD220" s="340"/>
      <c r="AE220" s="341"/>
      <c r="AF220" s="340"/>
      <c r="AG220" s="341"/>
      <c r="AH220" s="340"/>
      <c r="AI220" s="342"/>
      <c r="AJ220" s="343"/>
      <c r="AK220" s="340"/>
    </row>
    <row r="221" ht="15.75" customHeight="1">
      <c r="A221" s="332"/>
      <c r="B221" s="333"/>
      <c r="C221" s="334"/>
      <c r="D221" s="335"/>
      <c r="E221" s="336"/>
      <c r="F221" s="337"/>
      <c r="G221" s="337"/>
      <c r="H221" s="337"/>
      <c r="I221" s="337"/>
      <c r="J221" s="337"/>
      <c r="K221" s="338"/>
      <c r="L221" s="339"/>
      <c r="M221" s="340"/>
      <c r="N221" s="340"/>
      <c r="O221" s="341"/>
      <c r="P221" s="340"/>
      <c r="Q221" s="341"/>
      <c r="R221" s="340"/>
      <c r="S221" s="341"/>
      <c r="T221" s="340"/>
      <c r="U221" s="341"/>
      <c r="V221" s="340"/>
      <c r="W221" s="341"/>
      <c r="X221" s="340"/>
      <c r="Y221" s="341"/>
      <c r="Z221" s="340"/>
      <c r="AA221" s="341"/>
      <c r="AB221" s="340"/>
      <c r="AC221" s="341"/>
      <c r="AD221" s="340"/>
      <c r="AE221" s="341"/>
      <c r="AF221" s="340"/>
      <c r="AG221" s="341"/>
      <c r="AH221" s="340"/>
      <c r="AI221" s="342"/>
      <c r="AJ221" s="343"/>
      <c r="AK221" s="340"/>
    </row>
    <row r="222" ht="15.75" customHeight="1">
      <c r="A222" s="332"/>
      <c r="B222" s="333"/>
      <c r="C222" s="334"/>
      <c r="D222" s="335"/>
      <c r="E222" s="336"/>
      <c r="F222" s="337"/>
      <c r="G222" s="337"/>
      <c r="H222" s="337"/>
      <c r="I222" s="337"/>
      <c r="J222" s="337"/>
      <c r="K222" s="338"/>
      <c r="L222" s="339"/>
      <c r="M222" s="340"/>
      <c r="N222" s="340"/>
      <c r="O222" s="341"/>
      <c r="P222" s="340"/>
      <c r="Q222" s="341"/>
      <c r="R222" s="340"/>
      <c r="S222" s="341"/>
      <c r="T222" s="340"/>
      <c r="U222" s="341"/>
      <c r="V222" s="340"/>
      <c r="W222" s="341"/>
      <c r="X222" s="340"/>
      <c r="Y222" s="341"/>
      <c r="Z222" s="340"/>
      <c r="AA222" s="341"/>
      <c r="AB222" s="340"/>
      <c r="AC222" s="341"/>
      <c r="AD222" s="340"/>
      <c r="AE222" s="341"/>
      <c r="AF222" s="340"/>
      <c r="AG222" s="341"/>
      <c r="AH222" s="340"/>
      <c r="AI222" s="342"/>
      <c r="AJ222" s="343"/>
      <c r="AK222" s="340"/>
    </row>
    <row r="223" ht="15.75" customHeight="1">
      <c r="A223" s="332"/>
      <c r="B223" s="333"/>
      <c r="C223" s="334"/>
      <c r="D223" s="335"/>
      <c r="E223" s="336"/>
      <c r="F223" s="337"/>
      <c r="G223" s="337"/>
      <c r="H223" s="337"/>
      <c r="I223" s="337"/>
      <c r="J223" s="337"/>
      <c r="K223" s="338"/>
      <c r="L223" s="339"/>
      <c r="M223" s="340"/>
      <c r="N223" s="340"/>
      <c r="O223" s="341"/>
      <c r="P223" s="340"/>
      <c r="Q223" s="341"/>
      <c r="R223" s="340"/>
      <c r="S223" s="341"/>
      <c r="T223" s="340"/>
      <c r="U223" s="341"/>
      <c r="V223" s="340"/>
      <c r="W223" s="341"/>
      <c r="X223" s="340"/>
      <c r="Y223" s="341"/>
      <c r="Z223" s="340"/>
      <c r="AA223" s="341"/>
      <c r="AB223" s="340"/>
      <c r="AC223" s="341"/>
      <c r="AD223" s="340"/>
      <c r="AE223" s="341"/>
      <c r="AF223" s="340"/>
      <c r="AG223" s="341"/>
      <c r="AH223" s="340"/>
      <c r="AI223" s="342"/>
      <c r="AJ223" s="343"/>
      <c r="AK223" s="340"/>
    </row>
    <row r="224" ht="15.75" customHeight="1">
      <c r="A224" s="332"/>
      <c r="B224" s="333"/>
      <c r="C224" s="334"/>
      <c r="D224" s="335"/>
      <c r="E224" s="336"/>
      <c r="F224" s="337"/>
      <c r="G224" s="337"/>
      <c r="H224" s="337"/>
      <c r="I224" s="337"/>
      <c r="J224" s="337"/>
      <c r="K224" s="338"/>
      <c r="L224" s="339"/>
      <c r="M224" s="340"/>
      <c r="N224" s="340"/>
      <c r="O224" s="341"/>
      <c r="P224" s="340"/>
      <c r="Q224" s="341"/>
      <c r="R224" s="340"/>
      <c r="S224" s="341"/>
      <c r="T224" s="340"/>
      <c r="U224" s="341"/>
      <c r="V224" s="340"/>
      <c r="W224" s="341"/>
      <c r="X224" s="340"/>
      <c r="Y224" s="341"/>
      <c r="Z224" s="340"/>
      <c r="AA224" s="341"/>
      <c r="AB224" s="340"/>
      <c r="AC224" s="341"/>
      <c r="AD224" s="340"/>
      <c r="AE224" s="341"/>
      <c r="AF224" s="340"/>
      <c r="AG224" s="341"/>
      <c r="AH224" s="340"/>
      <c r="AI224" s="342"/>
      <c r="AJ224" s="343"/>
      <c r="AK224" s="340"/>
    </row>
    <row r="225" ht="15.75" customHeight="1">
      <c r="A225" s="332"/>
      <c r="B225" s="333"/>
      <c r="C225" s="334"/>
      <c r="D225" s="335"/>
      <c r="E225" s="336"/>
      <c r="F225" s="337"/>
      <c r="G225" s="337"/>
      <c r="H225" s="337"/>
      <c r="I225" s="337"/>
      <c r="J225" s="337"/>
      <c r="K225" s="338"/>
      <c r="L225" s="339"/>
      <c r="M225" s="340"/>
      <c r="N225" s="340"/>
      <c r="O225" s="341"/>
      <c r="P225" s="340"/>
      <c r="Q225" s="341"/>
      <c r="R225" s="340"/>
      <c r="S225" s="341"/>
      <c r="T225" s="340"/>
      <c r="U225" s="341"/>
      <c r="V225" s="340"/>
      <c r="W225" s="341"/>
      <c r="X225" s="340"/>
      <c r="Y225" s="341"/>
      <c r="Z225" s="340"/>
      <c r="AA225" s="341"/>
      <c r="AB225" s="340"/>
      <c r="AC225" s="341"/>
      <c r="AD225" s="340"/>
      <c r="AE225" s="341"/>
      <c r="AF225" s="340"/>
      <c r="AG225" s="341"/>
      <c r="AH225" s="340"/>
      <c r="AI225" s="342"/>
      <c r="AJ225" s="343"/>
      <c r="AK225" s="340"/>
    </row>
    <row r="226" ht="15.75" customHeight="1">
      <c r="A226" s="332"/>
      <c r="B226" s="333"/>
      <c r="C226" s="334"/>
      <c r="D226" s="335"/>
      <c r="E226" s="336"/>
      <c r="F226" s="337"/>
      <c r="G226" s="337"/>
      <c r="H226" s="337"/>
      <c r="I226" s="337"/>
      <c r="J226" s="337"/>
      <c r="K226" s="338"/>
      <c r="L226" s="339"/>
      <c r="M226" s="340"/>
      <c r="N226" s="340"/>
      <c r="O226" s="341"/>
      <c r="P226" s="340"/>
      <c r="Q226" s="341"/>
      <c r="R226" s="340"/>
      <c r="S226" s="341"/>
      <c r="T226" s="340"/>
      <c r="U226" s="341"/>
      <c r="V226" s="340"/>
      <c r="W226" s="341"/>
      <c r="X226" s="340"/>
      <c r="Y226" s="341"/>
      <c r="Z226" s="340"/>
      <c r="AA226" s="341"/>
      <c r="AB226" s="340"/>
      <c r="AC226" s="341"/>
      <c r="AD226" s="340"/>
      <c r="AE226" s="341"/>
      <c r="AF226" s="340"/>
      <c r="AG226" s="341"/>
      <c r="AH226" s="340"/>
      <c r="AI226" s="342"/>
      <c r="AJ226" s="343"/>
      <c r="AK226" s="340"/>
    </row>
    <row r="227" ht="15.75" customHeight="1">
      <c r="A227" s="332"/>
      <c r="B227" s="333"/>
      <c r="C227" s="334"/>
      <c r="D227" s="335"/>
      <c r="E227" s="336"/>
      <c r="F227" s="337"/>
      <c r="G227" s="337"/>
      <c r="H227" s="337"/>
      <c r="I227" s="337"/>
      <c r="J227" s="337"/>
      <c r="K227" s="338"/>
      <c r="L227" s="339"/>
      <c r="M227" s="340"/>
      <c r="N227" s="340"/>
      <c r="O227" s="341"/>
      <c r="P227" s="340"/>
      <c r="Q227" s="341"/>
      <c r="R227" s="340"/>
      <c r="S227" s="341"/>
      <c r="T227" s="340"/>
      <c r="U227" s="341"/>
      <c r="V227" s="340"/>
      <c r="W227" s="341"/>
      <c r="X227" s="340"/>
      <c r="Y227" s="341"/>
      <c r="Z227" s="340"/>
      <c r="AA227" s="341"/>
      <c r="AB227" s="340"/>
      <c r="AC227" s="341"/>
      <c r="AD227" s="340"/>
      <c r="AE227" s="341"/>
      <c r="AF227" s="340"/>
      <c r="AG227" s="341"/>
      <c r="AH227" s="340"/>
      <c r="AI227" s="342"/>
      <c r="AJ227" s="343"/>
      <c r="AK227" s="340"/>
    </row>
    <row r="228" ht="15.75" customHeight="1">
      <c r="A228" s="332"/>
      <c r="B228" s="333"/>
      <c r="C228" s="334"/>
      <c r="D228" s="335"/>
      <c r="E228" s="336"/>
      <c r="F228" s="337"/>
      <c r="G228" s="337"/>
      <c r="H228" s="337"/>
      <c r="I228" s="337"/>
      <c r="J228" s="337"/>
      <c r="K228" s="338"/>
      <c r="L228" s="339"/>
      <c r="M228" s="340"/>
      <c r="N228" s="340"/>
      <c r="O228" s="341"/>
      <c r="P228" s="340"/>
      <c r="Q228" s="341"/>
      <c r="R228" s="340"/>
      <c r="S228" s="341"/>
      <c r="T228" s="340"/>
      <c r="U228" s="341"/>
      <c r="V228" s="340"/>
      <c r="W228" s="341"/>
      <c r="X228" s="340"/>
      <c r="Y228" s="341"/>
      <c r="Z228" s="340"/>
      <c r="AA228" s="341"/>
      <c r="AB228" s="340"/>
      <c r="AC228" s="341"/>
      <c r="AD228" s="340"/>
      <c r="AE228" s="341"/>
      <c r="AF228" s="340"/>
      <c r="AG228" s="341"/>
      <c r="AH228" s="340"/>
      <c r="AI228" s="342"/>
      <c r="AJ228" s="343"/>
      <c r="AK228" s="340"/>
    </row>
    <row r="229" ht="15.75" customHeight="1">
      <c r="A229" s="332"/>
      <c r="B229" s="333"/>
      <c r="C229" s="334"/>
      <c r="D229" s="335"/>
      <c r="E229" s="336"/>
      <c r="F229" s="337"/>
      <c r="G229" s="337"/>
      <c r="H229" s="337"/>
      <c r="I229" s="337"/>
      <c r="J229" s="337"/>
      <c r="K229" s="338"/>
      <c r="L229" s="339"/>
      <c r="M229" s="340"/>
      <c r="N229" s="340"/>
      <c r="O229" s="341"/>
      <c r="P229" s="340"/>
      <c r="Q229" s="341"/>
      <c r="R229" s="340"/>
      <c r="S229" s="341"/>
      <c r="T229" s="340"/>
      <c r="U229" s="341"/>
      <c r="V229" s="340"/>
      <c r="W229" s="341"/>
      <c r="X229" s="340"/>
      <c r="Y229" s="341"/>
      <c r="Z229" s="340"/>
      <c r="AA229" s="341"/>
      <c r="AB229" s="340"/>
      <c r="AC229" s="341"/>
      <c r="AD229" s="340"/>
      <c r="AE229" s="341"/>
      <c r="AF229" s="340"/>
      <c r="AG229" s="341"/>
      <c r="AH229" s="340"/>
      <c r="AI229" s="342"/>
      <c r="AJ229" s="343"/>
      <c r="AK229" s="340"/>
    </row>
    <row r="230" ht="15.75" customHeight="1">
      <c r="A230" s="332"/>
      <c r="B230" s="333"/>
      <c r="C230" s="334"/>
      <c r="D230" s="335"/>
      <c r="E230" s="336"/>
      <c r="F230" s="337"/>
      <c r="G230" s="337"/>
      <c r="H230" s="337"/>
      <c r="I230" s="337"/>
      <c r="J230" s="337"/>
      <c r="K230" s="338"/>
      <c r="L230" s="339"/>
      <c r="M230" s="340"/>
      <c r="N230" s="340"/>
      <c r="O230" s="341"/>
      <c r="P230" s="340"/>
      <c r="Q230" s="341"/>
      <c r="R230" s="340"/>
      <c r="S230" s="341"/>
      <c r="T230" s="340"/>
      <c r="U230" s="341"/>
      <c r="V230" s="340"/>
      <c r="W230" s="341"/>
      <c r="X230" s="340"/>
      <c r="Y230" s="341"/>
      <c r="Z230" s="340"/>
      <c r="AA230" s="341"/>
      <c r="AB230" s="340"/>
      <c r="AC230" s="341"/>
      <c r="AD230" s="340"/>
      <c r="AE230" s="341"/>
      <c r="AF230" s="340"/>
      <c r="AG230" s="341"/>
      <c r="AH230" s="340"/>
      <c r="AI230" s="342"/>
      <c r="AJ230" s="343"/>
      <c r="AK230" s="340"/>
    </row>
    <row r="231" ht="15.75" customHeight="1">
      <c r="A231" s="332"/>
      <c r="B231" s="333"/>
      <c r="C231" s="334"/>
      <c r="D231" s="335"/>
      <c r="E231" s="336"/>
      <c r="F231" s="337"/>
      <c r="G231" s="337"/>
      <c r="H231" s="337"/>
      <c r="I231" s="337"/>
      <c r="J231" s="337"/>
      <c r="K231" s="338"/>
      <c r="L231" s="339"/>
      <c r="M231" s="340"/>
      <c r="N231" s="340"/>
      <c r="O231" s="341"/>
      <c r="P231" s="340"/>
      <c r="Q231" s="341"/>
      <c r="R231" s="340"/>
      <c r="S231" s="341"/>
      <c r="T231" s="340"/>
      <c r="U231" s="341"/>
      <c r="V231" s="340"/>
      <c r="W231" s="341"/>
      <c r="X231" s="340"/>
      <c r="Y231" s="341"/>
      <c r="Z231" s="340"/>
      <c r="AA231" s="341"/>
      <c r="AB231" s="340"/>
      <c r="AC231" s="341"/>
      <c r="AD231" s="340"/>
      <c r="AE231" s="341"/>
      <c r="AF231" s="340"/>
      <c r="AG231" s="341"/>
      <c r="AH231" s="340"/>
      <c r="AI231" s="342"/>
      <c r="AJ231" s="343"/>
      <c r="AK231" s="340"/>
    </row>
    <row r="232" ht="15.75" customHeight="1">
      <c r="A232" s="332"/>
      <c r="B232" s="333"/>
      <c r="C232" s="334"/>
      <c r="D232" s="335"/>
      <c r="E232" s="336"/>
      <c r="F232" s="337"/>
      <c r="G232" s="337"/>
      <c r="H232" s="337"/>
      <c r="I232" s="337"/>
      <c r="J232" s="337"/>
      <c r="K232" s="338"/>
      <c r="L232" s="339"/>
      <c r="M232" s="340"/>
      <c r="N232" s="340"/>
      <c r="O232" s="341"/>
      <c r="P232" s="340"/>
      <c r="Q232" s="341"/>
      <c r="R232" s="340"/>
      <c r="S232" s="341"/>
      <c r="T232" s="340"/>
      <c r="U232" s="341"/>
      <c r="V232" s="340"/>
      <c r="W232" s="341"/>
      <c r="X232" s="340"/>
      <c r="Y232" s="341"/>
      <c r="Z232" s="340"/>
      <c r="AA232" s="341"/>
      <c r="AB232" s="340"/>
      <c r="AC232" s="341"/>
      <c r="AD232" s="340"/>
      <c r="AE232" s="341"/>
      <c r="AF232" s="340"/>
      <c r="AG232" s="341"/>
      <c r="AH232" s="340"/>
      <c r="AI232" s="342"/>
      <c r="AJ232" s="343"/>
      <c r="AK232" s="340"/>
    </row>
    <row r="233" ht="15.75" customHeight="1">
      <c r="A233" s="332"/>
      <c r="B233" s="333"/>
      <c r="C233" s="334"/>
      <c r="D233" s="335"/>
      <c r="E233" s="336"/>
      <c r="F233" s="337"/>
      <c r="G233" s="337"/>
      <c r="H233" s="337"/>
      <c r="I233" s="337"/>
      <c r="J233" s="337"/>
      <c r="K233" s="338"/>
      <c r="L233" s="339"/>
      <c r="M233" s="340"/>
      <c r="N233" s="340"/>
      <c r="O233" s="341"/>
      <c r="P233" s="340"/>
      <c r="Q233" s="341"/>
      <c r="R233" s="340"/>
      <c r="S233" s="341"/>
      <c r="T233" s="340"/>
      <c r="U233" s="341"/>
      <c r="V233" s="340"/>
      <c r="W233" s="341"/>
      <c r="X233" s="340"/>
      <c r="Y233" s="341"/>
      <c r="Z233" s="340"/>
      <c r="AA233" s="341"/>
      <c r="AB233" s="340"/>
      <c r="AC233" s="341"/>
      <c r="AD233" s="340"/>
      <c r="AE233" s="341"/>
      <c r="AF233" s="340"/>
      <c r="AG233" s="341"/>
      <c r="AH233" s="340"/>
      <c r="AI233" s="342"/>
      <c r="AJ233" s="343"/>
      <c r="AK233" s="340"/>
    </row>
    <row r="234" ht="15.75" customHeight="1">
      <c r="A234" s="332"/>
      <c r="B234" s="333"/>
      <c r="C234" s="334"/>
      <c r="D234" s="335"/>
      <c r="E234" s="336"/>
      <c r="F234" s="337"/>
      <c r="G234" s="337"/>
      <c r="H234" s="337"/>
      <c r="I234" s="337"/>
      <c r="J234" s="337"/>
      <c r="K234" s="338"/>
      <c r="L234" s="339"/>
      <c r="M234" s="340"/>
      <c r="N234" s="340"/>
      <c r="O234" s="341"/>
      <c r="P234" s="340"/>
      <c r="Q234" s="341"/>
      <c r="R234" s="340"/>
      <c r="S234" s="341"/>
      <c r="T234" s="340"/>
      <c r="U234" s="341"/>
      <c r="V234" s="340"/>
      <c r="W234" s="341"/>
      <c r="X234" s="340"/>
      <c r="Y234" s="341"/>
      <c r="Z234" s="340"/>
      <c r="AA234" s="341"/>
      <c r="AB234" s="340"/>
      <c r="AC234" s="341"/>
      <c r="AD234" s="340"/>
      <c r="AE234" s="341"/>
      <c r="AF234" s="340"/>
      <c r="AG234" s="341"/>
      <c r="AH234" s="340"/>
      <c r="AI234" s="342"/>
      <c r="AJ234" s="343"/>
      <c r="AK234" s="340"/>
    </row>
    <row r="235" ht="15.75" customHeight="1">
      <c r="A235" s="332"/>
      <c r="B235" s="333"/>
      <c r="C235" s="334"/>
      <c r="D235" s="335"/>
      <c r="E235" s="336"/>
      <c r="F235" s="337"/>
      <c r="G235" s="337"/>
      <c r="H235" s="337"/>
      <c r="I235" s="337"/>
      <c r="J235" s="337"/>
      <c r="K235" s="338"/>
      <c r="L235" s="339"/>
      <c r="M235" s="340"/>
      <c r="N235" s="340"/>
      <c r="O235" s="341"/>
      <c r="P235" s="340"/>
      <c r="Q235" s="341"/>
      <c r="R235" s="340"/>
      <c r="S235" s="341"/>
      <c r="T235" s="340"/>
      <c r="U235" s="341"/>
      <c r="V235" s="340"/>
      <c r="W235" s="341"/>
      <c r="X235" s="340"/>
      <c r="Y235" s="341"/>
      <c r="Z235" s="340"/>
      <c r="AA235" s="341"/>
      <c r="AB235" s="340"/>
      <c r="AC235" s="341"/>
      <c r="AD235" s="340"/>
      <c r="AE235" s="341"/>
      <c r="AF235" s="340"/>
      <c r="AG235" s="341"/>
      <c r="AH235" s="340"/>
      <c r="AI235" s="342"/>
      <c r="AJ235" s="343"/>
      <c r="AK235" s="340"/>
    </row>
    <row r="236" ht="15.75" customHeight="1">
      <c r="A236" s="332"/>
      <c r="B236" s="333"/>
      <c r="C236" s="334"/>
      <c r="D236" s="335"/>
      <c r="E236" s="336"/>
      <c r="F236" s="337"/>
      <c r="G236" s="337"/>
      <c r="H236" s="337"/>
      <c r="I236" s="337"/>
      <c r="J236" s="337"/>
      <c r="K236" s="338"/>
      <c r="L236" s="339"/>
      <c r="M236" s="340"/>
      <c r="N236" s="340"/>
      <c r="O236" s="341"/>
      <c r="P236" s="340"/>
      <c r="Q236" s="341"/>
      <c r="R236" s="340"/>
      <c r="S236" s="341"/>
      <c r="T236" s="340"/>
      <c r="U236" s="341"/>
      <c r="V236" s="340"/>
      <c r="W236" s="341"/>
      <c r="X236" s="340"/>
      <c r="Y236" s="341"/>
      <c r="Z236" s="340"/>
      <c r="AA236" s="341"/>
      <c r="AB236" s="340"/>
      <c r="AC236" s="341"/>
      <c r="AD236" s="340"/>
      <c r="AE236" s="341"/>
      <c r="AF236" s="340"/>
      <c r="AG236" s="341"/>
      <c r="AH236" s="340"/>
      <c r="AI236" s="342"/>
      <c r="AJ236" s="343"/>
      <c r="AK236" s="340"/>
    </row>
    <row r="237" ht="15.75" customHeight="1">
      <c r="A237" s="332"/>
      <c r="B237" s="333"/>
      <c r="C237" s="334"/>
      <c r="D237" s="335"/>
      <c r="E237" s="336"/>
      <c r="F237" s="337"/>
      <c r="G237" s="337"/>
      <c r="H237" s="337"/>
      <c r="I237" s="337"/>
      <c r="J237" s="337"/>
      <c r="K237" s="338"/>
      <c r="L237" s="339"/>
      <c r="M237" s="340"/>
      <c r="N237" s="340"/>
      <c r="O237" s="341"/>
      <c r="P237" s="340"/>
      <c r="Q237" s="341"/>
      <c r="R237" s="340"/>
      <c r="S237" s="341"/>
      <c r="T237" s="340"/>
      <c r="U237" s="341"/>
      <c r="V237" s="340"/>
      <c r="W237" s="341"/>
      <c r="X237" s="340"/>
      <c r="Y237" s="341"/>
      <c r="Z237" s="340"/>
      <c r="AA237" s="341"/>
      <c r="AB237" s="340"/>
      <c r="AC237" s="341"/>
      <c r="AD237" s="340"/>
      <c r="AE237" s="341"/>
      <c r="AF237" s="340"/>
      <c r="AG237" s="341"/>
      <c r="AH237" s="340"/>
      <c r="AI237" s="342"/>
      <c r="AJ237" s="343"/>
      <c r="AK237" s="340"/>
    </row>
    <row r="238" ht="15.75" customHeight="1">
      <c r="A238" s="332"/>
      <c r="B238" s="333"/>
      <c r="C238" s="334"/>
      <c r="D238" s="335"/>
      <c r="E238" s="336"/>
      <c r="F238" s="337"/>
      <c r="G238" s="337"/>
      <c r="H238" s="337"/>
      <c r="I238" s="337"/>
      <c r="J238" s="337"/>
      <c r="K238" s="338"/>
      <c r="L238" s="339"/>
      <c r="M238" s="340"/>
      <c r="N238" s="340"/>
      <c r="O238" s="341"/>
      <c r="P238" s="340"/>
      <c r="Q238" s="341"/>
      <c r="R238" s="340"/>
      <c r="S238" s="341"/>
      <c r="T238" s="340"/>
      <c r="U238" s="341"/>
      <c r="V238" s="340"/>
      <c r="W238" s="341"/>
      <c r="X238" s="340"/>
      <c r="Y238" s="341"/>
      <c r="Z238" s="340"/>
      <c r="AA238" s="341"/>
      <c r="AB238" s="340"/>
      <c r="AC238" s="341"/>
      <c r="AD238" s="340"/>
      <c r="AE238" s="341"/>
      <c r="AF238" s="340"/>
      <c r="AG238" s="341"/>
      <c r="AH238" s="340"/>
      <c r="AI238" s="342"/>
      <c r="AJ238" s="343"/>
      <c r="AK238" s="340"/>
    </row>
    <row r="239" ht="15.75" customHeight="1">
      <c r="A239" s="332"/>
      <c r="B239" s="333"/>
      <c r="C239" s="334"/>
      <c r="D239" s="335"/>
      <c r="E239" s="336"/>
      <c r="F239" s="337"/>
      <c r="G239" s="337"/>
      <c r="H239" s="337"/>
      <c r="I239" s="337"/>
      <c r="J239" s="337"/>
      <c r="K239" s="338"/>
      <c r="L239" s="339"/>
      <c r="M239" s="340"/>
      <c r="N239" s="340"/>
      <c r="O239" s="341"/>
      <c r="P239" s="340"/>
      <c r="Q239" s="341"/>
      <c r="R239" s="340"/>
      <c r="S239" s="341"/>
      <c r="T239" s="340"/>
      <c r="U239" s="341"/>
      <c r="V239" s="340"/>
      <c r="W239" s="341"/>
      <c r="X239" s="340"/>
      <c r="Y239" s="341"/>
      <c r="Z239" s="340"/>
      <c r="AA239" s="341"/>
      <c r="AB239" s="340"/>
      <c r="AC239" s="341"/>
      <c r="AD239" s="340"/>
      <c r="AE239" s="341"/>
      <c r="AF239" s="340"/>
      <c r="AG239" s="341"/>
      <c r="AH239" s="340"/>
      <c r="AI239" s="342"/>
      <c r="AJ239" s="343"/>
      <c r="AK239" s="340"/>
    </row>
    <row r="240" ht="15.75" customHeight="1">
      <c r="A240" s="332"/>
      <c r="B240" s="333"/>
      <c r="C240" s="334"/>
      <c r="D240" s="335"/>
      <c r="E240" s="336"/>
      <c r="F240" s="337"/>
      <c r="G240" s="337"/>
      <c r="H240" s="337"/>
      <c r="I240" s="337"/>
      <c r="J240" s="337"/>
      <c r="K240" s="338"/>
      <c r="L240" s="339"/>
      <c r="M240" s="340"/>
      <c r="N240" s="340"/>
      <c r="O240" s="341"/>
      <c r="P240" s="340"/>
      <c r="Q240" s="341"/>
      <c r="R240" s="340"/>
      <c r="S240" s="341"/>
      <c r="T240" s="340"/>
      <c r="U240" s="341"/>
      <c r="V240" s="340"/>
      <c r="W240" s="341"/>
      <c r="X240" s="340"/>
      <c r="Y240" s="341"/>
      <c r="Z240" s="340"/>
      <c r="AA240" s="341"/>
      <c r="AB240" s="340"/>
      <c r="AC240" s="341"/>
      <c r="AD240" s="340"/>
      <c r="AE240" s="341"/>
      <c r="AF240" s="340"/>
      <c r="AG240" s="341"/>
      <c r="AH240" s="340"/>
      <c r="AI240" s="342"/>
      <c r="AJ240" s="343"/>
      <c r="AK240" s="340"/>
    </row>
    <row r="241" ht="15.75" customHeight="1">
      <c r="A241" s="332"/>
      <c r="B241" s="333"/>
      <c r="C241" s="334"/>
      <c r="D241" s="335"/>
      <c r="E241" s="336"/>
      <c r="F241" s="337"/>
      <c r="G241" s="337"/>
      <c r="H241" s="337"/>
      <c r="I241" s="337"/>
      <c r="J241" s="337"/>
      <c r="K241" s="338"/>
      <c r="L241" s="339"/>
      <c r="M241" s="340"/>
      <c r="N241" s="340"/>
      <c r="O241" s="341"/>
      <c r="P241" s="340"/>
      <c r="Q241" s="341"/>
      <c r="R241" s="340"/>
      <c r="S241" s="341"/>
      <c r="T241" s="340"/>
      <c r="U241" s="341"/>
      <c r="V241" s="340"/>
      <c r="W241" s="341"/>
      <c r="X241" s="340"/>
      <c r="Y241" s="341"/>
      <c r="Z241" s="340"/>
      <c r="AA241" s="341"/>
      <c r="AB241" s="340"/>
      <c r="AC241" s="341"/>
      <c r="AD241" s="340"/>
      <c r="AE241" s="341"/>
      <c r="AF241" s="340"/>
      <c r="AG241" s="341"/>
      <c r="AH241" s="340"/>
      <c r="AI241" s="342"/>
      <c r="AJ241" s="343"/>
      <c r="AK241" s="340"/>
    </row>
    <row r="242" ht="15.75" customHeight="1">
      <c r="A242" s="332"/>
      <c r="B242" s="333"/>
      <c r="C242" s="334"/>
      <c r="D242" s="335"/>
      <c r="E242" s="336"/>
      <c r="F242" s="337"/>
      <c r="G242" s="337"/>
      <c r="H242" s="337"/>
      <c r="I242" s="337"/>
      <c r="J242" s="337"/>
      <c r="K242" s="338"/>
      <c r="L242" s="339"/>
      <c r="M242" s="340"/>
      <c r="N242" s="340"/>
      <c r="O242" s="341"/>
      <c r="P242" s="340"/>
      <c r="Q242" s="341"/>
      <c r="R242" s="340"/>
      <c r="S242" s="341"/>
      <c r="T242" s="340"/>
      <c r="U242" s="341"/>
      <c r="V242" s="340"/>
      <c r="W242" s="341"/>
      <c r="X242" s="340"/>
      <c r="Y242" s="341"/>
      <c r="Z242" s="340"/>
      <c r="AA242" s="341"/>
      <c r="AB242" s="340"/>
      <c r="AC242" s="341"/>
      <c r="AD242" s="340"/>
      <c r="AE242" s="341"/>
      <c r="AF242" s="340"/>
      <c r="AG242" s="341"/>
      <c r="AH242" s="340"/>
      <c r="AI242" s="342"/>
      <c r="AJ242" s="343"/>
      <c r="AK242" s="340"/>
    </row>
    <row r="243" ht="15.75" customHeight="1">
      <c r="A243" s="332"/>
      <c r="B243" s="333"/>
      <c r="C243" s="334"/>
      <c r="D243" s="335"/>
      <c r="E243" s="336"/>
      <c r="F243" s="337"/>
      <c r="G243" s="337"/>
      <c r="H243" s="337"/>
      <c r="I243" s="337"/>
      <c r="J243" s="337"/>
      <c r="K243" s="338"/>
      <c r="L243" s="339"/>
      <c r="M243" s="340"/>
      <c r="N243" s="340"/>
      <c r="O243" s="341"/>
      <c r="P243" s="340"/>
      <c r="Q243" s="341"/>
      <c r="R243" s="340"/>
      <c r="S243" s="341"/>
      <c r="T243" s="340"/>
      <c r="U243" s="341"/>
      <c r="V243" s="340"/>
      <c r="W243" s="341"/>
      <c r="X243" s="340"/>
      <c r="Y243" s="341"/>
      <c r="Z243" s="340"/>
      <c r="AA243" s="341"/>
      <c r="AB243" s="340"/>
      <c r="AC243" s="341"/>
      <c r="AD243" s="340"/>
      <c r="AE243" s="341"/>
      <c r="AF243" s="340"/>
      <c r="AG243" s="341"/>
      <c r="AH243" s="340"/>
      <c r="AI243" s="342"/>
      <c r="AJ243" s="343"/>
      <c r="AK243" s="340"/>
    </row>
    <row r="244" ht="15.75" customHeight="1">
      <c r="A244" s="332"/>
      <c r="B244" s="333"/>
      <c r="C244" s="334"/>
      <c r="D244" s="335"/>
      <c r="E244" s="336"/>
      <c r="F244" s="337"/>
      <c r="G244" s="337"/>
      <c r="H244" s="337"/>
      <c r="I244" s="337"/>
      <c r="J244" s="337"/>
      <c r="K244" s="338"/>
      <c r="L244" s="339"/>
      <c r="M244" s="340"/>
      <c r="N244" s="340"/>
      <c r="O244" s="341"/>
      <c r="P244" s="340"/>
      <c r="Q244" s="341"/>
      <c r="R244" s="340"/>
      <c r="S244" s="341"/>
      <c r="T244" s="340"/>
      <c r="U244" s="341"/>
      <c r="V244" s="340"/>
      <c r="W244" s="341"/>
      <c r="X244" s="340"/>
      <c r="Y244" s="341"/>
      <c r="Z244" s="340"/>
      <c r="AA244" s="341"/>
      <c r="AB244" s="340"/>
      <c r="AC244" s="341"/>
      <c r="AD244" s="340"/>
      <c r="AE244" s="341"/>
      <c r="AF244" s="340"/>
      <c r="AG244" s="341"/>
      <c r="AH244" s="340"/>
      <c r="AI244" s="342"/>
      <c r="AJ244" s="343"/>
      <c r="AK244" s="340"/>
    </row>
    <row r="245" ht="15.75" customHeight="1">
      <c r="A245" s="332"/>
      <c r="B245" s="333"/>
      <c r="C245" s="334"/>
      <c r="D245" s="335"/>
      <c r="E245" s="336"/>
      <c r="F245" s="337"/>
      <c r="G245" s="337"/>
      <c r="H245" s="337"/>
      <c r="I245" s="337"/>
      <c r="J245" s="337"/>
      <c r="K245" s="338"/>
      <c r="L245" s="339"/>
      <c r="M245" s="340"/>
      <c r="N245" s="340"/>
      <c r="O245" s="341"/>
      <c r="P245" s="340"/>
      <c r="Q245" s="341"/>
      <c r="R245" s="340"/>
      <c r="S245" s="341"/>
      <c r="T245" s="340"/>
      <c r="U245" s="341"/>
      <c r="V245" s="340"/>
      <c r="W245" s="341"/>
      <c r="X245" s="340"/>
      <c r="Y245" s="341"/>
      <c r="Z245" s="340"/>
      <c r="AA245" s="341"/>
      <c r="AB245" s="340"/>
      <c r="AC245" s="341"/>
      <c r="AD245" s="340"/>
      <c r="AE245" s="341"/>
      <c r="AF245" s="340"/>
      <c r="AG245" s="341"/>
      <c r="AH245" s="340"/>
      <c r="AI245" s="342"/>
      <c r="AJ245" s="343"/>
      <c r="AK245" s="340"/>
    </row>
    <row r="246" ht="15.75" customHeight="1">
      <c r="A246" s="332"/>
      <c r="B246" s="333"/>
      <c r="C246" s="334"/>
      <c r="D246" s="335"/>
      <c r="E246" s="336"/>
      <c r="F246" s="337"/>
      <c r="G246" s="337"/>
      <c r="H246" s="337"/>
      <c r="I246" s="337"/>
      <c r="J246" s="337"/>
      <c r="K246" s="338"/>
      <c r="L246" s="339"/>
      <c r="M246" s="340"/>
      <c r="N246" s="340"/>
      <c r="O246" s="341"/>
      <c r="P246" s="340"/>
      <c r="Q246" s="341"/>
      <c r="R246" s="340"/>
      <c r="S246" s="341"/>
      <c r="T246" s="340"/>
      <c r="U246" s="341"/>
      <c r="V246" s="340"/>
      <c r="W246" s="341"/>
      <c r="X246" s="340"/>
      <c r="Y246" s="341"/>
      <c r="Z246" s="340"/>
      <c r="AA246" s="341"/>
      <c r="AB246" s="340"/>
      <c r="AC246" s="341"/>
      <c r="AD246" s="340"/>
      <c r="AE246" s="341"/>
      <c r="AF246" s="340"/>
      <c r="AG246" s="341"/>
      <c r="AH246" s="340"/>
      <c r="AI246" s="342"/>
      <c r="AJ246" s="343"/>
      <c r="AK246" s="340"/>
    </row>
    <row r="247" ht="15.75" customHeight="1">
      <c r="A247" s="332"/>
      <c r="B247" s="333"/>
      <c r="C247" s="334"/>
      <c r="D247" s="335"/>
      <c r="E247" s="336"/>
      <c r="F247" s="337"/>
      <c r="G247" s="337"/>
      <c r="H247" s="337"/>
      <c r="I247" s="337"/>
      <c r="J247" s="337"/>
      <c r="K247" s="338"/>
      <c r="L247" s="339"/>
      <c r="M247" s="340"/>
      <c r="N247" s="340"/>
      <c r="O247" s="341"/>
      <c r="P247" s="340"/>
      <c r="Q247" s="341"/>
      <c r="R247" s="340"/>
      <c r="S247" s="341"/>
      <c r="T247" s="340"/>
      <c r="U247" s="341"/>
      <c r="V247" s="340"/>
      <c r="W247" s="341"/>
      <c r="X247" s="340"/>
      <c r="Y247" s="341"/>
      <c r="Z247" s="340"/>
      <c r="AA247" s="341"/>
      <c r="AB247" s="340"/>
      <c r="AC247" s="341"/>
      <c r="AD247" s="340"/>
      <c r="AE247" s="341"/>
      <c r="AF247" s="340"/>
      <c r="AG247" s="341"/>
      <c r="AH247" s="340"/>
      <c r="AI247" s="342"/>
      <c r="AJ247" s="343"/>
      <c r="AK247" s="340"/>
    </row>
    <row r="248" ht="15.75" customHeight="1">
      <c r="A248" s="332"/>
      <c r="B248" s="333"/>
      <c r="C248" s="334"/>
      <c r="D248" s="335"/>
      <c r="E248" s="336"/>
      <c r="F248" s="337"/>
      <c r="G248" s="337"/>
      <c r="H248" s="337"/>
      <c r="I248" s="337"/>
      <c r="J248" s="337"/>
      <c r="K248" s="338"/>
      <c r="L248" s="339"/>
      <c r="M248" s="340"/>
      <c r="N248" s="340"/>
      <c r="O248" s="341"/>
      <c r="P248" s="340"/>
      <c r="Q248" s="341"/>
      <c r="R248" s="340"/>
      <c r="S248" s="341"/>
      <c r="T248" s="340"/>
      <c r="U248" s="341"/>
      <c r="V248" s="340"/>
      <c r="W248" s="341"/>
      <c r="X248" s="340"/>
      <c r="Y248" s="341"/>
      <c r="Z248" s="340"/>
      <c r="AA248" s="341"/>
      <c r="AB248" s="340"/>
      <c r="AC248" s="341"/>
      <c r="AD248" s="340"/>
      <c r="AE248" s="341"/>
      <c r="AF248" s="340"/>
      <c r="AG248" s="341"/>
      <c r="AH248" s="340"/>
      <c r="AI248" s="342"/>
      <c r="AJ248" s="343"/>
      <c r="AK248" s="340"/>
    </row>
    <row r="249" ht="15.75" customHeight="1">
      <c r="A249" s="332"/>
      <c r="B249" s="333"/>
      <c r="C249" s="334"/>
      <c r="D249" s="335"/>
      <c r="E249" s="336"/>
      <c r="F249" s="337"/>
      <c r="G249" s="337"/>
      <c r="H249" s="337"/>
      <c r="I249" s="337"/>
      <c r="J249" s="337"/>
      <c r="K249" s="338"/>
      <c r="L249" s="339"/>
      <c r="M249" s="340"/>
      <c r="N249" s="340"/>
      <c r="O249" s="341"/>
      <c r="P249" s="340"/>
      <c r="Q249" s="341"/>
      <c r="R249" s="340"/>
      <c r="S249" s="341"/>
      <c r="T249" s="340"/>
      <c r="U249" s="341"/>
      <c r="V249" s="340"/>
      <c r="W249" s="341"/>
      <c r="X249" s="340"/>
      <c r="Y249" s="341"/>
      <c r="Z249" s="340"/>
      <c r="AA249" s="341"/>
      <c r="AB249" s="340"/>
      <c r="AC249" s="341"/>
      <c r="AD249" s="340"/>
      <c r="AE249" s="341"/>
      <c r="AF249" s="340"/>
      <c r="AG249" s="341"/>
      <c r="AH249" s="340"/>
      <c r="AI249" s="342"/>
      <c r="AJ249" s="343"/>
      <c r="AK249" s="340"/>
    </row>
    <row r="250" ht="15.75" customHeight="1">
      <c r="A250" s="332"/>
      <c r="B250" s="333"/>
      <c r="C250" s="334"/>
      <c r="D250" s="335"/>
      <c r="E250" s="336"/>
      <c r="F250" s="337"/>
      <c r="G250" s="337"/>
      <c r="H250" s="337"/>
      <c r="I250" s="337"/>
      <c r="J250" s="337"/>
      <c r="K250" s="338"/>
      <c r="L250" s="339"/>
      <c r="M250" s="340"/>
      <c r="N250" s="340"/>
      <c r="O250" s="341"/>
      <c r="P250" s="340"/>
      <c r="Q250" s="341"/>
      <c r="R250" s="340"/>
      <c r="S250" s="341"/>
      <c r="T250" s="340"/>
      <c r="U250" s="341"/>
      <c r="V250" s="340"/>
      <c r="W250" s="341"/>
      <c r="X250" s="340"/>
      <c r="Y250" s="341"/>
      <c r="Z250" s="340"/>
      <c r="AA250" s="341"/>
      <c r="AB250" s="340"/>
      <c r="AC250" s="341"/>
      <c r="AD250" s="340"/>
      <c r="AE250" s="341"/>
      <c r="AF250" s="340"/>
      <c r="AG250" s="341"/>
      <c r="AH250" s="340"/>
      <c r="AI250" s="342"/>
      <c r="AJ250" s="343"/>
      <c r="AK250" s="340"/>
    </row>
    <row r="251" ht="15.75" customHeight="1">
      <c r="A251" s="332"/>
      <c r="B251" s="333"/>
      <c r="C251" s="334"/>
      <c r="D251" s="335"/>
      <c r="E251" s="336"/>
      <c r="F251" s="337"/>
      <c r="G251" s="337"/>
      <c r="H251" s="337"/>
      <c r="I251" s="337"/>
      <c r="J251" s="337"/>
      <c r="K251" s="338"/>
      <c r="L251" s="339"/>
      <c r="M251" s="340"/>
      <c r="N251" s="340"/>
      <c r="O251" s="341"/>
      <c r="P251" s="340"/>
      <c r="Q251" s="341"/>
      <c r="R251" s="340"/>
      <c r="S251" s="341"/>
      <c r="T251" s="340"/>
      <c r="U251" s="341"/>
      <c r="V251" s="340"/>
      <c r="W251" s="341"/>
      <c r="X251" s="340"/>
      <c r="Y251" s="341"/>
      <c r="Z251" s="340"/>
      <c r="AA251" s="341"/>
      <c r="AB251" s="340"/>
      <c r="AC251" s="341"/>
      <c r="AD251" s="340"/>
      <c r="AE251" s="341"/>
      <c r="AF251" s="340"/>
      <c r="AG251" s="341"/>
      <c r="AH251" s="340"/>
      <c r="AI251" s="342"/>
      <c r="AJ251" s="343"/>
      <c r="AK251" s="340"/>
    </row>
    <row r="252" ht="15.75" customHeight="1">
      <c r="A252" s="332"/>
      <c r="B252" s="333"/>
      <c r="C252" s="334"/>
      <c r="D252" s="335"/>
      <c r="E252" s="336"/>
      <c r="F252" s="337"/>
      <c r="G252" s="337"/>
      <c r="H252" s="337"/>
      <c r="I252" s="337"/>
      <c r="J252" s="337"/>
      <c r="K252" s="338"/>
      <c r="L252" s="339"/>
      <c r="M252" s="340"/>
      <c r="N252" s="340"/>
      <c r="O252" s="341"/>
      <c r="P252" s="340"/>
      <c r="Q252" s="341"/>
      <c r="R252" s="340"/>
      <c r="S252" s="341"/>
      <c r="T252" s="340"/>
      <c r="U252" s="341"/>
      <c r="V252" s="340"/>
      <c r="W252" s="341"/>
      <c r="X252" s="340"/>
      <c r="Y252" s="341"/>
      <c r="Z252" s="340"/>
      <c r="AA252" s="341"/>
      <c r="AB252" s="340"/>
      <c r="AC252" s="341"/>
      <c r="AD252" s="340"/>
      <c r="AE252" s="341"/>
      <c r="AF252" s="340"/>
      <c r="AG252" s="341"/>
      <c r="AH252" s="340"/>
      <c r="AI252" s="342"/>
      <c r="AJ252" s="343"/>
      <c r="AK252" s="340"/>
    </row>
    <row r="253" ht="15.75" customHeight="1">
      <c r="A253" s="332"/>
      <c r="B253" s="333"/>
      <c r="C253" s="334"/>
      <c r="D253" s="335"/>
      <c r="E253" s="336"/>
      <c r="F253" s="337"/>
      <c r="G253" s="337"/>
      <c r="H253" s="337"/>
      <c r="I253" s="337"/>
      <c r="J253" s="337"/>
      <c r="K253" s="338"/>
      <c r="L253" s="339"/>
      <c r="M253" s="340"/>
      <c r="N253" s="340"/>
      <c r="O253" s="341"/>
      <c r="P253" s="340"/>
      <c r="Q253" s="341"/>
      <c r="R253" s="340"/>
      <c r="S253" s="341"/>
      <c r="T253" s="340"/>
      <c r="U253" s="341"/>
      <c r="V253" s="340"/>
      <c r="W253" s="341"/>
      <c r="X253" s="340"/>
      <c r="Y253" s="341"/>
      <c r="Z253" s="340"/>
      <c r="AA253" s="341"/>
      <c r="AB253" s="340"/>
      <c r="AC253" s="341"/>
      <c r="AD253" s="340"/>
      <c r="AE253" s="341"/>
      <c r="AF253" s="340"/>
      <c r="AG253" s="341"/>
      <c r="AH253" s="340"/>
      <c r="AI253" s="342"/>
      <c r="AJ253" s="343"/>
      <c r="AK253" s="340"/>
    </row>
    <row r="254" ht="15.75" customHeight="1">
      <c r="A254" s="332"/>
      <c r="B254" s="333"/>
      <c r="C254" s="334"/>
      <c r="D254" s="335"/>
      <c r="E254" s="336"/>
      <c r="F254" s="337"/>
      <c r="G254" s="337"/>
      <c r="H254" s="337"/>
      <c r="I254" s="337"/>
      <c r="J254" s="337"/>
      <c r="K254" s="338"/>
      <c r="L254" s="339"/>
      <c r="M254" s="340"/>
      <c r="N254" s="340"/>
      <c r="O254" s="341"/>
      <c r="P254" s="340"/>
      <c r="Q254" s="341"/>
      <c r="R254" s="340"/>
      <c r="S254" s="341"/>
      <c r="T254" s="340"/>
      <c r="U254" s="341"/>
      <c r="V254" s="340"/>
      <c r="W254" s="341"/>
      <c r="X254" s="340"/>
      <c r="Y254" s="341"/>
      <c r="Z254" s="340"/>
      <c r="AA254" s="341"/>
      <c r="AB254" s="340"/>
      <c r="AC254" s="341"/>
      <c r="AD254" s="340"/>
      <c r="AE254" s="341"/>
      <c r="AF254" s="340"/>
      <c r="AG254" s="341"/>
      <c r="AH254" s="340"/>
      <c r="AI254" s="342"/>
      <c r="AJ254" s="343"/>
      <c r="AK254" s="340"/>
    </row>
    <row r="255" ht="15.75" customHeight="1">
      <c r="A255" s="332"/>
      <c r="B255" s="333"/>
      <c r="C255" s="334"/>
      <c r="D255" s="335"/>
      <c r="E255" s="336"/>
      <c r="F255" s="337"/>
      <c r="G255" s="337"/>
      <c r="H255" s="337"/>
      <c r="I255" s="337"/>
      <c r="J255" s="337"/>
      <c r="K255" s="338"/>
      <c r="L255" s="339"/>
      <c r="M255" s="340"/>
      <c r="N255" s="340"/>
      <c r="O255" s="341"/>
      <c r="P255" s="340"/>
      <c r="Q255" s="341"/>
      <c r="R255" s="340"/>
      <c r="S255" s="341"/>
      <c r="T255" s="340"/>
      <c r="U255" s="341"/>
      <c r="V255" s="340"/>
      <c r="W255" s="341"/>
      <c r="X255" s="340"/>
      <c r="Y255" s="341"/>
      <c r="Z255" s="340"/>
      <c r="AA255" s="341"/>
      <c r="AB255" s="340"/>
      <c r="AC255" s="341"/>
      <c r="AD255" s="340"/>
      <c r="AE255" s="341"/>
      <c r="AF255" s="340"/>
      <c r="AG255" s="341"/>
      <c r="AH255" s="340"/>
      <c r="AI255" s="342"/>
      <c r="AJ255" s="343"/>
      <c r="AK255" s="340"/>
    </row>
    <row r="256" ht="15.75" customHeight="1">
      <c r="A256" s="332"/>
      <c r="B256" s="333"/>
      <c r="C256" s="334"/>
      <c r="D256" s="335"/>
      <c r="E256" s="336"/>
      <c r="F256" s="337"/>
      <c r="G256" s="337"/>
      <c r="H256" s="337"/>
      <c r="I256" s="337"/>
      <c r="J256" s="337"/>
      <c r="K256" s="338"/>
      <c r="L256" s="339"/>
      <c r="M256" s="340"/>
      <c r="N256" s="340"/>
      <c r="O256" s="341"/>
      <c r="P256" s="340"/>
      <c r="Q256" s="341"/>
      <c r="R256" s="340"/>
      <c r="S256" s="341"/>
      <c r="T256" s="340"/>
      <c r="U256" s="341"/>
      <c r="V256" s="340"/>
      <c r="W256" s="341"/>
      <c r="X256" s="340"/>
      <c r="Y256" s="341"/>
      <c r="Z256" s="340"/>
      <c r="AA256" s="341"/>
      <c r="AB256" s="340"/>
      <c r="AC256" s="341"/>
      <c r="AD256" s="340"/>
      <c r="AE256" s="341"/>
      <c r="AF256" s="340"/>
      <c r="AG256" s="341"/>
      <c r="AH256" s="340"/>
      <c r="AI256" s="342"/>
      <c r="AJ256" s="343"/>
      <c r="AK256" s="340"/>
    </row>
    <row r="257" ht="15.75" customHeight="1">
      <c r="A257" s="332"/>
      <c r="B257" s="333"/>
      <c r="C257" s="334"/>
      <c r="D257" s="335"/>
      <c r="E257" s="336"/>
      <c r="F257" s="337"/>
      <c r="G257" s="337"/>
      <c r="H257" s="337"/>
      <c r="I257" s="337"/>
      <c r="J257" s="337"/>
      <c r="K257" s="338"/>
      <c r="L257" s="339"/>
      <c r="M257" s="340"/>
      <c r="N257" s="340"/>
      <c r="O257" s="341"/>
      <c r="P257" s="340"/>
      <c r="Q257" s="341"/>
      <c r="R257" s="340"/>
      <c r="S257" s="341"/>
      <c r="T257" s="340"/>
      <c r="U257" s="341"/>
      <c r="V257" s="340"/>
      <c r="W257" s="341"/>
      <c r="X257" s="340"/>
      <c r="Y257" s="341"/>
      <c r="Z257" s="340"/>
      <c r="AA257" s="341"/>
      <c r="AB257" s="340"/>
      <c r="AC257" s="341"/>
      <c r="AD257" s="340"/>
      <c r="AE257" s="341"/>
      <c r="AF257" s="340"/>
      <c r="AG257" s="341"/>
      <c r="AH257" s="340"/>
      <c r="AI257" s="342"/>
      <c r="AJ257" s="343"/>
      <c r="AK257" s="340"/>
    </row>
    <row r="258" ht="15.75" customHeight="1">
      <c r="A258" s="332"/>
      <c r="B258" s="333"/>
      <c r="C258" s="334"/>
      <c r="D258" s="335"/>
      <c r="E258" s="336"/>
      <c r="F258" s="337"/>
      <c r="G258" s="337"/>
      <c r="H258" s="337"/>
      <c r="I258" s="337"/>
      <c r="J258" s="337"/>
      <c r="K258" s="338"/>
      <c r="L258" s="339"/>
      <c r="M258" s="340"/>
      <c r="N258" s="340"/>
      <c r="O258" s="341"/>
      <c r="P258" s="340"/>
      <c r="Q258" s="341"/>
      <c r="R258" s="340"/>
      <c r="S258" s="341"/>
      <c r="T258" s="340"/>
      <c r="U258" s="341"/>
      <c r="V258" s="340"/>
      <c r="W258" s="341"/>
      <c r="X258" s="340"/>
      <c r="Y258" s="341"/>
      <c r="Z258" s="340"/>
      <c r="AA258" s="341"/>
      <c r="AB258" s="340"/>
      <c r="AC258" s="341"/>
      <c r="AD258" s="340"/>
      <c r="AE258" s="341"/>
      <c r="AF258" s="340"/>
      <c r="AG258" s="341"/>
      <c r="AH258" s="340"/>
      <c r="AI258" s="342"/>
      <c r="AJ258" s="343"/>
      <c r="AK258" s="340"/>
    </row>
    <row r="259" ht="15.75" customHeight="1">
      <c r="A259" s="332"/>
      <c r="B259" s="333"/>
      <c r="C259" s="334"/>
      <c r="D259" s="335"/>
      <c r="E259" s="336"/>
      <c r="F259" s="337"/>
      <c r="G259" s="337"/>
      <c r="H259" s="337"/>
      <c r="I259" s="337"/>
      <c r="J259" s="337"/>
      <c r="K259" s="338"/>
      <c r="L259" s="339"/>
      <c r="M259" s="340"/>
      <c r="N259" s="340"/>
      <c r="O259" s="341"/>
      <c r="P259" s="340"/>
      <c r="Q259" s="341"/>
      <c r="R259" s="340"/>
      <c r="S259" s="341"/>
      <c r="T259" s="340"/>
      <c r="U259" s="341"/>
      <c r="V259" s="340"/>
      <c r="W259" s="341"/>
      <c r="X259" s="340"/>
      <c r="Y259" s="341"/>
      <c r="Z259" s="340"/>
      <c r="AA259" s="341"/>
      <c r="AB259" s="340"/>
      <c r="AC259" s="341"/>
      <c r="AD259" s="340"/>
      <c r="AE259" s="341"/>
      <c r="AF259" s="340"/>
      <c r="AG259" s="341"/>
      <c r="AH259" s="340"/>
      <c r="AI259" s="342"/>
      <c r="AJ259" s="343"/>
      <c r="AK259" s="340"/>
    </row>
    <row r="260" ht="15.75" customHeight="1">
      <c r="A260" s="332"/>
      <c r="B260" s="333"/>
      <c r="C260" s="334"/>
      <c r="D260" s="335"/>
      <c r="E260" s="336"/>
      <c r="F260" s="337"/>
      <c r="G260" s="337"/>
      <c r="H260" s="337"/>
      <c r="I260" s="337"/>
      <c r="J260" s="337"/>
      <c r="K260" s="338"/>
      <c r="L260" s="339"/>
      <c r="M260" s="340"/>
      <c r="N260" s="340"/>
      <c r="O260" s="341"/>
      <c r="P260" s="340"/>
      <c r="Q260" s="341"/>
      <c r="R260" s="340"/>
      <c r="S260" s="341"/>
      <c r="T260" s="340"/>
      <c r="U260" s="341"/>
      <c r="V260" s="340"/>
      <c r="W260" s="341"/>
      <c r="X260" s="340"/>
      <c r="Y260" s="341"/>
      <c r="Z260" s="340"/>
      <c r="AA260" s="341"/>
      <c r="AB260" s="340"/>
      <c r="AC260" s="341"/>
      <c r="AD260" s="340"/>
      <c r="AE260" s="341"/>
      <c r="AF260" s="340"/>
      <c r="AG260" s="341"/>
      <c r="AH260" s="340"/>
      <c r="AI260" s="342"/>
      <c r="AJ260" s="343"/>
      <c r="AK260" s="340"/>
    </row>
    <row r="261" ht="15.75" customHeight="1">
      <c r="A261" s="332"/>
      <c r="B261" s="333"/>
      <c r="C261" s="334"/>
      <c r="D261" s="335"/>
      <c r="E261" s="336"/>
      <c r="F261" s="337"/>
      <c r="G261" s="337"/>
      <c r="H261" s="337"/>
      <c r="I261" s="337"/>
      <c r="J261" s="337"/>
      <c r="K261" s="338"/>
      <c r="L261" s="339"/>
      <c r="M261" s="340"/>
      <c r="N261" s="340"/>
      <c r="O261" s="341"/>
      <c r="P261" s="340"/>
      <c r="Q261" s="341"/>
      <c r="R261" s="340"/>
      <c r="S261" s="341"/>
      <c r="T261" s="340"/>
      <c r="U261" s="341"/>
      <c r="V261" s="340"/>
      <c r="W261" s="341"/>
      <c r="X261" s="340"/>
      <c r="Y261" s="341"/>
      <c r="Z261" s="340"/>
      <c r="AA261" s="341"/>
      <c r="AB261" s="340"/>
      <c r="AC261" s="341"/>
      <c r="AD261" s="340"/>
      <c r="AE261" s="341"/>
      <c r="AF261" s="340"/>
      <c r="AG261" s="341"/>
      <c r="AH261" s="340"/>
      <c r="AI261" s="342"/>
      <c r="AJ261" s="343"/>
      <c r="AK261" s="340"/>
    </row>
    <row r="262" ht="15.75" customHeight="1">
      <c r="A262" s="332"/>
      <c r="B262" s="333"/>
      <c r="C262" s="334"/>
      <c r="D262" s="335"/>
      <c r="E262" s="336"/>
      <c r="F262" s="337"/>
      <c r="G262" s="337"/>
      <c r="H262" s="337"/>
      <c r="I262" s="337"/>
      <c r="J262" s="337"/>
      <c r="K262" s="338"/>
      <c r="L262" s="339"/>
      <c r="M262" s="340"/>
      <c r="N262" s="340"/>
      <c r="O262" s="341"/>
      <c r="P262" s="340"/>
      <c r="Q262" s="341"/>
      <c r="R262" s="340"/>
      <c r="S262" s="341"/>
      <c r="T262" s="340"/>
      <c r="U262" s="341"/>
      <c r="V262" s="340"/>
      <c r="W262" s="341"/>
      <c r="X262" s="340"/>
      <c r="Y262" s="341"/>
      <c r="Z262" s="340"/>
      <c r="AA262" s="341"/>
      <c r="AB262" s="340"/>
      <c r="AC262" s="341"/>
      <c r="AD262" s="340"/>
      <c r="AE262" s="341"/>
      <c r="AF262" s="340"/>
      <c r="AG262" s="341"/>
      <c r="AH262" s="340"/>
      <c r="AI262" s="342"/>
      <c r="AJ262" s="343"/>
      <c r="AK262" s="340"/>
    </row>
    <row r="263" ht="15.75" customHeight="1">
      <c r="A263" s="332"/>
      <c r="B263" s="333"/>
      <c r="C263" s="334"/>
      <c r="D263" s="335"/>
      <c r="E263" s="336"/>
      <c r="F263" s="337"/>
      <c r="G263" s="337"/>
      <c r="H263" s="337"/>
      <c r="I263" s="337"/>
      <c r="J263" s="337"/>
      <c r="K263" s="338"/>
      <c r="L263" s="339"/>
      <c r="M263" s="340"/>
      <c r="N263" s="340"/>
      <c r="O263" s="341"/>
      <c r="P263" s="340"/>
      <c r="Q263" s="341"/>
      <c r="R263" s="340"/>
      <c r="S263" s="341"/>
      <c r="T263" s="340"/>
      <c r="U263" s="341"/>
      <c r="V263" s="340"/>
      <c r="W263" s="341"/>
      <c r="X263" s="340"/>
      <c r="Y263" s="341"/>
      <c r="Z263" s="340"/>
      <c r="AA263" s="341"/>
      <c r="AB263" s="340"/>
      <c r="AC263" s="341"/>
      <c r="AD263" s="340"/>
      <c r="AE263" s="341"/>
      <c r="AF263" s="340"/>
      <c r="AG263" s="341"/>
      <c r="AH263" s="340"/>
      <c r="AI263" s="342"/>
      <c r="AJ263" s="343"/>
      <c r="AK263" s="340"/>
    </row>
    <row r="264" ht="15.75" customHeight="1">
      <c r="A264" s="332"/>
      <c r="B264" s="333"/>
      <c r="C264" s="334"/>
      <c r="D264" s="335"/>
      <c r="E264" s="336"/>
      <c r="F264" s="337"/>
      <c r="G264" s="337"/>
      <c r="H264" s="337"/>
      <c r="I264" s="337"/>
      <c r="J264" s="337"/>
      <c r="K264" s="338"/>
      <c r="L264" s="339"/>
      <c r="M264" s="340"/>
      <c r="N264" s="340"/>
      <c r="O264" s="341"/>
      <c r="P264" s="340"/>
      <c r="Q264" s="341"/>
      <c r="R264" s="340"/>
      <c r="S264" s="341"/>
      <c r="T264" s="340"/>
      <c r="U264" s="341"/>
      <c r="V264" s="340"/>
      <c r="W264" s="341"/>
      <c r="X264" s="340"/>
      <c r="Y264" s="341"/>
      <c r="Z264" s="340"/>
      <c r="AA264" s="341"/>
      <c r="AB264" s="340"/>
      <c r="AC264" s="341"/>
      <c r="AD264" s="340"/>
      <c r="AE264" s="341"/>
      <c r="AF264" s="340"/>
      <c r="AG264" s="341"/>
      <c r="AH264" s="340"/>
      <c r="AI264" s="342"/>
      <c r="AJ264" s="343"/>
      <c r="AK264" s="340"/>
    </row>
    <row r="265" ht="15.75" customHeight="1">
      <c r="A265" s="332"/>
      <c r="B265" s="333"/>
      <c r="C265" s="334"/>
      <c r="D265" s="335"/>
      <c r="E265" s="336"/>
      <c r="F265" s="337"/>
      <c r="G265" s="337"/>
      <c r="H265" s="337"/>
      <c r="I265" s="337"/>
      <c r="J265" s="337"/>
      <c r="K265" s="338"/>
      <c r="L265" s="339"/>
      <c r="M265" s="340"/>
      <c r="N265" s="340"/>
      <c r="O265" s="341"/>
      <c r="P265" s="340"/>
      <c r="Q265" s="341"/>
      <c r="R265" s="340"/>
      <c r="S265" s="341"/>
      <c r="T265" s="340"/>
      <c r="U265" s="341"/>
      <c r="V265" s="340"/>
      <c r="W265" s="341"/>
      <c r="X265" s="340"/>
      <c r="Y265" s="341"/>
      <c r="Z265" s="340"/>
      <c r="AA265" s="341"/>
      <c r="AB265" s="340"/>
      <c r="AC265" s="341"/>
      <c r="AD265" s="340"/>
      <c r="AE265" s="341"/>
      <c r="AF265" s="340"/>
      <c r="AG265" s="341"/>
      <c r="AH265" s="340"/>
      <c r="AI265" s="342"/>
      <c r="AJ265" s="343"/>
      <c r="AK265" s="340"/>
    </row>
    <row r="266" ht="15.75" customHeight="1">
      <c r="A266" s="332"/>
      <c r="B266" s="333"/>
      <c r="C266" s="334"/>
      <c r="D266" s="335"/>
      <c r="E266" s="336"/>
      <c r="F266" s="337"/>
      <c r="G266" s="337"/>
      <c r="H266" s="337"/>
      <c r="I266" s="337"/>
      <c r="J266" s="337"/>
      <c r="K266" s="338"/>
      <c r="L266" s="339"/>
      <c r="M266" s="340"/>
      <c r="N266" s="340"/>
      <c r="O266" s="341"/>
      <c r="P266" s="340"/>
      <c r="Q266" s="341"/>
      <c r="R266" s="340"/>
      <c r="S266" s="341"/>
      <c r="T266" s="340"/>
      <c r="U266" s="341"/>
      <c r="V266" s="340"/>
      <c r="W266" s="341"/>
      <c r="X266" s="340"/>
      <c r="Y266" s="341"/>
      <c r="Z266" s="340"/>
      <c r="AA266" s="341"/>
      <c r="AB266" s="340"/>
      <c r="AC266" s="341"/>
      <c r="AD266" s="340"/>
      <c r="AE266" s="341"/>
      <c r="AF266" s="340"/>
      <c r="AG266" s="341"/>
      <c r="AH266" s="340"/>
      <c r="AI266" s="342"/>
      <c r="AJ266" s="343"/>
      <c r="AK266" s="340"/>
    </row>
    <row r="267" ht="15.75" customHeight="1">
      <c r="A267" s="332"/>
      <c r="B267" s="333"/>
      <c r="C267" s="334"/>
      <c r="D267" s="335"/>
      <c r="E267" s="336"/>
      <c r="F267" s="337"/>
      <c r="G267" s="337"/>
      <c r="H267" s="337"/>
      <c r="I267" s="337"/>
      <c r="J267" s="337"/>
      <c r="K267" s="338"/>
      <c r="L267" s="339"/>
      <c r="M267" s="340"/>
      <c r="N267" s="340"/>
      <c r="O267" s="341"/>
      <c r="P267" s="340"/>
      <c r="Q267" s="341"/>
      <c r="R267" s="340"/>
      <c r="S267" s="341"/>
      <c r="T267" s="340"/>
      <c r="U267" s="341"/>
      <c r="V267" s="340"/>
      <c r="W267" s="341"/>
      <c r="X267" s="340"/>
      <c r="Y267" s="341"/>
      <c r="Z267" s="340"/>
      <c r="AA267" s="341"/>
      <c r="AB267" s="340"/>
      <c r="AC267" s="341"/>
      <c r="AD267" s="340"/>
      <c r="AE267" s="341"/>
      <c r="AF267" s="340"/>
      <c r="AG267" s="341"/>
      <c r="AH267" s="340"/>
      <c r="AI267" s="342"/>
      <c r="AJ267" s="343"/>
      <c r="AK267" s="340"/>
    </row>
    <row r="268" ht="15.75" customHeight="1">
      <c r="A268" s="332"/>
      <c r="B268" s="333"/>
      <c r="C268" s="334"/>
      <c r="D268" s="335"/>
      <c r="E268" s="336"/>
      <c r="F268" s="337"/>
      <c r="G268" s="337"/>
      <c r="H268" s="337"/>
      <c r="I268" s="337"/>
      <c r="J268" s="337"/>
      <c r="K268" s="338"/>
      <c r="L268" s="339"/>
      <c r="M268" s="340"/>
      <c r="N268" s="340"/>
      <c r="O268" s="341"/>
      <c r="P268" s="340"/>
      <c r="Q268" s="341"/>
      <c r="R268" s="340"/>
      <c r="S268" s="341"/>
      <c r="T268" s="340"/>
      <c r="U268" s="341"/>
      <c r="V268" s="340"/>
      <c r="W268" s="341"/>
      <c r="X268" s="340"/>
      <c r="Y268" s="341"/>
      <c r="Z268" s="340"/>
      <c r="AA268" s="341"/>
      <c r="AB268" s="340"/>
      <c r="AC268" s="341"/>
      <c r="AD268" s="340"/>
      <c r="AE268" s="341"/>
      <c r="AF268" s="340"/>
      <c r="AG268" s="341"/>
      <c r="AH268" s="340"/>
      <c r="AI268" s="342"/>
      <c r="AJ268" s="343"/>
      <c r="AK268" s="340"/>
    </row>
    <row r="269" ht="15.75" customHeight="1">
      <c r="A269" s="332"/>
      <c r="B269" s="333"/>
      <c r="C269" s="334"/>
      <c r="D269" s="335"/>
      <c r="E269" s="336"/>
      <c r="F269" s="337"/>
      <c r="G269" s="337"/>
      <c r="H269" s="337"/>
      <c r="I269" s="337"/>
      <c r="J269" s="337"/>
      <c r="K269" s="338"/>
      <c r="L269" s="339"/>
      <c r="M269" s="340"/>
      <c r="N269" s="340"/>
      <c r="O269" s="341"/>
      <c r="P269" s="340"/>
      <c r="Q269" s="341"/>
      <c r="R269" s="340"/>
      <c r="S269" s="341"/>
      <c r="T269" s="340"/>
      <c r="U269" s="341"/>
      <c r="V269" s="340"/>
      <c r="W269" s="341"/>
      <c r="X269" s="340"/>
      <c r="Y269" s="341"/>
      <c r="Z269" s="340"/>
      <c r="AA269" s="341"/>
      <c r="AB269" s="340"/>
      <c r="AC269" s="341"/>
      <c r="AD269" s="340"/>
      <c r="AE269" s="341"/>
      <c r="AF269" s="340"/>
      <c r="AG269" s="341"/>
      <c r="AH269" s="340"/>
      <c r="AI269" s="342"/>
      <c r="AJ269" s="343"/>
      <c r="AK269" s="340"/>
    </row>
    <row r="270" ht="15.75" customHeight="1">
      <c r="A270" s="332"/>
      <c r="B270" s="333"/>
      <c r="C270" s="334"/>
      <c r="D270" s="335"/>
      <c r="E270" s="336"/>
      <c r="F270" s="337"/>
      <c r="G270" s="337"/>
      <c r="H270" s="337"/>
      <c r="I270" s="337"/>
      <c r="J270" s="337"/>
      <c r="K270" s="338"/>
      <c r="L270" s="339"/>
      <c r="M270" s="340"/>
      <c r="N270" s="340"/>
      <c r="O270" s="341"/>
      <c r="P270" s="340"/>
      <c r="Q270" s="341"/>
      <c r="R270" s="340"/>
      <c r="S270" s="341"/>
      <c r="T270" s="340"/>
      <c r="U270" s="341"/>
      <c r="V270" s="340"/>
      <c r="W270" s="341"/>
      <c r="X270" s="340"/>
      <c r="Y270" s="341"/>
      <c r="Z270" s="340"/>
      <c r="AA270" s="341"/>
      <c r="AB270" s="340"/>
      <c r="AC270" s="341"/>
      <c r="AD270" s="340"/>
      <c r="AE270" s="341"/>
      <c r="AF270" s="340"/>
      <c r="AG270" s="341"/>
      <c r="AH270" s="340"/>
      <c r="AI270" s="342"/>
      <c r="AJ270" s="343"/>
      <c r="AK270" s="340"/>
    </row>
    <row r="271" ht="15.75" customHeight="1">
      <c r="A271" s="332"/>
      <c r="B271" s="333"/>
      <c r="C271" s="334"/>
      <c r="D271" s="335"/>
      <c r="E271" s="336"/>
      <c r="F271" s="337"/>
      <c r="G271" s="337"/>
      <c r="H271" s="337"/>
      <c r="I271" s="337"/>
      <c r="J271" s="337"/>
      <c r="K271" s="338"/>
      <c r="L271" s="339"/>
      <c r="M271" s="340"/>
      <c r="N271" s="340"/>
      <c r="O271" s="341"/>
      <c r="P271" s="340"/>
      <c r="Q271" s="341"/>
      <c r="R271" s="340"/>
      <c r="S271" s="341"/>
      <c r="T271" s="340"/>
      <c r="U271" s="341"/>
      <c r="V271" s="340"/>
      <c r="W271" s="341"/>
      <c r="X271" s="340"/>
      <c r="Y271" s="341"/>
      <c r="Z271" s="340"/>
      <c r="AA271" s="341"/>
      <c r="AB271" s="340"/>
      <c r="AC271" s="341"/>
      <c r="AD271" s="340"/>
      <c r="AE271" s="341"/>
      <c r="AF271" s="340"/>
      <c r="AG271" s="341"/>
      <c r="AH271" s="340"/>
      <c r="AI271" s="342"/>
      <c r="AJ271" s="343"/>
      <c r="AK271" s="340"/>
    </row>
    <row r="272" ht="15.75" customHeight="1">
      <c r="A272" s="332"/>
      <c r="B272" s="333"/>
      <c r="C272" s="334"/>
      <c r="D272" s="335"/>
      <c r="E272" s="336"/>
      <c r="F272" s="337"/>
      <c r="G272" s="337"/>
      <c r="H272" s="337"/>
      <c r="I272" s="337"/>
      <c r="J272" s="337"/>
      <c r="K272" s="338"/>
      <c r="L272" s="339"/>
      <c r="M272" s="340"/>
      <c r="N272" s="340"/>
      <c r="O272" s="341"/>
      <c r="P272" s="340"/>
      <c r="Q272" s="341"/>
      <c r="R272" s="340"/>
      <c r="S272" s="341"/>
      <c r="T272" s="340"/>
      <c r="U272" s="341"/>
      <c r="V272" s="340"/>
      <c r="W272" s="341"/>
      <c r="X272" s="340"/>
      <c r="Y272" s="341"/>
      <c r="Z272" s="340"/>
      <c r="AA272" s="341"/>
      <c r="AB272" s="340"/>
      <c r="AC272" s="341"/>
      <c r="AD272" s="340"/>
      <c r="AE272" s="341"/>
      <c r="AF272" s="340"/>
      <c r="AG272" s="341"/>
      <c r="AH272" s="340"/>
      <c r="AI272" s="342"/>
      <c r="AJ272" s="343"/>
      <c r="AK272" s="340"/>
    </row>
    <row r="273" ht="15.75" customHeight="1">
      <c r="A273" s="332"/>
      <c r="B273" s="333"/>
      <c r="C273" s="334"/>
      <c r="D273" s="335"/>
      <c r="E273" s="336"/>
      <c r="F273" s="337"/>
      <c r="G273" s="337"/>
      <c r="H273" s="337"/>
      <c r="I273" s="337"/>
      <c r="J273" s="337"/>
      <c r="K273" s="338"/>
      <c r="L273" s="339"/>
      <c r="M273" s="340"/>
      <c r="N273" s="340"/>
      <c r="O273" s="341"/>
      <c r="P273" s="340"/>
      <c r="Q273" s="341"/>
      <c r="R273" s="340"/>
      <c r="S273" s="341"/>
      <c r="T273" s="340"/>
      <c r="U273" s="341"/>
      <c r="V273" s="340"/>
      <c r="W273" s="341"/>
      <c r="X273" s="340"/>
      <c r="Y273" s="341"/>
      <c r="Z273" s="340"/>
      <c r="AA273" s="341"/>
      <c r="AB273" s="340"/>
      <c r="AC273" s="341"/>
      <c r="AD273" s="340"/>
      <c r="AE273" s="341"/>
      <c r="AF273" s="340"/>
      <c r="AG273" s="341"/>
      <c r="AH273" s="340"/>
      <c r="AI273" s="342"/>
      <c r="AJ273" s="343"/>
      <c r="AK273" s="340"/>
    </row>
    <row r="274" ht="15.75" customHeight="1">
      <c r="A274" s="332"/>
      <c r="B274" s="333"/>
      <c r="C274" s="334"/>
      <c r="D274" s="335"/>
      <c r="E274" s="336"/>
      <c r="F274" s="337"/>
      <c r="G274" s="337"/>
      <c r="H274" s="337"/>
      <c r="I274" s="337"/>
      <c r="J274" s="337"/>
      <c r="K274" s="338"/>
      <c r="L274" s="339"/>
      <c r="M274" s="340"/>
      <c r="N274" s="340"/>
      <c r="O274" s="341"/>
      <c r="P274" s="340"/>
      <c r="Q274" s="341"/>
      <c r="R274" s="340"/>
      <c r="S274" s="341"/>
      <c r="T274" s="340"/>
      <c r="U274" s="341"/>
      <c r="V274" s="340"/>
      <c r="W274" s="341"/>
      <c r="X274" s="340"/>
      <c r="Y274" s="341"/>
      <c r="Z274" s="340"/>
      <c r="AA274" s="341"/>
      <c r="AB274" s="340"/>
      <c r="AC274" s="341"/>
      <c r="AD274" s="340"/>
      <c r="AE274" s="341"/>
      <c r="AF274" s="340"/>
      <c r="AG274" s="341"/>
      <c r="AH274" s="340"/>
      <c r="AI274" s="342"/>
      <c r="AJ274" s="343"/>
      <c r="AK274" s="340"/>
    </row>
    <row r="275" ht="15.75" customHeight="1">
      <c r="A275" s="332"/>
      <c r="B275" s="333"/>
      <c r="C275" s="334"/>
      <c r="D275" s="335"/>
      <c r="E275" s="336"/>
      <c r="F275" s="337"/>
      <c r="G275" s="337"/>
      <c r="H275" s="337"/>
      <c r="I275" s="337"/>
      <c r="J275" s="337"/>
      <c r="K275" s="338"/>
      <c r="L275" s="339"/>
      <c r="M275" s="340"/>
      <c r="N275" s="340"/>
      <c r="O275" s="341"/>
      <c r="P275" s="340"/>
      <c r="Q275" s="341"/>
      <c r="R275" s="340"/>
      <c r="S275" s="341"/>
      <c r="T275" s="340"/>
      <c r="U275" s="341"/>
      <c r="V275" s="340"/>
      <c r="W275" s="341"/>
      <c r="X275" s="340"/>
      <c r="Y275" s="341"/>
      <c r="Z275" s="340"/>
      <c r="AA275" s="341"/>
      <c r="AB275" s="340"/>
      <c r="AC275" s="341"/>
      <c r="AD275" s="340"/>
      <c r="AE275" s="341"/>
      <c r="AF275" s="340"/>
      <c r="AG275" s="341"/>
      <c r="AH275" s="340"/>
      <c r="AI275" s="342"/>
      <c r="AJ275" s="343"/>
      <c r="AK275" s="340"/>
    </row>
    <row r="276" ht="15.75" customHeight="1">
      <c r="A276" s="332"/>
      <c r="B276" s="333"/>
      <c r="C276" s="334"/>
      <c r="D276" s="335"/>
      <c r="E276" s="336"/>
      <c r="F276" s="337"/>
      <c r="G276" s="337"/>
      <c r="H276" s="337"/>
      <c r="I276" s="337"/>
      <c r="J276" s="337"/>
      <c r="K276" s="338"/>
      <c r="L276" s="339"/>
      <c r="M276" s="340"/>
      <c r="N276" s="340"/>
      <c r="O276" s="341"/>
      <c r="P276" s="340"/>
      <c r="Q276" s="341"/>
      <c r="R276" s="340"/>
      <c r="S276" s="341"/>
      <c r="T276" s="340"/>
      <c r="U276" s="341"/>
      <c r="V276" s="340"/>
      <c r="W276" s="341"/>
      <c r="X276" s="340"/>
      <c r="Y276" s="341"/>
      <c r="Z276" s="340"/>
      <c r="AA276" s="341"/>
      <c r="AB276" s="340"/>
      <c r="AC276" s="341"/>
      <c r="AD276" s="340"/>
      <c r="AE276" s="341"/>
      <c r="AF276" s="340"/>
      <c r="AG276" s="341"/>
      <c r="AH276" s="340"/>
      <c r="AI276" s="342"/>
      <c r="AJ276" s="343"/>
      <c r="AK276" s="340"/>
    </row>
    <row r="277" ht="15.75" customHeight="1">
      <c r="A277" s="332"/>
      <c r="B277" s="333"/>
      <c r="C277" s="334"/>
      <c r="D277" s="335"/>
      <c r="E277" s="336"/>
      <c r="F277" s="337"/>
      <c r="G277" s="337"/>
      <c r="H277" s="337"/>
      <c r="I277" s="337"/>
      <c r="J277" s="337"/>
      <c r="K277" s="338"/>
      <c r="L277" s="339"/>
      <c r="M277" s="340"/>
      <c r="N277" s="340"/>
      <c r="O277" s="341"/>
      <c r="P277" s="340"/>
      <c r="Q277" s="341"/>
      <c r="R277" s="340"/>
      <c r="S277" s="341"/>
      <c r="T277" s="340"/>
      <c r="U277" s="341"/>
      <c r="V277" s="340"/>
      <c r="W277" s="341"/>
      <c r="X277" s="340"/>
      <c r="Y277" s="341"/>
      <c r="Z277" s="340"/>
      <c r="AA277" s="341"/>
      <c r="AB277" s="340"/>
      <c r="AC277" s="341"/>
      <c r="AD277" s="340"/>
      <c r="AE277" s="341"/>
      <c r="AF277" s="340"/>
      <c r="AG277" s="341"/>
      <c r="AH277" s="340"/>
      <c r="AI277" s="342"/>
      <c r="AJ277" s="343"/>
      <c r="AK277" s="340"/>
    </row>
    <row r="278" ht="15.75" customHeight="1">
      <c r="A278" s="332"/>
      <c r="B278" s="333"/>
      <c r="C278" s="334"/>
      <c r="D278" s="335"/>
      <c r="E278" s="336"/>
      <c r="F278" s="337"/>
      <c r="G278" s="337"/>
      <c r="H278" s="337"/>
      <c r="I278" s="337"/>
      <c r="J278" s="337"/>
      <c r="K278" s="338"/>
      <c r="L278" s="339"/>
      <c r="M278" s="340"/>
      <c r="N278" s="340"/>
      <c r="O278" s="341"/>
      <c r="P278" s="340"/>
      <c r="Q278" s="341"/>
      <c r="R278" s="340"/>
      <c r="S278" s="341"/>
      <c r="T278" s="340"/>
      <c r="U278" s="341"/>
      <c r="V278" s="340"/>
      <c r="W278" s="341"/>
      <c r="X278" s="340"/>
      <c r="Y278" s="341"/>
      <c r="Z278" s="340"/>
      <c r="AA278" s="341"/>
      <c r="AB278" s="340"/>
      <c r="AC278" s="341"/>
      <c r="AD278" s="340"/>
      <c r="AE278" s="341"/>
      <c r="AF278" s="340"/>
      <c r="AG278" s="341"/>
      <c r="AH278" s="340"/>
      <c r="AI278" s="342"/>
      <c r="AJ278" s="343"/>
      <c r="AK278" s="340"/>
    </row>
    <row r="279" ht="15.75" customHeight="1">
      <c r="A279" s="332"/>
      <c r="B279" s="333"/>
      <c r="C279" s="334"/>
      <c r="D279" s="335"/>
      <c r="E279" s="336"/>
      <c r="F279" s="337"/>
      <c r="G279" s="337"/>
      <c r="H279" s="337"/>
      <c r="I279" s="337"/>
      <c r="J279" s="337"/>
      <c r="K279" s="338"/>
      <c r="L279" s="339"/>
      <c r="M279" s="340"/>
      <c r="N279" s="340"/>
      <c r="O279" s="341"/>
      <c r="P279" s="340"/>
      <c r="Q279" s="341"/>
      <c r="R279" s="340"/>
      <c r="S279" s="341"/>
      <c r="T279" s="340"/>
      <c r="U279" s="341"/>
      <c r="V279" s="340"/>
      <c r="W279" s="341"/>
      <c r="X279" s="340"/>
      <c r="Y279" s="341"/>
      <c r="Z279" s="340"/>
      <c r="AA279" s="341"/>
      <c r="AB279" s="340"/>
      <c r="AC279" s="341"/>
      <c r="AD279" s="340"/>
      <c r="AE279" s="341"/>
      <c r="AF279" s="340"/>
      <c r="AG279" s="341"/>
      <c r="AH279" s="340"/>
      <c r="AI279" s="342"/>
      <c r="AJ279" s="343"/>
      <c r="AK279" s="340"/>
    </row>
    <row r="280" ht="15.75" customHeight="1">
      <c r="A280" s="332"/>
      <c r="B280" s="333"/>
      <c r="C280" s="334"/>
      <c r="D280" s="335"/>
      <c r="E280" s="336"/>
      <c r="F280" s="337"/>
      <c r="G280" s="337"/>
      <c r="H280" s="337"/>
      <c r="I280" s="337"/>
      <c r="J280" s="337"/>
      <c r="K280" s="338"/>
      <c r="L280" s="339"/>
      <c r="M280" s="340"/>
      <c r="N280" s="340"/>
      <c r="O280" s="341"/>
      <c r="P280" s="340"/>
      <c r="Q280" s="341"/>
      <c r="R280" s="340"/>
      <c r="S280" s="341"/>
      <c r="T280" s="340"/>
      <c r="U280" s="341"/>
      <c r="V280" s="340"/>
      <c r="W280" s="341"/>
      <c r="X280" s="340"/>
      <c r="Y280" s="341"/>
      <c r="Z280" s="340"/>
      <c r="AA280" s="341"/>
      <c r="AB280" s="340"/>
      <c r="AC280" s="341"/>
      <c r="AD280" s="340"/>
      <c r="AE280" s="341"/>
      <c r="AF280" s="340"/>
      <c r="AG280" s="341"/>
      <c r="AH280" s="340"/>
      <c r="AI280" s="342"/>
      <c r="AJ280" s="343"/>
      <c r="AK280" s="340"/>
    </row>
    <row r="281" ht="15.75" customHeight="1">
      <c r="A281" s="332"/>
      <c r="B281" s="333"/>
      <c r="C281" s="334"/>
      <c r="D281" s="335"/>
      <c r="E281" s="336"/>
      <c r="F281" s="337"/>
      <c r="G281" s="337"/>
      <c r="H281" s="337"/>
      <c r="I281" s="337"/>
      <c r="J281" s="337"/>
      <c r="K281" s="338"/>
      <c r="L281" s="339"/>
      <c r="M281" s="340"/>
      <c r="N281" s="340"/>
      <c r="O281" s="341"/>
      <c r="P281" s="340"/>
      <c r="Q281" s="341"/>
      <c r="R281" s="340"/>
      <c r="S281" s="341"/>
      <c r="T281" s="340"/>
      <c r="U281" s="341"/>
      <c r="V281" s="340"/>
      <c r="W281" s="341"/>
      <c r="X281" s="340"/>
      <c r="Y281" s="341"/>
      <c r="Z281" s="340"/>
      <c r="AA281" s="341"/>
      <c r="AB281" s="340"/>
      <c r="AC281" s="341"/>
      <c r="AD281" s="340"/>
      <c r="AE281" s="341"/>
      <c r="AF281" s="340"/>
      <c r="AG281" s="341"/>
      <c r="AH281" s="340"/>
      <c r="AI281" s="342"/>
      <c r="AJ281" s="343"/>
      <c r="AK281" s="340"/>
    </row>
    <row r="282" ht="15.75" customHeight="1">
      <c r="A282" s="332"/>
      <c r="B282" s="333"/>
      <c r="C282" s="334"/>
      <c r="D282" s="335"/>
      <c r="E282" s="336"/>
      <c r="F282" s="337"/>
      <c r="G282" s="337"/>
      <c r="H282" s="337"/>
      <c r="I282" s="337"/>
      <c r="J282" s="337"/>
      <c r="K282" s="338"/>
      <c r="L282" s="339"/>
      <c r="M282" s="340"/>
      <c r="N282" s="340"/>
      <c r="O282" s="341"/>
      <c r="P282" s="340"/>
      <c r="Q282" s="341"/>
      <c r="R282" s="340"/>
      <c r="S282" s="341"/>
      <c r="T282" s="340"/>
      <c r="U282" s="341"/>
      <c r="V282" s="340"/>
      <c r="W282" s="341"/>
      <c r="X282" s="340"/>
      <c r="Y282" s="341"/>
      <c r="Z282" s="340"/>
      <c r="AA282" s="341"/>
      <c r="AB282" s="340"/>
      <c r="AC282" s="341"/>
      <c r="AD282" s="340"/>
      <c r="AE282" s="341"/>
      <c r="AF282" s="340"/>
      <c r="AG282" s="341"/>
      <c r="AH282" s="340"/>
      <c r="AI282" s="342"/>
      <c r="AJ282" s="343"/>
      <c r="AK282" s="340"/>
    </row>
    <row r="283" ht="15.75" customHeight="1">
      <c r="A283" s="332"/>
      <c r="B283" s="333"/>
      <c r="C283" s="334"/>
      <c r="D283" s="335"/>
      <c r="E283" s="336"/>
      <c r="F283" s="337"/>
      <c r="G283" s="337"/>
      <c r="H283" s="337"/>
      <c r="I283" s="337"/>
      <c r="J283" s="337"/>
      <c r="K283" s="338"/>
      <c r="L283" s="339"/>
      <c r="M283" s="340"/>
      <c r="N283" s="340"/>
      <c r="O283" s="341"/>
      <c r="P283" s="340"/>
      <c r="Q283" s="341"/>
      <c r="R283" s="340"/>
      <c r="S283" s="341"/>
      <c r="T283" s="340"/>
      <c r="U283" s="341"/>
      <c r="V283" s="340"/>
      <c r="W283" s="341"/>
      <c r="X283" s="340"/>
      <c r="Y283" s="341"/>
      <c r="Z283" s="340"/>
      <c r="AA283" s="341"/>
      <c r="AB283" s="340"/>
      <c r="AC283" s="341"/>
      <c r="AD283" s="340"/>
      <c r="AE283" s="341"/>
      <c r="AF283" s="340"/>
      <c r="AG283" s="341"/>
      <c r="AH283" s="340"/>
      <c r="AI283" s="342"/>
      <c r="AJ283" s="343"/>
      <c r="AK283" s="340"/>
    </row>
    <row r="284" ht="15.75" customHeight="1">
      <c r="A284" s="332"/>
      <c r="B284" s="333"/>
      <c r="C284" s="334"/>
      <c r="D284" s="335"/>
      <c r="E284" s="336"/>
      <c r="F284" s="337"/>
      <c r="G284" s="337"/>
      <c r="H284" s="337"/>
      <c r="I284" s="337"/>
      <c r="J284" s="337"/>
      <c r="K284" s="338"/>
      <c r="L284" s="339"/>
      <c r="M284" s="340"/>
      <c r="N284" s="340"/>
      <c r="O284" s="341"/>
      <c r="P284" s="340"/>
      <c r="Q284" s="341"/>
      <c r="R284" s="340"/>
      <c r="S284" s="341"/>
      <c r="T284" s="340"/>
      <c r="U284" s="341"/>
      <c r="V284" s="340"/>
      <c r="W284" s="341"/>
      <c r="X284" s="340"/>
      <c r="Y284" s="341"/>
      <c r="Z284" s="340"/>
      <c r="AA284" s="341"/>
      <c r="AB284" s="340"/>
      <c r="AC284" s="341"/>
      <c r="AD284" s="340"/>
      <c r="AE284" s="341"/>
      <c r="AF284" s="340"/>
      <c r="AG284" s="341"/>
      <c r="AH284" s="340"/>
      <c r="AI284" s="342"/>
      <c r="AJ284" s="343"/>
      <c r="AK284" s="340"/>
    </row>
    <row r="285" ht="15.75" customHeight="1">
      <c r="A285" s="332"/>
      <c r="B285" s="333"/>
      <c r="C285" s="334"/>
      <c r="D285" s="335"/>
      <c r="E285" s="336"/>
      <c r="F285" s="337"/>
      <c r="G285" s="337"/>
      <c r="H285" s="337"/>
      <c r="I285" s="337"/>
      <c r="J285" s="337"/>
      <c r="K285" s="338"/>
      <c r="L285" s="339"/>
      <c r="M285" s="340"/>
      <c r="N285" s="340"/>
      <c r="O285" s="341"/>
      <c r="P285" s="340"/>
      <c r="Q285" s="341"/>
      <c r="R285" s="340"/>
      <c r="S285" s="341"/>
      <c r="T285" s="340"/>
      <c r="U285" s="341"/>
      <c r="V285" s="340"/>
      <c r="W285" s="341"/>
      <c r="X285" s="340"/>
      <c r="Y285" s="341"/>
      <c r="Z285" s="340"/>
      <c r="AA285" s="341"/>
      <c r="AB285" s="340"/>
      <c r="AC285" s="341"/>
      <c r="AD285" s="340"/>
      <c r="AE285" s="341"/>
      <c r="AF285" s="340"/>
      <c r="AG285" s="341"/>
      <c r="AH285" s="340"/>
      <c r="AI285" s="342"/>
      <c r="AJ285" s="343"/>
      <c r="AK285" s="340"/>
    </row>
    <row r="286" ht="15.75" customHeight="1">
      <c r="A286" s="332"/>
      <c r="B286" s="333"/>
      <c r="C286" s="334"/>
      <c r="D286" s="335"/>
      <c r="E286" s="336"/>
      <c r="F286" s="337"/>
      <c r="G286" s="337"/>
      <c r="H286" s="337"/>
      <c r="I286" s="337"/>
      <c r="J286" s="337"/>
      <c r="K286" s="338"/>
      <c r="L286" s="339"/>
      <c r="M286" s="340"/>
      <c r="N286" s="340"/>
      <c r="O286" s="341"/>
      <c r="P286" s="340"/>
      <c r="Q286" s="341"/>
      <c r="R286" s="340"/>
      <c r="S286" s="341"/>
      <c r="T286" s="340"/>
      <c r="U286" s="341"/>
      <c r="V286" s="340"/>
      <c r="W286" s="341"/>
      <c r="X286" s="340"/>
      <c r="Y286" s="341"/>
      <c r="Z286" s="340"/>
      <c r="AA286" s="341"/>
      <c r="AB286" s="340"/>
      <c r="AC286" s="341"/>
      <c r="AD286" s="340"/>
      <c r="AE286" s="341"/>
      <c r="AF286" s="340"/>
      <c r="AG286" s="341"/>
      <c r="AH286" s="340"/>
      <c r="AI286" s="342"/>
      <c r="AJ286" s="343"/>
      <c r="AK286" s="340"/>
    </row>
    <row r="287" ht="15.75" customHeight="1">
      <c r="A287" s="332"/>
      <c r="B287" s="333"/>
      <c r="C287" s="334"/>
      <c r="D287" s="335"/>
      <c r="E287" s="336"/>
      <c r="F287" s="337"/>
      <c r="G287" s="337"/>
      <c r="H287" s="337"/>
      <c r="I287" s="337"/>
      <c r="J287" s="337"/>
      <c r="K287" s="338"/>
      <c r="L287" s="339"/>
      <c r="M287" s="340"/>
      <c r="N287" s="340"/>
      <c r="O287" s="341"/>
      <c r="P287" s="340"/>
      <c r="Q287" s="341"/>
      <c r="R287" s="340"/>
      <c r="S287" s="341"/>
      <c r="T287" s="340"/>
      <c r="U287" s="341"/>
      <c r="V287" s="340"/>
      <c r="W287" s="341"/>
      <c r="X287" s="340"/>
      <c r="Y287" s="341"/>
      <c r="Z287" s="340"/>
      <c r="AA287" s="341"/>
      <c r="AB287" s="340"/>
      <c r="AC287" s="341"/>
      <c r="AD287" s="340"/>
      <c r="AE287" s="341"/>
      <c r="AF287" s="340"/>
      <c r="AG287" s="341"/>
      <c r="AH287" s="340"/>
      <c r="AI287" s="342"/>
      <c r="AJ287" s="343"/>
      <c r="AK287" s="340"/>
    </row>
    <row r="288" ht="15.75" customHeight="1">
      <c r="A288" s="332"/>
      <c r="B288" s="333"/>
      <c r="C288" s="334"/>
      <c r="D288" s="335"/>
      <c r="E288" s="336"/>
      <c r="F288" s="337"/>
      <c r="G288" s="337"/>
      <c r="H288" s="337"/>
      <c r="I288" s="337"/>
      <c r="J288" s="337"/>
      <c r="K288" s="338"/>
      <c r="L288" s="339"/>
      <c r="M288" s="340"/>
      <c r="N288" s="340"/>
      <c r="O288" s="341"/>
      <c r="P288" s="340"/>
      <c r="Q288" s="341"/>
      <c r="R288" s="340"/>
      <c r="S288" s="341"/>
      <c r="T288" s="340"/>
      <c r="U288" s="341"/>
      <c r="V288" s="340"/>
      <c r="W288" s="341"/>
      <c r="X288" s="340"/>
      <c r="Y288" s="341"/>
      <c r="Z288" s="340"/>
      <c r="AA288" s="341"/>
      <c r="AB288" s="340"/>
      <c r="AC288" s="341"/>
      <c r="AD288" s="340"/>
      <c r="AE288" s="341"/>
      <c r="AF288" s="340"/>
      <c r="AG288" s="341"/>
      <c r="AH288" s="340"/>
      <c r="AI288" s="342"/>
      <c r="AJ288" s="343"/>
      <c r="AK288" s="340"/>
    </row>
    <row r="289" ht="15.75" customHeight="1">
      <c r="A289" s="332"/>
      <c r="B289" s="333"/>
      <c r="C289" s="334"/>
      <c r="D289" s="335"/>
      <c r="E289" s="336"/>
      <c r="F289" s="337"/>
      <c r="G289" s="337"/>
      <c r="H289" s="337"/>
      <c r="I289" s="337"/>
      <c r="J289" s="337"/>
      <c r="K289" s="338"/>
      <c r="L289" s="339"/>
      <c r="M289" s="340"/>
      <c r="N289" s="340"/>
      <c r="O289" s="341"/>
      <c r="P289" s="340"/>
      <c r="Q289" s="341"/>
      <c r="R289" s="340"/>
      <c r="S289" s="341"/>
      <c r="T289" s="340"/>
      <c r="U289" s="341"/>
      <c r="V289" s="340"/>
      <c r="W289" s="341"/>
      <c r="X289" s="340"/>
      <c r="Y289" s="341"/>
      <c r="Z289" s="340"/>
      <c r="AA289" s="341"/>
      <c r="AB289" s="340"/>
      <c r="AC289" s="341"/>
      <c r="AD289" s="340"/>
      <c r="AE289" s="341"/>
      <c r="AF289" s="340"/>
      <c r="AG289" s="341"/>
      <c r="AH289" s="340"/>
      <c r="AI289" s="342"/>
      <c r="AJ289" s="343"/>
      <c r="AK289" s="340"/>
    </row>
    <row r="290" ht="15.75" customHeight="1">
      <c r="A290" s="332"/>
      <c r="B290" s="333"/>
      <c r="C290" s="334"/>
      <c r="D290" s="335"/>
      <c r="E290" s="336"/>
      <c r="F290" s="337"/>
      <c r="G290" s="337"/>
      <c r="H290" s="337"/>
      <c r="I290" s="337"/>
      <c r="J290" s="337"/>
      <c r="K290" s="338"/>
      <c r="L290" s="339"/>
      <c r="M290" s="340"/>
      <c r="N290" s="340"/>
      <c r="O290" s="341"/>
      <c r="P290" s="340"/>
      <c r="Q290" s="341"/>
      <c r="R290" s="340"/>
      <c r="S290" s="341"/>
      <c r="T290" s="340"/>
      <c r="U290" s="341"/>
      <c r="V290" s="340"/>
      <c r="W290" s="341"/>
      <c r="X290" s="340"/>
      <c r="Y290" s="341"/>
      <c r="Z290" s="340"/>
      <c r="AA290" s="341"/>
      <c r="AB290" s="340"/>
      <c r="AC290" s="341"/>
      <c r="AD290" s="340"/>
      <c r="AE290" s="341"/>
      <c r="AF290" s="340"/>
      <c r="AG290" s="341"/>
      <c r="AH290" s="340"/>
      <c r="AI290" s="342"/>
      <c r="AJ290" s="343"/>
      <c r="AK290" s="340"/>
    </row>
    <row r="291" ht="15.75" customHeight="1">
      <c r="A291" s="332"/>
      <c r="B291" s="333"/>
      <c r="C291" s="334"/>
      <c r="D291" s="335"/>
      <c r="E291" s="336"/>
      <c r="F291" s="337"/>
      <c r="G291" s="337"/>
      <c r="H291" s="337"/>
      <c r="I291" s="337"/>
      <c r="J291" s="337"/>
      <c r="K291" s="338"/>
      <c r="L291" s="339"/>
      <c r="M291" s="340"/>
      <c r="N291" s="340"/>
      <c r="O291" s="341"/>
      <c r="P291" s="340"/>
      <c r="Q291" s="341"/>
      <c r="R291" s="340"/>
      <c r="S291" s="341"/>
      <c r="T291" s="340"/>
      <c r="U291" s="341"/>
      <c r="V291" s="340"/>
      <c r="W291" s="341"/>
      <c r="X291" s="340"/>
      <c r="Y291" s="341"/>
      <c r="Z291" s="340"/>
      <c r="AA291" s="341"/>
      <c r="AB291" s="340"/>
      <c r="AC291" s="341"/>
      <c r="AD291" s="340"/>
      <c r="AE291" s="341"/>
      <c r="AF291" s="340"/>
      <c r="AG291" s="341"/>
      <c r="AH291" s="340"/>
      <c r="AI291" s="342"/>
      <c r="AJ291" s="343"/>
      <c r="AK291" s="340"/>
    </row>
    <row r="292" ht="15.75" customHeight="1">
      <c r="A292" s="332"/>
      <c r="B292" s="333"/>
      <c r="C292" s="334"/>
      <c r="D292" s="335"/>
      <c r="E292" s="336"/>
      <c r="F292" s="337"/>
      <c r="G292" s="337"/>
      <c r="H292" s="337"/>
      <c r="I292" s="337"/>
      <c r="J292" s="337"/>
      <c r="K292" s="338"/>
      <c r="L292" s="339"/>
      <c r="M292" s="340"/>
      <c r="N292" s="340"/>
      <c r="O292" s="341"/>
      <c r="P292" s="340"/>
      <c r="Q292" s="341"/>
      <c r="R292" s="340"/>
      <c r="S292" s="341"/>
      <c r="T292" s="340"/>
      <c r="U292" s="341"/>
      <c r="V292" s="340"/>
      <c r="W292" s="341"/>
      <c r="X292" s="340"/>
      <c r="Y292" s="341"/>
      <c r="Z292" s="340"/>
      <c r="AA292" s="341"/>
      <c r="AB292" s="340"/>
      <c r="AC292" s="341"/>
      <c r="AD292" s="340"/>
      <c r="AE292" s="341"/>
      <c r="AF292" s="340"/>
      <c r="AG292" s="341"/>
      <c r="AH292" s="340"/>
      <c r="AI292" s="342"/>
      <c r="AJ292" s="343"/>
      <c r="AK292" s="340"/>
    </row>
    <row r="293" ht="15.75" customHeight="1">
      <c r="A293" s="332"/>
      <c r="B293" s="333"/>
      <c r="C293" s="334"/>
      <c r="D293" s="335"/>
      <c r="E293" s="336"/>
      <c r="F293" s="337"/>
      <c r="G293" s="337"/>
      <c r="H293" s="337"/>
      <c r="I293" s="337"/>
      <c r="J293" s="337"/>
      <c r="K293" s="338"/>
      <c r="L293" s="339"/>
      <c r="M293" s="340"/>
      <c r="N293" s="340"/>
      <c r="O293" s="341"/>
      <c r="P293" s="340"/>
      <c r="Q293" s="341"/>
      <c r="R293" s="340"/>
      <c r="S293" s="341"/>
      <c r="T293" s="340"/>
      <c r="U293" s="341"/>
      <c r="V293" s="340"/>
      <c r="W293" s="341"/>
      <c r="X293" s="340"/>
      <c r="Y293" s="341"/>
      <c r="Z293" s="340"/>
      <c r="AA293" s="341"/>
      <c r="AB293" s="340"/>
      <c r="AC293" s="341"/>
      <c r="AD293" s="340"/>
      <c r="AE293" s="341"/>
      <c r="AF293" s="340"/>
      <c r="AG293" s="341"/>
      <c r="AH293" s="340"/>
      <c r="AI293" s="342"/>
      <c r="AJ293" s="343"/>
      <c r="AK293" s="340"/>
    </row>
    <row r="294" ht="15.75" customHeight="1">
      <c r="A294" s="332"/>
      <c r="B294" s="333"/>
      <c r="C294" s="334"/>
      <c r="D294" s="335"/>
      <c r="E294" s="336"/>
      <c r="F294" s="337"/>
      <c r="G294" s="337"/>
      <c r="H294" s="337"/>
      <c r="I294" s="337"/>
      <c r="J294" s="337"/>
      <c r="K294" s="338"/>
      <c r="L294" s="339"/>
      <c r="M294" s="340"/>
      <c r="N294" s="340"/>
      <c r="O294" s="341"/>
      <c r="P294" s="340"/>
      <c r="Q294" s="341"/>
      <c r="R294" s="340"/>
      <c r="S294" s="341"/>
      <c r="T294" s="340"/>
      <c r="U294" s="341"/>
      <c r="V294" s="340"/>
      <c r="W294" s="341"/>
      <c r="X294" s="340"/>
      <c r="Y294" s="341"/>
      <c r="Z294" s="340"/>
      <c r="AA294" s="341"/>
      <c r="AB294" s="340"/>
      <c r="AC294" s="341"/>
      <c r="AD294" s="340"/>
      <c r="AE294" s="341"/>
      <c r="AF294" s="340"/>
      <c r="AG294" s="341"/>
      <c r="AH294" s="340"/>
      <c r="AI294" s="342"/>
      <c r="AJ294" s="343"/>
      <c r="AK294" s="340"/>
    </row>
    <row r="295" ht="15.75" customHeight="1">
      <c r="A295" s="332"/>
      <c r="B295" s="333"/>
      <c r="C295" s="334"/>
      <c r="D295" s="335"/>
      <c r="E295" s="336"/>
      <c r="F295" s="337"/>
      <c r="G295" s="337"/>
      <c r="H295" s="337"/>
      <c r="I295" s="337"/>
      <c r="J295" s="337"/>
      <c r="K295" s="338"/>
      <c r="L295" s="339"/>
      <c r="M295" s="340"/>
      <c r="N295" s="340"/>
      <c r="O295" s="341"/>
      <c r="P295" s="340"/>
      <c r="Q295" s="341"/>
      <c r="R295" s="340"/>
      <c r="S295" s="341"/>
      <c r="T295" s="340"/>
      <c r="U295" s="341"/>
      <c r="V295" s="340"/>
      <c r="W295" s="341"/>
      <c r="X295" s="340"/>
      <c r="Y295" s="341"/>
      <c r="Z295" s="340"/>
      <c r="AA295" s="341"/>
      <c r="AB295" s="340"/>
      <c r="AC295" s="341"/>
      <c r="AD295" s="340"/>
      <c r="AE295" s="341"/>
      <c r="AF295" s="340"/>
      <c r="AG295" s="341"/>
      <c r="AH295" s="340"/>
      <c r="AI295" s="342"/>
      <c r="AJ295" s="343"/>
      <c r="AK295" s="340"/>
    </row>
    <row r="296" ht="15.75" customHeight="1">
      <c r="A296" s="332"/>
      <c r="B296" s="333"/>
      <c r="C296" s="334"/>
      <c r="D296" s="335"/>
      <c r="E296" s="336"/>
      <c r="F296" s="337"/>
      <c r="G296" s="337"/>
      <c r="H296" s="337"/>
      <c r="I296" s="337"/>
      <c r="J296" s="337"/>
      <c r="K296" s="338"/>
      <c r="L296" s="339"/>
      <c r="M296" s="340"/>
      <c r="N296" s="340"/>
      <c r="O296" s="341"/>
      <c r="P296" s="340"/>
      <c r="Q296" s="341"/>
      <c r="R296" s="340"/>
      <c r="S296" s="341"/>
      <c r="T296" s="340"/>
      <c r="U296" s="341"/>
      <c r="V296" s="340"/>
      <c r="W296" s="341"/>
      <c r="X296" s="340"/>
      <c r="Y296" s="341"/>
      <c r="Z296" s="340"/>
      <c r="AA296" s="341"/>
      <c r="AB296" s="340"/>
      <c r="AC296" s="341"/>
      <c r="AD296" s="340"/>
      <c r="AE296" s="341"/>
      <c r="AF296" s="340"/>
      <c r="AG296" s="341"/>
      <c r="AH296" s="340"/>
      <c r="AI296" s="342"/>
      <c r="AJ296" s="343"/>
      <c r="AK296" s="340"/>
    </row>
    <row r="297" ht="15.75" customHeight="1">
      <c r="A297" s="332"/>
      <c r="B297" s="333"/>
      <c r="C297" s="334"/>
      <c r="D297" s="335"/>
      <c r="E297" s="336"/>
      <c r="F297" s="337"/>
      <c r="G297" s="337"/>
      <c r="H297" s="337"/>
      <c r="I297" s="337"/>
      <c r="J297" s="337"/>
      <c r="K297" s="338"/>
      <c r="L297" s="339"/>
      <c r="M297" s="340"/>
      <c r="N297" s="340"/>
      <c r="O297" s="341"/>
      <c r="P297" s="340"/>
      <c r="Q297" s="341"/>
      <c r="R297" s="340"/>
      <c r="S297" s="341"/>
      <c r="T297" s="340"/>
      <c r="U297" s="341"/>
      <c r="V297" s="340"/>
      <c r="W297" s="341"/>
      <c r="X297" s="340"/>
      <c r="Y297" s="341"/>
      <c r="Z297" s="340"/>
      <c r="AA297" s="341"/>
      <c r="AB297" s="340"/>
      <c r="AC297" s="341"/>
      <c r="AD297" s="340"/>
      <c r="AE297" s="341"/>
      <c r="AF297" s="340"/>
      <c r="AG297" s="341"/>
      <c r="AH297" s="340"/>
      <c r="AI297" s="342"/>
      <c r="AJ297" s="343"/>
      <c r="AK297" s="340"/>
    </row>
    <row r="298" ht="15.75" customHeight="1">
      <c r="A298" s="332"/>
      <c r="B298" s="333"/>
      <c r="C298" s="334"/>
      <c r="D298" s="335"/>
      <c r="E298" s="336"/>
      <c r="F298" s="337"/>
      <c r="G298" s="337"/>
      <c r="H298" s="337"/>
      <c r="I298" s="337"/>
      <c r="J298" s="337"/>
      <c r="K298" s="338"/>
      <c r="L298" s="339"/>
      <c r="M298" s="340"/>
      <c r="N298" s="340"/>
      <c r="O298" s="341"/>
      <c r="P298" s="340"/>
      <c r="Q298" s="341"/>
      <c r="R298" s="340"/>
      <c r="S298" s="341"/>
      <c r="T298" s="340"/>
      <c r="U298" s="341"/>
      <c r="V298" s="340"/>
      <c r="W298" s="341"/>
      <c r="X298" s="340"/>
      <c r="Y298" s="341"/>
      <c r="Z298" s="340"/>
      <c r="AA298" s="341"/>
      <c r="AB298" s="340"/>
      <c r="AC298" s="341"/>
      <c r="AD298" s="340"/>
      <c r="AE298" s="341"/>
      <c r="AF298" s="340"/>
      <c r="AG298" s="341"/>
      <c r="AH298" s="340"/>
      <c r="AI298" s="342"/>
      <c r="AJ298" s="343"/>
      <c r="AK298" s="340"/>
    </row>
    <row r="299" ht="15.75" customHeight="1">
      <c r="A299" s="332"/>
      <c r="B299" s="333"/>
      <c r="C299" s="334"/>
      <c r="D299" s="335"/>
      <c r="E299" s="336"/>
      <c r="F299" s="337"/>
      <c r="G299" s="337"/>
      <c r="H299" s="337"/>
      <c r="I299" s="337"/>
      <c r="J299" s="337"/>
      <c r="K299" s="338"/>
      <c r="L299" s="339"/>
      <c r="M299" s="340"/>
      <c r="N299" s="340"/>
      <c r="O299" s="341"/>
      <c r="P299" s="340"/>
      <c r="Q299" s="341"/>
      <c r="R299" s="340"/>
      <c r="S299" s="341"/>
      <c r="T299" s="340"/>
      <c r="U299" s="341"/>
      <c r="V299" s="340"/>
      <c r="W299" s="341"/>
      <c r="X299" s="340"/>
      <c r="Y299" s="341"/>
      <c r="Z299" s="340"/>
      <c r="AA299" s="341"/>
      <c r="AB299" s="340"/>
      <c r="AC299" s="341"/>
      <c r="AD299" s="340"/>
      <c r="AE299" s="341"/>
      <c r="AF299" s="340"/>
      <c r="AG299" s="341"/>
      <c r="AH299" s="340"/>
      <c r="AI299" s="342"/>
      <c r="AJ299" s="343"/>
      <c r="AK299" s="340"/>
    </row>
    <row r="300" ht="15.75" customHeight="1">
      <c r="A300" s="332"/>
      <c r="B300" s="333"/>
      <c r="C300" s="334"/>
      <c r="D300" s="335"/>
      <c r="E300" s="336"/>
      <c r="F300" s="337"/>
      <c r="G300" s="337"/>
      <c r="H300" s="337"/>
      <c r="I300" s="337"/>
      <c r="J300" s="337"/>
      <c r="K300" s="338"/>
      <c r="L300" s="339"/>
      <c r="M300" s="340"/>
      <c r="N300" s="340"/>
      <c r="O300" s="341"/>
      <c r="P300" s="340"/>
      <c r="Q300" s="341"/>
      <c r="R300" s="340"/>
      <c r="S300" s="341"/>
      <c r="T300" s="340"/>
      <c r="U300" s="341"/>
      <c r="V300" s="340"/>
      <c r="W300" s="341"/>
      <c r="X300" s="340"/>
      <c r="Y300" s="341"/>
      <c r="Z300" s="340"/>
      <c r="AA300" s="341"/>
      <c r="AB300" s="340"/>
      <c r="AC300" s="341"/>
      <c r="AD300" s="340"/>
      <c r="AE300" s="341"/>
      <c r="AF300" s="340"/>
      <c r="AG300" s="341"/>
      <c r="AH300" s="340"/>
      <c r="AI300" s="342"/>
      <c r="AJ300" s="343"/>
      <c r="AK300" s="340"/>
    </row>
    <row r="301" ht="15.75" customHeight="1">
      <c r="A301" s="332"/>
      <c r="B301" s="333"/>
      <c r="C301" s="334"/>
      <c r="D301" s="335"/>
      <c r="E301" s="336"/>
      <c r="F301" s="337"/>
      <c r="G301" s="337"/>
      <c r="H301" s="337"/>
      <c r="I301" s="337"/>
      <c r="J301" s="337"/>
      <c r="K301" s="338"/>
      <c r="L301" s="339"/>
      <c r="M301" s="340"/>
      <c r="N301" s="340"/>
      <c r="O301" s="341"/>
      <c r="P301" s="340"/>
      <c r="Q301" s="341"/>
      <c r="R301" s="340"/>
      <c r="S301" s="341"/>
      <c r="T301" s="340"/>
      <c r="U301" s="341"/>
      <c r="V301" s="340"/>
      <c r="W301" s="341"/>
      <c r="X301" s="340"/>
      <c r="Y301" s="341"/>
      <c r="Z301" s="340"/>
      <c r="AA301" s="341"/>
      <c r="AB301" s="340"/>
      <c r="AC301" s="341"/>
      <c r="AD301" s="340"/>
      <c r="AE301" s="341"/>
      <c r="AF301" s="340"/>
      <c r="AG301" s="341"/>
      <c r="AH301" s="340"/>
      <c r="AI301" s="342"/>
      <c r="AJ301" s="343"/>
      <c r="AK301" s="340"/>
    </row>
    <row r="302" ht="15.75" customHeight="1">
      <c r="A302" s="332"/>
      <c r="B302" s="333"/>
      <c r="C302" s="334"/>
      <c r="D302" s="335"/>
      <c r="E302" s="336"/>
      <c r="F302" s="337"/>
      <c r="G302" s="337"/>
      <c r="H302" s="337"/>
      <c r="I302" s="337"/>
      <c r="J302" s="337"/>
      <c r="K302" s="338"/>
      <c r="L302" s="339"/>
      <c r="M302" s="340"/>
      <c r="N302" s="340"/>
      <c r="O302" s="341"/>
      <c r="P302" s="340"/>
      <c r="Q302" s="341"/>
      <c r="R302" s="340"/>
      <c r="S302" s="341"/>
      <c r="T302" s="340"/>
      <c r="U302" s="341"/>
      <c r="V302" s="340"/>
      <c r="W302" s="341"/>
      <c r="X302" s="340"/>
      <c r="Y302" s="341"/>
      <c r="Z302" s="340"/>
      <c r="AA302" s="341"/>
      <c r="AB302" s="340"/>
      <c r="AC302" s="341"/>
      <c r="AD302" s="340"/>
      <c r="AE302" s="341"/>
      <c r="AF302" s="340"/>
      <c r="AG302" s="341"/>
      <c r="AH302" s="340"/>
      <c r="AI302" s="342"/>
      <c r="AJ302" s="343"/>
      <c r="AK302" s="340"/>
    </row>
    <row r="303" ht="15.75" customHeight="1">
      <c r="A303" s="332"/>
      <c r="B303" s="333"/>
      <c r="C303" s="334"/>
      <c r="D303" s="335"/>
      <c r="E303" s="336"/>
      <c r="F303" s="337"/>
      <c r="G303" s="337"/>
      <c r="H303" s="337"/>
      <c r="I303" s="337"/>
      <c r="J303" s="337"/>
      <c r="K303" s="338"/>
      <c r="L303" s="339"/>
      <c r="M303" s="340"/>
      <c r="N303" s="340"/>
      <c r="O303" s="341"/>
      <c r="P303" s="340"/>
      <c r="Q303" s="341"/>
      <c r="R303" s="340"/>
      <c r="S303" s="341"/>
      <c r="T303" s="340"/>
      <c r="U303" s="341"/>
      <c r="V303" s="340"/>
      <c r="W303" s="341"/>
      <c r="X303" s="340"/>
      <c r="Y303" s="341"/>
      <c r="Z303" s="340"/>
      <c r="AA303" s="341"/>
      <c r="AB303" s="340"/>
      <c r="AC303" s="341"/>
      <c r="AD303" s="340"/>
      <c r="AE303" s="341"/>
      <c r="AF303" s="340"/>
      <c r="AG303" s="341"/>
      <c r="AH303" s="340"/>
      <c r="AI303" s="342"/>
      <c r="AJ303" s="343"/>
      <c r="AK303" s="340"/>
    </row>
    <row r="304" ht="15.75" customHeight="1">
      <c r="A304" s="332"/>
      <c r="B304" s="333"/>
      <c r="C304" s="334"/>
      <c r="D304" s="335"/>
      <c r="E304" s="336"/>
      <c r="F304" s="337"/>
      <c r="G304" s="337"/>
      <c r="H304" s="337"/>
      <c r="I304" s="337"/>
      <c r="J304" s="337"/>
      <c r="K304" s="338"/>
      <c r="L304" s="339"/>
      <c r="M304" s="340"/>
      <c r="N304" s="340"/>
      <c r="O304" s="341"/>
      <c r="P304" s="340"/>
      <c r="Q304" s="341"/>
      <c r="R304" s="340"/>
      <c r="S304" s="341"/>
      <c r="T304" s="340"/>
      <c r="U304" s="341"/>
      <c r="V304" s="340"/>
      <c r="W304" s="341"/>
      <c r="X304" s="340"/>
      <c r="Y304" s="341"/>
      <c r="Z304" s="340"/>
      <c r="AA304" s="341"/>
      <c r="AB304" s="340"/>
      <c r="AC304" s="341"/>
      <c r="AD304" s="340"/>
      <c r="AE304" s="341"/>
      <c r="AF304" s="340"/>
      <c r="AG304" s="341"/>
      <c r="AH304" s="340"/>
      <c r="AI304" s="342"/>
      <c r="AJ304" s="343"/>
      <c r="AK304" s="340"/>
    </row>
    <row r="305" ht="15.75" customHeight="1">
      <c r="A305" s="332"/>
      <c r="B305" s="333"/>
      <c r="C305" s="334"/>
      <c r="D305" s="335"/>
      <c r="E305" s="336"/>
      <c r="F305" s="337"/>
      <c r="G305" s="337"/>
      <c r="H305" s="337"/>
      <c r="I305" s="337"/>
      <c r="J305" s="337"/>
      <c r="K305" s="338"/>
      <c r="L305" s="339"/>
      <c r="M305" s="340"/>
      <c r="N305" s="340"/>
      <c r="O305" s="341"/>
      <c r="P305" s="340"/>
      <c r="Q305" s="341"/>
      <c r="R305" s="340"/>
      <c r="S305" s="341"/>
      <c r="T305" s="340"/>
      <c r="U305" s="341"/>
      <c r="V305" s="340"/>
      <c r="W305" s="341"/>
      <c r="X305" s="340"/>
      <c r="Y305" s="341"/>
      <c r="Z305" s="340"/>
      <c r="AA305" s="341"/>
      <c r="AB305" s="340"/>
      <c r="AC305" s="341"/>
      <c r="AD305" s="340"/>
      <c r="AE305" s="341"/>
      <c r="AF305" s="340"/>
      <c r="AG305" s="341"/>
      <c r="AH305" s="340"/>
      <c r="AI305" s="342"/>
      <c r="AJ305" s="343"/>
      <c r="AK305" s="340"/>
    </row>
    <row r="306" ht="15.75" customHeight="1">
      <c r="A306" s="332"/>
      <c r="B306" s="333"/>
      <c r="C306" s="334"/>
      <c r="D306" s="335"/>
      <c r="E306" s="336"/>
      <c r="F306" s="337"/>
      <c r="G306" s="337"/>
      <c r="H306" s="337"/>
      <c r="I306" s="337"/>
      <c r="J306" s="337"/>
      <c r="K306" s="338"/>
      <c r="L306" s="339"/>
      <c r="M306" s="340"/>
      <c r="N306" s="340"/>
      <c r="O306" s="341"/>
      <c r="P306" s="340"/>
      <c r="Q306" s="341"/>
      <c r="R306" s="340"/>
      <c r="S306" s="341"/>
      <c r="T306" s="340"/>
      <c r="U306" s="341"/>
      <c r="V306" s="340"/>
      <c r="W306" s="341"/>
      <c r="X306" s="340"/>
      <c r="Y306" s="341"/>
      <c r="Z306" s="340"/>
      <c r="AA306" s="341"/>
      <c r="AB306" s="340"/>
      <c r="AC306" s="341"/>
      <c r="AD306" s="340"/>
      <c r="AE306" s="341"/>
      <c r="AF306" s="340"/>
      <c r="AG306" s="341"/>
      <c r="AH306" s="340"/>
      <c r="AI306" s="342"/>
      <c r="AJ306" s="343"/>
      <c r="AK306" s="340"/>
    </row>
    <row r="307" ht="15.75" customHeight="1">
      <c r="A307" s="332"/>
      <c r="B307" s="333"/>
      <c r="C307" s="334"/>
      <c r="D307" s="335"/>
      <c r="E307" s="336"/>
      <c r="F307" s="337"/>
      <c r="G307" s="337"/>
      <c r="H307" s="337"/>
      <c r="I307" s="337"/>
      <c r="J307" s="337"/>
      <c r="K307" s="338"/>
      <c r="L307" s="339"/>
      <c r="M307" s="340"/>
      <c r="N307" s="340"/>
      <c r="O307" s="341"/>
      <c r="P307" s="340"/>
      <c r="Q307" s="341"/>
      <c r="R307" s="340"/>
      <c r="S307" s="341"/>
      <c r="T307" s="340"/>
      <c r="U307" s="341"/>
      <c r="V307" s="340"/>
      <c r="W307" s="341"/>
      <c r="X307" s="340"/>
      <c r="Y307" s="341"/>
      <c r="Z307" s="340"/>
      <c r="AA307" s="341"/>
      <c r="AB307" s="340"/>
      <c r="AC307" s="341"/>
      <c r="AD307" s="340"/>
      <c r="AE307" s="341"/>
      <c r="AF307" s="340"/>
      <c r="AG307" s="341"/>
      <c r="AH307" s="340"/>
      <c r="AI307" s="342"/>
      <c r="AJ307" s="343"/>
      <c r="AK307" s="340"/>
    </row>
    <row r="308" ht="15.75" customHeight="1">
      <c r="A308" s="332"/>
      <c r="B308" s="333"/>
      <c r="C308" s="334"/>
      <c r="D308" s="335"/>
      <c r="E308" s="336"/>
      <c r="F308" s="337"/>
      <c r="G308" s="337"/>
      <c r="H308" s="337"/>
      <c r="I308" s="337"/>
      <c r="J308" s="337"/>
      <c r="K308" s="338"/>
      <c r="L308" s="339"/>
      <c r="M308" s="340"/>
      <c r="N308" s="340"/>
      <c r="O308" s="341"/>
      <c r="P308" s="340"/>
      <c r="Q308" s="341"/>
      <c r="R308" s="340"/>
      <c r="S308" s="341"/>
      <c r="T308" s="340"/>
      <c r="U308" s="341"/>
      <c r="V308" s="340"/>
      <c r="W308" s="341"/>
      <c r="X308" s="340"/>
      <c r="Y308" s="341"/>
      <c r="Z308" s="340"/>
      <c r="AA308" s="341"/>
      <c r="AB308" s="340"/>
      <c r="AC308" s="341"/>
      <c r="AD308" s="340"/>
      <c r="AE308" s="341"/>
      <c r="AF308" s="340"/>
      <c r="AG308" s="341"/>
      <c r="AH308" s="340"/>
      <c r="AI308" s="342"/>
      <c r="AJ308" s="343"/>
      <c r="AK308" s="340"/>
    </row>
    <row r="309" ht="15.75" customHeight="1">
      <c r="A309" s="332"/>
      <c r="B309" s="333"/>
      <c r="C309" s="334"/>
      <c r="D309" s="335"/>
      <c r="E309" s="336"/>
      <c r="F309" s="337"/>
      <c r="G309" s="337"/>
      <c r="H309" s="337"/>
      <c r="I309" s="337"/>
      <c r="J309" s="337"/>
      <c r="K309" s="338"/>
      <c r="L309" s="339"/>
      <c r="M309" s="340"/>
      <c r="N309" s="340"/>
      <c r="O309" s="341"/>
      <c r="P309" s="340"/>
      <c r="Q309" s="341"/>
      <c r="R309" s="340"/>
      <c r="S309" s="341"/>
      <c r="T309" s="340"/>
      <c r="U309" s="341"/>
      <c r="V309" s="340"/>
      <c r="W309" s="341"/>
      <c r="X309" s="340"/>
      <c r="Y309" s="341"/>
      <c r="Z309" s="340"/>
      <c r="AA309" s="341"/>
      <c r="AB309" s="340"/>
      <c r="AC309" s="341"/>
      <c r="AD309" s="340"/>
      <c r="AE309" s="341"/>
      <c r="AF309" s="340"/>
      <c r="AG309" s="341"/>
      <c r="AH309" s="340"/>
      <c r="AI309" s="342"/>
      <c r="AJ309" s="343"/>
      <c r="AK309" s="340"/>
    </row>
    <row r="310" ht="15.75" customHeight="1">
      <c r="A310" s="332"/>
      <c r="B310" s="333"/>
      <c r="C310" s="334"/>
      <c r="D310" s="335"/>
      <c r="E310" s="336"/>
      <c r="F310" s="337"/>
      <c r="G310" s="337"/>
      <c r="H310" s="337"/>
      <c r="I310" s="337"/>
      <c r="J310" s="337"/>
      <c r="K310" s="338"/>
      <c r="L310" s="339"/>
      <c r="M310" s="340"/>
      <c r="N310" s="340"/>
      <c r="O310" s="341"/>
      <c r="P310" s="340"/>
      <c r="Q310" s="341"/>
      <c r="R310" s="340"/>
      <c r="S310" s="341"/>
      <c r="T310" s="340"/>
      <c r="U310" s="341"/>
      <c r="V310" s="340"/>
      <c r="W310" s="341"/>
      <c r="X310" s="340"/>
      <c r="Y310" s="341"/>
      <c r="Z310" s="340"/>
      <c r="AA310" s="341"/>
      <c r="AB310" s="340"/>
      <c r="AC310" s="341"/>
      <c r="AD310" s="340"/>
      <c r="AE310" s="341"/>
      <c r="AF310" s="340"/>
      <c r="AG310" s="341"/>
      <c r="AH310" s="340"/>
      <c r="AI310" s="342"/>
      <c r="AJ310" s="343"/>
      <c r="AK310" s="340"/>
    </row>
    <row r="311" ht="15.75" customHeight="1">
      <c r="A311" s="332"/>
      <c r="B311" s="333"/>
      <c r="C311" s="334"/>
      <c r="D311" s="335"/>
      <c r="E311" s="336"/>
      <c r="F311" s="337"/>
      <c r="G311" s="337"/>
      <c r="H311" s="337"/>
      <c r="I311" s="337"/>
      <c r="J311" s="337"/>
      <c r="K311" s="338"/>
      <c r="L311" s="339"/>
      <c r="M311" s="340"/>
      <c r="N311" s="340"/>
      <c r="O311" s="341"/>
      <c r="P311" s="340"/>
      <c r="Q311" s="341"/>
      <c r="R311" s="340"/>
      <c r="S311" s="341"/>
      <c r="T311" s="340"/>
      <c r="U311" s="341"/>
      <c r="V311" s="340"/>
      <c r="W311" s="341"/>
      <c r="X311" s="340"/>
      <c r="Y311" s="341"/>
      <c r="Z311" s="340"/>
      <c r="AA311" s="341"/>
      <c r="AB311" s="340"/>
      <c r="AC311" s="341"/>
      <c r="AD311" s="340"/>
      <c r="AE311" s="341"/>
      <c r="AF311" s="340"/>
      <c r="AG311" s="341"/>
      <c r="AH311" s="340"/>
      <c r="AI311" s="342"/>
      <c r="AJ311" s="343"/>
      <c r="AK311" s="340"/>
    </row>
    <row r="312" ht="15.75" customHeight="1">
      <c r="A312" s="332"/>
      <c r="B312" s="333"/>
      <c r="C312" s="334"/>
      <c r="D312" s="335"/>
      <c r="E312" s="336"/>
      <c r="F312" s="337"/>
      <c r="G312" s="337"/>
      <c r="H312" s="337"/>
      <c r="I312" s="337"/>
      <c r="J312" s="337"/>
      <c r="K312" s="338"/>
      <c r="L312" s="339"/>
      <c r="M312" s="340"/>
      <c r="N312" s="340"/>
      <c r="O312" s="341"/>
      <c r="P312" s="340"/>
      <c r="Q312" s="341"/>
      <c r="R312" s="340"/>
      <c r="S312" s="341"/>
      <c r="T312" s="340"/>
      <c r="U312" s="341"/>
      <c r="V312" s="340"/>
      <c r="W312" s="341"/>
      <c r="X312" s="340"/>
      <c r="Y312" s="341"/>
      <c r="Z312" s="340"/>
      <c r="AA312" s="341"/>
      <c r="AB312" s="340"/>
      <c r="AC312" s="341"/>
      <c r="AD312" s="340"/>
      <c r="AE312" s="341"/>
      <c r="AF312" s="340"/>
      <c r="AG312" s="341"/>
      <c r="AH312" s="340"/>
      <c r="AI312" s="342"/>
      <c r="AJ312" s="343"/>
      <c r="AK312" s="340"/>
    </row>
    <row r="313" ht="15.75" customHeight="1">
      <c r="A313" s="332"/>
      <c r="B313" s="333"/>
      <c r="C313" s="334"/>
      <c r="D313" s="335"/>
      <c r="E313" s="336"/>
      <c r="F313" s="337"/>
      <c r="G313" s="337"/>
      <c r="H313" s="337"/>
      <c r="I313" s="337"/>
      <c r="J313" s="337"/>
      <c r="K313" s="338"/>
      <c r="L313" s="339"/>
      <c r="M313" s="340"/>
      <c r="N313" s="340"/>
      <c r="O313" s="341"/>
      <c r="P313" s="340"/>
      <c r="Q313" s="341"/>
      <c r="R313" s="340"/>
      <c r="S313" s="341"/>
      <c r="T313" s="340"/>
      <c r="U313" s="341"/>
      <c r="V313" s="340"/>
      <c r="W313" s="341"/>
      <c r="X313" s="340"/>
      <c r="Y313" s="341"/>
      <c r="Z313" s="340"/>
      <c r="AA313" s="341"/>
      <c r="AB313" s="340"/>
      <c r="AC313" s="341"/>
      <c r="AD313" s="340"/>
      <c r="AE313" s="341"/>
      <c r="AF313" s="340"/>
      <c r="AG313" s="341"/>
      <c r="AH313" s="340"/>
      <c r="AI313" s="342"/>
      <c r="AJ313" s="343"/>
      <c r="AK313" s="340"/>
    </row>
    <row r="314" ht="15.75" customHeight="1">
      <c r="A314" s="332"/>
      <c r="B314" s="333"/>
      <c r="C314" s="334"/>
      <c r="D314" s="335"/>
      <c r="E314" s="336"/>
      <c r="F314" s="337"/>
      <c r="G314" s="337"/>
      <c r="H314" s="337"/>
      <c r="I314" s="337"/>
      <c r="J314" s="337"/>
      <c r="K314" s="338"/>
      <c r="L314" s="339"/>
      <c r="M314" s="340"/>
      <c r="N314" s="340"/>
      <c r="O314" s="341"/>
      <c r="P314" s="340"/>
      <c r="Q314" s="341"/>
      <c r="R314" s="340"/>
      <c r="S314" s="341"/>
      <c r="T314" s="340"/>
      <c r="U314" s="341"/>
      <c r="V314" s="340"/>
      <c r="W314" s="341"/>
      <c r="X314" s="340"/>
      <c r="Y314" s="341"/>
      <c r="Z314" s="340"/>
      <c r="AA314" s="341"/>
      <c r="AB314" s="340"/>
      <c r="AC314" s="341"/>
      <c r="AD314" s="340"/>
      <c r="AE314" s="341"/>
      <c r="AF314" s="340"/>
      <c r="AG314" s="341"/>
      <c r="AH314" s="340"/>
      <c r="AI314" s="342"/>
      <c r="AJ314" s="343"/>
      <c r="AK314" s="340"/>
    </row>
    <row r="315" ht="15.75" customHeight="1">
      <c r="A315" s="332"/>
      <c r="B315" s="333"/>
      <c r="C315" s="334"/>
      <c r="D315" s="335"/>
      <c r="E315" s="336"/>
      <c r="F315" s="337"/>
      <c r="G315" s="337"/>
      <c r="H315" s="337"/>
      <c r="I315" s="337"/>
      <c r="J315" s="337"/>
      <c r="K315" s="338"/>
      <c r="L315" s="339"/>
      <c r="M315" s="340"/>
      <c r="N315" s="340"/>
      <c r="O315" s="341"/>
      <c r="P315" s="340"/>
      <c r="Q315" s="341"/>
      <c r="R315" s="340"/>
      <c r="S315" s="341"/>
      <c r="T315" s="340"/>
      <c r="U315" s="341"/>
      <c r="V315" s="340"/>
      <c r="W315" s="341"/>
      <c r="X315" s="340"/>
      <c r="Y315" s="341"/>
      <c r="Z315" s="340"/>
      <c r="AA315" s="341"/>
      <c r="AB315" s="340"/>
      <c r="AC315" s="341"/>
      <c r="AD315" s="340"/>
      <c r="AE315" s="341"/>
      <c r="AF315" s="340"/>
      <c r="AG315" s="341"/>
      <c r="AH315" s="340"/>
      <c r="AI315" s="342"/>
      <c r="AJ315" s="343"/>
      <c r="AK315" s="340"/>
    </row>
    <row r="316" ht="15.75" customHeight="1">
      <c r="A316" s="332"/>
      <c r="B316" s="333"/>
      <c r="C316" s="334"/>
      <c r="D316" s="335"/>
      <c r="E316" s="336"/>
      <c r="F316" s="337"/>
      <c r="G316" s="337"/>
      <c r="H316" s="337"/>
      <c r="I316" s="337"/>
      <c r="J316" s="337"/>
      <c r="K316" s="338"/>
      <c r="L316" s="339"/>
      <c r="M316" s="340"/>
      <c r="N316" s="340"/>
      <c r="O316" s="341"/>
      <c r="P316" s="340"/>
      <c r="Q316" s="341"/>
      <c r="R316" s="340"/>
      <c r="S316" s="341"/>
      <c r="T316" s="340"/>
      <c r="U316" s="341"/>
      <c r="V316" s="340"/>
      <c r="W316" s="341"/>
      <c r="X316" s="340"/>
      <c r="Y316" s="341"/>
      <c r="Z316" s="340"/>
      <c r="AA316" s="341"/>
      <c r="AB316" s="340"/>
      <c r="AC316" s="341"/>
      <c r="AD316" s="340"/>
      <c r="AE316" s="341"/>
      <c r="AF316" s="340"/>
      <c r="AG316" s="341"/>
      <c r="AH316" s="340"/>
      <c r="AI316" s="342"/>
      <c r="AJ316" s="343"/>
      <c r="AK316" s="340"/>
    </row>
    <row r="317" ht="15.75" customHeight="1">
      <c r="A317" s="332"/>
      <c r="B317" s="333"/>
      <c r="C317" s="334"/>
      <c r="D317" s="335"/>
      <c r="E317" s="336"/>
      <c r="F317" s="337"/>
      <c r="G317" s="337"/>
      <c r="H317" s="337"/>
      <c r="I317" s="337"/>
      <c r="J317" s="337"/>
      <c r="K317" s="338"/>
      <c r="L317" s="339"/>
      <c r="M317" s="340"/>
      <c r="N317" s="340"/>
      <c r="O317" s="341"/>
      <c r="P317" s="340"/>
      <c r="Q317" s="341"/>
      <c r="R317" s="340"/>
      <c r="S317" s="341"/>
      <c r="T317" s="340"/>
      <c r="U317" s="341"/>
      <c r="V317" s="340"/>
      <c r="W317" s="341"/>
      <c r="X317" s="340"/>
      <c r="Y317" s="341"/>
      <c r="Z317" s="340"/>
      <c r="AA317" s="341"/>
      <c r="AB317" s="340"/>
      <c r="AC317" s="341"/>
      <c r="AD317" s="340"/>
      <c r="AE317" s="341"/>
      <c r="AF317" s="340"/>
      <c r="AG317" s="341"/>
      <c r="AH317" s="340"/>
      <c r="AI317" s="342"/>
      <c r="AJ317" s="343"/>
      <c r="AK317" s="340"/>
    </row>
    <row r="318" ht="15.75" customHeight="1">
      <c r="A318" s="332"/>
      <c r="B318" s="333"/>
      <c r="C318" s="334"/>
      <c r="D318" s="335"/>
      <c r="E318" s="336"/>
      <c r="F318" s="337"/>
      <c r="G318" s="337"/>
      <c r="H318" s="337"/>
      <c r="I318" s="337"/>
      <c r="J318" s="337"/>
      <c r="K318" s="338"/>
      <c r="L318" s="339"/>
      <c r="M318" s="340"/>
      <c r="N318" s="340"/>
      <c r="O318" s="341"/>
      <c r="P318" s="340"/>
      <c r="Q318" s="341"/>
      <c r="R318" s="340"/>
      <c r="S318" s="341"/>
      <c r="T318" s="340"/>
      <c r="U318" s="341"/>
      <c r="V318" s="340"/>
      <c r="W318" s="341"/>
      <c r="X318" s="340"/>
      <c r="Y318" s="341"/>
      <c r="Z318" s="340"/>
      <c r="AA318" s="341"/>
      <c r="AB318" s="340"/>
      <c r="AC318" s="341"/>
      <c r="AD318" s="340"/>
      <c r="AE318" s="341"/>
      <c r="AF318" s="340"/>
      <c r="AG318" s="341"/>
      <c r="AH318" s="340"/>
      <c r="AI318" s="342"/>
      <c r="AJ318" s="343"/>
      <c r="AK318" s="340"/>
    </row>
    <row r="319" ht="15.75" customHeight="1">
      <c r="A319" s="332"/>
      <c r="B319" s="333"/>
      <c r="C319" s="334"/>
      <c r="D319" s="335"/>
      <c r="E319" s="336"/>
      <c r="F319" s="337"/>
      <c r="G319" s="337"/>
      <c r="H319" s="337"/>
      <c r="I319" s="337"/>
      <c r="J319" s="337"/>
      <c r="K319" s="338"/>
      <c r="L319" s="339"/>
      <c r="M319" s="340"/>
      <c r="N319" s="340"/>
      <c r="O319" s="341"/>
      <c r="P319" s="340"/>
      <c r="Q319" s="341"/>
      <c r="R319" s="340"/>
      <c r="S319" s="341"/>
      <c r="T319" s="340"/>
      <c r="U319" s="341"/>
      <c r="V319" s="340"/>
      <c r="W319" s="341"/>
      <c r="X319" s="340"/>
      <c r="Y319" s="341"/>
      <c r="Z319" s="340"/>
      <c r="AA319" s="341"/>
      <c r="AB319" s="340"/>
      <c r="AC319" s="341"/>
      <c r="AD319" s="340"/>
      <c r="AE319" s="341"/>
      <c r="AF319" s="340"/>
      <c r="AG319" s="341"/>
      <c r="AH319" s="340"/>
      <c r="AI319" s="342"/>
      <c r="AJ319" s="343"/>
      <c r="AK319" s="340"/>
    </row>
    <row r="320" ht="15.75" customHeight="1">
      <c r="A320" s="332"/>
      <c r="B320" s="333"/>
      <c r="C320" s="334"/>
      <c r="D320" s="335"/>
      <c r="E320" s="336"/>
      <c r="F320" s="337"/>
      <c r="G320" s="337"/>
      <c r="H320" s="337"/>
      <c r="I320" s="337"/>
      <c r="J320" s="337"/>
      <c r="K320" s="338"/>
      <c r="L320" s="339"/>
      <c r="M320" s="340"/>
      <c r="N320" s="340"/>
      <c r="O320" s="341"/>
      <c r="P320" s="340"/>
      <c r="Q320" s="341"/>
      <c r="R320" s="340"/>
      <c r="S320" s="341"/>
      <c r="T320" s="340"/>
      <c r="U320" s="341"/>
      <c r="V320" s="340"/>
      <c r="W320" s="341"/>
      <c r="X320" s="340"/>
      <c r="Y320" s="341"/>
      <c r="Z320" s="340"/>
      <c r="AA320" s="341"/>
      <c r="AB320" s="340"/>
      <c r="AC320" s="341"/>
      <c r="AD320" s="340"/>
      <c r="AE320" s="341"/>
      <c r="AF320" s="340"/>
      <c r="AG320" s="341"/>
      <c r="AH320" s="340"/>
      <c r="AI320" s="342"/>
      <c r="AJ320" s="343"/>
      <c r="AK320" s="340"/>
    </row>
    <row r="321" ht="15.75" customHeight="1">
      <c r="A321" s="332"/>
      <c r="B321" s="333"/>
      <c r="C321" s="334"/>
      <c r="D321" s="335"/>
      <c r="E321" s="336"/>
      <c r="F321" s="337"/>
      <c r="G321" s="337"/>
      <c r="H321" s="337"/>
      <c r="I321" s="337"/>
      <c r="J321" s="337"/>
      <c r="K321" s="338"/>
      <c r="L321" s="339"/>
      <c r="M321" s="340"/>
      <c r="N321" s="340"/>
      <c r="O321" s="341"/>
      <c r="P321" s="340"/>
      <c r="Q321" s="341"/>
      <c r="R321" s="340"/>
      <c r="S321" s="341"/>
      <c r="T321" s="340"/>
      <c r="U321" s="341"/>
      <c r="V321" s="340"/>
      <c r="W321" s="341"/>
      <c r="X321" s="340"/>
      <c r="Y321" s="341"/>
      <c r="Z321" s="340"/>
      <c r="AA321" s="341"/>
      <c r="AB321" s="340"/>
      <c r="AC321" s="341"/>
      <c r="AD321" s="340"/>
      <c r="AE321" s="341"/>
      <c r="AF321" s="340"/>
      <c r="AG321" s="341"/>
      <c r="AH321" s="340"/>
      <c r="AI321" s="342"/>
      <c r="AJ321" s="343"/>
      <c r="AK321" s="340"/>
    </row>
    <row r="322" ht="15.75" customHeight="1">
      <c r="A322" s="332"/>
      <c r="B322" s="333"/>
      <c r="C322" s="334"/>
      <c r="D322" s="335"/>
      <c r="E322" s="336"/>
      <c r="F322" s="337"/>
      <c r="G322" s="337"/>
      <c r="H322" s="337"/>
      <c r="I322" s="337"/>
      <c r="J322" s="337"/>
      <c r="K322" s="338"/>
      <c r="L322" s="339"/>
      <c r="M322" s="340"/>
      <c r="N322" s="340"/>
      <c r="O322" s="341"/>
      <c r="P322" s="340"/>
      <c r="Q322" s="341"/>
      <c r="R322" s="340"/>
      <c r="S322" s="341"/>
      <c r="T322" s="340"/>
      <c r="U322" s="341"/>
      <c r="V322" s="340"/>
      <c r="W322" s="341"/>
      <c r="X322" s="340"/>
      <c r="Y322" s="341"/>
      <c r="Z322" s="340"/>
      <c r="AA322" s="341"/>
      <c r="AB322" s="340"/>
      <c r="AC322" s="341"/>
      <c r="AD322" s="340"/>
      <c r="AE322" s="341"/>
      <c r="AF322" s="340"/>
      <c r="AG322" s="341"/>
      <c r="AH322" s="340"/>
      <c r="AI322" s="342"/>
      <c r="AJ322" s="343"/>
      <c r="AK322" s="340"/>
    </row>
    <row r="323" ht="15.75" customHeight="1">
      <c r="A323" s="332"/>
      <c r="B323" s="333"/>
      <c r="C323" s="334"/>
      <c r="D323" s="335"/>
      <c r="E323" s="336"/>
      <c r="F323" s="337"/>
      <c r="G323" s="337"/>
      <c r="H323" s="337"/>
      <c r="I323" s="337"/>
      <c r="J323" s="337"/>
      <c r="K323" s="338"/>
      <c r="L323" s="339"/>
      <c r="M323" s="340"/>
      <c r="N323" s="340"/>
      <c r="O323" s="341"/>
      <c r="P323" s="340"/>
      <c r="Q323" s="341"/>
      <c r="R323" s="340"/>
      <c r="S323" s="341"/>
      <c r="T323" s="340"/>
      <c r="U323" s="341"/>
      <c r="V323" s="340"/>
      <c r="W323" s="341"/>
      <c r="X323" s="340"/>
      <c r="Y323" s="341"/>
      <c r="Z323" s="340"/>
      <c r="AA323" s="341"/>
      <c r="AB323" s="340"/>
      <c r="AC323" s="341"/>
      <c r="AD323" s="340"/>
      <c r="AE323" s="341"/>
      <c r="AF323" s="340"/>
      <c r="AG323" s="341"/>
      <c r="AH323" s="340"/>
      <c r="AI323" s="342"/>
      <c r="AJ323" s="343"/>
      <c r="AK323" s="340"/>
    </row>
    <row r="324" ht="15.75" customHeight="1">
      <c r="A324" s="332"/>
      <c r="B324" s="333"/>
      <c r="C324" s="334"/>
      <c r="D324" s="335"/>
      <c r="E324" s="336"/>
      <c r="F324" s="337"/>
      <c r="G324" s="337"/>
      <c r="H324" s="337"/>
      <c r="I324" s="337"/>
      <c r="J324" s="337"/>
      <c r="K324" s="338"/>
      <c r="L324" s="339"/>
      <c r="M324" s="340"/>
      <c r="N324" s="340"/>
      <c r="O324" s="341"/>
      <c r="P324" s="340"/>
      <c r="Q324" s="341"/>
      <c r="R324" s="340"/>
      <c r="S324" s="341"/>
      <c r="T324" s="340"/>
      <c r="U324" s="341"/>
      <c r="V324" s="340"/>
      <c r="W324" s="341"/>
      <c r="X324" s="340"/>
      <c r="Y324" s="341"/>
      <c r="Z324" s="340"/>
      <c r="AA324" s="341"/>
      <c r="AB324" s="340"/>
      <c r="AC324" s="341"/>
      <c r="AD324" s="340"/>
      <c r="AE324" s="341"/>
      <c r="AF324" s="340"/>
      <c r="AG324" s="341"/>
      <c r="AH324" s="340"/>
      <c r="AI324" s="342"/>
      <c r="AJ324" s="343"/>
      <c r="AK324" s="340"/>
    </row>
    <row r="325" ht="15.75" customHeight="1">
      <c r="A325" s="332"/>
      <c r="B325" s="333"/>
      <c r="C325" s="334"/>
      <c r="D325" s="335"/>
      <c r="E325" s="336"/>
      <c r="F325" s="337"/>
      <c r="G325" s="337"/>
      <c r="H325" s="337"/>
      <c r="I325" s="337"/>
      <c r="J325" s="337"/>
      <c r="K325" s="338"/>
      <c r="L325" s="339"/>
      <c r="M325" s="340"/>
      <c r="N325" s="340"/>
      <c r="O325" s="341"/>
      <c r="P325" s="340"/>
      <c r="Q325" s="341"/>
      <c r="R325" s="340"/>
      <c r="S325" s="341"/>
      <c r="T325" s="340"/>
      <c r="U325" s="341"/>
      <c r="V325" s="340"/>
      <c r="W325" s="341"/>
      <c r="X325" s="340"/>
      <c r="Y325" s="341"/>
      <c r="Z325" s="340"/>
      <c r="AA325" s="341"/>
      <c r="AB325" s="340"/>
      <c r="AC325" s="341"/>
      <c r="AD325" s="340"/>
      <c r="AE325" s="341"/>
      <c r="AF325" s="340"/>
      <c r="AG325" s="341"/>
      <c r="AH325" s="340"/>
      <c r="AI325" s="342"/>
      <c r="AJ325" s="343"/>
      <c r="AK325" s="340"/>
    </row>
    <row r="326" ht="15.75" customHeight="1">
      <c r="A326" s="332"/>
      <c r="B326" s="333"/>
      <c r="C326" s="334"/>
      <c r="D326" s="335"/>
      <c r="E326" s="336"/>
      <c r="F326" s="337"/>
      <c r="G326" s="337"/>
      <c r="H326" s="337"/>
      <c r="I326" s="337"/>
      <c r="J326" s="337"/>
      <c r="K326" s="338"/>
      <c r="L326" s="339"/>
      <c r="M326" s="340"/>
      <c r="N326" s="340"/>
      <c r="O326" s="341"/>
      <c r="P326" s="340"/>
      <c r="Q326" s="341"/>
      <c r="R326" s="340"/>
      <c r="S326" s="341"/>
      <c r="T326" s="340"/>
      <c r="U326" s="341"/>
      <c r="V326" s="340"/>
      <c r="W326" s="341"/>
      <c r="X326" s="340"/>
      <c r="Y326" s="341"/>
      <c r="Z326" s="340"/>
      <c r="AA326" s="341"/>
      <c r="AB326" s="340"/>
      <c r="AC326" s="341"/>
      <c r="AD326" s="340"/>
      <c r="AE326" s="341"/>
      <c r="AF326" s="340"/>
      <c r="AG326" s="341"/>
      <c r="AH326" s="340"/>
      <c r="AI326" s="342"/>
      <c r="AJ326" s="343"/>
      <c r="AK326" s="340"/>
    </row>
    <row r="327" ht="15.75" customHeight="1">
      <c r="A327" s="332"/>
      <c r="B327" s="333"/>
      <c r="C327" s="334"/>
      <c r="D327" s="335"/>
      <c r="E327" s="336"/>
      <c r="F327" s="337"/>
      <c r="G327" s="337"/>
      <c r="H327" s="337"/>
      <c r="I327" s="337"/>
      <c r="J327" s="337"/>
      <c r="K327" s="338"/>
      <c r="L327" s="339"/>
      <c r="M327" s="340"/>
      <c r="N327" s="340"/>
      <c r="O327" s="341"/>
      <c r="P327" s="340"/>
      <c r="Q327" s="341"/>
      <c r="R327" s="340"/>
      <c r="S327" s="341"/>
      <c r="T327" s="340"/>
      <c r="U327" s="341"/>
      <c r="V327" s="340"/>
      <c r="W327" s="341"/>
      <c r="X327" s="340"/>
      <c r="Y327" s="341"/>
      <c r="Z327" s="340"/>
      <c r="AA327" s="341"/>
      <c r="AB327" s="340"/>
      <c r="AC327" s="341"/>
      <c r="AD327" s="340"/>
      <c r="AE327" s="341"/>
      <c r="AF327" s="340"/>
      <c r="AG327" s="341"/>
      <c r="AH327" s="340"/>
      <c r="AI327" s="342"/>
      <c r="AJ327" s="343"/>
      <c r="AK327" s="340"/>
    </row>
    <row r="328" ht="15.75" customHeight="1">
      <c r="A328" s="332"/>
      <c r="B328" s="333"/>
      <c r="C328" s="334"/>
      <c r="D328" s="335"/>
      <c r="E328" s="336"/>
      <c r="F328" s="337"/>
      <c r="G328" s="337"/>
      <c r="H328" s="337"/>
      <c r="I328" s="337"/>
      <c r="J328" s="337"/>
      <c r="K328" s="338"/>
      <c r="L328" s="339"/>
      <c r="M328" s="340"/>
      <c r="N328" s="340"/>
      <c r="O328" s="341"/>
      <c r="P328" s="340"/>
      <c r="Q328" s="341"/>
      <c r="R328" s="340"/>
      <c r="S328" s="341"/>
      <c r="T328" s="340"/>
      <c r="U328" s="341"/>
      <c r="V328" s="340"/>
      <c r="W328" s="341"/>
      <c r="X328" s="340"/>
      <c r="Y328" s="341"/>
      <c r="Z328" s="340"/>
      <c r="AA328" s="341"/>
      <c r="AB328" s="340"/>
      <c r="AC328" s="341"/>
      <c r="AD328" s="340"/>
      <c r="AE328" s="341"/>
      <c r="AF328" s="340"/>
      <c r="AG328" s="341"/>
      <c r="AH328" s="340"/>
      <c r="AI328" s="342"/>
      <c r="AJ328" s="343"/>
      <c r="AK328" s="340"/>
    </row>
    <row r="329" ht="15.75" customHeight="1">
      <c r="A329" s="332"/>
      <c r="B329" s="333"/>
      <c r="C329" s="334"/>
      <c r="D329" s="335"/>
      <c r="E329" s="336"/>
      <c r="F329" s="337"/>
      <c r="G329" s="337"/>
      <c r="H329" s="337"/>
      <c r="I329" s="337"/>
      <c r="J329" s="337"/>
      <c r="K329" s="338"/>
      <c r="L329" s="339"/>
      <c r="M329" s="340"/>
      <c r="N329" s="340"/>
      <c r="O329" s="341"/>
      <c r="P329" s="340"/>
      <c r="Q329" s="341"/>
      <c r="R329" s="340"/>
      <c r="S329" s="341"/>
      <c r="T329" s="340"/>
      <c r="U329" s="341"/>
      <c r="V329" s="340"/>
      <c r="W329" s="341"/>
      <c r="X329" s="340"/>
      <c r="Y329" s="341"/>
      <c r="Z329" s="340"/>
      <c r="AA329" s="341"/>
      <c r="AB329" s="340"/>
      <c r="AC329" s="341"/>
      <c r="AD329" s="340"/>
      <c r="AE329" s="341"/>
      <c r="AF329" s="340"/>
      <c r="AG329" s="341"/>
      <c r="AH329" s="340"/>
      <c r="AI329" s="342"/>
      <c r="AJ329" s="343"/>
      <c r="AK329" s="340"/>
    </row>
    <row r="330" ht="15.75" customHeight="1">
      <c r="A330" s="332"/>
      <c r="B330" s="333"/>
      <c r="C330" s="334"/>
      <c r="D330" s="335"/>
      <c r="E330" s="336"/>
      <c r="F330" s="337"/>
      <c r="G330" s="337"/>
      <c r="H330" s="337"/>
      <c r="I330" s="337"/>
      <c r="J330" s="337"/>
      <c r="K330" s="338"/>
      <c r="L330" s="339"/>
      <c r="M330" s="340"/>
      <c r="N330" s="340"/>
      <c r="O330" s="341"/>
      <c r="P330" s="340"/>
      <c r="Q330" s="341"/>
      <c r="R330" s="340"/>
      <c r="S330" s="341"/>
      <c r="T330" s="340"/>
      <c r="U330" s="341"/>
      <c r="V330" s="340"/>
      <c r="W330" s="341"/>
      <c r="X330" s="340"/>
      <c r="Y330" s="341"/>
      <c r="Z330" s="340"/>
      <c r="AA330" s="341"/>
      <c r="AB330" s="340"/>
      <c r="AC330" s="341"/>
      <c r="AD330" s="340"/>
      <c r="AE330" s="341"/>
      <c r="AF330" s="340"/>
      <c r="AG330" s="341"/>
      <c r="AH330" s="340"/>
      <c r="AI330" s="342"/>
      <c r="AJ330" s="343"/>
      <c r="AK330" s="340"/>
    </row>
    <row r="331" ht="15.75" customHeight="1">
      <c r="A331" s="332"/>
      <c r="B331" s="333"/>
      <c r="C331" s="334"/>
      <c r="D331" s="335"/>
      <c r="E331" s="336"/>
      <c r="F331" s="337"/>
      <c r="G331" s="337"/>
      <c r="H331" s="337"/>
      <c r="I331" s="337"/>
      <c r="J331" s="337"/>
      <c r="K331" s="338"/>
      <c r="L331" s="339"/>
      <c r="M331" s="340"/>
      <c r="N331" s="340"/>
      <c r="O331" s="341"/>
      <c r="P331" s="340"/>
      <c r="Q331" s="341"/>
      <c r="R331" s="340"/>
      <c r="S331" s="341"/>
      <c r="T331" s="340"/>
      <c r="U331" s="341"/>
      <c r="V331" s="340"/>
      <c r="W331" s="341"/>
      <c r="X331" s="340"/>
      <c r="Y331" s="341"/>
      <c r="Z331" s="340"/>
      <c r="AA331" s="341"/>
      <c r="AB331" s="340"/>
      <c r="AC331" s="341"/>
      <c r="AD331" s="340"/>
      <c r="AE331" s="341"/>
      <c r="AF331" s="340"/>
      <c r="AG331" s="341"/>
      <c r="AH331" s="340"/>
      <c r="AI331" s="342"/>
      <c r="AJ331" s="343"/>
      <c r="AK331" s="340"/>
    </row>
    <row r="332" ht="15.75" customHeight="1">
      <c r="A332" s="332"/>
      <c r="B332" s="333"/>
      <c r="C332" s="334"/>
      <c r="D332" s="335"/>
      <c r="E332" s="336"/>
      <c r="F332" s="337"/>
      <c r="G332" s="337"/>
      <c r="H332" s="337"/>
      <c r="I332" s="337"/>
      <c r="J332" s="337"/>
      <c r="K332" s="338"/>
      <c r="L332" s="339"/>
      <c r="M332" s="340"/>
      <c r="N332" s="340"/>
      <c r="O332" s="341"/>
      <c r="P332" s="340"/>
      <c r="Q332" s="341"/>
      <c r="R332" s="340"/>
      <c r="S332" s="341"/>
      <c r="T332" s="340"/>
      <c r="U332" s="341"/>
      <c r="V332" s="340"/>
      <c r="W332" s="341"/>
      <c r="X332" s="340"/>
      <c r="Y332" s="341"/>
      <c r="Z332" s="340"/>
      <c r="AA332" s="341"/>
      <c r="AB332" s="340"/>
      <c r="AC332" s="341"/>
      <c r="AD332" s="340"/>
      <c r="AE332" s="341"/>
      <c r="AF332" s="340"/>
      <c r="AG332" s="341"/>
      <c r="AH332" s="340"/>
      <c r="AI332" s="342"/>
      <c r="AJ332" s="343"/>
      <c r="AK332" s="340"/>
    </row>
    <row r="333" ht="15.75" customHeight="1">
      <c r="A333" s="332"/>
      <c r="B333" s="333"/>
      <c r="C333" s="334"/>
      <c r="D333" s="335"/>
      <c r="E333" s="336"/>
      <c r="F333" s="337"/>
      <c r="G333" s="337"/>
      <c r="H333" s="337"/>
      <c r="I333" s="337"/>
      <c r="J333" s="337"/>
      <c r="K333" s="338"/>
      <c r="L333" s="339"/>
      <c r="M333" s="340"/>
      <c r="N333" s="340"/>
      <c r="O333" s="341"/>
      <c r="P333" s="340"/>
      <c r="Q333" s="341"/>
      <c r="R333" s="340"/>
      <c r="S333" s="341"/>
      <c r="T333" s="340"/>
      <c r="U333" s="341"/>
      <c r="V333" s="340"/>
      <c r="W333" s="341"/>
      <c r="X333" s="340"/>
      <c r="Y333" s="341"/>
      <c r="Z333" s="340"/>
      <c r="AA333" s="341"/>
      <c r="AB333" s="340"/>
      <c r="AC333" s="341"/>
      <c r="AD333" s="340"/>
      <c r="AE333" s="341"/>
      <c r="AF333" s="340"/>
      <c r="AG333" s="341"/>
      <c r="AH333" s="340"/>
      <c r="AI333" s="342"/>
      <c r="AJ333" s="343"/>
      <c r="AK333" s="340"/>
    </row>
    <row r="334" ht="15.75" customHeight="1">
      <c r="A334" s="332"/>
      <c r="B334" s="333"/>
      <c r="C334" s="334"/>
      <c r="D334" s="335"/>
      <c r="E334" s="336"/>
      <c r="F334" s="337"/>
      <c r="G334" s="337"/>
      <c r="H334" s="337"/>
      <c r="I334" s="337"/>
      <c r="J334" s="337"/>
      <c r="K334" s="338"/>
      <c r="L334" s="339"/>
      <c r="M334" s="340"/>
      <c r="N334" s="340"/>
      <c r="O334" s="341"/>
      <c r="P334" s="340"/>
      <c r="Q334" s="341"/>
      <c r="R334" s="340"/>
      <c r="S334" s="341"/>
      <c r="T334" s="340"/>
      <c r="U334" s="341"/>
      <c r="V334" s="340"/>
      <c r="W334" s="341"/>
      <c r="X334" s="340"/>
      <c r="Y334" s="341"/>
      <c r="Z334" s="340"/>
      <c r="AA334" s="341"/>
      <c r="AB334" s="340"/>
      <c r="AC334" s="341"/>
      <c r="AD334" s="340"/>
      <c r="AE334" s="341"/>
      <c r="AF334" s="340"/>
      <c r="AG334" s="341"/>
      <c r="AH334" s="340"/>
      <c r="AI334" s="342"/>
      <c r="AJ334" s="343"/>
      <c r="AK334" s="340"/>
    </row>
    <row r="335" ht="15.75" customHeight="1">
      <c r="A335" s="332"/>
      <c r="B335" s="333"/>
      <c r="C335" s="334"/>
      <c r="D335" s="335"/>
      <c r="E335" s="336"/>
      <c r="F335" s="337"/>
      <c r="G335" s="337"/>
      <c r="H335" s="337"/>
      <c r="I335" s="337"/>
      <c r="J335" s="337"/>
      <c r="K335" s="338"/>
      <c r="L335" s="339"/>
      <c r="M335" s="340"/>
      <c r="N335" s="340"/>
      <c r="O335" s="341"/>
      <c r="P335" s="340"/>
      <c r="Q335" s="341"/>
      <c r="R335" s="340"/>
      <c r="S335" s="341"/>
      <c r="T335" s="340"/>
      <c r="U335" s="341"/>
      <c r="V335" s="340"/>
      <c r="W335" s="341"/>
      <c r="X335" s="340"/>
      <c r="Y335" s="341"/>
      <c r="Z335" s="340"/>
      <c r="AA335" s="341"/>
      <c r="AB335" s="340"/>
      <c r="AC335" s="341"/>
      <c r="AD335" s="340"/>
      <c r="AE335" s="341"/>
      <c r="AF335" s="340"/>
      <c r="AG335" s="341"/>
      <c r="AH335" s="340"/>
      <c r="AI335" s="342"/>
      <c r="AJ335" s="343"/>
      <c r="AK335" s="340"/>
    </row>
    <row r="336" ht="15.75" customHeight="1">
      <c r="A336" s="332"/>
      <c r="B336" s="333"/>
      <c r="C336" s="334"/>
      <c r="D336" s="335"/>
      <c r="E336" s="336"/>
      <c r="F336" s="337"/>
      <c r="G336" s="337"/>
      <c r="H336" s="337"/>
      <c r="I336" s="337"/>
      <c r="J336" s="337"/>
      <c r="K336" s="338"/>
      <c r="L336" s="339"/>
      <c r="M336" s="340"/>
      <c r="N336" s="340"/>
      <c r="O336" s="341"/>
      <c r="P336" s="340"/>
      <c r="Q336" s="341"/>
      <c r="R336" s="340"/>
      <c r="S336" s="341"/>
      <c r="T336" s="340"/>
      <c r="U336" s="341"/>
      <c r="V336" s="340"/>
      <c r="W336" s="341"/>
      <c r="X336" s="340"/>
      <c r="Y336" s="341"/>
      <c r="Z336" s="340"/>
      <c r="AA336" s="341"/>
      <c r="AB336" s="340"/>
      <c r="AC336" s="341"/>
      <c r="AD336" s="340"/>
      <c r="AE336" s="341"/>
      <c r="AF336" s="340"/>
      <c r="AG336" s="341"/>
      <c r="AH336" s="340"/>
      <c r="AI336" s="342"/>
      <c r="AJ336" s="343"/>
      <c r="AK336" s="340"/>
    </row>
    <row r="337" ht="15.75" customHeight="1">
      <c r="A337" s="332"/>
      <c r="B337" s="333"/>
      <c r="C337" s="334"/>
      <c r="D337" s="335"/>
      <c r="E337" s="336"/>
      <c r="F337" s="337"/>
      <c r="G337" s="337"/>
      <c r="H337" s="337"/>
      <c r="I337" s="337"/>
      <c r="J337" s="337"/>
      <c r="K337" s="338"/>
      <c r="L337" s="339"/>
      <c r="M337" s="340"/>
      <c r="N337" s="340"/>
      <c r="O337" s="341"/>
      <c r="P337" s="340"/>
      <c r="Q337" s="341"/>
      <c r="R337" s="340"/>
      <c r="S337" s="341"/>
      <c r="T337" s="340"/>
      <c r="U337" s="341"/>
      <c r="V337" s="340"/>
      <c r="W337" s="341"/>
      <c r="X337" s="340"/>
      <c r="Y337" s="341"/>
      <c r="Z337" s="340"/>
      <c r="AA337" s="341"/>
      <c r="AB337" s="340"/>
      <c r="AC337" s="341"/>
      <c r="AD337" s="340"/>
      <c r="AE337" s="341"/>
      <c r="AF337" s="340"/>
      <c r="AG337" s="341"/>
      <c r="AH337" s="340"/>
      <c r="AI337" s="342"/>
      <c r="AJ337" s="343"/>
      <c r="AK337" s="340"/>
    </row>
    <row r="338" ht="15.75" customHeight="1">
      <c r="A338" s="332"/>
      <c r="B338" s="333"/>
      <c r="C338" s="334"/>
      <c r="D338" s="335"/>
      <c r="E338" s="336"/>
      <c r="F338" s="337"/>
      <c r="G338" s="337"/>
      <c r="H338" s="337"/>
      <c r="I338" s="337"/>
      <c r="J338" s="337"/>
      <c r="K338" s="338"/>
      <c r="L338" s="339"/>
      <c r="M338" s="340"/>
      <c r="N338" s="340"/>
      <c r="O338" s="341"/>
      <c r="P338" s="340"/>
      <c r="Q338" s="341"/>
      <c r="R338" s="340"/>
      <c r="S338" s="341"/>
      <c r="T338" s="340"/>
      <c r="U338" s="341"/>
      <c r="V338" s="340"/>
      <c r="W338" s="341"/>
      <c r="X338" s="340"/>
      <c r="Y338" s="341"/>
      <c r="Z338" s="340"/>
      <c r="AA338" s="341"/>
      <c r="AB338" s="340"/>
      <c r="AC338" s="341"/>
      <c r="AD338" s="340"/>
      <c r="AE338" s="341"/>
      <c r="AF338" s="340"/>
      <c r="AG338" s="341"/>
      <c r="AH338" s="340"/>
      <c r="AI338" s="342"/>
      <c r="AJ338" s="343"/>
      <c r="AK338" s="340"/>
    </row>
    <row r="339" ht="15.75" customHeight="1">
      <c r="A339" s="332"/>
      <c r="B339" s="333"/>
      <c r="C339" s="334"/>
      <c r="D339" s="335"/>
      <c r="E339" s="336"/>
      <c r="F339" s="337"/>
      <c r="G339" s="337"/>
      <c r="H339" s="337"/>
      <c r="I339" s="337"/>
      <c r="J339" s="337"/>
      <c r="K339" s="338"/>
      <c r="L339" s="339"/>
      <c r="M339" s="340"/>
      <c r="N339" s="340"/>
      <c r="O339" s="341"/>
      <c r="P339" s="340"/>
      <c r="Q339" s="341"/>
      <c r="R339" s="340"/>
      <c r="S339" s="341"/>
      <c r="T339" s="340"/>
      <c r="U339" s="341"/>
      <c r="V339" s="340"/>
      <c r="W339" s="341"/>
      <c r="X339" s="340"/>
      <c r="Y339" s="341"/>
      <c r="Z339" s="340"/>
      <c r="AA339" s="341"/>
      <c r="AB339" s="340"/>
      <c r="AC339" s="341"/>
      <c r="AD339" s="340"/>
      <c r="AE339" s="341"/>
      <c r="AF339" s="340"/>
      <c r="AG339" s="341"/>
      <c r="AH339" s="340"/>
      <c r="AI339" s="342"/>
      <c r="AJ339" s="343"/>
      <c r="AK339" s="340"/>
    </row>
    <row r="340" ht="15.75" customHeight="1">
      <c r="A340" s="332"/>
      <c r="B340" s="333"/>
      <c r="C340" s="334"/>
      <c r="D340" s="335"/>
      <c r="E340" s="336"/>
      <c r="F340" s="337"/>
      <c r="G340" s="337"/>
      <c r="H340" s="337"/>
      <c r="I340" s="337"/>
      <c r="J340" s="337"/>
      <c r="K340" s="338"/>
      <c r="L340" s="339"/>
      <c r="M340" s="340"/>
      <c r="N340" s="340"/>
      <c r="O340" s="341"/>
      <c r="P340" s="340"/>
      <c r="Q340" s="341"/>
      <c r="R340" s="340"/>
      <c r="S340" s="341"/>
      <c r="T340" s="340"/>
      <c r="U340" s="341"/>
      <c r="V340" s="340"/>
      <c r="W340" s="341"/>
      <c r="X340" s="340"/>
      <c r="Y340" s="341"/>
      <c r="Z340" s="340"/>
      <c r="AA340" s="341"/>
      <c r="AB340" s="340"/>
      <c r="AC340" s="341"/>
      <c r="AD340" s="340"/>
      <c r="AE340" s="341"/>
      <c r="AF340" s="340"/>
      <c r="AG340" s="341"/>
      <c r="AH340" s="340"/>
      <c r="AI340" s="342"/>
      <c r="AJ340" s="343"/>
      <c r="AK340" s="340"/>
    </row>
    <row r="341" ht="15.75" customHeight="1">
      <c r="A341" s="332"/>
      <c r="B341" s="333"/>
      <c r="C341" s="334"/>
      <c r="D341" s="335"/>
      <c r="E341" s="336"/>
      <c r="F341" s="337"/>
      <c r="G341" s="337"/>
      <c r="H341" s="337"/>
      <c r="I341" s="337"/>
      <c r="J341" s="337"/>
      <c r="K341" s="338"/>
      <c r="L341" s="339"/>
      <c r="M341" s="340"/>
      <c r="N341" s="340"/>
      <c r="O341" s="341"/>
      <c r="P341" s="340"/>
      <c r="Q341" s="341"/>
      <c r="R341" s="340"/>
      <c r="S341" s="341"/>
      <c r="T341" s="340"/>
      <c r="U341" s="341"/>
      <c r="V341" s="340"/>
      <c r="W341" s="341"/>
      <c r="X341" s="340"/>
      <c r="Y341" s="341"/>
      <c r="Z341" s="340"/>
      <c r="AA341" s="341"/>
      <c r="AB341" s="340"/>
      <c r="AC341" s="341"/>
      <c r="AD341" s="340"/>
      <c r="AE341" s="341"/>
      <c r="AF341" s="340"/>
      <c r="AG341" s="341"/>
      <c r="AH341" s="340"/>
      <c r="AI341" s="342"/>
      <c r="AJ341" s="343"/>
      <c r="AK341" s="340"/>
    </row>
    <row r="342" ht="15.75" customHeight="1">
      <c r="A342" s="332"/>
      <c r="B342" s="333"/>
      <c r="C342" s="334"/>
      <c r="D342" s="335"/>
      <c r="E342" s="336"/>
      <c r="F342" s="337"/>
      <c r="G342" s="337"/>
      <c r="H342" s="337"/>
      <c r="I342" s="337"/>
      <c r="J342" s="337"/>
      <c r="K342" s="338"/>
      <c r="L342" s="339"/>
      <c r="M342" s="340"/>
      <c r="N342" s="340"/>
      <c r="O342" s="341"/>
      <c r="P342" s="340"/>
      <c r="Q342" s="341"/>
      <c r="R342" s="340"/>
      <c r="S342" s="341"/>
      <c r="T342" s="340"/>
      <c r="U342" s="341"/>
      <c r="V342" s="340"/>
      <c r="W342" s="341"/>
      <c r="X342" s="340"/>
      <c r="Y342" s="341"/>
      <c r="Z342" s="340"/>
      <c r="AA342" s="341"/>
      <c r="AB342" s="340"/>
      <c r="AC342" s="341"/>
      <c r="AD342" s="340"/>
      <c r="AE342" s="341"/>
      <c r="AF342" s="340"/>
      <c r="AG342" s="341"/>
      <c r="AH342" s="340"/>
      <c r="AI342" s="342"/>
      <c r="AJ342" s="343"/>
      <c r="AK342" s="340"/>
    </row>
    <row r="343" ht="15.75" customHeight="1">
      <c r="A343" s="332"/>
      <c r="B343" s="333"/>
      <c r="C343" s="334"/>
      <c r="D343" s="335"/>
      <c r="E343" s="336"/>
      <c r="F343" s="337"/>
      <c r="G343" s="337"/>
      <c r="H343" s="337"/>
      <c r="I343" s="337"/>
      <c r="J343" s="337"/>
      <c r="K343" s="338"/>
      <c r="L343" s="339"/>
      <c r="M343" s="340"/>
      <c r="N343" s="340"/>
      <c r="O343" s="341"/>
      <c r="P343" s="340"/>
      <c r="Q343" s="341"/>
      <c r="R343" s="340"/>
      <c r="S343" s="341"/>
      <c r="T343" s="340"/>
      <c r="U343" s="341"/>
      <c r="V343" s="340"/>
      <c r="W343" s="341"/>
      <c r="X343" s="340"/>
      <c r="Y343" s="341"/>
      <c r="Z343" s="340"/>
      <c r="AA343" s="341"/>
      <c r="AB343" s="340"/>
      <c r="AC343" s="341"/>
      <c r="AD343" s="340"/>
      <c r="AE343" s="341"/>
      <c r="AF343" s="340"/>
      <c r="AG343" s="341"/>
      <c r="AH343" s="340"/>
      <c r="AI343" s="342"/>
      <c r="AJ343" s="343"/>
      <c r="AK343" s="340"/>
    </row>
    <row r="344" ht="15.75" customHeight="1">
      <c r="A344" s="332"/>
      <c r="B344" s="333"/>
      <c r="C344" s="334"/>
      <c r="D344" s="335"/>
      <c r="E344" s="336"/>
      <c r="F344" s="337"/>
      <c r="G344" s="337"/>
      <c r="H344" s="337"/>
      <c r="I344" s="337"/>
      <c r="J344" s="337"/>
      <c r="K344" s="338"/>
      <c r="L344" s="339"/>
      <c r="M344" s="340"/>
      <c r="N344" s="340"/>
      <c r="O344" s="341"/>
      <c r="P344" s="340"/>
      <c r="Q344" s="341"/>
      <c r="R344" s="340"/>
      <c r="S344" s="341"/>
      <c r="T344" s="340"/>
      <c r="U344" s="341"/>
      <c r="V344" s="340"/>
      <c r="W344" s="341"/>
      <c r="X344" s="340"/>
      <c r="Y344" s="341"/>
      <c r="Z344" s="340"/>
      <c r="AA344" s="341"/>
      <c r="AB344" s="340"/>
      <c r="AC344" s="341"/>
      <c r="AD344" s="340"/>
      <c r="AE344" s="341"/>
      <c r="AF344" s="340"/>
      <c r="AG344" s="341"/>
      <c r="AH344" s="340"/>
      <c r="AI344" s="342"/>
      <c r="AJ344" s="343"/>
      <c r="AK344" s="340"/>
    </row>
    <row r="345" ht="15.75" customHeight="1">
      <c r="A345" s="332"/>
      <c r="B345" s="333"/>
      <c r="C345" s="334"/>
      <c r="D345" s="335"/>
      <c r="E345" s="336"/>
      <c r="F345" s="337"/>
      <c r="G345" s="337"/>
      <c r="H345" s="337"/>
      <c r="I345" s="337"/>
      <c r="J345" s="337"/>
      <c r="K345" s="338"/>
      <c r="L345" s="339"/>
      <c r="M345" s="340"/>
      <c r="N345" s="340"/>
      <c r="O345" s="341"/>
      <c r="P345" s="340"/>
      <c r="Q345" s="341"/>
      <c r="R345" s="340"/>
      <c r="S345" s="341"/>
      <c r="T345" s="340"/>
      <c r="U345" s="341"/>
      <c r="V345" s="340"/>
      <c r="W345" s="341"/>
      <c r="X345" s="340"/>
      <c r="Y345" s="341"/>
      <c r="Z345" s="340"/>
      <c r="AA345" s="341"/>
      <c r="AB345" s="340"/>
      <c r="AC345" s="341"/>
      <c r="AD345" s="340"/>
      <c r="AE345" s="341"/>
      <c r="AF345" s="340"/>
      <c r="AG345" s="341"/>
      <c r="AH345" s="340"/>
      <c r="AI345" s="342"/>
      <c r="AJ345" s="343"/>
      <c r="AK345" s="340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K$145">
    <filterColumn colId="3">
      <filters>
        <filter val="2"/>
        <filter val="3"/>
        <filter val="4"/>
        <filter val="5"/>
      </filters>
    </filterColumn>
  </autoFilter>
  <mergeCells count="1">
    <mergeCell ref="D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6.75"/>
    <col customWidth="1" min="3" max="3" width="30.25"/>
    <col customWidth="1" min="4" max="4" width="17.38"/>
    <col customWidth="1" min="5" max="5" width="16.88"/>
    <col customWidth="1" min="6" max="6" width="20.88"/>
    <col customWidth="1" min="7" max="7" width="12.75"/>
    <col customWidth="1" min="8" max="8" width="16.5"/>
  </cols>
  <sheetData>
    <row r="1">
      <c r="A1" s="344"/>
      <c r="B1" s="344"/>
      <c r="C1" s="345" t="s">
        <v>392</v>
      </c>
      <c r="D1" s="344"/>
      <c r="E1" s="344"/>
      <c r="F1" s="344"/>
      <c r="G1" s="344"/>
      <c r="H1" s="344"/>
    </row>
    <row r="2">
      <c r="A2" s="346" t="s">
        <v>2</v>
      </c>
      <c r="B2" s="346" t="s">
        <v>393</v>
      </c>
      <c r="C2" s="346" t="s">
        <v>394</v>
      </c>
      <c r="D2" s="346" t="s">
        <v>395</v>
      </c>
      <c r="E2" s="346" t="s">
        <v>396</v>
      </c>
      <c r="F2" s="346" t="s">
        <v>397</v>
      </c>
      <c r="G2" s="346" t="s">
        <v>398</v>
      </c>
      <c r="H2" s="346" t="s">
        <v>399</v>
      </c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</row>
    <row r="3">
      <c r="A3" s="348">
        <v>1.0</v>
      </c>
      <c r="B3" s="349">
        <f t="shared" ref="B3:B6" si="1">+2</f>
        <v>2</v>
      </c>
      <c r="C3" s="348" t="s">
        <v>400</v>
      </c>
      <c r="D3" s="348">
        <v>2.0</v>
      </c>
      <c r="E3" s="348" t="s">
        <v>401</v>
      </c>
      <c r="F3" s="348" t="s">
        <v>401</v>
      </c>
      <c r="G3" s="348" t="s">
        <v>401</v>
      </c>
      <c r="H3" s="348" t="s">
        <v>401</v>
      </c>
    </row>
    <row r="4">
      <c r="A4" s="348">
        <v>2.0</v>
      </c>
      <c r="B4" s="349">
        <f t="shared" si="1"/>
        <v>2</v>
      </c>
      <c r="C4" s="348" t="s">
        <v>402</v>
      </c>
      <c r="D4" s="348">
        <v>2.0</v>
      </c>
      <c r="E4" s="348" t="s">
        <v>401</v>
      </c>
      <c r="F4" s="348" t="s">
        <v>401</v>
      </c>
      <c r="G4" s="348" t="s">
        <v>401</v>
      </c>
      <c r="H4" s="348" t="s">
        <v>401</v>
      </c>
    </row>
    <row r="5">
      <c r="A5" s="348">
        <v>3.0</v>
      </c>
      <c r="B5" s="349">
        <f t="shared" si="1"/>
        <v>2</v>
      </c>
      <c r="C5" s="348" t="s">
        <v>403</v>
      </c>
      <c r="D5" s="348">
        <v>3.0</v>
      </c>
      <c r="E5" s="348" t="s">
        <v>401</v>
      </c>
      <c r="F5" s="348" t="s">
        <v>401</v>
      </c>
      <c r="G5" s="348" t="s">
        <v>401</v>
      </c>
      <c r="H5" s="348" t="s">
        <v>401</v>
      </c>
    </row>
    <row r="6">
      <c r="A6" s="348">
        <v>4.0</v>
      </c>
      <c r="B6" s="349">
        <f t="shared" si="1"/>
        <v>2</v>
      </c>
      <c r="C6" s="348" t="s">
        <v>404</v>
      </c>
      <c r="D6" s="348">
        <v>3.0</v>
      </c>
      <c r="E6" s="348" t="s">
        <v>401</v>
      </c>
      <c r="F6" s="348" t="s">
        <v>401</v>
      </c>
      <c r="G6" s="348" t="s">
        <v>401</v>
      </c>
      <c r="H6" s="348" t="s">
        <v>401</v>
      </c>
    </row>
    <row r="7">
      <c r="A7" s="348">
        <v>5.0</v>
      </c>
      <c r="B7" s="349">
        <f t="shared" ref="B7:B10" si="2">+3</f>
        <v>3</v>
      </c>
      <c r="C7" s="348" t="s">
        <v>405</v>
      </c>
      <c r="D7" s="348">
        <v>4.0</v>
      </c>
      <c r="E7" s="348">
        <v>2.0</v>
      </c>
      <c r="F7" s="348" t="s">
        <v>401</v>
      </c>
      <c r="G7" s="348" t="s">
        <v>401</v>
      </c>
      <c r="H7" s="348" t="s">
        <v>401</v>
      </c>
    </row>
    <row r="8">
      <c r="A8" s="348">
        <v>6.0</v>
      </c>
      <c r="B8" s="349">
        <f t="shared" si="2"/>
        <v>3</v>
      </c>
      <c r="C8" s="348" t="s">
        <v>406</v>
      </c>
      <c r="D8" s="348">
        <v>4.0</v>
      </c>
      <c r="E8" s="348">
        <v>2.0</v>
      </c>
      <c r="F8" s="348" t="s">
        <v>401</v>
      </c>
      <c r="G8" s="348" t="s">
        <v>401</v>
      </c>
      <c r="H8" s="348" t="s">
        <v>401</v>
      </c>
    </row>
    <row r="9">
      <c r="A9" s="348">
        <v>7.0</v>
      </c>
      <c r="B9" s="349">
        <f t="shared" si="2"/>
        <v>3</v>
      </c>
      <c r="C9" s="348" t="s">
        <v>407</v>
      </c>
      <c r="D9" s="348">
        <v>4.0</v>
      </c>
      <c r="E9" s="348">
        <v>3.0</v>
      </c>
      <c r="F9" s="348" t="s">
        <v>401</v>
      </c>
      <c r="G9" s="348" t="s">
        <v>401</v>
      </c>
      <c r="H9" s="348" t="s">
        <v>401</v>
      </c>
    </row>
    <row r="10">
      <c r="A10" s="348">
        <v>8.0</v>
      </c>
      <c r="B10" s="349">
        <f t="shared" si="2"/>
        <v>3</v>
      </c>
      <c r="C10" s="348" t="s">
        <v>404</v>
      </c>
      <c r="D10" s="348">
        <v>4.0</v>
      </c>
      <c r="E10" s="348">
        <v>3.0</v>
      </c>
      <c r="F10" s="348" t="s">
        <v>401</v>
      </c>
      <c r="G10" s="348" t="s">
        <v>401</v>
      </c>
      <c r="H10" s="348" t="s">
        <v>401</v>
      </c>
    </row>
    <row r="11">
      <c r="A11" s="348">
        <v>9.0</v>
      </c>
      <c r="B11" s="349">
        <f t="shared" ref="B11:B14" si="3">+4</f>
        <v>4</v>
      </c>
      <c r="C11" s="348" t="s">
        <v>408</v>
      </c>
      <c r="D11" s="348">
        <v>4.0</v>
      </c>
      <c r="E11" s="348">
        <v>3.0</v>
      </c>
      <c r="F11" s="348">
        <v>2.0</v>
      </c>
      <c r="G11" s="348" t="s">
        <v>401</v>
      </c>
      <c r="H11" s="348" t="s">
        <v>401</v>
      </c>
    </row>
    <row r="12">
      <c r="A12" s="348">
        <v>10.0</v>
      </c>
      <c r="B12" s="349">
        <f t="shared" si="3"/>
        <v>4</v>
      </c>
      <c r="C12" s="348" t="s">
        <v>409</v>
      </c>
      <c r="D12" s="348">
        <v>4.0</v>
      </c>
      <c r="E12" s="348">
        <v>3.0</v>
      </c>
      <c r="F12" s="348">
        <v>2.0</v>
      </c>
      <c r="G12" s="348" t="s">
        <v>401</v>
      </c>
      <c r="H12" s="348" t="s">
        <v>401</v>
      </c>
    </row>
    <row r="13">
      <c r="A13" s="348">
        <v>11.0</v>
      </c>
      <c r="B13" s="349">
        <f t="shared" si="3"/>
        <v>4</v>
      </c>
      <c r="C13" s="348" t="s">
        <v>410</v>
      </c>
      <c r="D13" s="348">
        <v>4.0</v>
      </c>
      <c r="E13" s="348">
        <v>3.0</v>
      </c>
      <c r="F13" s="348">
        <v>3.0</v>
      </c>
      <c r="G13" s="348" t="s">
        <v>401</v>
      </c>
      <c r="H13" s="348" t="s">
        <v>401</v>
      </c>
    </row>
    <row r="14">
      <c r="A14" s="348">
        <v>12.0</v>
      </c>
      <c r="B14" s="349">
        <f t="shared" si="3"/>
        <v>4</v>
      </c>
      <c r="C14" s="348" t="s">
        <v>411</v>
      </c>
      <c r="D14" s="348">
        <v>4.0</v>
      </c>
      <c r="E14" s="348">
        <v>3.0</v>
      </c>
      <c r="F14" s="348">
        <v>3.0</v>
      </c>
      <c r="G14" s="348" t="s">
        <v>401</v>
      </c>
      <c r="H14" s="348" t="s">
        <v>401</v>
      </c>
    </row>
    <row r="15">
      <c r="A15" s="348">
        <v>13.0</v>
      </c>
      <c r="B15" s="349">
        <f t="shared" ref="B15:B18" si="4">+5</f>
        <v>5</v>
      </c>
      <c r="C15" s="348" t="s">
        <v>412</v>
      </c>
      <c r="D15" s="348">
        <v>4.0</v>
      </c>
      <c r="E15" s="348">
        <v>3.0</v>
      </c>
      <c r="F15" s="348">
        <v>3.0</v>
      </c>
      <c r="G15" s="348">
        <v>1.0</v>
      </c>
      <c r="H15" s="348" t="s">
        <v>401</v>
      </c>
    </row>
    <row r="16">
      <c r="A16" s="348">
        <v>14.0</v>
      </c>
      <c r="B16" s="349">
        <f t="shared" si="4"/>
        <v>5</v>
      </c>
      <c r="C16" s="348" t="s">
        <v>404</v>
      </c>
      <c r="D16" s="348">
        <v>4.0</v>
      </c>
      <c r="E16" s="348">
        <v>3.0</v>
      </c>
      <c r="F16" s="348">
        <v>3.0</v>
      </c>
      <c r="G16" s="348">
        <v>1.0</v>
      </c>
      <c r="H16" s="348" t="s">
        <v>401</v>
      </c>
    </row>
    <row r="17">
      <c r="A17" s="348">
        <v>15.0</v>
      </c>
      <c r="B17" s="349">
        <f t="shared" si="4"/>
        <v>5</v>
      </c>
      <c r="C17" s="348" t="s">
        <v>413</v>
      </c>
      <c r="D17" s="348">
        <v>4.0</v>
      </c>
      <c r="E17" s="348">
        <v>3.0</v>
      </c>
      <c r="F17" s="348">
        <v>3.0</v>
      </c>
      <c r="G17" s="348">
        <v>2.0</v>
      </c>
      <c r="H17" s="348" t="s">
        <v>401</v>
      </c>
    </row>
    <row r="18">
      <c r="A18" s="348">
        <v>16.0</v>
      </c>
      <c r="B18" s="349">
        <f t="shared" si="4"/>
        <v>5</v>
      </c>
      <c r="C18" s="348" t="s">
        <v>414</v>
      </c>
      <c r="D18" s="348">
        <v>4.0</v>
      </c>
      <c r="E18" s="348">
        <v>3.0</v>
      </c>
      <c r="F18" s="348">
        <v>3.0</v>
      </c>
      <c r="G18" s="348">
        <v>2.0</v>
      </c>
      <c r="H18" s="348" t="s">
        <v>401</v>
      </c>
    </row>
    <row r="19">
      <c r="A19" s="348">
        <v>17.0</v>
      </c>
      <c r="B19" s="349">
        <f t="shared" ref="B19:B22" si="5">+6</f>
        <v>6</v>
      </c>
      <c r="C19" s="348" t="s">
        <v>404</v>
      </c>
      <c r="D19" s="348">
        <v>4.0</v>
      </c>
      <c r="E19" s="348">
        <v>3.0</v>
      </c>
      <c r="F19" s="348">
        <v>3.0</v>
      </c>
      <c r="G19" s="348">
        <v>3.0</v>
      </c>
      <c r="H19" s="348">
        <v>1.0</v>
      </c>
    </row>
    <row r="20">
      <c r="A20" s="348">
        <v>18.0</v>
      </c>
      <c r="B20" s="349">
        <f t="shared" si="5"/>
        <v>6</v>
      </c>
      <c r="C20" s="348" t="s">
        <v>415</v>
      </c>
      <c r="D20" s="348">
        <v>4.0</v>
      </c>
      <c r="E20" s="348">
        <v>3.0</v>
      </c>
      <c r="F20" s="348">
        <v>3.0</v>
      </c>
      <c r="G20" s="348">
        <v>3.0</v>
      </c>
      <c r="H20" s="348">
        <v>1.0</v>
      </c>
    </row>
    <row r="21">
      <c r="A21" s="348">
        <v>19.0</v>
      </c>
      <c r="B21" s="349">
        <f t="shared" si="5"/>
        <v>6</v>
      </c>
      <c r="C21" s="348" t="s">
        <v>416</v>
      </c>
      <c r="D21" s="348">
        <v>4.0</v>
      </c>
      <c r="E21" s="348">
        <v>3.0</v>
      </c>
      <c r="F21" s="348">
        <v>3.0</v>
      </c>
      <c r="G21" s="348">
        <v>3.0</v>
      </c>
      <c r="H21" s="348">
        <v>2.0</v>
      </c>
    </row>
    <row r="22">
      <c r="A22" s="350">
        <v>20.0</v>
      </c>
      <c r="B22" s="351">
        <f t="shared" si="5"/>
        <v>6</v>
      </c>
      <c r="C22" s="350" t="s">
        <v>417</v>
      </c>
      <c r="D22" s="350">
        <v>4.0</v>
      </c>
      <c r="E22" s="350">
        <v>3.0</v>
      </c>
      <c r="F22" s="350">
        <v>3.0</v>
      </c>
      <c r="G22" s="350">
        <v>3.0</v>
      </c>
      <c r="H22" s="350">
        <v>2.0</v>
      </c>
    </row>
    <row r="23">
      <c r="A23" s="344"/>
      <c r="B23" s="344"/>
      <c r="C23" s="344"/>
      <c r="D23" s="344"/>
      <c r="E23" s="344"/>
      <c r="F23" s="344"/>
      <c r="G23" s="344"/>
      <c r="H23" s="344"/>
    </row>
    <row r="24">
      <c r="A24" s="344"/>
      <c r="B24" s="344"/>
      <c r="C24" s="345" t="s">
        <v>418</v>
      </c>
      <c r="D24" s="344"/>
      <c r="E24" s="344"/>
      <c r="F24" s="344"/>
      <c r="G24" s="344"/>
      <c r="H24" s="344"/>
    </row>
    <row r="25">
      <c r="A25" s="346" t="s">
        <v>2</v>
      </c>
      <c r="B25" s="346" t="s">
        <v>393</v>
      </c>
      <c r="C25" s="346" t="s">
        <v>394</v>
      </c>
      <c r="D25" s="346" t="s">
        <v>395</v>
      </c>
      <c r="E25" s="346" t="s">
        <v>396</v>
      </c>
      <c r="F25" s="346" t="s">
        <v>397</v>
      </c>
      <c r="G25" s="346" t="s">
        <v>398</v>
      </c>
      <c r="H25" s="346" t="s">
        <v>399</v>
      </c>
    </row>
    <row r="26">
      <c r="A26" s="348">
        <v>1.0</v>
      </c>
      <c r="B26" s="349">
        <f t="shared" ref="B26:B29" si="6">+2</f>
        <v>2</v>
      </c>
      <c r="C26" s="348" t="s">
        <v>419</v>
      </c>
      <c r="D26" s="348">
        <v>2.0</v>
      </c>
      <c r="E26" s="348" t="s">
        <v>107</v>
      </c>
      <c r="F26" s="348" t="s">
        <v>107</v>
      </c>
      <c r="G26" s="348" t="s">
        <v>107</v>
      </c>
      <c r="H26" s="348" t="s">
        <v>107</v>
      </c>
    </row>
    <row r="27">
      <c r="A27" s="348">
        <v>2.0</v>
      </c>
      <c r="B27" s="349">
        <f t="shared" si="6"/>
        <v>2</v>
      </c>
      <c r="C27" s="348" t="s">
        <v>420</v>
      </c>
      <c r="D27" s="348">
        <v>2.0</v>
      </c>
      <c r="E27" s="348" t="s">
        <v>107</v>
      </c>
      <c r="F27" s="348" t="s">
        <v>107</v>
      </c>
      <c r="G27" s="348" t="s">
        <v>107</v>
      </c>
      <c r="H27" s="348" t="s">
        <v>107</v>
      </c>
    </row>
    <row r="28">
      <c r="A28" s="348">
        <v>3.0</v>
      </c>
      <c r="B28" s="349">
        <f t="shared" si="6"/>
        <v>2</v>
      </c>
      <c r="C28" s="348" t="s">
        <v>421</v>
      </c>
      <c r="D28" s="348">
        <v>3.0</v>
      </c>
      <c r="E28" s="348" t="s">
        <v>107</v>
      </c>
      <c r="F28" s="348" t="s">
        <v>107</v>
      </c>
      <c r="G28" s="348" t="s">
        <v>107</v>
      </c>
      <c r="H28" s="348" t="s">
        <v>107</v>
      </c>
    </row>
    <row r="29">
      <c r="A29" s="348">
        <v>4.0</v>
      </c>
      <c r="B29" s="349">
        <f t="shared" si="6"/>
        <v>2</v>
      </c>
      <c r="C29" s="348" t="s">
        <v>404</v>
      </c>
      <c r="D29" s="348">
        <v>3.0</v>
      </c>
      <c r="E29" s="348" t="s">
        <v>107</v>
      </c>
      <c r="F29" s="348" t="s">
        <v>107</v>
      </c>
      <c r="G29" s="348" t="s">
        <v>107</v>
      </c>
      <c r="H29" s="348" t="s">
        <v>107</v>
      </c>
    </row>
    <row r="30">
      <c r="A30" s="348">
        <v>5.0</v>
      </c>
      <c r="B30" s="349">
        <f t="shared" ref="B30:B33" si="7">+3</f>
        <v>3</v>
      </c>
      <c r="C30" s="348" t="s">
        <v>422</v>
      </c>
      <c r="D30" s="348">
        <v>4.0</v>
      </c>
      <c r="E30" s="348">
        <v>2.0</v>
      </c>
      <c r="F30" s="348" t="s">
        <v>107</v>
      </c>
      <c r="G30" s="348" t="s">
        <v>107</v>
      </c>
      <c r="H30" s="348" t="s">
        <v>107</v>
      </c>
    </row>
    <row r="31">
      <c r="A31" s="348">
        <v>6.0</v>
      </c>
      <c r="B31" s="349">
        <f t="shared" si="7"/>
        <v>3</v>
      </c>
      <c r="C31" s="348" t="s">
        <v>423</v>
      </c>
      <c r="D31" s="348">
        <v>4.0</v>
      </c>
      <c r="E31" s="348">
        <v>2.0</v>
      </c>
      <c r="F31" s="348" t="s">
        <v>107</v>
      </c>
      <c r="G31" s="348" t="s">
        <v>107</v>
      </c>
      <c r="H31" s="348" t="s">
        <v>107</v>
      </c>
    </row>
    <row r="32">
      <c r="A32" s="348">
        <v>7.0</v>
      </c>
      <c r="B32" s="349">
        <f t="shared" si="7"/>
        <v>3</v>
      </c>
      <c r="C32" s="348" t="s">
        <v>424</v>
      </c>
      <c r="D32" s="348">
        <v>4.0</v>
      </c>
      <c r="E32" s="348">
        <v>3.0</v>
      </c>
      <c r="F32" s="348" t="s">
        <v>107</v>
      </c>
      <c r="G32" s="348" t="s">
        <v>107</v>
      </c>
      <c r="H32" s="348" t="s">
        <v>107</v>
      </c>
    </row>
    <row r="33">
      <c r="A33" s="348">
        <v>8.0</v>
      </c>
      <c r="B33" s="349">
        <f t="shared" si="7"/>
        <v>3</v>
      </c>
      <c r="C33" s="348" t="s">
        <v>404</v>
      </c>
      <c r="D33" s="348">
        <v>4.0</v>
      </c>
      <c r="E33" s="348">
        <v>3.0</v>
      </c>
      <c r="F33" s="348" t="s">
        <v>107</v>
      </c>
      <c r="G33" s="348" t="s">
        <v>107</v>
      </c>
      <c r="H33" s="348" t="s">
        <v>107</v>
      </c>
    </row>
    <row r="34">
      <c r="A34" s="348">
        <v>9.0</v>
      </c>
      <c r="B34" s="349">
        <f t="shared" ref="B34:B37" si="8">+4</f>
        <v>4</v>
      </c>
      <c r="C34" s="348" t="s">
        <v>425</v>
      </c>
      <c r="D34" s="348">
        <v>4.0</v>
      </c>
      <c r="E34" s="348">
        <v>3.0</v>
      </c>
      <c r="F34" s="348">
        <v>2.0</v>
      </c>
      <c r="G34" s="348" t="s">
        <v>107</v>
      </c>
      <c r="H34" s="348" t="s">
        <v>107</v>
      </c>
    </row>
    <row r="35">
      <c r="A35" s="348">
        <v>10.0</v>
      </c>
      <c r="B35" s="349">
        <f t="shared" si="8"/>
        <v>4</v>
      </c>
      <c r="C35" s="348" t="s">
        <v>426</v>
      </c>
      <c r="D35" s="348">
        <v>4.0</v>
      </c>
      <c r="E35" s="348">
        <v>3.0</v>
      </c>
      <c r="F35" s="348">
        <v>2.0</v>
      </c>
      <c r="G35" s="348" t="s">
        <v>107</v>
      </c>
      <c r="H35" s="348" t="s">
        <v>107</v>
      </c>
    </row>
    <row r="36">
      <c r="A36" s="348">
        <v>11.0</v>
      </c>
      <c r="B36" s="349">
        <f t="shared" si="8"/>
        <v>4</v>
      </c>
      <c r="C36" s="348" t="s">
        <v>427</v>
      </c>
      <c r="D36" s="348">
        <v>4.0</v>
      </c>
      <c r="E36" s="348">
        <v>3.0</v>
      </c>
      <c r="F36" s="348">
        <v>3.0</v>
      </c>
      <c r="G36" s="348" t="s">
        <v>107</v>
      </c>
      <c r="H36" s="348" t="s">
        <v>107</v>
      </c>
    </row>
    <row r="37">
      <c r="A37" s="348">
        <v>12.0</v>
      </c>
      <c r="B37" s="349">
        <f t="shared" si="8"/>
        <v>4</v>
      </c>
      <c r="C37" s="348" t="s">
        <v>404</v>
      </c>
      <c r="D37" s="348">
        <v>4.0</v>
      </c>
      <c r="E37" s="348">
        <v>3.0</v>
      </c>
      <c r="F37" s="348">
        <v>3.0</v>
      </c>
      <c r="G37" s="348" t="s">
        <v>107</v>
      </c>
      <c r="H37" s="348" t="s">
        <v>107</v>
      </c>
    </row>
    <row r="38">
      <c r="A38" s="348">
        <v>13.0</v>
      </c>
      <c r="B38" s="349">
        <f t="shared" ref="B38:B41" si="9">+5</f>
        <v>5</v>
      </c>
      <c r="C38" s="348" t="s">
        <v>428</v>
      </c>
      <c r="D38" s="348">
        <v>4.0</v>
      </c>
      <c r="E38" s="348">
        <v>3.0</v>
      </c>
      <c r="F38" s="348">
        <v>3.0</v>
      </c>
      <c r="G38" s="348">
        <v>1.0</v>
      </c>
      <c r="H38" s="348" t="s">
        <v>107</v>
      </c>
    </row>
    <row r="39">
      <c r="A39" s="348">
        <v>14.0</v>
      </c>
      <c r="B39" s="349">
        <f t="shared" si="9"/>
        <v>5</v>
      </c>
      <c r="C39" s="348" t="s">
        <v>429</v>
      </c>
      <c r="D39" s="348">
        <v>4.0</v>
      </c>
      <c r="E39" s="348">
        <v>3.0</v>
      </c>
      <c r="F39" s="348">
        <v>3.0</v>
      </c>
      <c r="G39" s="348">
        <v>1.0</v>
      </c>
      <c r="H39" s="348" t="s">
        <v>107</v>
      </c>
    </row>
    <row r="40">
      <c r="A40" s="348">
        <v>15.0</v>
      </c>
      <c r="B40" s="349">
        <f t="shared" si="9"/>
        <v>5</v>
      </c>
      <c r="C40" s="348" t="s">
        <v>430</v>
      </c>
      <c r="D40" s="348">
        <v>4.0</v>
      </c>
      <c r="E40" s="348">
        <v>3.0</v>
      </c>
      <c r="F40" s="348">
        <v>3.0</v>
      </c>
      <c r="G40" s="348">
        <v>2.0</v>
      </c>
      <c r="H40" s="348" t="s">
        <v>107</v>
      </c>
    </row>
    <row r="41">
      <c r="A41" s="348">
        <v>16.0</v>
      </c>
      <c r="B41" s="349">
        <f t="shared" si="9"/>
        <v>5</v>
      </c>
      <c r="C41" s="348" t="s">
        <v>404</v>
      </c>
      <c r="D41" s="348">
        <v>4.0</v>
      </c>
      <c r="E41" s="348">
        <v>3.0</v>
      </c>
      <c r="F41" s="348">
        <v>3.0</v>
      </c>
      <c r="G41" s="348">
        <v>2.0</v>
      </c>
      <c r="H41" s="348" t="s">
        <v>107</v>
      </c>
    </row>
    <row r="42">
      <c r="A42" s="348">
        <v>17.0</v>
      </c>
      <c r="B42" s="349">
        <f t="shared" ref="B42:B45" si="10">+6</f>
        <v>6</v>
      </c>
      <c r="C42" s="348" t="s">
        <v>431</v>
      </c>
      <c r="D42" s="348">
        <v>4.0</v>
      </c>
      <c r="E42" s="348">
        <v>3.0</v>
      </c>
      <c r="F42" s="348">
        <v>3.0</v>
      </c>
      <c r="G42" s="348">
        <v>3.0</v>
      </c>
      <c r="H42" s="348">
        <v>1.0</v>
      </c>
    </row>
    <row r="43">
      <c r="A43" s="348">
        <v>18.0</v>
      </c>
      <c r="B43" s="349">
        <f t="shared" si="10"/>
        <v>6</v>
      </c>
      <c r="C43" s="348" t="s">
        <v>432</v>
      </c>
      <c r="D43" s="348">
        <v>4.0</v>
      </c>
      <c r="E43" s="348">
        <v>3.0</v>
      </c>
      <c r="F43" s="348">
        <v>3.0</v>
      </c>
      <c r="G43" s="348">
        <v>3.0</v>
      </c>
      <c r="H43" s="348">
        <v>1.0</v>
      </c>
    </row>
    <row r="44">
      <c r="A44" s="348">
        <v>19.0</v>
      </c>
      <c r="B44" s="349">
        <f t="shared" si="10"/>
        <v>6</v>
      </c>
      <c r="C44" s="348" t="s">
        <v>404</v>
      </c>
      <c r="D44" s="348">
        <v>4.0</v>
      </c>
      <c r="E44" s="348">
        <v>3.0</v>
      </c>
      <c r="F44" s="348">
        <v>3.0</v>
      </c>
      <c r="G44" s="348">
        <v>3.0</v>
      </c>
      <c r="H44" s="348">
        <v>2.0</v>
      </c>
    </row>
    <row r="45">
      <c r="A45" s="350">
        <v>20.0</v>
      </c>
      <c r="B45" s="351">
        <f t="shared" si="10"/>
        <v>6</v>
      </c>
      <c r="C45" s="350" t="s">
        <v>433</v>
      </c>
      <c r="D45" s="350">
        <v>4.0</v>
      </c>
      <c r="E45" s="350">
        <v>3.0</v>
      </c>
      <c r="F45" s="350">
        <v>3.0</v>
      </c>
      <c r="G45" s="350">
        <v>3.0</v>
      </c>
      <c r="H45" s="350">
        <v>2.0</v>
      </c>
    </row>
    <row r="46">
      <c r="A46" s="344"/>
      <c r="B46" s="344"/>
      <c r="C46" s="344"/>
      <c r="D46" s="344"/>
      <c r="E46" s="344"/>
      <c r="F46" s="344"/>
      <c r="G46" s="344"/>
      <c r="H46" s="344"/>
    </row>
    <row r="47">
      <c r="A47" s="344"/>
      <c r="B47" s="344"/>
      <c r="C47" s="344"/>
      <c r="D47" s="344"/>
      <c r="E47" s="344"/>
      <c r="F47" s="344"/>
      <c r="G47" s="344"/>
      <c r="H47" s="344"/>
    </row>
    <row r="48">
      <c r="A48" s="344"/>
      <c r="B48" s="344"/>
      <c r="C48" s="345" t="s">
        <v>434</v>
      </c>
      <c r="D48" s="344"/>
      <c r="E48" s="344"/>
      <c r="F48" s="344"/>
      <c r="G48" s="344"/>
      <c r="H48" s="344"/>
    </row>
    <row r="49">
      <c r="A49" s="346" t="s">
        <v>2</v>
      </c>
      <c r="B49" s="346" t="s">
        <v>393</v>
      </c>
      <c r="C49" s="346" t="s">
        <v>394</v>
      </c>
      <c r="D49" s="346" t="s">
        <v>435</v>
      </c>
      <c r="E49" s="346" t="s">
        <v>107</v>
      </c>
      <c r="F49" s="346" t="s">
        <v>107</v>
      </c>
      <c r="G49" s="346" t="s">
        <v>107</v>
      </c>
      <c r="H49" s="346" t="s">
        <v>107</v>
      </c>
    </row>
    <row r="50">
      <c r="A50" s="348">
        <v>1.0</v>
      </c>
      <c r="B50" s="349">
        <f t="shared" ref="B50:B53" si="11">+2</f>
        <v>2</v>
      </c>
      <c r="C50" s="348" t="s">
        <v>436</v>
      </c>
      <c r="D50" s="348">
        <v>2.0</v>
      </c>
      <c r="E50" s="348" t="s">
        <v>107</v>
      </c>
      <c r="F50" s="348" t="s">
        <v>107</v>
      </c>
      <c r="G50" s="348" t="s">
        <v>107</v>
      </c>
      <c r="H50" s="348" t="s">
        <v>107</v>
      </c>
    </row>
    <row r="51">
      <c r="A51" s="348">
        <v>2.0</v>
      </c>
      <c r="B51" s="349">
        <f t="shared" si="11"/>
        <v>2</v>
      </c>
      <c r="C51" s="348" t="s">
        <v>437</v>
      </c>
      <c r="D51" s="348">
        <v>2.0</v>
      </c>
      <c r="E51" s="348" t="s">
        <v>107</v>
      </c>
      <c r="F51" s="348" t="s">
        <v>107</v>
      </c>
      <c r="G51" s="348" t="s">
        <v>107</v>
      </c>
      <c r="H51" s="348" t="s">
        <v>107</v>
      </c>
    </row>
    <row r="52">
      <c r="A52" s="348">
        <v>3.0</v>
      </c>
      <c r="B52" s="349">
        <f t="shared" si="11"/>
        <v>2</v>
      </c>
      <c r="C52" s="348" t="s">
        <v>438</v>
      </c>
      <c r="D52" s="348">
        <v>3.0</v>
      </c>
      <c r="E52" s="348" t="s">
        <v>107</v>
      </c>
      <c r="F52" s="348" t="s">
        <v>107</v>
      </c>
      <c r="G52" s="348" t="s">
        <v>107</v>
      </c>
      <c r="H52" s="348" t="s">
        <v>107</v>
      </c>
    </row>
    <row r="53">
      <c r="A53" s="348">
        <v>4.0</v>
      </c>
      <c r="B53" s="349">
        <f t="shared" si="11"/>
        <v>2</v>
      </c>
      <c r="C53" s="348" t="s">
        <v>404</v>
      </c>
      <c r="D53" s="348">
        <v>3.0</v>
      </c>
      <c r="E53" s="348" t="s">
        <v>107</v>
      </c>
      <c r="F53" s="348" t="s">
        <v>107</v>
      </c>
      <c r="G53" s="348" t="s">
        <v>107</v>
      </c>
      <c r="H53" s="348" t="s">
        <v>107</v>
      </c>
    </row>
    <row r="54">
      <c r="A54" s="348">
        <v>5.0</v>
      </c>
      <c r="B54" s="349">
        <f t="shared" ref="B54:B57" si="12">+3</f>
        <v>3</v>
      </c>
      <c r="C54" s="348" t="s">
        <v>439</v>
      </c>
      <c r="D54" s="348">
        <v>3.0</v>
      </c>
      <c r="E54" s="348" t="s">
        <v>107</v>
      </c>
      <c r="F54" s="348" t="s">
        <v>107</v>
      </c>
      <c r="G54" s="348" t="s">
        <v>107</v>
      </c>
      <c r="H54" s="348" t="s">
        <v>107</v>
      </c>
    </row>
    <row r="55">
      <c r="A55" s="348">
        <v>6.0</v>
      </c>
      <c r="B55" s="349">
        <f t="shared" si="12"/>
        <v>3</v>
      </c>
      <c r="C55" s="348" t="s">
        <v>440</v>
      </c>
      <c r="D55" s="348">
        <v>4.0</v>
      </c>
      <c r="E55" s="348" t="s">
        <v>107</v>
      </c>
      <c r="F55" s="348" t="s">
        <v>107</v>
      </c>
      <c r="G55" s="348" t="s">
        <v>107</v>
      </c>
      <c r="H55" s="348" t="s">
        <v>107</v>
      </c>
    </row>
    <row r="56">
      <c r="A56" s="348">
        <v>7.0</v>
      </c>
      <c r="B56" s="349">
        <f t="shared" si="12"/>
        <v>3</v>
      </c>
      <c r="C56" s="348" t="s">
        <v>441</v>
      </c>
      <c r="D56" s="348">
        <v>4.0</v>
      </c>
      <c r="E56" s="348" t="s">
        <v>107</v>
      </c>
      <c r="F56" s="348" t="s">
        <v>107</v>
      </c>
      <c r="G56" s="348" t="s">
        <v>107</v>
      </c>
      <c r="H56" s="348" t="s">
        <v>107</v>
      </c>
    </row>
    <row r="57">
      <c r="A57" s="348">
        <v>8.0</v>
      </c>
      <c r="B57" s="349">
        <f t="shared" si="12"/>
        <v>3</v>
      </c>
      <c r="C57" s="348" t="s">
        <v>404</v>
      </c>
      <c r="D57" s="348">
        <v>4.0</v>
      </c>
      <c r="E57" s="348" t="s">
        <v>107</v>
      </c>
      <c r="F57" s="348" t="s">
        <v>107</v>
      </c>
      <c r="G57" s="348" t="s">
        <v>107</v>
      </c>
      <c r="H57" s="348" t="s">
        <v>107</v>
      </c>
    </row>
    <row r="58">
      <c r="A58" s="348">
        <v>9.0</v>
      </c>
      <c r="B58" s="349">
        <f t="shared" ref="B58:B61" si="13">+4</f>
        <v>4</v>
      </c>
      <c r="C58" s="348" t="s">
        <v>442</v>
      </c>
      <c r="D58" s="348">
        <v>5.0</v>
      </c>
      <c r="E58" s="348" t="s">
        <v>107</v>
      </c>
      <c r="F58" s="348" t="s">
        <v>107</v>
      </c>
      <c r="G58" s="348" t="s">
        <v>107</v>
      </c>
      <c r="H58" s="348" t="s">
        <v>107</v>
      </c>
    </row>
    <row r="59">
      <c r="A59" s="348">
        <v>10.0</v>
      </c>
      <c r="B59" s="349">
        <f t="shared" si="13"/>
        <v>4</v>
      </c>
      <c r="C59" s="348" t="s">
        <v>443</v>
      </c>
      <c r="D59" s="348">
        <v>5.0</v>
      </c>
      <c r="E59" s="348" t="s">
        <v>107</v>
      </c>
      <c r="F59" s="348" t="s">
        <v>107</v>
      </c>
      <c r="G59" s="348" t="s">
        <v>107</v>
      </c>
      <c r="H59" s="348" t="s">
        <v>107</v>
      </c>
    </row>
    <row r="60">
      <c r="A60" s="348">
        <v>11.0</v>
      </c>
      <c r="B60" s="349">
        <f t="shared" si="13"/>
        <v>4</v>
      </c>
      <c r="C60" s="348" t="s">
        <v>444</v>
      </c>
      <c r="D60" s="348">
        <v>5.0</v>
      </c>
      <c r="E60" s="348" t="s">
        <v>107</v>
      </c>
      <c r="F60" s="348" t="s">
        <v>107</v>
      </c>
      <c r="G60" s="348" t="s">
        <v>107</v>
      </c>
      <c r="H60" s="348" t="s">
        <v>107</v>
      </c>
    </row>
    <row r="61">
      <c r="A61" s="348">
        <v>12.0</v>
      </c>
      <c r="B61" s="349">
        <f t="shared" si="13"/>
        <v>4</v>
      </c>
      <c r="C61" s="348" t="s">
        <v>404</v>
      </c>
      <c r="D61" s="348">
        <v>6.0</v>
      </c>
      <c r="E61" s="348" t="s">
        <v>107</v>
      </c>
      <c r="F61" s="348" t="s">
        <v>107</v>
      </c>
      <c r="G61" s="348" t="s">
        <v>107</v>
      </c>
      <c r="H61" s="348" t="s">
        <v>107</v>
      </c>
    </row>
    <row r="62">
      <c r="A62" s="348">
        <v>13.0</v>
      </c>
      <c r="B62" s="349">
        <f t="shared" ref="B62:B64" si="14">+5</f>
        <v>5</v>
      </c>
      <c r="C62" s="348" t="s">
        <v>445</v>
      </c>
      <c r="D62" s="348">
        <v>6.0</v>
      </c>
      <c r="E62" s="348" t="s">
        <v>107</v>
      </c>
      <c r="F62" s="348" t="s">
        <v>107</v>
      </c>
      <c r="G62" s="348" t="s">
        <v>107</v>
      </c>
      <c r="H62" s="348" t="s">
        <v>107</v>
      </c>
    </row>
    <row r="63">
      <c r="A63" s="348">
        <v>14.0</v>
      </c>
      <c r="B63" s="349">
        <f t="shared" si="14"/>
        <v>5</v>
      </c>
      <c r="C63" s="348" t="s">
        <v>404</v>
      </c>
      <c r="D63" s="348">
        <v>6.0</v>
      </c>
      <c r="E63" s="348" t="s">
        <v>107</v>
      </c>
      <c r="F63" s="348" t="s">
        <v>107</v>
      </c>
      <c r="G63" s="348" t="s">
        <v>107</v>
      </c>
      <c r="H63" s="348" t="s">
        <v>107</v>
      </c>
    </row>
    <row r="64">
      <c r="A64" s="348">
        <v>15.0</v>
      </c>
      <c r="B64" s="349">
        <f t="shared" si="14"/>
        <v>5</v>
      </c>
      <c r="C64" s="348" t="s">
        <v>446</v>
      </c>
      <c r="D64" s="348">
        <v>7.0</v>
      </c>
      <c r="E64" s="348" t="s">
        <v>107</v>
      </c>
      <c r="F64" s="348" t="s">
        <v>107</v>
      </c>
      <c r="G64" s="348" t="s">
        <v>107</v>
      </c>
      <c r="H64" s="348" t="s">
        <v>107</v>
      </c>
    </row>
    <row r="65">
      <c r="A65" s="348">
        <v>18.0</v>
      </c>
      <c r="B65" s="349">
        <f t="shared" ref="B65:B66" si="15">+6</f>
        <v>6</v>
      </c>
      <c r="C65" s="348" t="s">
        <v>447</v>
      </c>
      <c r="D65" s="348">
        <v>7.0</v>
      </c>
      <c r="E65" s="348" t="s">
        <v>107</v>
      </c>
      <c r="F65" s="348" t="s">
        <v>107</v>
      </c>
      <c r="G65" s="348" t="s">
        <v>107</v>
      </c>
      <c r="H65" s="348" t="s">
        <v>107</v>
      </c>
    </row>
    <row r="66">
      <c r="A66" s="348">
        <v>20.0</v>
      </c>
      <c r="B66" s="349">
        <f t="shared" si="15"/>
        <v>6</v>
      </c>
      <c r="C66" s="348" t="s">
        <v>448</v>
      </c>
      <c r="D66" s="348">
        <v>7.0</v>
      </c>
      <c r="E66" s="348" t="s">
        <v>107</v>
      </c>
      <c r="F66" s="348" t="s">
        <v>107</v>
      </c>
      <c r="G66" s="348" t="s">
        <v>107</v>
      </c>
      <c r="H66" s="348" t="s">
        <v>107</v>
      </c>
    </row>
    <row r="67">
      <c r="A67" s="352"/>
      <c r="B67" s="353"/>
      <c r="C67" s="352"/>
      <c r="D67" s="352"/>
      <c r="E67" s="352"/>
      <c r="F67" s="352"/>
      <c r="G67" s="352"/>
      <c r="H67" s="352"/>
    </row>
    <row r="68">
      <c r="A68" s="354"/>
      <c r="B68" s="355"/>
      <c r="C68" s="354" t="s">
        <v>449</v>
      </c>
      <c r="D68" s="354"/>
      <c r="E68" s="354"/>
      <c r="F68" s="354"/>
      <c r="G68" s="354"/>
      <c r="H68" s="354"/>
    </row>
    <row r="69">
      <c r="A69" s="346" t="s">
        <v>2</v>
      </c>
      <c r="B69" s="346" t="s">
        <v>393</v>
      </c>
      <c r="C69" s="346" t="s">
        <v>394</v>
      </c>
      <c r="D69" s="346" t="s">
        <v>395</v>
      </c>
      <c r="E69" s="346" t="s">
        <v>396</v>
      </c>
      <c r="F69" s="346" t="s">
        <v>397</v>
      </c>
      <c r="G69" s="346" t="s">
        <v>398</v>
      </c>
      <c r="H69" s="346" t="s">
        <v>399</v>
      </c>
    </row>
    <row r="70">
      <c r="A70" s="348">
        <v>1.0</v>
      </c>
      <c r="B70" s="349">
        <f t="shared" ref="B70:B73" si="16">+2</f>
        <v>2</v>
      </c>
      <c r="C70" s="348" t="s">
        <v>450</v>
      </c>
      <c r="D70" s="348">
        <v>2.0</v>
      </c>
      <c r="E70" s="348" t="s">
        <v>107</v>
      </c>
      <c r="F70" s="348" t="s">
        <v>107</v>
      </c>
      <c r="G70" s="348" t="s">
        <v>107</v>
      </c>
      <c r="H70" s="348" t="s">
        <v>107</v>
      </c>
    </row>
    <row r="71">
      <c r="A71" s="348">
        <v>2.0</v>
      </c>
      <c r="B71" s="349">
        <f t="shared" si="16"/>
        <v>2</v>
      </c>
      <c r="C71" s="348" t="s">
        <v>451</v>
      </c>
      <c r="D71" s="348">
        <v>2.0</v>
      </c>
      <c r="E71" s="348" t="s">
        <v>107</v>
      </c>
      <c r="F71" s="348" t="s">
        <v>107</v>
      </c>
      <c r="G71" s="348" t="s">
        <v>107</v>
      </c>
      <c r="H71" s="348" t="s">
        <v>107</v>
      </c>
    </row>
    <row r="72">
      <c r="A72" s="348">
        <v>3.0</v>
      </c>
      <c r="B72" s="349">
        <f t="shared" si="16"/>
        <v>2</v>
      </c>
      <c r="C72" s="348" t="s">
        <v>452</v>
      </c>
      <c r="D72" s="348">
        <v>3.0</v>
      </c>
      <c r="E72" s="348" t="s">
        <v>107</v>
      </c>
      <c r="F72" s="348" t="s">
        <v>107</v>
      </c>
      <c r="G72" s="348" t="s">
        <v>107</v>
      </c>
      <c r="H72" s="348" t="s">
        <v>107</v>
      </c>
    </row>
    <row r="73">
      <c r="A73" s="348">
        <v>4.0</v>
      </c>
      <c r="B73" s="349">
        <f t="shared" si="16"/>
        <v>2</v>
      </c>
      <c r="C73" s="348" t="s">
        <v>404</v>
      </c>
      <c r="D73" s="348">
        <v>3.0</v>
      </c>
      <c r="E73" s="348" t="s">
        <v>107</v>
      </c>
      <c r="F73" s="348" t="s">
        <v>107</v>
      </c>
      <c r="G73" s="348" t="s">
        <v>107</v>
      </c>
      <c r="H73" s="348" t="s">
        <v>107</v>
      </c>
    </row>
    <row r="74">
      <c r="A74" s="348">
        <v>5.0</v>
      </c>
      <c r="B74" s="349">
        <f t="shared" ref="B74:B77" si="17">+3</f>
        <v>3</v>
      </c>
      <c r="C74" s="348" t="s">
        <v>453</v>
      </c>
      <c r="D74" s="348">
        <v>4.0</v>
      </c>
      <c r="E74" s="348">
        <v>2.0</v>
      </c>
      <c r="F74" s="348" t="s">
        <v>107</v>
      </c>
      <c r="G74" s="348" t="s">
        <v>107</v>
      </c>
      <c r="H74" s="348" t="s">
        <v>107</v>
      </c>
    </row>
    <row r="75">
      <c r="A75" s="348">
        <v>6.0</v>
      </c>
      <c r="B75" s="349">
        <f t="shared" si="17"/>
        <v>3</v>
      </c>
      <c r="C75" s="348" t="s">
        <v>454</v>
      </c>
      <c r="D75" s="348">
        <v>4.0</v>
      </c>
      <c r="E75" s="348">
        <v>2.0</v>
      </c>
      <c r="F75" s="348" t="s">
        <v>107</v>
      </c>
      <c r="G75" s="348" t="s">
        <v>107</v>
      </c>
      <c r="H75" s="348" t="s">
        <v>107</v>
      </c>
    </row>
    <row r="76">
      <c r="A76" s="348">
        <v>7.0</v>
      </c>
      <c r="B76" s="349">
        <f t="shared" si="17"/>
        <v>3</v>
      </c>
      <c r="C76" s="348" t="s">
        <v>455</v>
      </c>
      <c r="D76" s="348">
        <v>4.0</v>
      </c>
      <c r="E76" s="348">
        <v>3.0</v>
      </c>
      <c r="F76" s="348" t="s">
        <v>107</v>
      </c>
      <c r="G76" s="348" t="s">
        <v>107</v>
      </c>
      <c r="H76" s="348" t="s">
        <v>107</v>
      </c>
    </row>
    <row r="77">
      <c r="A77" s="348">
        <v>8.0</v>
      </c>
      <c r="B77" s="349">
        <f t="shared" si="17"/>
        <v>3</v>
      </c>
      <c r="C77" s="348" t="s">
        <v>404</v>
      </c>
      <c r="D77" s="348">
        <v>4.0</v>
      </c>
      <c r="E77" s="348">
        <v>3.0</v>
      </c>
      <c r="F77" s="348" t="s">
        <v>107</v>
      </c>
      <c r="G77" s="348" t="s">
        <v>107</v>
      </c>
      <c r="H77" s="348" t="s">
        <v>107</v>
      </c>
    </row>
    <row r="78">
      <c r="A78" s="348">
        <v>9.0</v>
      </c>
      <c r="B78" s="349">
        <f t="shared" ref="B78:B81" si="18">+4</f>
        <v>4</v>
      </c>
      <c r="C78" s="348" t="s">
        <v>456</v>
      </c>
      <c r="D78" s="348">
        <v>4.0</v>
      </c>
      <c r="E78" s="348">
        <v>3.0</v>
      </c>
      <c r="F78" s="348">
        <v>2.0</v>
      </c>
      <c r="G78" s="348" t="s">
        <v>107</v>
      </c>
      <c r="H78" s="348" t="s">
        <v>107</v>
      </c>
    </row>
    <row r="79">
      <c r="A79" s="348">
        <v>10.0</v>
      </c>
      <c r="B79" s="349">
        <f t="shared" si="18"/>
        <v>4</v>
      </c>
      <c r="C79" s="348" t="s">
        <v>457</v>
      </c>
      <c r="D79" s="348">
        <v>4.0</v>
      </c>
      <c r="E79" s="348">
        <v>3.0</v>
      </c>
      <c r="F79" s="348">
        <v>2.0</v>
      </c>
      <c r="G79" s="348" t="s">
        <v>107</v>
      </c>
      <c r="H79" s="348" t="s">
        <v>107</v>
      </c>
    </row>
    <row r="80">
      <c r="A80" s="348">
        <v>11.0</v>
      </c>
      <c r="B80" s="349">
        <f t="shared" si="18"/>
        <v>4</v>
      </c>
      <c r="C80" s="348" t="s">
        <v>458</v>
      </c>
      <c r="D80" s="348">
        <v>4.0</v>
      </c>
      <c r="E80" s="348">
        <v>3.0</v>
      </c>
      <c r="F80" s="348">
        <v>3.0</v>
      </c>
      <c r="G80" s="348" t="s">
        <v>107</v>
      </c>
      <c r="H80" s="348" t="s">
        <v>107</v>
      </c>
    </row>
    <row r="81">
      <c r="A81" s="348">
        <v>12.0</v>
      </c>
      <c r="B81" s="349">
        <f t="shared" si="18"/>
        <v>4</v>
      </c>
      <c r="C81" s="348" t="s">
        <v>404</v>
      </c>
      <c r="D81" s="348">
        <v>4.0</v>
      </c>
      <c r="E81" s="348">
        <v>3.0</v>
      </c>
      <c r="F81" s="348">
        <v>3.0</v>
      </c>
      <c r="G81" s="348" t="s">
        <v>107</v>
      </c>
      <c r="H81" s="348" t="s">
        <v>107</v>
      </c>
    </row>
    <row r="82">
      <c r="A82" s="348">
        <v>13.0</v>
      </c>
      <c r="B82" s="349">
        <f t="shared" ref="B82:B85" si="19">+5</f>
        <v>5</v>
      </c>
      <c r="C82" s="348" t="s">
        <v>459</v>
      </c>
      <c r="D82" s="348">
        <v>4.0</v>
      </c>
      <c r="E82" s="348">
        <v>3.0</v>
      </c>
      <c r="F82" s="348">
        <v>3.0</v>
      </c>
      <c r="G82" s="348">
        <v>1.0</v>
      </c>
      <c r="H82" s="348" t="s">
        <v>107</v>
      </c>
    </row>
    <row r="83">
      <c r="A83" s="348">
        <v>14.0</v>
      </c>
      <c r="B83" s="349">
        <f t="shared" si="19"/>
        <v>5</v>
      </c>
      <c r="C83" s="348" t="s">
        <v>460</v>
      </c>
      <c r="D83" s="348">
        <v>4.0</v>
      </c>
      <c r="E83" s="348">
        <v>3.0</v>
      </c>
      <c r="F83" s="348">
        <v>3.0</v>
      </c>
      <c r="G83" s="348">
        <v>1.0</v>
      </c>
      <c r="H83" s="348" t="s">
        <v>107</v>
      </c>
    </row>
    <row r="84">
      <c r="A84" s="348">
        <v>15.0</v>
      </c>
      <c r="B84" s="349">
        <f t="shared" si="19"/>
        <v>5</v>
      </c>
      <c r="C84" s="348" t="s">
        <v>404</v>
      </c>
      <c r="D84" s="348">
        <v>4.0</v>
      </c>
      <c r="E84" s="348">
        <v>3.0</v>
      </c>
      <c r="F84" s="348">
        <v>3.0</v>
      </c>
      <c r="G84" s="348">
        <v>2.0</v>
      </c>
      <c r="H84" s="348" t="s">
        <v>107</v>
      </c>
    </row>
    <row r="85">
      <c r="A85" s="348">
        <v>16.0</v>
      </c>
      <c r="B85" s="349">
        <f t="shared" si="19"/>
        <v>5</v>
      </c>
      <c r="C85" s="348" t="s">
        <v>404</v>
      </c>
      <c r="D85" s="348">
        <v>4.0</v>
      </c>
      <c r="E85" s="348">
        <v>3.0</v>
      </c>
      <c r="F85" s="348">
        <v>3.0</v>
      </c>
      <c r="G85" s="348">
        <v>2.0</v>
      </c>
      <c r="H85" s="348" t="s">
        <v>107</v>
      </c>
    </row>
    <row r="86">
      <c r="A86" s="348">
        <v>17.0</v>
      </c>
      <c r="B86" s="349">
        <f t="shared" ref="B86:B89" si="20">+6</f>
        <v>6</v>
      </c>
      <c r="C86" s="348" t="s">
        <v>461</v>
      </c>
      <c r="D86" s="348">
        <v>4.0</v>
      </c>
      <c r="E86" s="348">
        <v>3.0</v>
      </c>
      <c r="F86" s="348">
        <v>3.0</v>
      </c>
      <c r="G86" s="348">
        <v>3.0</v>
      </c>
      <c r="H86" s="348">
        <v>1.0</v>
      </c>
    </row>
    <row r="87">
      <c r="A87" s="348">
        <v>18.0</v>
      </c>
      <c r="B87" s="349">
        <f t="shared" si="20"/>
        <v>6</v>
      </c>
      <c r="C87" s="348" t="s">
        <v>462</v>
      </c>
      <c r="D87" s="348">
        <v>4.0</v>
      </c>
      <c r="E87" s="348">
        <v>3.0</v>
      </c>
      <c r="F87" s="348">
        <v>3.0</v>
      </c>
      <c r="G87" s="348">
        <v>3.0</v>
      </c>
      <c r="H87" s="348">
        <v>1.0</v>
      </c>
    </row>
    <row r="88">
      <c r="A88" s="348">
        <v>19.0</v>
      </c>
      <c r="B88" s="349">
        <f t="shared" si="20"/>
        <v>6</v>
      </c>
      <c r="C88" s="348" t="s">
        <v>404</v>
      </c>
      <c r="D88" s="348">
        <v>4.0</v>
      </c>
      <c r="E88" s="348">
        <v>3.0</v>
      </c>
      <c r="F88" s="348">
        <v>3.0</v>
      </c>
      <c r="G88" s="348">
        <v>3.0</v>
      </c>
      <c r="H88" s="348">
        <v>2.0</v>
      </c>
    </row>
    <row r="89">
      <c r="A89" s="350">
        <v>20.0</v>
      </c>
      <c r="B89" s="351">
        <f t="shared" si="20"/>
        <v>6</v>
      </c>
      <c r="C89" s="350" t="s">
        <v>463</v>
      </c>
      <c r="D89" s="350">
        <v>4.0</v>
      </c>
      <c r="E89" s="350">
        <v>3.0</v>
      </c>
      <c r="F89" s="350">
        <v>3.0</v>
      </c>
      <c r="G89" s="350">
        <v>3.0</v>
      </c>
      <c r="H89" s="350">
        <v>2.0</v>
      </c>
    </row>
    <row r="90">
      <c r="A90" s="344"/>
      <c r="B90" s="344"/>
      <c r="C90" s="344"/>
      <c r="D90" s="344"/>
      <c r="E90" s="344"/>
      <c r="F90" s="344"/>
      <c r="G90" s="344"/>
      <c r="H90" s="344"/>
    </row>
    <row r="91">
      <c r="A91" s="344"/>
      <c r="B91" s="344"/>
      <c r="C91" s="345" t="s">
        <v>464</v>
      </c>
      <c r="D91" s="344"/>
      <c r="E91" s="344"/>
      <c r="F91" s="344"/>
      <c r="G91" s="344"/>
      <c r="H91" s="344"/>
    </row>
    <row r="92">
      <c r="A92" s="356" t="s">
        <v>2</v>
      </c>
      <c r="B92" s="356" t="s">
        <v>465</v>
      </c>
      <c r="C92" s="356" t="s">
        <v>394</v>
      </c>
      <c r="D92" s="356" t="s">
        <v>466</v>
      </c>
      <c r="E92" s="356" t="s">
        <v>467</v>
      </c>
      <c r="F92" s="356" t="s">
        <v>468</v>
      </c>
      <c r="G92" s="356" t="s">
        <v>469</v>
      </c>
      <c r="H92" s="356" t="s">
        <v>470</v>
      </c>
    </row>
    <row r="93">
      <c r="A93" s="357">
        <v>1.0</v>
      </c>
      <c r="B93" s="358">
        <f t="shared" ref="B93:B96" si="21">+2</f>
        <v>2</v>
      </c>
      <c r="C93" s="357" t="s">
        <v>471</v>
      </c>
      <c r="D93" s="357">
        <v>2.0</v>
      </c>
      <c r="E93" s="357" t="s">
        <v>107</v>
      </c>
      <c r="F93" s="357" t="s">
        <v>107</v>
      </c>
      <c r="G93" s="357" t="s">
        <v>107</v>
      </c>
      <c r="H93" s="357" t="s">
        <v>107</v>
      </c>
    </row>
    <row r="94">
      <c r="A94" s="357">
        <v>2.0</v>
      </c>
      <c r="B94" s="358">
        <f t="shared" si="21"/>
        <v>2</v>
      </c>
      <c r="C94" s="357" t="s">
        <v>472</v>
      </c>
      <c r="D94" s="357">
        <v>2.0</v>
      </c>
      <c r="E94" s="357" t="s">
        <v>107</v>
      </c>
      <c r="F94" s="357" t="s">
        <v>107</v>
      </c>
      <c r="G94" s="357" t="s">
        <v>107</v>
      </c>
      <c r="H94" s="357" t="s">
        <v>107</v>
      </c>
    </row>
    <row r="95">
      <c r="A95" s="357">
        <v>3.0</v>
      </c>
      <c r="B95" s="358">
        <f t="shared" si="21"/>
        <v>2</v>
      </c>
      <c r="C95" s="357" t="s">
        <v>473</v>
      </c>
      <c r="D95" s="357">
        <v>3.0</v>
      </c>
      <c r="E95" s="357" t="s">
        <v>107</v>
      </c>
      <c r="F95" s="357" t="s">
        <v>107</v>
      </c>
      <c r="G95" s="357" t="s">
        <v>107</v>
      </c>
      <c r="H95" s="357" t="s">
        <v>107</v>
      </c>
    </row>
    <row r="96">
      <c r="A96" s="357">
        <v>4.0</v>
      </c>
      <c r="B96" s="358">
        <f t="shared" si="21"/>
        <v>2</v>
      </c>
      <c r="C96" s="357" t="s">
        <v>404</v>
      </c>
      <c r="D96" s="357">
        <v>3.0</v>
      </c>
      <c r="E96" s="357" t="s">
        <v>107</v>
      </c>
      <c r="F96" s="357" t="s">
        <v>107</v>
      </c>
      <c r="G96" s="357" t="s">
        <v>107</v>
      </c>
      <c r="H96" s="357" t="s">
        <v>107</v>
      </c>
    </row>
    <row r="97">
      <c r="A97" s="357">
        <v>5.0</v>
      </c>
      <c r="B97" s="358">
        <f t="shared" ref="B97:B100" si="22">+3</f>
        <v>3</v>
      </c>
      <c r="C97" s="357" t="s">
        <v>474</v>
      </c>
      <c r="D97" s="357">
        <v>4.0</v>
      </c>
      <c r="E97" s="357">
        <v>2.0</v>
      </c>
      <c r="F97" s="357" t="s">
        <v>107</v>
      </c>
      <c r="G97" s="357" t="s">
        <v>107</v>
      </c>
      <c r="H97" s="357" t="s">
        <v>107</v>
      </c>
    </row>
    <row r="98">
      <c r="A98" s="357">
        <v>6.0</v>
      </c>
      <c r="B98" s="358">
        <f t="shared" si="22"/>
        <v>3</v>
      </c>
      <c r="C98" s="357" t="s">
        <v>475</v>
      </c>
      <c r="D98" s="357">
        <v>4.0</v>
      </c>
      <c r="E98" s="357">
        <v>2.0</v>
      </c>
      <c r="F98" s="357" t="s">
        <v>107</v>
      </c>
      <c r="G98" s="357" t="s">
        <v>107</v>
      </c>
      <c r="H98" s="357" t="s">
        <v>107</v>
      </c>
    </row>
    <row r="99">
      <c r="A99" s="357">
        <v>7.0</v>
      </c>
      <c r="B99" s="358">
        <f t="shared" si="22"/>
        <v>3</v>
      </c>
      <c r="C99" s="357" t="s">
        <v>476</v>
      </c>
      <c r="D99" s="357">
        <v>4.0</v>
      </c>
      <c r="E99" s="357">
        <v>3.0</v>
      </c>
      <c r="F99" s="357" t="s">
        <v>107</v>
      </c>
      <c r="G99" s="357" t="s">
        <v>107</v>
      </c>
      <c r="H99" s="357" t="s">
        <v>107</v>
      </c>
    </row>
    <row r="100">
      <c r="A100" s="357">
        <v>8.0</v>
      </c>
      <c r="B100" s="358">
        <f t="shared" si="22"/>
        <v>3</v>
      </c>
      <c r="C100" s="357" t="s">
        <v>404</v>
      </c>
      <c r="D100" s="357">
        <v>4.0</v>
      </c>
      <c r="E100" s="357">
        <v>3.0</v>
      </c>
      <c r="F100" s="357" t="s">
        <v>107</v>
      </c>
      <c r="G100" s="357" t="s">
        <v>107</v>
      </c>
      <c r="H100" s="357" t="s">
        <v>107</v>
      </c>
    </row>
    <row r="101">
      <c r="A101" s="357">
        <v>9.0</v>
      </c>
      <c r="B101" s="358">
        <f t="shared" ref="B101:B104" si="23">+4</f>
        <v>4</v>
      </c>
      <c r="C101" s="357" t="s">
        <v>477</v>
      </c>
      <c r="D101" s="357">
        <v>4.0</v>
      </c>
      <c r="E101" s="357">
        <v>3.0</v>
      </c>
      <c r="F101" s="357">
        <v>2.0</v>
      </c>
      <c r="G101" s="357" t="s">
        <v>107</v>
      </c>
      <c r="H101" s="357" t="s">
        <v>107</v>
      </c>
    </row>
    <row r="102">
      <c r="A102" s="357">
        <v>10.0</v>
      </c>
      <c r="B102" s="358">
        <f t="shared" si="23"/>
        <v>4</v>
      </c>
      <c r="C102" s="357" t="s">
        <v>478</v>
      </c>
      <c r="D102" s="357">
        <v>4.0</v>
      </c>
      <c r="E102" s="357">
        <v>3.0</v>
      </c>
      <c r="F102" s="357">
        <v>2.0</v>
      </c>
      <c r="G102" s="357" t="s">
        <v>107</v>
      </c>
      <c r="H102" s="357" t="s">
        <v>107</v>
      </c>
    </row>
    <row r="103">
      <c r="A103" s="357">
        <v>11.0</v>
      </c>
      <c r="B103" s="358">
        <f t="shared" si="23"/>
        <v>4</v>
      </c>
      <c r="C103" s="357" t="s">
        <v>479</v>
      </c>
      <c r="D103" s="357">
        <v>4.0</v>
      </c>
      <c r="E103" s="357">
        <v>3.0</v>
      </c>
      <c r="F103" s="357">
        <v>3.0</v>
      </c>
      <c r="G103" s="357" t="s">
        <v>107</v>
      </c>
      <c r="H103" s="357" t="s">
        <v>107</v>
      </c>
    </row>
    <row r="104">
      <c r="A104" s="357">
        <v>12.0</v>
      </c>
      <c r="B104" s="358">
        <f t="shared" si="23"/>
        <v>4</v>
      </c>
      <c r="C104" s="357" t="s">
        <v>404</v>
      </c>
      <c r="D104" s="357">
        <v>4.0</v>
      </c>
      <c r="E104" s="357">
        <v>3.0</v>
      </c>
      <c r="F104" s="357">
        <v>3.0</v>
      </c>
      <c r="G104" s="357" t="s">
        <v>107</v>
      </c>
      <c r="H104" s="357" t="s">
        <v>107</v>
      </c>
    </row>
    <row r="105">
      <c r="A105" s="357">
        <v>13.0</v>
      </c>
      <c r="B105" s="358">
        <f t="shared" ref="B105:B108" si="24">+5</f>
        <v>5</v>
      </c>
      <c r="C105" s="357" t="s">
        <v>480</v>
      </c>
      <c r="D105" s="357">
        <v>4.0</v>
      </c>
      <c r="E105" s="357">
        <v>3.0</v>
      </c>
      <c r="F105" s="357">
        <v>3.0</v>
      </c>
      <c r="G105" s="357">
        <v>1.0</v>
      </c>
      <c r="H105" s="357" t="s">
        <v>107</v>
      </c>
    </row>
    <row r="106">
      <c r="A106" s="357">
        <v>14.0</v>
      </c>
      <c r="B106" s="358">
        <f t="shared" si="24"/>
        <v>5</v>
      </c>
      <c r="C106" s="357" t="s">
        <v>481</v>
      </c>
      <c r="D106" s="357">
        <v>4.0</v>
      </c>
      <c r="E106" s="357">
        <v>3.0</v>
      </c>
      <c r="F106" s="357">
        <v>3.0</v>
      </c>
      <c r="G106" s="357">
        <v>1.0</v>
      </c>
      <c r="H106" s="357" t="s">
        <v>107</v>
      </c>
    </row>
    <row r="107">
      <c r="A107" s="357">
        <v>15.0</v>
      </c>
      <c r="B107" s="358">
        <f t="shared" si="24"/>
        <v>5</v>
      </c>
      <c r="C107" s="357" t="s">
        <v>482</v>
      </c>
      <c r="D107" s="357">
        <v>4.0</v>
      </c>
      <c r="E107" s="357">
        <v>3.0</v>
      </c>
      <c r="F107" s="357">
        <v>3.0</v>
      </c>
      <c r="G107" s="357">
        <v>2.0</v>
      </c>
      <c r="H107" s="357" t="s">
        <v>107</v>
      </c>
    </row>
    <row r="108">
      <c r="A108" s="357">
        <v>16.0</v>
      </c>
      <c r="B108" s="358">
        <f t="shared" si="24"/>
        <v>5</v>
      </c>
      <c r="C108" s="357" t="s">
        <v>404</v>
      </c>
      <c r="D108" s="357">
        <v>4.0</v>
      </c>
      <c r="E108" s="357">
        <v>3.0</v>
      </c>
      <c r="F108" s="357">
        <v>3.0</v>
      </c>
      <c r="G108" s="357">
        <v>2.0</v>
      </c>
      <c r="H108" s="357" t="s">
        <v>107</v>
      </c>
    </row>
    <row r="109">
      <c r="A109" s="357">
        <v>17.0</v>
      </c>
      <c r="B109" s="358">
        <f t="shared" ref="B109:B112" si="25">+6</f>
        <v>6</v>
      </c>
      <c r="C109" s="357" t="s">
        <v>483</v>
      </c>
      <c r="D109" s="357">
        <v>4.0</v>
      </c>
      <c r="E109" s="357">
        <v>3.0</v>
      </c>
      <c r="F109" s="357">
        <v>3.0</v>
      </c>
      <c r="G109" s="357">
        <v>3.0</v>
      </c>
      <c r="H109" s="357">
        <v>1.0</v>
      </c>
    </row>
    <row r="110">
      <c r="A110" s="357">
        <v>18.0</v>
      </c>
      <c r="B110" s="358">
        <f t="shared" si="25"/>
        <v>6</v>
      </c>
      <c r="C110" s="357" t="s">
        <v>484</v>
      </c>
      <c r="D110" s="357">
        <v>4.0</v>
      </c>
      <c r="E110" s="357">
        <v>3.0</v>
      </c>
      <c r="F110" s="357">
        <v>3.0</v>
      </c>
      <c r="G110" s="357">
        <v>3.0</v>
      </c>
      <c r="H110" s="357">
        <v>1.0</v>
      </c>
    </row>
    <row r="111">
      <c r="A111" s="357">
        <v>19.0</v>
      </c>
      <c r="B111" s="358">
        <f t="shared" si="25"/>
        <v>6</v>
      </c>
      <c r="C111" s="357" t="s">
        <v>404</v>
      </c>
      <c r="D111" s="357">
        <v>4.0</v>
      </c>
      <c r="E111" s="357">
        <v>3.0</v>
      </c>
      <c r="F111" s="357">
        <v>3.0</v>
      </c>
      <c r="G111" s="357">
        <v>3.0</v>
      </c>
      <c r="H111" s="357">
        <v>2.0</v>
      </c>
    </row>
    <row r="112">
      <c r="A112" s="359">
        <v>20.0</v>
      </c>
      <c r="B112" s="360">
        <f t="shared" si="25"/>
        <v>6</v>
      </c>
      <c r="C112" s="359" t="s">
        <v>485</v>
      </c>
      <c r="D112" s="359">
        <v>4.0</v>
      </c>
      <c r="E112" s="359">
        <v>3.0</v>
      </c>
      <c r="F112" s="359">
        <v>3.0</v>
      </c>
      <c r="G112" s="359">
        <v>3.0</v>
      </c>
      <c r="H112" s="359">
        <v>2.0</v>
      </c>
    </row>
    <row r="113">
      <c r="A113" s="344"/>
      <c r="B113" s="344"/>
      <c r="C113" s="344"/>
      <c r="D113" s="344"/>
      <c r="E113" s="344"/>
      <c r="F113" s="344"/>
      <c r="G113" s="344"/>
      <c r="H113" s="344"/>
    </row>
    <row r="114">
      <c r="A114" s="344"/>
      <c r="B114" s="344"/>
      <c r="C114" s="345" t="s">
        <v>486</v>
      </c>
      <c r="D114" s="344"/>
      <c r="E114" s="344"/>
      <c r="F114" s="344"/>
      <c r="G114" s="344"/>
      <c r="H114" s="344"/>
    </row>
    <row r="115">
      <c r="A115" s="361" t="s">
        <v>2</v>
      </c>
      <c r="B115" s="361" t="s">
        <v>393</v>
      </c>
      <c r="C115" s="361" t="s">
        <v>394</v>
      </c>
      <c r="D115" s="361" t="s">
        <v>487</v>
      </c>
      <c r="E115" s="361" t="s">
        <v>488</v>
      </c>
      <c r="F115" s="361" t="s">
        <v>489</v>
      </c>
      <c r="G115" s="362"/>
      <c r="H115" s="362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>
      <c r="A116" s="357">
        <v>1.0</v>
      </c>
      <c r="B116" s="358">
        <f t="shared" ref="B116:B119" si="26">+2</f>
        <v>2</v>
      </c>
      <c r="C116" s="357" t="s">
        <v>490</v>
      </c>
      <c r="D116" s="357">
        <v>3.0</v>
      </c>
      <c r="E116" s="357">
        <v>1.0</v>
      </c>
      <c r="F116" s="357">
        <v>1.0</v>
      </c>
      <c r="G116" s="358"/>
      <c r="H116" s="358"/>
    </row>
    <row r="117">
      <c r="A117" s="357">
        <v>2.0</v>
      </c>
      <c r="B117" s="358">
        <f t="shared" si="26"/>
        <v>2</v>
      </c>
      <c r="C117" s="357" t="s">
        <v>491</v>
      </c>
      <c r="D117" s="357">
        <v>4.0</v>
      </c>
      <c r="E117" s="357">
        <v>2.0</v>
      </c>
      <c r="F117" s="357">
        <v>1.0</v>
      </c>
      <c r="G117" s="358"/>
      <c r="H117" s="358"/>
    </row>
    <row r="118">
      <c r="A118" s="357">
        <v>3.0</v>
      </c>
      <c r="B118" s="358">
        <f t="shared" si="26"/>
        <v>2</v>
      </c>
      <c r="C118" s="357" t="s">
        <v>492</v>
      </c>
      <c r="D118" s="357">
        <v>5.0</v>
      </c>
      <c r="E118" s="357">
        <v>2.0</v>
      </c>
      <c r="F118" s="357">
        <v>2.0</v>
      </c>
      <c r="G118" s="358"/>
      <c r="H118" s="358"/>
    </row>
    <row r="119">
      <c r="A119" s="357">
        <v>4.0</v>
      </c>
      <c r="B119" s="358">
        <f t="shared" si="26"/>
        <v>2</v>
      </c>
      <c r="C119" s="357" t="s">
        <v>404</v>
      </c>
      <c r="D119" s="357">
        <v>6.0</v>
      </c>
      <c r="E119" s="357">
        <v>2.0</v>
      </c>
      <c r="F119" s="357">
        <v>2.0</v>
      </c>
      <c r="G119" s="358"/>
      <c r="H119" s="358"/>
    </row>
    <row r="120">
      <c r="A120" s="357">
        <v>5.0</v>
      </c>
      <c r="B120" s="358">
        <f t="shared" ref="B120:B123" si="27">+3</f>
        <v>3</v>
      </c>
      <c r="C120" s="357" t="s">
        <v>493</v>
      </c>
      <c r="D120" s="357">
        <v>7.0</v>
      </c>
      <c r="E120" s="357">
        <v>3.0</v>
      </c>
      <c r="F120" s="357">
        <v>3.0</v>
      </c>
      <c r="G120" s="358"/>
      <c r="H120" s="358"/>
    </row>
    <row r="121">
      <c r="A121" s="357">
        <v>6.0</v>
      </c>
      <c r="B121" s="358">
        <f t="shared" si="27"/>
        <v>3</v>
      </c>
      <c r="C121" s="357" t="s">
        <v>494</v>
      </c>
      <c r="D121" s="357">
        <v>8.0</v>
      </c>
      <c r="E121" s="357">
        <v>3.0</v>
      </c>
      <c r="F121" s="357">
        <v>3.0</v>
      </c>
      <c r="G121" s="358"/>
      <c r="H121" s="358"/>
    </row>
    <row r="122">
      <c r="A122" s="357">
        <v>7.0</v>
      </c>
      <c r="B122" s="358">
        <f t="shared" si="27"/>
        <v>3</v>
      </c>
      <c r="C122" s="357" t="s">
        <v>495</v>
      </c>
      <c r="D122" s="357">
        <v>9.0</v>
      </c>
      <c r="E122" s="357">
        <v>3.0</v>
      </c>
      <c r="F122" s="357">
        <v>4.0</v>
      </c>
      <c r="G122" s="358"/>
      <c r="H122" s="358"/>
    </row>
    <row r="123">
      <c r="A123" s="357">
        <v>8.0</v>
      </c>
      <c r="B123" s="358">
        <f t="shared" si="27"/>
        <v>3</v>
      </c>
      <c r="C123" s="357" t="s">
        <v>404</v>
      </c>
      <c r="D123" s="357">
        <v>10.0</v>
      </c>
      <c r="E123" s="357">
        <v>3.0</v>
      </c>
      <c r="F123" s="357">
        <v>4.0</v>
      </c>
      <c r="G123" s="358"/>
      <c r="H123" s="358"/>
    </row>
    <row r="124">
      <c r="A124" s="357">
        <v>9.0</v>
      </c>
      <c r="B124" s="358">
        <f t="shared" ref="B124:B127" si="28">+4</f>
        <v>4</v>
      </c>
      <c r="C124" s="357" t="s">
        <v>496</v>
      </c>
      <c r="D124" s="357">
        <v>11.0</v>
      </c>
      <c r="E124" s="357">
        <v>3.0</v>
      </c>
      <c r="F124" s="357">
        <v>5.0</v>
      </c>
      <c r="G124" s="358"/>
      <c r="H124" s="358"/>
    </row>
    <row r="125">
      <c r="A125" s="357">
        <v>10.0</v>
      </c>
      <c r="B125" s="358">
        <f t="shared" si="28"/>
        <v>4</v>
      </c>
      <c r="C125" s="357" t="s">
        <v>497</v>
      </c>
      <c r="D125" s="357">
        <v>12.0</v>
      </c>
      <c r="E125" s="357">
        <v>4.0</v>
      </c>
      <c r="F125" s="357">
        <v>5.0</v>
      </c>
      <c r="G125" s="358"/>
      <c r="H125" s="358"/>
    </row>
    <row r="126">
      <c r="A126" s="357">
        <v>11.0</v>
      </c>
      <c r="B126" s="358">
        <f t="shared" si="28"/>
        <v>4</v>
      </c>
      <c r="C126" s="357" t="s">
        <v>498</v>
      </c>
      <c r="D126" s="357">
        <v>13.0</v>
      </c>
      <c r="E126" s="357">
        <v>4.0</v>
      </c>
      <c r="F126" s="357">
        <v>5.0</v>
      </c>
      <c r="G126" s="358"/>
      <c r="H126" s="358"/>
    </row>
    <row r="127">
      <c r="A127" s="357">
        <v>12.0</v>
      </c>
      <c r="B127" s="358">
        <f t="shared" si="28"/>
        <v>4</v>
      </c>
      <c r="C127" s="357" t="s">
        <v>404</v>
      </c>
      <c r="D127" s="357">
        <v>14.0</v>
      </c>
      <c r="E127" s="357">
        <v>4.0</v>
      </c>
      <c r="F127" s="357">
        <v>5.0</v>
      </c>
      <c r="G127" s="358"/>
      <c r="H127" s="358"/>
    </row>
    <row r="128">
      <c r="A128" s="357">
        <v>13.0</v>
      </c>
      <c r="B128" s="358">
        <f t="shared" ref="B128:B131" si="29">+5</f>
        <v>5</v>
      </c>
      <c r="C128" s="357" t="s">
        <v>499</v>
      </c>
      <c r="D128" s="357">
        <v>15.0</v>
      </c>
      <c r="E128" s="357">
        <v>4.0</v>
      </c>
      <c r="F128" s="357">
        <v>5.0</v>
      </c>
      <c r="G128" s="358"/>
      <c r="H128" s="358"/>
    </row>
    <row r="129">
      <c r="A129" s="357">
        <v>14.0</v>
      </c>
      <c r="B129" s="358">
        <f t="shared" si="29"/>
        <v>5</v>
      </c>
      <c r="C129" s="357" t="s">
        <v>500</v>
      </c>
      <c r="D129" s="357">
        <v>16.0</v>
      </c>
      <c r="E129" s="357">
        <v>4.0</v>
      </c>
      <c r="F129" s="357">
        <v>5.0</v>
      </c>
      <c r="G129" s="358"/>
      <c r="H129" s="358"/>
    </row>
    <row r="130">
      <c r="A130" s="357">
        <v>15.0</v>
      </c>
      <c r="B130" s="358">
        <f t="shared" si="29"/>
        <v>5</v>
      </c>
      <c r="C130" s="357" t="s">
        <v>501</v>
      </c>
      <c r="D130" s="357">
        <v>17.0</v>
      </c>
      <c r="E130" s="357">
        <v>4.0</v>
      </c>
      <c r="F130" s="357">
        <v>5.0</v>
      </c>
      <c r="G130" s="358"/>
      <c r="H130" s="358"/>
    </row>
    <row r="131">
      <c r="A131" s="357">
        <v>16.0</v>
      </c>
      <c r="B131" s="358">
        <f t="shared" si="29"/>
        <v>5</v>
      </c>
      <c r="C131" s="357" t="s">
        <v>404</v>
      </c>
      <c r="D131" s="357">
        <v>18.0</v>
      </c>
      <c r="E131" s="357">
        <v>4.0</v>
      </c>
      <c r="F131" s="357">
        <v>5.0</v>
      </c>
      <c r="G131" s="358"/>
      <c r="H131" s="358"/>
    </row>
    <row r="132">
      <c r="A132" s="357">
        <v>17.0</v>
      </c>
      <c r="B132" s="358">
        <f t="shared" ref="B132:B135" si="30">+6</f>
        <v>6</v>
      </c>
      <c r="C132" s="357" t="s">
        <v>502</v>
      </c>
      <c r="D132" s="357">
        <v>19.0</v>
      </c>
      <c r="E132" s="357">
        <v>4.0</v>
      </c>
      <c r="F132" s="357">
        <v>5.0</v>
      </c>
      <c r="G132" s="358"/>
      <c r="H132" s="358"/>
    </row>
    <row r="133">
      <c r="A133" s="357">
        <v>18.0</v>
      </c>
      <c r="B133" s="358">
        <f t="shared" si="30"/>
        <v>6</v>
      </c>
      <c r="C133" s="357" t="s">
        <v>503</v>
      </c>
      <c r="D133" s="357">
        <v>20.0</v>
      </c>
      <c r="E133" s="357">
        <v>4.0</v>
      </c>
      <c r="F133" s="357">
        <v>5.0</v>
      </c>
      <c r="G133" s="358"/>
      <c r="H133" s="358"/>
    </row>
    <row r="134">
      <c r="A134" s="357">
        <v>19.0</v>
      </c>
      <c r="B134" s="358">
        <f t="shared" si="30"/>
        <v>6</v>
      </c>
      <c r="C134" s="357" t="s">
        <v>404</v>
      </c>
      <c r="D134" s="357">
        <v>21.0</v>
      </c>
      <c r="E134" s="357">
        <v>4.0</v>
      </c>
      <c r="F134" s="357">
        <v>5.0</v>
      </c>
      <c r="G134" s="358"/>
      <c r="H134" s="358"/>
    </row>
    <row r="135">
      <c r="A135" s="359">
        <v>20.0</v>
      </c>
      <c r="B135" s="360">
        <f t="shared" si="30"/>
        <v>6</v>
      </c>
      <c r="C135" s="359" t="s">
        <v>504</v>
      </c>
      <c r="D135" s="359">
        <v>22.0</v>
      </c>
      <c r="E135" s="359">
        <v>4.0</v>
      </c>
      <c r="F135" s="359">
        <v>5.0</v>
      </c>
      <c r="G135" s="360"/>
      <c r="H135" s="360"/>
    </row>
    <row r="136">
      <c r="A136" s="344"/>
      <c r="B136" s="344"/>
      <c r="C136" s="344"/>
      <c r="D136" s="344"/>
      <c r="E136" s="344"/>
      <c r="F136" s="344"/>
      <c r="G136" s="344"/>
      <c r="H136" s="344"/>
    </row>
    <row r="137">
      <c r="A137" s="344"/>
      <c r="B137" s="344"/>
      <c r="C137" s="345" t="s">
        <v>176</v>
      </c>
      <c r="D137" s="344"/>
      <c r="E137" s="344"/>
      <c r="F137" s="344"/>
      <c r="G137" s="344"/>
      <c r="H137" s="344"/>
    </row>
    <row r="138">
      <c r="A138" s="356" t="s">
        <v>2</v>
      </c>
      <c r="B138" s="356" t="s">
        <v>465</v>
      </c>
      <c r="C138" s="356" t="s">
        <v>394</v>
      </c>
      <c r="D138" s="356" t="s">
        <v>466</v>
      </c>
      <c r="E138" s="356" t="s">
        <v>467</v>
      </c>
      <c r="F138" s="356" t="s">
        <v>468</v>
      </c>
      <c r="G138" s="356" t="s">
        <v>469</v>
      </c>
      <c r="H138" s="356" t="s">
        <v>470</v>
      </c>
    </row>
    <row r="139">
      <c r="A139" s="357">
        <v>1.0</v>
      </c>
      <c r="B139" s="358">
        <f t="shared" ref="B139:B142" si="31">+2</f>
        <v>2</v>
      </c>
      <c r="C139" s="357" t="s">
        <v>505</v>
      </c>
      <c r="D139" s="357">
        <v>2.0</v>
      </c>
      <c r="E139" s="357" t="s">
        <v>107</v>
      </c>
      <c r="F139" s="357" t="s">
        <v>107</v>
      </c>
      <c r="G139" s="357" t="s">
        <v>107</v>
      </c>
      <c r="H139" s="357" t="s">
        <v>107</v>
      </c>
    </row>
    <row r="140">
      <c r="A140" s="357">
        <v>2.0</v>
      </c>
      <c r="B140" s="358">
        <f t="shared" si="31"/>
        <v>2</v>
      </c>
      <c r="C140" s="357" t="s">
        <v>506</v>
      </c>
      <c r="D140" s="357">
        <v>3.0</v>
      </c>
      <c r="E140" s="357" t="s">
        <v>107</v>
      </c>
      <c r="F140" s="357" t="s">
        <v>107</v>
      </c>
      <c r="G140" s="357" t="s">
        <v>107</v>
      </c>
      <c r="H140" s="357" t="s">
        <v>107</v>
      </c>
    </row>
    <row r="141">
      <c r="A141" s="357">
        <v>3.0</v>
      </c>
      <c r="B141" s="358">
        <f t="shared" si="31"/>
        <v>2</v>
      </c>
      <c r="C141" s="357" t="s">
        <v>507</v>
      </c>
      <c r="D141" s="357">
        <v>4.0</v>
      </c>
      <c r="E141" s="357">
        <v>2.0</v>
      </c>
      <c r="F141" s="357" t="s">
        <v>107</v>
      </c>
      <c r="G141" s="357" t="s">
        <v>107</v>
      </c>
      <c r="H141" s="357" t="s">
        <v>107</v>
      </c>
    </row>
    <row r="142">
      <c r="A142" s="357">
        <v>4.0</v>
      </c>
      <c r="B142" s="358">
        <f t="shared" si="31"/>
        <v>2</v>
      </c>
      <c r="C142" s="357" t="s">
        <v>404</v>
      </c>
      <c r="D142" s="357">
        <v>4.0</v>
      </c>
      <c r="E142" s="357">
        <v>2.0</v>
      </c>
      <c r="F142" s="357" t="s">
        <v>107</v>
      </c>
      <c r="G142" s="357" t="s">
        <v>107</v>
      </c>
      <c r="H142" s="357" t="s">
        <v>107</v>
      </c>
    </row>
    <row r="143">
      <c r="A143" s="357">
        <v>5.0</v>
      </c>
      <c r="B143" s="358">
        <f t="shared" ref="B143:B146" si="32">+3</f>
        <v>3</v>
      </c>
      <c r="C143" s="357" t="s">
        <v>508</v>
      </c>
      <c r="D143" s="357">
        <v>4.0</v>
      </c>
      <c r="E143" s="357">
        <v>2.0</v>
      </c>
      <c r="F143" s="357">
        <v>1.0</v>
      </c>
      <c r="G143" s="357" t="s">
        <v>107</v>
      </c>
      <c r="H143" s="357" t="s">
        <v>107</v>
      </c>
    </row>
    <row r="144">
      <c r="A144" s="357">
        <v>6.0</v>
      </c>
      <c r="B144" s="358">
        <f t="shared" si="32"/>
        <v>3</v>
      </c>
      <c r="C144" s="357" t="s">
        <v>509</v>
      </c>
      <c r="D144" s="357">
        <v>4.0</v>
      </c>
      <c r="E144" s="357">
        <v>2.0</v>
      </c>
      <c r="F144" s="357">
        <v>1.0</v>
      </c>
      <c r="G144" s="357" t="s">
        <v>107</v>
      </c>
      <c r="H144" s="357" t="s">
        <v>107</v>
      </c>
    </row>
    <row r="145">
      <c r="A145" s="357">
        <v>7.0</v>
      </c>
      <c r="B145" s="358">
        <f t="shared" si="32"/>
        <v>3</v>
      </c>
      <c r="C145" s="357" t="s">
        <v>510</v>
      </c>
      <c r="D145" s="357">
        <v>4.0</v>
      </c>
      <c r="E145" s="357">
        <v>3.0</v>
      </c>
      <c r="F145" s="357">
        <v>2.0</v>
      </c>
      <c r="G145" s="357" t="s">
        <v>107</v>
      </c>
      <c r="H145" s="357" t="s">
        <v>107</v>
      </c>
    </row>
    <row r="146">
      <c r="A146" s="357">
        <v>8.0</v>
      </c>
      <c r="B146" s="358">
        <f t="shared" si="32"/>
        <v>3</v>
      </c>
      <c r="C146" s="357" t="s">
        <v>404</v>
      </c>
      <c r="D146" s="357">
        <v>4.0</v>
      </c>
      <c r="E146" s="357">
        <v>3.0</v>
      </c>
      <c r="F146" s="357">
        <v>2.0</v>
      </c>
      <c r="G146" s="357" t="s">
        <v>107</v>
      </c>
      <c r="H146" s="357" t="s">
        <v>107</v>
      </c>
    </row>
    <row r="147">
      <c r="A147" s="357">
        <v>9.0</v>
      </c>
      <c r="B147" s="358">
        <f t="shared" ref="B147:B150" si="33">+4</f>
        <v>4</v>
      </c>
      <c r="C147" s="357" t="s">
        <v>511</v>
      </c>
      <c r="D147" s="357">
        <v>4.0</v>
      </c>
      <c r="E147" s="357">
        <v>3.0</v>
      </c>
      <c r="F147" s="357">
        <v>3.0</v>
      </c>
      <c r="G147" s="357" t="s">
        <v>107</v>
      </c>
      <c r="H147" s="357" t="s">
        <v>107</v>
      </c>
    </row>
    <row r="148">
      <c r="A148" s="357">
        <v>10.0</v>
      </c>
      <c r="B148" s="358">
        <f t="shared" si="33"/>
        <v>4</v>
      </c>
      <c r="C148" s="357" t="s">
        <v>512</v>
      </c>
      <c r="D148" s="357">
        <v>4.0</v>
      </c>
      <c r="E148" s="357">
        <v>3.0</v>
      </c>
      <c r="F148" s="357">
        <v>3.0</v>
      </c>
      <c r="G148" s="357">
        <v>1.0</v>
      </c>
      <c r="H148" s="357" t="s">
        <v>107</v>
      </c>
    </row>
    <row r="149">
      <c r="A149" s="357">
        <v>11.0</v>
      </c>
      <c r="B149" s="358">
        <f t="shared" si="33"/>
        <v>4</v>
      </c>
      <c r="C149" s="357" t="s">
        <v>513</v>
      </c>
      <c r="D149" s="357">
        <v>4.0</v>
      </c>
      <c r="E149" s="357">
        <v>3.0</v>
      </c>
      <c r="F149" s="357">
        <v>3.0</v>
      </c>
      <c r="G149" s="357">
        <v>1.0</v>
      </c>
      <c r="H149" s="357" t="s">
        <v>107</v>
      </c>
    </row>
    <row r="150">
      <c r="A150" s="357">
        <v>12.0</v>
      </c>
      <c r="B150" s="358">
        <f t="shared" si="33"/>
        <v>4</v>
      </c>
      <c r="C150" s="357" t="s">
        <v>404</v>
      </c>
      <c r="D150" s="357">
        <v>4.0</v>
      </c>
      <c r="E150" s="357">
        <v>3.0</v>
      </c>
      <c r="F150" s="357">
        <v>3.0</v>
      </c>
      <c r="G150" s="357">
        <v>1.0</v>
      </c>
      <c r="H150" s="357" t="s">
        <v>107</v>
      </c>
    </row>
    <row r="151">
      <c r="A151" s="357">
        <v>13.0</v>
      </c>
      <c r="B151" s="358">
        <f t="shared" ref="B151:B154" si="34">+5</f>
        <v>5</v>
      </c>
      <c r="C151" s="357" t="s">
        <v>514</v>
      </c>
      <c r="D151" s="357">
        <v>4.0</v>
      </c>
      <c r="E151" s="357">
        <v>3.0</v>
      </c>
      <c r="F151" s="357">
        <v>3.0</v>
      </c>
      <c r="G151" s="357">
        <v>1.0</v>
      </c>
      <c r="H151" s="357">
        <v>1.0</v>
      </c>
    </row>
    <row r="152">
      <c r="A152" s="357">
        <v>14.0</v>
      </c>
      <c r="B152" s="358">
        <f t="shared" si="34"/>
        <v>5</v>
      </c>
      <c r="C152" s="357" t="s">
        <v>515</v>
      </c>
      <c r="D152" s="357">
        <v>4.0</v>
      </c>
      <c r="E152" s="357">
        <v>3.0</v>
      </c>
      <c r="F152" s="357">
        <v>3.0</v>
      </c>
      <c r="G152" s="357">
        <v>2.0</v>
      </c>
      <c r="H152" s="357">
        <v>1.0</v>
      </c>
    </row>
    <row r="153">
      <c r="A153" s="357">
        <v>15.0</v>
      </c>
      <c r="B153" s="358">
        <f t="shared" si="34"/>
        <v>5</v>
      </c>
      <c r="C153" s="357" t="s">
        <v>516</v>
      </c>
      <c r="D153" s="357">
        <v>4.0</v>
      </c>
      <c r="E153" s="357">
        <v>3.0</v>
      </c>
      <c r="F153" s="357">
        <v>3.0</v>
      </c>
      <c r="G153" s="357">
        <v>2.0</v>
      </c>
      <c r="H153" s="357">
        <v>1.0</v>
      </c>
    </row>
    <row r="154">
      <c r="A154" s="357">
        <v>16.0</v>
      </c>
      <c r="B154" s="358">
        <f t="shared" si="34"/>
        <v>5</v>
      </c>
      <c r="C154" s="357" t="s">
        <v>404</v>
      </c>
      <c r="D154" s="357">
        <v>4.0</v>
      </c>
      <c r="E154" s="357">
        <v>3.0</v>
      </c>
      <c r="F154" s="357">
        <v>3.0</v>
      </c>
      <c r="G154" s="357">
        <v>2.0</v>
      </c>
      <c r="H154" s="357">
        <v>2.0</v>
      </c>
    </row>
    <row r="155">
      <c r="A155" s="357">
        <v>17.0</v>
      </c>
      <c r="B155" s="358">
        <f t="shared" ref="B155:B158" si="35">+6</f>
        <v>6</v>
      </c>
      <c r="C155" s="357" t="s">
        <v>517</v>
      </c>
      <c r="D155" s="357">
        <v>4.0</v>
      </c>
      <c r="E155" s="357">
        <v>3.0</v>
      </c>
      <c r="F155" s="357">
        <v>3.0</v>
      </c>
      <c r="G155" s="357">
        <v>3.0</v>
      </c>
      <c r="H155" s="357">
        <v>2.0</v>
      </c>
    </row>
    <row r="156">
      <c r="A156" s="357">
        <v>18.0</v>
      </c>
      <c r="B156" s="358">
        <f t="shared" si="35"/>
        <v>6</v>
      </c>
      <c r="C156" s="357" t="s">
        <v>518</v>
      </c>
      <c r="D156" s="357">
        <v>4.0</v>
      </c>
      <c r="E156" s="357">
        <v>3.0</v>
      </c>
      <c r="F156" s="357">
        <v>3.0</v>
      </c>
      <c r="G156" s="357">
        <v>3.0</v>
      </c>
      <c r="H156" s="357">
        <v>2.0</v>
      </c>
    </row>
    <row r="157">
      <c r="A157" s="357">
        <v>19.0</v>
      </c>
      <c r="B157" s="358">
        <f t="shared" si="35"/>
        <v>6</v>
      </c>
      <c r="C157" s="357" t="s">
        <v>404</v>
      </c>
      <c r="D157" s="357">
        <v>4.0</v>
      </c>
      <c r="E157" s="357">
        <v>3.0</v>
      </c>
      <c r="F157" s="357">
        <v>3.0</v>
      </c>
      <c r="G157" s="357">
        <v>3.0</v>
      </c>
      <c r="H157" s="357">
        <v>2.0</v>
      </c>
    </row>
    <row r="158">
      <c r="A158" s="359">
        <v>20.0</v>
      </c>
      <c r="B158" s="360">
        <f t="shared" si="35"/>
        <v>6</v>
      </c>
      <c r="C158" s="359" t="s">
        <v>519</v>
      </c>
      <c r="D158" s="359">
        <v>4.0</v>
      </c>
      <c r="E158" s="359">
        <v>3.0</v>
      </c>
      <c r="F158" s="359">
        <v>3.0</v>
      </c>
      <c r="G158" s="359">
        <v>3.0</v>
      </c>
      <c r="H158" s="359">
        <v>2.0</v>
      </c>
    </row>
    <row r="159">
      <c r="A159" s="344"/>
      <c r="B159" s="344"/>
      <c r="C159" s="344"/>
      <c r="D159" s="344"/>
      <c r="E159" s="344"/>
      <c r="F159" s="344"/>
      <c r="G159" s="344"/>
      <c r="H159" s="344"/>
    </row>
    <row r="160">
      <c r="A160" s="344"/>
      <c r="B160" s="344"/>
      <c r="C160" s="345" t="s">
        <v>520</v>
      </c>
      <c r="D160" s="344"/>
      <c r="E160" s="344"/>
      <c r="F160" s="344"/>
      <c r="G160" s="344"/>
      <c r="H160" s="344"/>
    </row>
    <row r="161">
      <c r="A161" s="356" t="s">
        <v>2</v>
      </c>
      <c r="B161" s="356" t="s">
        <v>465</v>
      </c>
      <c r="C161" s="356" t="s">
        <v>394</v>
      </c>
      <c r="D161" s="356" t="s">
        <v>466</v>
      </c>
      <c r="E161" s="356" t="s">
        <v>467</v>
      </c>
      <c r="F161" s="356" t="s">
        <v>468</v>
      </c>
      <c r="G161" s="363"/>
      <c r="H161" s="363"/>
    </row>
    <row r="162">
      <c r="A162" s="357">
        <v>1.0</v>
      </c>
      <c r="B162" s="358">
        <f t="shared" ref="B162:B165" si="36">+2</f>
        <v>2</v>
      </c>
      <c r="C162" s="357" t="s">
        <v>521</v>
      </c>
      <c r="D162" s="357" t="s">
        <v>107</v>
      </c>
      <c r="E162" s="357" t="s">
        <v>107</v>
      </c>
      <c r="F162" s="357" t="s">
        <v>107</v>
      </c>
      <c r="G162" s="358"/>
      <c r="H162" s="358"/>
    </row>
    <row r="163">
      <c r="A163" s="357">
        <v>2.0</v>
      </c>
      <c r="B163" s="358">
        <f t="shared" si="36"/>
        <v>2</v>
      </c>
      <c r="C163" s="357" t="s">
        <v>522</v>
      </c>
      <c r="D163" s="357" t="s">
        <v>107</v>
      </c>
      <c r="E163" s="357" t="s">
        <v>107</v>
      </c>
      <c r="F163" s="357" t="s">
        <v>107</v>
      </c>
      <c r="G163" s="358"/>
      <c r="H163" s="358"/>
    </row>
    <row r="164">
      <c r="A164" s="357">
        <v>3.0</v>
      </c>
      <c r="B164" s="358">
        <f t="shared" si="36"/>
        <v>2</v>
      </c>
      <c r="C164" s="357" t="s">
        <v>523</v>
      </c>
      <c r="D164" s="357" t="s">
        <v>107</v>
      </c>
      <c r="E164" s="357" t="s">
        <v>107</v>
      </c>
      <c r="F164" s="357" t="s">
        <v>107</v>
      </c>
      <c r="G164" s="358"/>
      <c r="H164" s="358"/>
    </row>
    <row r="165">
      <c r="A165" s="357">
        <v>4.0</v>
      </c>
      <c r="B165" s="358">
        <f t="shared" si="36"/>
        <v>2</v>
      </c>
      <c r="C165" s="357" t="s">
        <v>404</v>
      </c>
      <c r="D165" s="357" t="s">
        <v>107</v>
      </c>
      <c r="E165" s="357" t="s">
        <v>107</v>
      </c>
      <c r="F165" s="357" t="s">
        <v>107</v>
      </c>
      <c r="G165" s="358"/>
      <c r="H165" s="358"/>
    </row>
    <row r="166">
      <c r="A166" s="357">
        <v>5.0</v>
      </c>
      <c r="B166" s="358">
        <f t="shared" ref="B166:B169" si="37">+3</f>
        <v>3</v>
      </c>
      <c r="C166" s="357" t="s">
        <v>439</v>
      </c>
      <c r="D166" s="357" t="s">
        <v>107</v>
      </c>
      <c r="E166" s="357" t="s">
        <v>107</v>
      </c>
      <c r="F166" s="357" t="s">
        <v>107</v>
      </c>
      <c r="G166" s="358"/>
      <c r="H166" s="358"/>
    </row>
    <row r="167">
      <c r="A167" s="357">
        <v>6.0</v>
      </c>
      <c r="B167" s="358">
        <f t="shared" si="37"/>
        <v>3</v>
      </c>
      <c r="C167" s="357" t="s">
        <v>524</v>
      </c>
      <c r="D167" s="357" t="s">
        <v>107</v>
      </c>
      <c r="E167" s="357" t="s">
        <v>107</v>
      </c>
      <c r="F167" s="357" t="s">
        <v>107</v>
      </c>
      <c r="G167" s="358"/>
      <c r="H167" s="358"/>
    </row>
    <row r="168">
      <c r="A168" s="357">
        <v>7.0</v>
      </c>
      <c r="B168" s="358">
        <f t="shared" si="37"/>
        <v>3</v>
      </c>
      <c r="C168" s="357" t="s">
        <v>525</v>
      </c>
      <c r="D168" s="357" t="s">
        <v>107</v>
      </c>
      <c r="E168" s="357" t="s">
        <v>107</v>
      </c>
      <c r="F168" s="357" t="s">
        <v>107</v>
      </c>
      <c r="G168" s="358"/>
      <c r="H168" s="358"/>
    </row>
    <row r="169">
      <c r="A169" s="357">
        <v>8.0</v>
      </c>
      <c r="B169" s="358">
        <f t="shared" si="37"/>
        <v>3</v>
      </c>
      <c r="C169" s="357" t="s">
        <v>404</v>
      </c>
      <c r="D169" s="357" t="s">
        <v>107</v>
      </c>
      <c r="E169" s="357" t="s">
        <v>107</v>
      </c>
      <c r="F169" s="357" t="s">
        <v>107</v>
      </c>
      <c r="G169" s="358"/>
      <c r="H169" s="358"/>
    </row>
    <row r="170">
      <c r="A170" s="357">
        <v>9.0</v>
      </c>
      <c r="B170" s="358">
        <f t="shared" ref="B170:B173" si="38">+4</f>
        <v>4</v>
      </c>
      <c r="C170" s="357" t="s">
        <v>526</v>
      </c>
      <c r="D170" s="357" t="s">
        <v>107</v>
      </c>
      <c r="E170" s="357" t="s">
        <v>107</v>
      </c>
      <c r="F170" s="357" t="s">
        <v>107</v>
      </c>
      <c r="G170" s="358"/>
      <c r="H170" s="358"/>
    </row>
    <row r="171">
      <c r="A171" s="357">
        <v>10.0</v>
      </c>
      <c r="B171" s="358">
        <f t="shared" si="38"/>
        <v>4</v>
      </c>
      <c r="C171" s="357" t="s">
        <v>527</v>
      </c>
      <c r="D171" s="357" t="s">
        <v>107</v>
      </c>
      <c r="E171" s="357" t="s">
        <v>107</v>
      </c>
      <c r="F171" s="357" t="s">
        <v>107</v>
      </c>
      <c r="G171" s="358"/>
      <c r="H171" s="358"/>
    </row>
    <row r="172">
      <c r="A172" s="357">
        <v>11.0</v>
      </c>
      <c r="B172" s="358">
        <f t="shared" si="38"/>
        <v>4</v>
      </c>
      <c r="C172" s="357" t="s">
        <v>528</v>
      </c>
      <c r="D172" s="357" t="s">
        <v>107</v>
      </c>
      <c r="E172" s="357" t="s">
        <v>107</v>
      </c>
      <c r="F172" s="357" t="s">
        <v>107</v>
      </c>
      <c r="G172" s="358"/>
      <c r="H172" s="358"/>
    </row>
    <row r="173">
      <c r="A173" s="357">
        <v>12.0</v>
      </c>
      <c r="B173" s="358">
        <f t="shared" si="38"/>
        <v>4</v>
      </c>
      <c r="C173" s="357" t="s">
        <v>404</v>
      </c>
      <c r="D173" s="357" t="s">
        <v>107</v>
      </c>
      <c r="E173" s="357" t="s">
        <v>107</v>
      </c>
      <c r="F173" s="357" t="s">
        <v>107</v>
      </c>
      <c r="G173" s="358"/>
      <c r="H173" s="358"/>
    </row>
    <row r="174">
      <c r="A174" s="357">
        <v>13.0</v>
      </c>
      <c r="B174" s="358">
        <f t="shared" ref="B174:B176" si="39">+5</f>
        <v>5</v>
      </c>
      <c r="C174" s="357" t="s">
        <v>529</v>
      </c>
      <c r="D174" s="357" t="s">
        <v>107</v>
      </c>
      <c r="E174" s="357" t="s">
        <v>107</v>
      </c>
      <c r="F174" s="357" t="s">
        <v>107</v>
      </c>
      <c r="G174" s="358"/>
      <c r="H174" s="358"/>
    </row>
    <row r="175">
      <c r="A175" s="357">
        <v>14.0</v>
      </c>
      <c r="B175" s="358">
        <f t="shared" si="39"/>
        <v>5</v>
      </c>
      <c r="C175" s="357" t="s">
        <v>530</v>
      </c>
      <c r="D175" s="357" t="s">
        <v>107</v>
      </c>
      <c r="E175" s="357" t="s">
        <v>107</v>
      </c>
      <c r="F175" s="357" t="s">
        <v>107</v>
      </c>
      <c r="G175" s="358"/>
      <c r="H175" s="358"/>
    </row>
    <row r="176">
      <c r="A176" s="357">
        <v>15.0</v>
      </c>
      <c r="B176" s="358">
        <f t="shared" si="39"/>
        <v>5</v>
      </c>
      <c r="C176" s="357" t="s">
        <v>531</v>
      </c>
      <c r="D176" s="357" t="s">
        <v>107</v>
      </c>
      <c r="E176" s="357" t="s">
        <v>107</v>
      </c>
      <c r="F176" s="357" t="s">
        <v>107</v>
      </c>
      <c r="G176" s="358"/>
      <c r="H176" s="358"/>
    </row>
    <row r="177">
      <c r="A177" s="357">
        <v>18.0</v>
      </c>
      <c r="B177" s="358">
        <f t="shared" ref="B177:B178" si="40">+6</f>
        <v>6</v>
      </c>
      <c r="C177" s="357" t="s">
        <v>532</v>
      </c>
      <c r="D177" s="357" t="s">
        <v>107</v>
      </c>
      <c r="E177" s="357" t="s">
        <v>107</v>
      </c>
      <c r="F177" s="357" t="s">
        <v>107</v>
      </c>
      <c r="G177" s="358"/>
      <c r="H177" s="358"/>
    </row>
    <row r="178">
      <c r="A178" s="359">
        <v>20.0</v>
      </c>
      <c r="B178" s="360">
        <f t="shared" si="40"/>
        <v>6</v>
      </c>
      <c r="C178" s="359" t="s">
        <v>533</v>
      </c>
      <c r="D178" s="359" t="s">
        <v>107</v>
      </c>
      <c r="E178" s="359" t="s">
        <v>107</v>
      </c>
      <c r="F178" s="359" t="s">
        <v>107</v>
      </c>
      <c r="G178" s="360"/>
      <c r="H178" s="360"/>
    </row>
    <row r="179">
      <c r="A179" s="344"/>
      <c r="B179" s="344"/>
      <c r="C179" s="344"/>
      <c r="D179" s="344"/>
      <c r="E179" s="344"/>
      <c r="F179" s="344"/>
      <c r="G179" s="344"/>
      <c r="H179" s="344"/>
    </row>
    <row r="180">
      <c r="A180" s="344"/>
      <c r="B180" s="344"/>
      <c r="C180" s="345" t="s">
        <v>534</v>
      </c>
      <c r="D180" s="344"/>
      <c r="E180" s="344"/>
      <c r="F180" s="344"/>
      <c r="G180" s="344"/>
      <c r="H180" s="344"/>
    </row>
    <row r="181">
      <c r="A181" s="356" t="s">
        <v>2</v>
      </c>
      <c r="B181" s="356" t="s">
        <v>465</v>
      </c>
      <c r="C181" s="356" t="s">
        <v>394</v>
      </c>
      <c r="D181" s="356" t="s">
        <v>487</v>
      </c>
      <c r="E181" s="356" t="s">
        <v>488</v>
      </c>
      <c r="F181" s="356" t="s">
        <v>489</v>
      </c>
      <c r="G181" s="363"/>
      <c r="H181" s="363"/>
    </row>
    <row r="182">
      <c r="A182" s="357">
        <v>1.0</v>
      </c>
      <c r="B182" s="358">
        <f t="shared" ref="B182:B185" si="41">+2</f>
        <v>2</v>
      </c>
      <c r="C182" s="357" t="s">
        <v>535</v>
      </c>
      <c r="D182" s="357">
        <v>3.0</v>
      </c>
      <c r="E182" s="357">
        <v>2.0</v>
      </c>
      <c r="F182" s="357">
        <v>1.0</v>
      </c>
      <c r="G182" s="358"/>
      <c r="H182" s="358"/>
    </row>
    <row r="183">
      <c r="A183" s="357">
        <v>2.0</v>
      </c>
      <c r="B183" s="358">
        <f t="shared" si="41"/>
        <v>2</v>
      </c>
      <c r="C183" s="357" t="s">
        <v>536</v>
      </c>
      <c r="D183" s="357">
        <v>4.0</v>
      </c>
      <c r="E183" s="357">
        <v>3.0</v>
      </c>
      <c r="F183" s="357">
        <v>1.0</v>
      </c>
      <c r="G183" s="358"/>
      <c r="H183" s="358"/>
    </row>
    <row r="184">
      <c r="A184" s="357">
        <v>3.0</v>
      </c>
      <c r="B184" s="358">
        <f t="shared" si="41"/>
        <v>2</v>
      </c>
      <c r="C184" s="357" t="s">
        <v>537</v>
      </c>
      <c r="D184" s="357">
        <v>5.0</v>
      </c>
      <c r="E184" s="357">
        <v>3.0</v>
      </c>
      <c r="F184" s="357">
        <v>2.0</v>
      </c>
      <c r="G184" s="358"/>
      <c r="H184" s="358"/>
    </row>
    <row r="185">
      <c r="A185" s="357">
        <v>4.0</v>
      </c>
      <c r="B185" s="358">
        <f t="shared" si="41"/>
        <v>2</v>
      </c>
      <c r="C185" s="357" t="s">
        <v>404</v>
      </c>
      <c r="D185" s="357">
        <v>6.0</v>
      </c>
      <c r="E185" s="357">
        <v>3.0</v>
      </c>
      <c r="F185" s="357">
        <v>2.0</v>
      </c>
      <c r="G185" s="358"/>
      <c r="H185" s="358"/>
    </row>
    <row r="186">
      <c r="A186" s="357">
        <v>5.0</v>
      </c>
      <c r="B186" s="358">
        <f t="shared" ref="B186:B189" si="42">+3</f>
        <v>3</v>
      </c>
      <c r="C186" s="357" t="s">
        <v>538</v>
      </c>
      <c r="D186" s="357">
        <v>7.0</v>
      </c>
      <c r="E186" s="357">
        <v>4.0</v>
      </c>
      <c r="F186" s="357">
        <v>3.0</v>
      </c>
      <c r="G186" s="358"/>
      <c r="H186" s="358"/>
    </row>
    <row r="187">
      <c r="A187" s="357">
        <v>6.0</v>
      </c>
      <c r="B187" s="358">
        <f t="shared" si="42"/>
        <v>3</v>
      </c>
      <c r="C187" s="357" t="s">
        <v>539</v>
      </c>
      <c r="D187" s="357">
        <v>8.0</v>
      </c>
      <c r="E187" s="357">
        <v>4.0</v>
      </c>
      <c r="F187" s="357">
        <v>3.0</v>
      </c>
      <c r="G187" s="358"/>
      <c r="H187" s="358"/>
    </row>
    <row r="188">
      <c r="A188" s="357">
        <v>7.0</v>
      </c>
      <c r="B188" s="358">
        <f t="shared" si="42"/>
        <v>3</v>
      </c>
      <c r="C188" s="357" t="s">
        <v>540</v>
      </c>
      <c r="D188" s="357">
        <v>9.0</v>
      </c>
      <c r="E188" s="357">
        <v>4.0</v>
      </c>
      <c r="F188" s="357">
        <v>4.0</v>
      </c>
      <c r="G188" s="358"/>
      <c r="H188" s="358"/>
    </row>
    <row r="189">
      <c r="A189" s="357">
        <v>8.0</v>
      </c>
      <c r="B189" s="358">
        <f t="shared" si="42"/>
        <v>3</v>
      </c>
      <c r="C189" s="357" t="s">
        <v>404</v>
      </c>
      <c r="D189" s="357">
        <v>10.0</v>
      </c>
      <c r="E189" s="357">
        <v>5.0</v>
      </c>
      <c r="F189" s="357">
        <v>4.0</v>
      </c>
      <c r="G189" s="358"/>
      <c r="H189" s="358"/>
    </row>
    <row r="190">
      <c r="A190" s="357">
        <v>9.0</v>
      </c>
      <c r="B190" s="358">
        <f t="shared" ref="B190:B193" si="43">+4</f>
        <v>4</v>
      </c>
      <c r="C190" s="357" t="s">
        <v>541</v>
      </c>
      <c r="D190" s="357">
        <v>11.0</v>
      </c>
      <c r="E190" s="357">
        <v>5.0</v>
      </c>
      <c r="F190" s="357">
        <v>5.0</v>
      </c>
      <c r="G190" s="358"/>
      <c r="H190" s="358"/>
    </row>
    <row r="191">
      <c r="A191" s="357">
        <v>10.0</v>
      </c>
      <c r="B191" s="358">
        <f t="shared" si="43"/>
        <v>4</v>
      </c>
      <c r="C191" s="357" t="s">
        <v>542</v>
      </c>
      <c r="D191" s="357">
        <v>12.0</v>
      </c>
      <c r="E191" s="357">
        <v>6.0</v>
      </c>
      <c r="F191" s="357">
        <v>5.0</v>
      </c>
      <c r="G191" s="358"/>
      <c r="H191" s="358"/>
    </row>
    <row r="192">
      <c r="A192" s="357">
        <v>11.0</v>
      </c>
      <c r="B192" s="358">
        <f t="shared" si="43"/>
        <v>4</v>
      </c>
      <c r="C192" s="357" t="s">
        <v>543</v>
      </c>
      <c r="D192" s="357">
        <v>13.0</v>
      </c>
      <c r="E192" s="357">
        <v>6.0</v>
      </c>
      <c r="F192" s="357">
        <v>5.0</v>
      </c>
      <c r="G192" s="358"/>
      <c r="H192" s="358"/>
    </row>
    <row r="193">
      <c r="A193" s="357">
        <v>12.0</v>
      </c>
      <c r="B193" s="358">
        <f t="shared" si="43"/>
        <v>4</v>
      </c>
      <c r="C193" s="357" t="s">
        <v>404</v>
      </c>
      <c r="D193" s="357">
        <v>14.0</v>
      </c>
      <c r="E193" s="357">
        <v>7.0</v>
      </c>
      <c r="F193" s="357">
        <v>6.0</v>
      </c>
      <c r="G193" s="358"/>
      <c r="H193" s="358"/>
    </row>
    <row r="194">
      <c r="A194" s="357">
        <v>13.0</v>
      </c>
      <c r="B194" s="358">
        <f t="shared" ref="B194:B197" si="44">+5</f>
        <v>5</v>
      </c>
      <c r="C194" s="357" t="s">
        <v>544</v>
      </c>
      <c r="D194" s="357">
        <v>15.0</v>
      </c>
      <c r="E194" s="357">
        <v>7.0</v>
      </c>
      <c r="F194" s="357">
        <v>6.0</v>
      </c>
      <c r="G194" s="358"/>
      <c r="H194" s="358"/>
    </row>
    <row r="195">
      <c r="A195" s="357">
        <v>14.0</v>
      </c>
      <c r="B195" s="358">
        <f t="shared" si="44"/>
        <v>5</v>
      </c>
      <c r="C195" s="357" t="s">
        <v>545</v>
      </c>
      <c r="D195" s="357">
        <v>16.0</v>
      </c>
      <c r="E195" s="357">
        <v>8.0</v>
      </c>
      <c r="F195" s="357">
        <v>6.0</v>
      </c>
      <c r="G195" s="358"/>
      <c r="H195" s="358"/>
    </row>
    <row r="196">
      <c r="A196" s="357">
        <v>15.0</v>
      </c>
      <c r="B196" s="358">
        <f t="shared" si="44"/>
        <v>5</v>
      </c>
      <c r="C196" s="357" t="s">
        <v>546</v>
      </c>
      <c r="D196" s="357">
        <v>17.0</v>
      </c>
      <c r="E196" s="357">
        <v>8.0</v>
      </c>
      <c r="F196" s="357">
        <v>7.0</v>
      </c>
      <c r="G196" s="358"/>
      <c r="H196" s="358"/>
    </row>
    <row r="197">
      <c r="A197" s="357">
        <v>16.0</v>
      </c>
      <c r="B197" s="358">
        <f t="shared" si="44"/>
        <v>5</v>
      </c>
      <c r="C197" s="357" t="s">
        <v>404</v>
      </c>
      <c r="D197" s="357">
        <v>18.0</v>
      </c>
      <c r="E197" s="357">
        <v>9.0</v>
      </c>
      <c r="F197" s="357">
        <v>7.0</v>
      </c>
      <c r="G197" s="358"/>
      <c r="H197" s="358"/>
    </row>
    <row r="198">
      <c r="A198" s="357">
        <v>17.0</v>
      </c>
      <c r="B198" s="358">
        <f t="shared" ref="B198:B201" si="45">+6</f>
        <v>6</v>
      </c>
      <c r="C198" s="358"/>
      <c r="D198" s="357">
        <v>19.0</v>
      </c>
      <c r="E198" s="357">
        <v>9.0</v>
      </c>
      <c r="F198" s="357">
        <v>7.0</v>
      </c>
      <c r="G198" s="358"/>
      <c r="H198" s="358"/>
    </row>
    <row r="199">
      <c r="A199" s="357">
        <v>18.0</v>
      </c>
      <c r="B199" s="358">
        <f t="shared" si="45"/>
        <v>6</v>
      </c>
      <c r="C199" s="358"/>
      <c r="D199" s="357">
        <v>20.0</v>
      </c>
      <c r="E199" s="357">
        <v>10.0</v>
      </c>
      <c r="F199" s="357">
        <v>8.0</v>
      </c>
      <c r="G199" s="358"/>
      <c r="H199" s="358"/>
    </row>
    <row r="200">
      <c r="A200" s="357">
        <v>19.0</v>
      </c>
      <c r="B200" s="358">
        <f t="shared" si="45"/>
        <v>6</v>
      </c>
      <c r="C200" s="357" t="s">
        <v>404</v>
      </c>
      <c r="D200" s="357">
        <v>21.0</v>
      </c>
      <c r="E200" s="357">
        <v>10.0</v>
      </c>
      <c r="F200" s="357">
        <v>8.0</v>
      </c>
      <c r="G200" s="358"/>
      <c r="H200" s="358"/>
    </row>
    <row r="201">
      <c r="A201" s="359">
        <v>20.0</v>
      </c>
      <c r="B201" s="360">
        <f t="shared" si="45"/>
        <v>6</v>
      </c>
      <c r="C201" s="359" t="s">
        <v>546</v>
      </c>
      <c r="D201" s="359">
        <v>22.0</v>
      </c>
      <c r="E201" s="359">
        <v>11.0</v>
      </c>
      <c r="F201" s="359">
        <v>9.0</v>
      </c>
      <c r="G201" s="360"/>
      <c r="H201" s="360"/>
    </row>
    <row r="202">
      <c r="A202" s="344"/>
      <c r="B202" s="344"/>
      <c r="C202" s="344"/>
      <c r="D202" s="344"/>
      <c r="E202" s="344"/>
      <c r="F202" s="344"/>
      <c r="G202" s="344"/>
      <c r="H202" s="344"/>
    </row>
    <row r="203">
      <c r="A203" s="344"/>
      <c r="B203" s="344"/>
      <c r="C203" s="345" t="s">
        <v>197</v>
      </c>
      <c r="D203" s="344"/>
      <c r="E203" s="344"/>
      <c r="F203" s="344"/>
      <c r="G203" s="344"/>
      <c r="H203" s="344"/>
    </row>
    <row r="204">
      <c r="A204" s="356" t="s">
        <v>2</v>
      </c>
      <c r="B204" s="356" t="s">
        <v>465</v>
      </c>
      <c r="C204" s="356" t="s">
        <v>394</v>
      </c>
      <c r="D204" s="356" t="s">
        <v>466</v>
      </c>
      <c r="E204" s="356" t="s">
        <v>467</v>
      </c>
      <c r="F204" s="356" t="s">
        <v>468</v>
      </c>
      <c r="G204" s="356" t="s">
        <v>469</v>
      </c>
      <c r="H204" s="356" t="s">
        <v>470</v>
      </c>
    </row>
    <row r="205">
      <c r="A205" s="357">
        <v>1.0</v>
      </c>
      <c r="B205" s="358">
        <f t="shared" ref="B205:B208" si="46">+2</f>
        <v>2</v>
      </c>
      <c r="C205" s="357" t="s">
        <v>547</v>
      </c>
      <c r="D205" s="357">
        <v>2.0</v>
      </c>
      <c r="E205" s="357" t="s">
        <v>107</v>
      </c>
      <c r="F205" s="357" t="s">
        <v>107</v>
      </c>
      <c r="G205" s="357" t="s">
        <v>107</v>
      </c>
      <c r="H205" s="357" t="s">
        <v>107</v>
      </c>
    </row>
    <row r="206">
      <c r="A206" s="357">
        <v>2.0</v>
      </c>
      <c r="B206" s="358">
        <f t="shared" si="46"/>
        <v>2</v>
      </c>
      <c r="C206" s="357" t="s">
        <v>548</v>
      </c>
      <c r="D206" s="357">
        <v>3.0</v>
      </c>
      <c r="E206" s="357" t="s">
        <v>107</v>
      </c>
      <c r="F206" s="357" t="s">
        <v>107</v>
      </c>
      <c r="G206" s="357" t="s">
        <v>107</v>
      </c>
      <c r="H206" s="357" t="s">
        <v>107</v>
      </c>
    </row>
    <row r="207">
      <c r="A207" s="357">
        <v>3.0</v>
      </c>
      <c r="B207" s="358">
        <f t="shared" si="46"/>
        <v>2</v>
      </c>
      <c r="C207" s="357" t="s">
        <v>549</v>
      </c>
      <c r="D207" s="357">
        <v>4.0</v>
      </c>
      <c r="E207" s="357">
        <v>2.0</v>
      </c>
      <c r="F207" s="357" t="s">
        <v>107</v>
      </c>
      <c r="G207" s="357" t="s">
        <v>107</v>
      </c>
      <c r="H207" s="357" t="s">
        <v>107</v>
      </c>
    </row>
    <row r="208">
      <c r="A208" s="357">
        <v>4.0</v>
      </c>
      <c r="B208" s="358">
        <f t="shared" si="46"/>
        <v>2</v>
      </c>
      <c r="C208" s="357" t="s">
        <v>404</v>
      </c>
      <c r="D208" s="357">
        <v>4.0</v>
      </c>
      <c r="E208" s="357">
        <v>2.0</v>
      </c>
      <c r="F208" s="357" t="s">
        <v>107</v>
      </c>
      <c r="G208" s="357" t="s">
        <v>107</v>
      </c>
      <c r="H208" s="357" t="s">
        <v>107</v>
      </c>
    </row>
    <row r="209">
      <c r="A209" s="357">
        <v>5.0</v>
      </c>
      <c r="B209" s="358">
        <f t="shared" ref="B209:B212" si="47">+3</f>
        <v>3</v>
      </c>
      <c r="C209" s="357" t="s">
        <v>550</v>
      </c>
      <c r="D209" s="357">
        <v>4.0</v>
      </c>
      <c r="E209" s="357">
        <v>2.0</v>
      </c>
      <c r="F209" s="357">
        <v>1.0</v>
      </c>
      <c r="G209" s="357" t="s">
        <v>107</v>
      </c>
      <c r="H209" s="357" t="s">
        <v>107</v>
      </c>
    </row>
    <row r="210">
      <c r="A210" s="357">
        <v>6.0</v>
      </c>
      <c r="B210" s="358">
        <f t="shared" si="47"/>
        <v>3</v>
      </c>
      <c r="C210" s="357" t="s">
        <v>551</v>
      </c>
      <c r="D210" s="357">
        <v>4.0</v>
      </c>
      <c r="E210" s="357">
        <v>2.0</v>
      </c>
      <c r="F210" s="357">
        <v>1.0</v>
      </c>
      <c r="G210" s="357" t="s">
        <v>107</v>
      </c>
      <c r="H210" s="357" t="s">
        <v>107</v>
      </c>
    </row>
    <row r="211">
      <c r="A211" s="357">
        <v>7.0</v>
      </c>
      <c r="B211" s="358">
        <f t="shared" si="47"/>
        <v>3</v>
      </c>
      <c r="C211" s="357" t="s">
        <v>552</v>
      </c>
      <c r="D211" s="357">
        <v>4.0</v>
      </c>
      <c r="E211" s="357">
        <v>3.0</v>
      </c>
      <c r="F211" s="357">
        <v>2.0</v>
      </c>
      <c r="G211" s="357" t="s">
        <v>107</v>
      </c>
      <c r="H211" s="357" t="s">
        <v>107</v>
      </c>
    </row>
    <row r="212">
      <c r="A212" s="357">
        <v>8.0</v>
      </c>
      <c r="B212" s="358">
        <f t="shared" si="47"/>
        <v>3</v>
      </c>
      <c r="C212" s="357" t="s">
        <v>404</v>
      </c>
      <c r="D212" s="357">
        <v>4.0</v>
      </c>
      <c r="E212" s="357">
        <v>3.0</v>
      </c>
      <c r="F212" s="357">
        <v>2.0</v>
      </c>
      <c r="G212" s="357" t="s">
        <v>107</v>
      </c>
      <c r="H212" s="357" t="s">
        <v>107</v>
      </c>
    </row>
    <row r="213">
      <c r="A213" s="357">
        <v>9.0</v>
      </c>
      <c r="B213" s="358">
        <f t="shared" ref="B213:B216" si="48">+4</f>
        <v>4</v>
      </c>
      <c r="C213" s="357" t="s">
        <v>553</v>
      </c>
      <c r="D213" s="357">
        <v>4.0</v>
      </c>
      <c r="E213" s="357">
        <v>3.0</v>
      </c>
      <c r="F213" s="357">
        <v>2.0</v>
      </c>
      <c r="G213" s="357">
        <v>1.0</v>
      </c>
      <c r="H213" s="357" t="s">
        <v>107</v>
      </c>
    </row>
    <row r="214">
      <c r="A214" s="357">
        <v>10.0</v>
      </c>
      <c r="B214" s="358">
        <f t="shared" si="48"/>
        <v>4</v>
      </c>
      <c r="C214" s="357" t="s">
        <v>554</v>
      </c>
      <c r="D214" s="357">
        <v>4.0</v>
      </c>
      <c r="E214" s="357">
        <v>3.0</v>
      </c>
      <c r="F214" s="357">
        <v>2.0</v>
      </c>
      <c r="G214" s="357">
        <v>1.0</v>
      </c>
      <c r="H214" s="357" t="s">
        <v>107</v>
      </c>
    </row>
    <row r="215">
      <c r="A215" s="357">
        <v>11.0</v>
      </c>
      <c r="B215" s="358">
        <f t="shared" si="48"/>
        <v>4</v>
      </c>
      <c r="C215" s="357" t="s">
        <v>555</v>
      </c>
      <c r="D215" s="357">
        <v>4.0</v>
      </c>
      <c r="E215" s="357">
        <v>3.0</v>
      </c>
      <c r="F215" s="357">
        <v>3.0</v>
      </c>
      <c r="G215" s="357">
        <v>1.0</v>
      </c>
      <c r="H215" s="357" t="s">
        <v>107</v>
      </c>
    </row>
    <row r="216">
      <c r="A216" s="357">
        <v>12.0</v>
      </c>
      <c r="B216" s="358">
        <f t="shared" si="48"/>
        <v>4</v>
      </c>
      <c r="C216" s="357" t="s">
        <v>404</v>
      </c>
      <c r="D216" s="357">
        <v>4.0</v>
      </c>
      <c r="E216" s="357">
        <v>3.0</v>
      </c>
      <c r="F216" s="357">
        <v>3.0</v>
      </c>
      <c r="G216" s="357">
        <v>1.0</v>
      </c>
      <c r="H216" s="357" t="s">
        <v>107</v>
      </c>
    </row>
    <row r="217">
      <c r="A217" s="357">
        <v>13.0</v>
      </c>
      <c r="B217" s="358">
        <f t="shared" ref="B217:B218" si="49">+5</f>
        <v>5</v>
      </c>
      <c r="C217" s="357" t="s">
        <v>556</v>
      </c>
      <c r="D217" s="357">
        <v>4.0</v>
      </c>
      <c r="E217" s="357">
        <v>3.0</v>
      </c>
      <c r="F217" s="357">
        <v>3.0</v>
      </c>
      <c r="G217" s="357">
        <v>2.0</v>
      </c>
      <c r="H217" s="357" t="s">
        <v>107</v>
      </c>
    </row>
    <row r="218">
      <c r="A218" s="357">
        <v>15.0</v>
      </c>
      <c r="B218" s="358">
        <f t="shared" si="49"/>
        <v>5</v>
      </c>
      <c r="C218" s="357" t="s">
        <v>557</v>
      </c>
      <c r="D218" s="357">
        <v>4.0</v>
      </c>
      <c r="E218" s="357">
        <v>3.0</v>
      </c>
      <c r="F218" s="357">
        <v>3.0</v>
      </c>
      <c r="G218" s="357">
        <v>2.0</v>
      </c>
      <c r="H218" s="357">
        <v>1.0</v>
      </c>
    </row>
    <row r="219">
      <c r="A219" s="357">
        <v>18.0</v>
      </c>
      <c r="B219" s="358">
        <f t="shared" ref="B219:B220" si="50">+6</f>
        <v>6</v>
      </c>
      <c r="C219" s="357" t="s">
        <v>558</v>
      </c>
      <c r="D219" s="357">
        <v>4.0</v>
      </c>
      <c r="E219" s="357">
        <v>3.0</v>
      </c>
      <c r="F219" s="357">
        <v>3.0</v>
      </c>
      <c r="G219" s="357">
        <v>3.0</v>
      </c>
      <c r="H219" s="357">
        <v>1.0</v>
      </c>
    </row>
    <row r="220">
      <c r="A220" s="359">
        <v>20.0</v>
      </c>
      <c r="B220" s="360">
        <f t="shared" si="50"/>
        <v>6</v>
      </c>
      <c r="C220" s="359" t="s">
        <v>559</v>
      </c>
      <c r="D220" s="359">
        <v>4.0</v>
      </c>
      <c r="E220" s="359">
        <v>3.0</v>
      </c>
      <c r="F220" s="359">
        <v>3.0</v>
      </c>
      <c r="G220" s="359">
        <v>3.0</v>
      </c>
      <c r="H220" s="359">
        <v>2.0</v>
      </c>
    </row>
    <row r="221">
      <c r="A221" s="344"/>
      <c r="B221" s="344"/>
      <c r="C221" s="344"/>
      <c r="D221" s="344"/>
      <c r="E221" s="344"/>
      <c r="F221" s="344"/>
      <c r="G221" s="344"/>
      <c r="H221" s="344"/>
    </row>
    <row r="222">
      <c r="A222" s="344"/>
      <c r="B222" s="344"/>
      <c r="C222" s="364" t="s">
        <v>560</v>
      </c>
      <c r="D222" s="344"/>
      <c r="E222" s="344"/>
      <c r="F222" s="344"/>
      <c r="G222" s="344"/>
      <c r="H222" s="344"/>
    </row>
    <row r="223">
      <c r="A223" s="356" t="s">
        <v>2</v>
      </c>
      <c r="B223" s="356" t="s">
        <v>465</v>
      </c>
      <c r="C223" s="356" t="s">
        <v>394</v>
      </c>
      <c r="D223" s="356" t="s">
        <v>466</v>
      </c>
      <c r="E223" s="356" t="s">
        <v>467</v>
      </c>
      <c r="F223" s="356" t="s">
        <v>468</v>
      </c>
      <c r="G223" s="356" t="s">
        <v>469</v>
      </c>
      <c r="H223" s="356" t="s">
        <v>470</v>
      </c>
    </row>
    <row r="224">
      <c r="A224" s="357">
        <v>1.0</v>
      </c>
      <c r="B224" s="358">
        <f t="shared" ref="B224:B227" si="51">+2</f>
        <v>2</v>
      </c>
      <c r="C224" s="357" t="s">
        <v>561</v>
      </c>
      <c r="D224" s="357">
        <v>2.0</v>
      </c>
      <c r="E224" s="357" t="s">
        <v>107</v>
      </c>
      <c r="F224" s="357" t="s">
        <v>107</v>
      </c>
      <c r="G224" s="357" t="s">
        <v>107</v>
      </c>
      <c r="H224" s="357" t="s">
        <v>107</v>
      </c>
    </row>
    <row r="225">
      <c r="A225" s="357">
        <v>2.0</v>
      </c>
      <c r="B225" s="358">
        <f t="shared" si="51"/>
        <v>2</v>
      </c>
      <c r="C225" s="357" t="s">
        <v>562</v>
      </c>
      <c r="D225" s="357">
        <v>3.0</v>
      </c>
      <c r="E225" s="357" t="s">
        <v>107</v>
      </c>
      <c r="F225" s="357" t="s">
        <v>107</v>
      </c>
      <c r="G225" s="357" t="s">
        <v>107</v>
      </c>
      <c r="H225" s="357" t="s">
        <v>107</v>
      </c>
    </row>
    <row r="226">
      <c r="A226" s="357">
        <v>3.0</v>
      </c>
      <c r="B226" s="358">
        <f t="shared" si="51"/>
        <v>2</v>
      </c>
      <c r="C226" s="357" t="s">
        <v>563</v>
      </c>
      <c r="D226" s="357">
        <v>4.0</v>
      </c>
      <c r="E226" s="357">
        <v>2.0</v>
      </c>
      <c r="F226" s="357" t="s">
        <v>107</v>
      </c>
      <c r="G226" s="357" t="s">
        <v>107</v>
      </c>
      <c r="H226" s="357" t="s">
        <v>107</v>
      </c>
    </row>
    <row r="227">
      <c r="A227" s="357">
        <v>4.0</v>
      </c>
      <c r="B227" s="358">
        <f t="shared" si="51"/>
        <v>2</v>
      </c>
      <c r="C227" s="357" t="s">
        <v>404</v>
      </c>
      <c r="D227" s="357">
        <v>4.0</v>
      </c>
      <c r="E227" s="357">
        <v>2.0</v>
      </c>
      <c r="F227" s="357" t="s">
        <v>107</v>
      </c>
      <c r="G227" s="357" t="s">
        <v>107</v>
      </c>
      <c r="H227" s="357" t="s">
        <v>107</v>
      </c>
    </row>
    <row r="228">
      <c r="A228" s="357">
        <v>5.0</v>
      </c>
      <c r="B228" s="358">
        <f t="shared" ref="B228:B231" si="52">+3</f>
        <v>3</v>
      </c>
      <c r="C228" s="357" t="s">
        <v>564</v>
      </c>
      <c r="D228" s="357">
        <v>4.0</v>
      </c>
      <c r="E228" s="357">
        <v>2.0</v>
      </c>
      <c r="F228" s="357">
        <v>1.0</v>
      </c>
      <c r="G228" s="357" t="s">
        <v>107</v>
      </c>
      <c r="H228" s="357" t="s">
        <v>107</v>
      </c>
    </row>
    <row r="229">
      <c r="A229" s="357">
        <v>6.0</v>
      </c>
      <c r="B229" s="358">
        <f t="shared" si="52"/>
        <v>3</v>
      </c>
      <c r="C229" s="357" t="s">
        <v>565</v>
      </c>
      <c r="D229" s="357">
        <v>4.0</v>
      </c>
      <c r="E229" s="357">
        <v>2.0</v>
      </c>
      <c r="F229" s="357">
        <v>1.0</v>
      </c>
      <c r="G229" s="357" t="s">
        <v>107</v>
      </c>
      <c r="H229" s="357" t="s">
        <v>107</v>
      </c>
    </row>
    <row r="230">
      <c r="A230" s="357">
        <v>7.0</v>
      </c>
      <c r="B230" s="358">
        <f t="shared" si="52"/>
        <v>3</v>
      </c>
      <c r="C230" s="357" t="s">
        <v>552</v>
      </c>
      <c r="D230" s="357">
        <v>4.0</v>
      </c>
      <c r="E230" s="357">
        <v>3.0</v>
      </c>
      <c r="F230" s="357">
        <v>2.0</v>
      </c>
      <c r="G230" s="357" t="s">
        <v>107</v>
      </c>
      <c r="H230" s="357" t="s">
        <v>107</v>
      </c>
    </row>
    <row r="231">
      <c r="A231" s="357">
        <v>8.0</v>
      </c>
      <c r="B231" s="358">
        <f t="shared" si="52"/>
        <v>3</v>
      </c>
      <c r="C231" s="357" t="s">
        <v>404</v>
      </c>
      <c r="D231" s="357">
        <v>4.0</v>
      </c>
      <c r="E231" s="357">
        <v>3.0</v>
      </c>
      <c r="F231" s="357">
        <v>2.0</v>
      </c>
      <c r="G231" s="357" t="s">
        <v>107</v>
      </c>
      <c r="H231" s="357" t="s">
        <v>107</v>
      </c>
    </row>
    <row r="232">
      <c r="A232" s="357">
        <v>9.0</v>
      </c>
      <c r="B232" s="358">
        <f t="shared" ref="B232:B235" si="53">+4</f>
        <v>4</v>
      </c>
      <c r="C232" s="357" t="s">
        <v>566</v>
      </c>
      <c r="D232" s="357">
        <v>4.0</v>
      </c>
      <c r="E232" s="357">
        <v>3.0</v>
      </c>
      <c r="F232" s="357">
        <v>2.0</v>
      </c>
      <c r="G232" s="357">
        <v>1.0</v>
      </c>
      <c r="H232" s="357" t="s">
        <v>107</v>
      </c>
    </row>
    <row r="233">
      <c r="A233" s="357">
        <v>10.0</v>
      </c>
      <c r="B233" s="358">
        <f t="shared" si="53"/>
        <v>4</v>
      </c>
      <c r="C233" s="357" t="s">
        <v>567</v>
      </c>
      <c r="D233" s="357">
        <v>4.0</v>
      </c>
      <c r="E233" s="357">
        <v>3.0</v>
      </c>
      <c r="F233" s="357">
        <v>2.0</v>
      </c>
      <c r="G233" s="357">
        <v>1.0</v>
      </c>
      <c r="H233" s="357" t="s">
        <v>107</v>
      </c>
    </row>
    <row r="234">
      <c r="A234" s="357">
        <v>11.0</v>
      </c>
      <c r="B234" s="358">
        <f t="shared" si="53"/>
        <v>4</v>
      </c>
      <c r="C234" s="357" t="s">
        <v>568</v>
      </c>
      <c r="D234" s="357">
        <v>4.0</v>
      </c>
      <c r="E234" s="357">
        <v>3.0</v>
      </c>
      <c r="F234" s="357">
        <v>3.0</v>
      </c>
      <c r="G234" s="357">
        <v>1.0</v>
      </c>
      <c r="H234" s="357" t="s">
        <v>107</v>
      </c>
    </row>
    <row r="235">
      <c r="A235" s="357">
        <v>12.0</v>
      </c>
      <c r="B235" s="358">
        <f t="shared" si="53"/>
        <v>4</v>
      </c>
      <c r="C235" s="357" t="s">
        <v>404</v>
      </c>
      <c r="D235" s="357">
        <v>4.0</v>
      </c>
      <c r="E235" s="357">
        <v>3.0</v>
      </c>
      <c r="F235" s="357">
        <v>3.0</v>
      </c>
      <c r="G235" s="357">
        <v>1.0</v>
      </c>
      <c r="H235" s="357" t="s">
        <v>107</v>
      </c>
    </row>
    <row r="236">
      <c r="A236" s="357">
        <v>13.0</v>
      </c>
      <c r="B236" s="358">
        <f t="shared" ref="B236:B239" si="54">+5</f>
        <v>5</v>
      </c>
      <c r="C236" s="357" t="s">
        <v>569</v>
      </c>
      <c r="D236" s="357">
        <v>4.0</v>
      </c>
      <c r="E236" s="357">
        <v>3.0</v>
      </c>
      <c r="F236" s="357">
        <v>3.0</v>
      </c>
      <c r="G236" s="357">
        <v>2.0</v>
      </c>
      <c r="H236" s="357" t="s">
        <v>107</v>
      </c>
    </row>
    <row r="237">
      <c r="A237" s="357">
        <v>14.0</v>
      </c>
      <c r="B237" s="358">
        <f t="shared" si="54"/>
        <v>5</v>
      </c>
      <c r="C237" s="357" t="s">
        <v>570</v>
      </c>
      <c r="D237" s="357">
        <v>4.0</v>
      </c>
      <c r="E237" s="357">
        <v>3.0</v>
      </c>
      <c r="F237" s="357">
        <v>3.0</v>
      </c>
      <c r="G237" s="357">
        <v>2.0</v>
      </c>
      <c r="H237" s="357">
        <v>1.0</v>
      </c>
    </row>
    <row r="238">
      <c r="A238" s="357">
        <v>15.0</v>
      </c>
      <c r="B238" s="358">
        <f t="shared" si="54"/>
        <v>5</v>
      </c>
      <c r="C238" s="357" t="s">
        <v>571</v>
      </c>
      <c r="D238" s="357">
        <v>4.0</v>
      </c>
      <c r="E238" s="357">
        <v>3.0</v>
      </c>
      <c r="F238" s="357">
        <v>3.0</v>
      </c>
      <c r="G238" s="357">
        <v>2.0</v>
      </c>
      <c r="H238" s="357">
        <v>1.0</v>
      </c>
    </row>
    <row r="239">
      <c r="A239" s="357">
        <v>16.0</v>
      </c>
      <c r="B239" s="358">
        <f t="shared" si="54"/>
        <v>5</v>
      </c>
      <c r="C239" s="357" t="s">
        <v>404</v>
      </c>
      <c r="D239" s="357">
        <v>4.0</v>
      </c>
      <c r="E239" s="357">
        <v>3.0</v>
      </c>
      <c r="F239" s="357">
        <v>3.0</v>
      </c>
      <c r="G239" s="357">
        <v>2.0</v>
      </c>
      <c r="H239" s="357">
        <v>1.0</v>
      </c>
    </row>
    <row r="240">
      <c r="A240" s="357">
        <v>17.0</v>
      </c>
      <c r="B240" s="358">
        <f t="shared" ref="B240:B243" si="55">+6</f>
        <v>6</v>
      </c>
      <c r="C240" s="357" t="s">
        <v>572</v>
      </c>
      <c r="D240" s="357">
        <v>4.0</v>
      </c>
      <c r="E240" s="357">
        <v>3.0</v>
      </c>
      <c r="F240" s="357">
        <v>3.0</v>
      </c>
      <c r="G240" s="357">
        <v>2.0</v>
      </c>
      <c r="H240" s="357">
        <v>2.0</v>
      </c>
    </row>
    <row r="241">
      <c r="A241" s="357">
        <v>18.0</v>
      </c>
      <c r="B241" s="358">
        <f t="shared" si="55"/>
        <v>6</v>
      </c>
      <c r="C241" s="357" t="s">
        <v>573</v>
      </c>
      <c r="D241" s="357">
        <v>4.0</v>
      </c>
      <c r="E241" s="357">
        <v>3.0</v>
      </c>
      <c r="F241" s="357">
        <v>3.0</v>
      </c>
      <c r="G241" s="357">
        <v>2.0</v>
      </c>
      <c r="H241" s="357">
        <v>2.0</v>
      </c>
    </row>
    <row r="242">
      <c r="A242" s="357">
        <v>19.0</v>
      </c>
      <c r="B242" s="358">
        <f t="shared" si="55"/>
        <v>6</v>
      </c>
      <c r="C242" s="357" t="s">
        <v>404</v>
      </c>
      <c r="D242" s="357">
        <v>4.0</v>
      </c>
      <c r="E242" s="357">
        <v>3.0</v>
      </c>
      <c r="F242" s="357">
        <v>3.0</v>
      </c>
      <c r="G242" s="357">
        <v>2.0</v>
      </c>
      <c r="H242" s="357">
        <v>2.0</v>
      </c>
    </row>
    <row r="243">
      <c r="A243" s="359">
        <v>20.0</v>
      </c>
      <c r="B243" s="360">
        <f t="shared" si="55"/>
        <v>6</v>
      </c>
      <c r="C243" s="359" t="s">
        <v>574</v>
      </c>
      <c r="D243" s="359">
        <v>4.0</v>
      </c>
      <c r="E243" s="359">
        <v>3.0</v>
      </c>
      <c r="F243" s="359">
        <v>3.0</v>
      </c>
      <c r="G243" s="359">
        <v>2.0</v>
      </c>
      <c r="H243" s="359">
        <v>2.0</v>
      </c>
    </row>
    <row r="244">
      <c r="A244" s="344"/>
      <c r="B244" s="344"/>
      <c r="C244" s="344"/>
      <c r="D244" s="344"/>
      <c r="E244" s="344"/>
      <c r="F244" s="344"/>
      <c r="G244" s="344"/>
      <c r="H244" s="344"/>
    </row>
    <row r="245">
      <c r="A245" s="344"/>
      <c r="B245" s="344"/>
      <c r="C245" s="345" t="s">
        <v>575</v>
      </c>
      <c r="D245" s="344"/>
      <c r="E245" s="344"/>
      <c r="F245" s="344"/>
      <c r="G245" s="344"/>
      <c r="H245" s="344"/>
    </row>
    <row r="246">
      <c r="A246" s="365" t="s">
        <v>2</v>
      </c>
      <c r="B246" s="366" t="s">
        <v>465</v>
      </c>
      <c r="C246" s="366" t="s">
        <v>394</v>
      </c>
      <c r="D246" s="366" t="s">
        <v>466</v>
      </c>
      <c r="E246" s="366" t="s">
        <v>467</v>
      </c>
      <c r="F246" s="366" t="s">
        <v>468</v>
      </c>
      <c r="G246" s="366" t="s">
        <v>469</v>
      </c>
      <c r="H246" s="367" t="s">
        <v>470</v>
      </c>
    </row>
    <row r="247">
      <c r="A247" s="345">
        <v>1.0</v>
      </c>
      <c r="B247" s="345">
        <v>2.0</v>
      </c>
      <c r="C247" s="345" t="s">
        <v>576</v>
      </c>
      <c r="D247" s="345">
        <v>2.0</v>
      </c>
      <c r="E247" s="345" t="s">
        <v>107</v>
      </c>
      <c r="F247" s="345" t="s">
        <v>107</v>
      </c>
      <c r="G247" s="345" t="s">
        <v>107</v>
      </c>
      <c r="H247" s="345" t="s">
        <v>107</v>
      </c>
    </row>
    <row r="248">
      <c r="A248" s="345">
        <v>2.0</v>
      </c>
      <c r="B248" s="345">
        <v>2.0</v>
      </c>
      <c r="C248" s="345" t="s">
        <v>577</v>
      </c>
      <c r="D248" s="345">
        <v>3.0</v>
      </c>
      <c r="E248" s="345" t="s">
        <v>107</v>
      </c>
      <c r="F248" s="345" t="s">
        <v>107</v>
      </c>
      <c r="G248" s="345" t="s">
        <v>107</v>
      </c>
      <c r="H248" s="345" t="s">
        <v>107</v>
      </c>
    </row>
    <row r="249">
      <c r="A249" s="345">
        <v>3.0</v>
      </c>
      <c r="B249" s="345">
        <v>2.0</v>
      </c>
      <c r="C249" s="345" t="s">
        <v>578</v>
      </c>
      <c r="D249" s="345">
        <v>4.0</v>
      </c>
      <c r="E249" s="345">
        <v>2.0</v>
      </c>
      <c r="F249" s="345" t="s">
        <v>107</v>
      </c>
      <c r="G249" s="345" t="s">
        <v>107</v>
      </c>
      <c r="H249" s="345" t="s">
        <v>107</v>
      </c>
    </row>
    <row r="250">
      <c r="A250" s="345">
        <v>4.0</v>
      </c>
      <c r="B250" s="345">
        <v>2.0</v>
      </c>
      <c r="C250" s="345" t="s">
        <v>404</v>
      </c>
      <c r="D250" s="345">
        <v>4.0</v>
      </c>
      <c r="E250" s="345">
        <v>2.0</v>
      </c>
      <c r="F250" s="345" t="s">
        <v>107</v>
      </c>
      <c r="G250" s="345" t="s">
        <v>107</v>
      </c>
      <c r="H250" s="345" t="s">
        <v>107</v>
      </c>
    </row>
    <row r="251">
      <c r="A251" s="345">
        <v>5.0</v>
      </c>
      <c r="B251" s="345">
        <v>3.0</v>
      </c>
      <c r="C251" s="345" t="s">
        <v>579</v>
      </c>
      <c r="D251" s="345">
        <v>4.0</v>
      </c>
      <c r="E251" s="345">
        <v>2.0</v>
      </c>
      <c r="F251" s="345">
        <v>1.0</v>
      </c>
      <c r="G251" s="345" t="s">
        <v>107</v>
      </c>
      <c r="H251" s="345" t="s">
        <v>107</v>
      </c>
    </row>
    <row r="252">
      <c r="A252" s="345">
        <v>6.0</v>
      </c>
      <c r="B252" s="345">
        <v>3.0</v>
      </c>
      <c r="C252" s="345" t="s">
        <v>580</v>
      </c>
      <c r="D252" s="345">
        <v>4.0</v>
      </c>
      <c r="E252" s="345">
        <v>2.0</v>
      </c>
      <c r="F252" s="345">
        <v>1.0</v>
      </c>
      <c r="G252" s="345" t="s">
        <v>107</v>
      </c>
      <c r="H252" s="345" t="s">
        <v>107</v>
      </c>
    </row>
    <row r="253">
      <c r="A253" s="345">
        <v>7.0</v>
      </c>
      <c r="B253" s="345">
        <v>3.0</v>
      </c>
      <c r="C253" s="345" t="s">
        <v>581</v>
      </c>
      <c r="D253" s="345">
        <v>4.0</v>
      </c>
      <c r="E253" s="345">
        <v>3.0</v>
      </c>
      <c r="F253" s="345">
        <v>2.0</v>
      </c>
      <c r="G253" s="345" t="s">
        <v>107</v>
      </c>
      <c r="H253" s="345" t="s">
        <v>107</v>
      </c>
    </row>
    <row r="254">
      <c r="A254" s="345">
        <v>8.0</v>
      </c>
      <c r="B254" s="345">
        <v>3.0</v>
      </c>
      <c r="C254" s="345" t="s">
        <v>404</v>
      </c>
      <c r="D254" s="345">
        <v>4.0</v>
      </c>
      <c r="E254" s="345">
        <v>3.0</v>
      </c>
      <c r="F254" s="345">
        <v>2.0</v>
      </c>
      <c r="G254" s="345" t="s">
        <v>107</v>
      </c>
      <c r="H254" s="345" t="s">
        <v>107</v>
      </c>
    </row>
    <row r="255">
      <c r="A255" s="345">
        <v>9.0</v>
      </c>
      <c r="B255" s="345">
        <v>4.0</v>
      </c>
      <c r="C255" s="345" t="s">
        <v>582</v>
      </c>
      <c r="D255" s="345">
        <v>4.0</v>
      </c>
      <c r="E255" s="345">
        <v>3.0</v>
      </c>
      <c r="F255" s="345">
        <v>2.0</v>
      </c>
      <c r="G255" s="345">
        <v>1.0</v>
      </c>
      <c r="H255" s="345" t="s">
        <v>107</v>
      </c>
    </row>
    <row r="256">
      <c r="A256" s="345">
        <v>10.0</v>
      </c>
      <c r="B256" s="345">
        <v>4.0</v>
      </c>
      <c r="C256" s="345" t="s">
        <v>583</v>
      </c>
      <c r="D256" s="345">
        <v>4.0</v>
      </c>
      <c r="E256" s="345">
        <v>3.0</v>
      </c>
      <c r="F256" s="345">
        <v>2.0</v>
      </c>
      <c r="G256" s="345">
        <v>1.0</v>
      </c>
      <c r="H256" s="345" t="s">
        <v>107</v>
      </c>
    </row>
    <row r="257">
      <c r="A257" s="345">
        <v>11.0</v>
      </c>
      <c r="B257" s="345">
        <v>4.0</v>
      </c>
      <c r="C257" s="345" t="s">
        <v>584</v>
      </c>
      <c r="D257" s="345">
        <v>4.0</v>
      </c>
      <c r="E257" s="345">
        <v>3.0</v>
      </c>
      <c r="F257" s="345">
        <v>3.0</v>
      </c>
      <c r="G257" s="345">
        <v>1.0</v>
      </c>
      <c r="H257" s="345" t="s">
        <v>107</v>
      </c>
    </row>
    <row r="258">
      <c r="A258" s="345">
        <v>12.0</v>
      </c>
      <c r="B258" s="345">
        <v>4.0</v>
      </c>
      <c r="C258" s="345" t="s">
        <v>404</v>
      </c>
      <c r="D258" s="345">
        <v>4.0</v>
      </c>
      <c r="E258" s="345">
        <v>3.0</v>
      </c>
      <c r="F258" s="345">
        <v>3.0</v>
      </c>
      <c r="G258" s="345">
        <v>1.0</v>
      </c>
      <c r="H258" s="345" t="s">
        <v>107</v>
      </c>
    </row>
    <row r="259">
      <c r="A259" s="345">
        <v>13.0</v>
      </c>
      <c r="B259" s="345">
        <v>5.0</v>
      </c>
      <c r="C259" s="345" t="s">
        <v>585</v>
      </c>
      <c r="D259" s="345">
        <v>4.0</v>
      </c>
      <c r="E259" s="345">
        <v>3.0</v>
      </c>
      <c r="F259" s="345">
        <v>3.0</v>
      </c>
      <c r="G259" s="345">
        <v>2.0</v>
      </c>
      <c r="H259" s="345" t="s">
        <v>107</v>
      </c>
    </row>
    <row r="260">
      <c r="A260" s="345">
        <v>15.0</v>
      </c>
      <c r="B260" s="345">
        <v>5.0</v>
      </c>
      <c r="C260" s="345" t="s">
        <v>586</v>
      </c>
      <c r="D260" s="345">
        <v>4.0</v>
      </c>
      <c r="E260" s="345">
        <v>3.0</v>
      </c>
      <c r="F260" s="345">
        <v>3.0</v>
      </c>
      <c r="G260" s="345">
        <v>2.0</v>
      </c>
      <c r="H260" s="345">
        <v>1.0</v>
      </c>
    </row>
    <row r="261">
      <c r="A261" s="345">
        <v>18.0</v>
      </c>
      <c r="B261" s="345">
        <v>6.0</v>
      </c>
      <c r="C261" s="345" t="s">
        <v>587</v>
      </c>
      <c r="D261" s="345">
        <v>4.0</v>
      </c>
      <c r="E261" s="345">
        <v>3.0</v>
      </c>
      <c r="F261" s="345">
        <v>3.0</v>
      </c>
      <c r="G261" s="345">
        <v>2.0</v>
      </c>
      <c r="H261" s="345">
        <v>1.0</v>
      </c>
    </row>
    <row r="262">
      <c r="A262" s="345">
        <v>20.0</v>
      </c>
      <c r="B262" s="345">
        <v>6.0</v>
      </c>
      <c r="C262" s="345" t="s">
        <v>588</v>
      </c>
      <c r="D262" s="345">
        <v>4.0</v>
      </c>
      <c r="E262" s="345">
        <v>3.0</v>
      </c>
      <c r="F262" s="345">
        <v>3.0</v>
      </c>
      <c r="G262" s="345">
        <v>2.0</v>
      </c>
      <c r="H262" s="345">
        <v>2.0</v>
      </c>
    </row>
    <row r="263">
      <c r="A263" s="344"/>
      <c r="B263" s="344"/>
      <c r="C263" s="344"/>
      <c r="D263" s="344"/>
      <c r="E263" s="344"/>
      <c r="F263" s="344"/>
      <c r="G263" s="344"/>
      <c r="H263" s="344"/>
    </row>
    <row r="264">
      <c r="A264" s="344"/>
      <c r="B264" s="344"/>
      <c r="C264" s="345" t="s">
        <v>589</v>
      </c>
      <c r="D264" s="344"/>
      <c r="E264" s="344"/>
      <c r="F264" s="344"/>
      <c r="G264" s="344"/>
      <c r="H264" s="344"/>
    </row>
    <row r="265">
      <c r="A265" s="368" t="s">
        <v>2</v>
      </c>
      <c r="B265" s="368" t="s">
        <v>465</v>
      </c>
      <c r="C265" s="368" t="s">
        <v>394</v>
      </c>
      <c r="D265" s="368" t="s">
        <v>466</v>
      </c>
      <c r="E265" s="368" t="s">
        <v>467</v>
      </c>
      <c r="F265" s="368" t="s">
        <v>468</v>
      </c>
      <c r="G265" s="368" t="s">
        <v>469</v>
      </c>
      <c r="H265" s="368" t="s">
        <v>470</v>
      </c>
    </row>
    <row r="266">
      <c r="A266" s="369">
        <v>1.0</v>
      </c>
      <c r="B266" s="370">
        <f t="shared" ref="B266:B269" si="56">+2</f>
        <v>2</v>
      </c>
      <c r="C266" s="369" t="s">
        <v>590</v>
      </c>
      <c r="D266" s="369">
        <v>2.0</v>
      </c>
      <c r="E266" s="369" t="s">
        <v>107</v>
      </c>
      <c r="F266" s="369" t="s">
        <v>107</v>
      </c>
      <c r="G266" s="369" t="s">
        <v>107</v>
      </c>
      <c r="H266" s="369" t="s">
        <v>107</v>
      </c>
    </row>
    <row r="267">
      <c r="A267" s="369">
        <v>2.0</v>
      </c>
      <c r="B267" s="370">
        <f t="shared" si="56"/>
        <v>2</v>
      </c>
      <c r="C267" s="369" t="s">
        <v>591</v>
      </c>
      <c r="D267" s="369">
        <v>3.0</v>
      </c>
      <c r="E267" s="369" t="s">
        <v>107</v>
      </c>
      <c r="F267" s="369" t="s">
        <v>107</v>
      </c>
      <c r="G267" s="369" t="s">
        <v>107</v>
      </c>
      <c r="H267" s="369" t="s">
        <v>107</v>
      </c>
    </row>
    <row r="268">
      <c r="A268" s="369">
        <v>3.0</v>
      </c>
      <c r="B268" s="370">
        <f t="shared" si="56"/>
        <v>2</v>
      </c>
      <c r="C268" s="369" t="s">
        <v>592</v>
      </c>
      <c r="D268" s="369">
        <v>4.0</v>
      </c>
      <c r="E268" s="369">
        <v>2.0</v>
      </c>
      <c r="F268" s="369" t="s">
        <v>107</v>
      </c>
      <c r="G268" s="369" t="s">
        <v>107</v>
      </c>
      <c r="H268" s="369" t="s">
        <v>107</v>
      </c>
    </row>
    <row r="269">
      <c r="A269" s="369">
        <v>4.0</v>
      </c>
      <c r="B269" s="370">
        <f t="shared" si="56"/>
        <v>2</v>
      </c>
      <c r="C269" s="369" t="s">
        <v>404</v>
      </c>
      <c r="D269" s="369">
        <v>4.0</v>
      </c>
      <c r="E269" s="369">
        <v>2.0</v>
      </c>
      <c r="F269" s="369" t="s">
        <v>107</v>
      </c>
      <c r="G269" s="369" t="s">
        <v>107</v>
      </c>
      <c r="H269" s="369" t="s">
        <v>107</v>
      </c>
    </row>
    <row r="270">
      <c r="A270" s="369">
        <v>5.0</v>
      </c>
      <c r="B270" s="370">
        <f t="shared" ref="B270:B273" si="57">+3</f>
        <v>3</v>
      </c>
      <c r="C270" s="369" t="s">
        <v>593</v>
      </c>
      <c r="D270" s="369">
        <v>4.0</v>
      </c>
      <c r="E270" s="369">
        <v>3.0</v>
      </c>
      <c r="F270" s="369" t="s">
        <v>107</v>
      </c>
      <c r="G270" s="369" t="s">
        <v>107</v>
      </c>
      <c r="H270" s="369" t="s">
        <v>107</v>
      </c>
    </row>
    <row r="271">
      <c r="A271" s="369">
        <v>6.0</v>
      </c>
      <c r="B271" s="370">
        <f t="shared" si="57"/>
        <v>3</v>
      </c>
      <c r="C271" s="369" t="s">
        <v>594</v>
      </c>
      <c r="D271" s="369">
        <v>4.0</v>
      </c>
      <c r="E271" s="369">
        <v>3.0</v>
      </c>
      <c r="F271" s="369" t="s">
        <v>107</v>
      </c>
      <c r="G271" s="369" t="s">
        <v>107</v>
      </c>
      <c r="H271" s="369" t="s">
        <v>107</v>
      </c>
    </row>
    <row r="272">
      <c r="A272" s="369">
        <v>7.0</v>
      </c>
      <c r="B272" s="370">
        <f t="shared" si="57"/>
        <v>3</v>
      </c>
      <c r="C272" s="369" t="s">
        <v>595</v>
      </c>
      <c r="D272" s="369">
        <v>4.0</v>
      </c>
      <c r="E272" s="369">
        <v>3.0</v>
      </c>
      <c r="F272" s="369">
        <v>2.0</v>
      </c>
      <c r="G272" s="369" t="s">
        <v>107</v>
      </c>
      <c r="H272" s="369" t="s">
        <v>107</v>
      </c>
    </row>
    <row r="273">
      <c r="A273" s="369">
        <v>8.0</v>
      </c>
      <c r="B273" s="370">
        <f t="shared" si="57"/>
        <v>3</v>
      </c>
      <c r="C273" s="369" t="s">
        <v>404</v>
      </c>
      <c r="D273" s="369">
        <v>4.0</v>
      </c>
      <c r="E273" s="369">
        <v>3.0</v>
      </c>
      <c r="F273" s="369">
        <v>2.0</v>
      </c>
      <c r="G273" s="369" t="s">
        <v>107</v>
      </c>
      <c r="H273" s="369" t="s">
        <v>107</v>
      </c>
    </row>
    <row r="274">
      <c r="A274" s="369">
        <v>9.0</v>
      </c>
      <c r="B274" s="370">
        <f t="shared" ref="B274:B277" si="58">+4</f>
        <v>4</v>
      </c>
      <c r="C274" s="369" t="s">
        <v>596</v>
      </c>
      <c r="D274" s="369">
        <v>4.0</v>
      </c>
      <c r="E274" s="369">
        <v>3.0</v>
      </c>
      <c r="F274" s="369">
        <v>3.0</v>
      </c>
      <c r="G274" s="369" t="s">
        <v>107</v>
      </c>
      <c r="H274" s="369" t="s">
        <v>107</v>
      </c>
    </row>
    <row r="275">
      <c r="A275" s="369">
        <v>10.0</v>
      </c>
      <c r="B275" s="370">
        <f t="shared" si="58"/>
        <v>4</v>
      </c>
      <c r="C275" s="369" t="s">
        <v>597</v>
      </c>
      <c r="D275" s="369">
        <v>4.0</v>
      </c>
      <c r="E275" s="369">
        <v>3.0</v>
      </c>
      <c r="F275" s="369">
        <v>3.0</v>
      </c>
      <c r="G275" s="369" t="s">
        <v>107</v>
      </c>
      <c r="H275" s="369" t="s">
        <v>107</v>
      </c>
    </row>
    <row r="276">
      <c r="A276" s="369">
        <v>11.0</v>
      </c>
      <c r="B276" s="370">
        <f t="shared" si="58"/>
        <v>4</v>
      </c>
      <c r="C276" s="369" t="s">
        <v>598</v>
      </c>
      <c r="D276" s="369">
        <v>4.0</v>
      </c>
      <c r="E276" s="369">
        <v>3.0</v>
      </c>
      <c r="F276" s="369">
        <v>3.0</v>
      </c>
      <c r="G276" s="369">
        <v>1.0</v>
      </c>
      <c r="H276" s="369" t="s">
        <v>107</v>
      </c>
    </row>
    <row r="277">
      <c r="A277" s="369">
        <v>12.0</v>
      </c>
      <c r="B277" s="370">
        <f t="shared" si="58"/>
        <v>4</v>
      </c>
      <c r="C277" s="369" t="s">
        <v>404</v>
      </c>
      <c r="D277" s="369">
        <v>4.0</v>
      </c>
      <c r="E277" s="369">
        <v>3.0</v>
      </c>
      <c r="F277" s="369">
        <v>3.0</v>
      </c>
      <c r="G277" s="369">
        <v>1.0</v>
      </c>
      <c r="H277" s="369" t="s">
        <v>107</v>
      </c>
    </row>
    <row r="278">
      <c r="A278" s="369">
        <v>13.0</v>
      </c>
      <c r="B278" s="370">
        <f t="shared" ref="B278:B281" si="59">+5</f>
        <v>5</v>
      </c>
      <c r="C278" s="369" t="s">
        <v>599</v>
      </c>
      <c r="D278" s="369">
        <v>4.0</v>
      </c>
      <c r="E278" s="369">
        <v>3.0</v>
      </c>
      <c r="F278" s="369">
        <v>3.0</v>
      </c>
      <c r="G278" s="369">
        <v>1.0</v>
      </c>
      <c r="H278" s="369" t="s">
        <v>107</v>
      </c>
    </row>
    <row r="279">
      <c r="A279" s="369">
        <v>14.0</v>
      </c>
      <c r="B279" s="370">
        <f t="shared" si="59"/>
        <v>5</v>
      </c>
      <c r="C279" s="369" t="s">
        <v>404</v>
      </c>
      <c r="D279" s="369">
        <v>4.0</v>
      </c>
      <c r="E279" s="369">
        <v>3.0</v>
      </c>
      <c r="F279" s="369">
        <v>3.0</v>
      </c>
      <c r="G279" s="369">
        <v>2.0</v>
      </c>
      <c r="H279" s="369" t="s">
        <v>107</v>
      </c>
    </row>
    <row r="280">
      <c r="A280" s="369">
        <v>15.0</v>
      </c>
      <c r="B280" s="370">
        <f t="shared" si="59"/>
        <v>5</v>
      </c>
      <c r="C280" s="369" t="s">
        <v>600</v>
      </c>
      <c r="D280" s="369">
        <v>4.0</v>
      </c>
      <c r="E280" s="369">
        <v>3.0</v>
      </c>
      <c r="F280" s="369">
        <v>3.0</v>
      </c>
      <c r="G280" s="369">
        <v>2.0</v>
      </c>
      <c r="H280" s="369" t="s">
        <v>107</v>
      </c>
    </row>
    <row r="281">
      <c r="A281" s="369">
        <v>16.0</v>
      </c>
      <c r="B281" s="370">
        <f t="shared" si="59"/>
        <v>5</v>
      </c>
      <c r="C281" s="369" t="s">
        <v>404</v>
      </c>
      <c r="D281" s="369">
        <v>4.0</v>
      </c>
      <c r="E281" s="369">
        <v>3.0</v>
      </c>
      <c r="F281" s="369">
        <v>3.0</v>
      </c>
      <c r="G281" s="369">
        <v>2.0</v>
      </c>
      <c r="H281" s="369">
        <v>1.0</v>
      </c>
    </row>
    <row r="282">
      <c r="A282" s="369">
        <v>17.0</v>
      </c>
      <c r="B282" s="370">
        <f t="shared" ref="B282:B285" si="60">+6</f>
        <v>6</v>
      </c>
      <c r="C282" s="369" t="s">
        <v>601</v>
      </c>
      <c r="D282" s="369">
        <v>4.0</v>
      </c>
      <c r="E282" s="369">
        <v>3.0</v>
      </c>
      <c r="F282" s="369">
        <v>3.0</v>
      </c>
      <c r="G282" s="369">
        <v>2.0</v>
      </c>
      <c r="H282" s="369">
        <v>1.0</v>
      </c>
    </row>
    <row r="283">
      <c r="A283" s="369">
        <v>18.0</v>
      </c>
      <c r="B283" s="370">
        <f t="shared" si="60"/>
        <v>6</v>
      </c>
      <c r="C283" s="369" t="s">
        <v>602</v>
      </c>
      <c r="D283" s="369">
        <v>4.0</v>
      </c>
      <c r="E283" s="369">
        <v>3.0</v>
      </c>
      <c r="F283" s="369">
        <v>3.0</v>
      </c>
      <c r="G283" s="369">
        <v>3.0</v>
      </c>
      <c r="H283" s="369">
        <v>1.0</v>
      </c>
    </row>
    <row r="284">
      <c r="A284" s="369">
        <v>19.0</v>
      </c>
      <c r="B284" s="370">
        <f t="shared" si="60"/>
        <v>6</v>
      </c>
      <c r="C284" s="369" t="s">
        <v>404</v>
      </c>
      <c r="D284" s="369">
        <v>4.0</v>
      </c>
      <c r="E284" s="369">
        <v>3.0</v>
      </c>
      <c r="F284" s="369">
        <v>3.0</v>
      </c>
      <c r="G284" s="369">
        <v>3.0</v>
      </c>
      <c r="H284" s="369">
        <v>2.0</v>
      </c>
    </row>
    <row r="285">
      <c r="A285" s="371">
        <v>20.0</v>
      </c>
      <c r="B285" s="372">
        <f t="shared" si="60"/>
        <v>6</v>
      </c>
      <c r="C285" s="371" t="s">
        <v>603</v>
      </c>
      <c r="D285" s="371">
        <v>4.0</v>
      </c>
      <c r="E285" s="371">
        <v>3.0</v>
      </c>
      <c r="F285" s="371">
        <v>3.0</v>
      </c>
      <c r="G285" s="371">
        <v>3.0</v>
      </c>
      <c r="H285" s="371">
        <v>2.0</v>
      </c>
    </row>
    <row r="286">
      <c r="A286" s="344"/>
      <c r="B286" s="344"/>
      <c r="C286" s="344"/>
      <c r="D286" s="344"/>
      <c r="E286" s="344"/>
      <c r="F286" s="344"/>
      <c r="G286" s="344"/>
      <c r="H286" s="344"/>
    </row>
    <row r="287">
      <c r="A287" s="344"/>
      <c r="B287" s="344"/>
      <c r="C287" s="345" t="s">
        <v>238</v>
      </c>
      <c r="D287" s="344"/>
      <c r="E287" s="344"/>
      <c r="F287" s="344"/>
      <c r="G287" s="344"/>
      <c r="H287" s="344"/>
    </row>
    <row r="288">
      <c r="A288" s="368" t="s">
        <v>2</v>
      </c>
      <c r="B288" s="368" t="s">
        <v>465</v>
      </c>
      <c r="C288" s="368" t="s">
        <v>394</v>
      </c>
      <c r="D288" s="368" t="s">
        <v>466</v>
      </c>
      <c r="E288" s="368" t="s">
        <v>467</v>
      </c>
      <c r="F288" s="368" t="s">
        <v>468</v>
      </c>
      <c r="G288" s="368" t="s">
        <v>469</v>
      </c>
      <c r="H288" s="368" t="s">
        <v>470</v>
      </c>
    </row>
    <row r="289">
      <c r="A289" s="369">
        <v>1.0</v>
      </c>
      <c r="B289" s="370">
        <f t="shared" ref="B289:B292" si="61">+2</f>
        <v>2</v>
      </c>
      <c r="C289" s="369" t="s">
        <v>604</v>
      </c>
      <c r="D289" s="369">
        <v>2.0</v>
      </c>
      <c r="E289" s="369" t="s">
        <v>107</v>
      </c>
      <c r="F289" s="369" t="s">
        <v>107</v>
      </c>
      <c r="G289" s="369" t="s">
        <v>107</v>
      </c>
      <c r="H289" s="369" t="s">
        <v>107</v>
      </c>
    </row>
    <row r="290">
      <c r="A290" s="369">
        <v>2.0</v>
      </c>
      <c r="B290" s="370">
        <f t="shared" si="61"/>
        <v>2</v>
      </c>
      <c r="C290" s="369" t="s">
        <v>605</v>
      </c>
      <c r="D290" s="369">
        <v>3.0</v>
      </c>
      <c r="E290" s="369" t="s">
        <v>107</v>
      </c>
      <c r="F290" s="369" t="s">
        <v>107</v>
      </c>
      <c r="G290" s="369" t="s">
        <v>107</v>
      </c>
      <c r="H290" s="369" t="s">
        <v>107</v>
      </c>
    </row>
    <row r="291">
      <c r="A291" s="369">
        <v>3.0</v>
      </c>
      <c r="B291" s="370">
        <f t="shared" si="61"/>
        <v>2</v>
      </c>
      <c r="C291" s="369" t="s">
        <v>606</v>
      </c>
      <c r="D291" s="369">
        <v>4.0</v>
      </c>
      <c r="E291" s="369">
        <v>2.0</v>
      </c>
      <c r="F291" s="369" t="s">
        <v>107</v>
      </c>
      <c r="G291" s="369" t="s">
        <v>107</v>
      </c>
      <c r="H291" s="369" t="s">
        <v>107</v>
      </c>
    </row>
    <row r="292">
      <c r="A292" s="369">
        <v>4.0</v>
      </c>
      <c r="B292" s="370">
        <f t="shared" si="61"/>
        <v>2</v>
      </c>
      <c r="C292" s="369" t="s">
        <v>404</v>
      </c>
      <c r="D292" s="369">
        <v>4.0</v>
      </c>
      <c r="E292" s="369">
        <v>2.0</v>
      </c>
      <c r="F292" s="369" t="s">
        <v>107</v>
      </c>
      <c r="G292" s="369" t="s">
        <v>107</v>
      </c>
      <c r="H292" s="369" t="s">
        <v>107</v>
      </c>
    </row>
    <row r="293">
      <c r="A293" s="369">
        <v>5.0</v>
      </c>
      <c r="B293" s="370">
        <f t="shared" ref="B293:B296" si="62">+3</f>
        <v>3</v>
      </c>
      <c r="C293" s="369" t="s">
        <v>607</v>
      </c>
      <c r="D293" s="369">
        <v>4.0</v>
      </c>
      <c r="E293" s="369">
        <v>3.0</v>
      </c>
      <c r="F293" s="369" t="s">
        <v>107</v>
      </c>
      <c r="G293" s="369" t="s">
        <v>107</v>
      </c>
      <c r="H293" s="369" t="s">
        <v>107</v>
      </c>
    </row>
    <row r="294">
      <c r="A294" s="369">
        <v>6.0</v>
      </c>
      <c r="B294" s="370">
        <f t="shared" si="62"/>
        <v>3</v>
      </c>
      <c r="C294" s="369" t="s">
        <v>608</v>
      </c>
      <c r="D294" s="369">
        <v>4.0</v>
      </c>
      <c r="E294" s="369">
        <v>3.0</v>
      </c>
      <c r="F294" s="369" t="s">
        <v>107</v>
      </c>
      <c r="G294" s="369" t="s">
        <v>107</v>
      </c>
      <c r="H294" s="369" t="s">
        <v>107</v>
      </c>
    </row>
    <row r="295">
      <c r="A295" s="369">
        <v>7.0</v>
      </c>
      <c r="B295" s="370">
        <f t="shared" si="62"/>
        <v>3</v>
      </c>
      <c r="C295" s="369" t="s">
        <v>609</v>
      </c>
      <c r="D295" s="369">
        <v>4.0</v>
      </c>
      <c r="E295" s="369">
        <v>3.0</v>
      </c>
      <c r="F295" s="369">
        <v>2.0</v>
      </c>
      <c r="G295" s="369" t="s">
        <v>107</v>
      </c>
      <c r="H295" s="369" t="s">
        <v>107</v>
      </c>
    </row>
    <row r="296">
      <c r="A296" s="369">
        <v>8.0</v>
      </c>
      <c r="B296" s="370">
        <f t="shared" si="62"/>
        <v>3</v>
      </c>
      <c r="C296" s="369" t="s">
        <v>404</v>
      </c>
      <c r="D296" s="369">
        <v>4.0</v>
      </c>
      <c r="E296" s="369">
        <v>3.0</v>
      </c>
      <c r="F296" s="369">
        <v>2.0</v>
      </c>
      <c r="G296" s="369" t="s">
        <v>107</v>
      </c>
      <c r="H296" s="369" t="s">
        <v>107</v>
      </c>
    </row>
    <row r="297">
      <c r="A297" s="369">
        <v>9.0</v>
      </c>
      <c r="B297" s="370">
        <f t="shared" ref="B297:B300" si="63">+4</f>
        <v>4</v>
      </c>
      <c r="C297" s="369" t="s">
        <v>610</v>
      </c>
      <c r="D297" s="369">
        <v>4.0</v>
      </c>
      <c r="E297" s="369">
        <v>3.0</v>
      </c>
      <c r="F297" s="369">
        <v>3.0</v>
      </c>
      <c r="G297" s="369" t="s">
        <v>107</v>
      </c>
      <c r="H297" s="369" t="s">
        <v>107</v>
      </c>
    </row>
    <row r="298">
      <c r="A298" s="369">
        <v>10.0</v>
      </c>
      <c r="B298" s="370">
        <f t="shared" si="63"/>
        <v>4</v>
      </c>
      <c r="C298" s="369" t="s">
        <v>611</v>
      </c>
      <c r="D298" s="369">
        <v>4.0</v>
      </c>
      <c r="E298" s="369">
        <v>3.0</v>
      </c>
      <c r="F298" s="369">
        <v>3.0</v>
      </c>
      <c r="G298" s="369" t="s">
        <v>107</v>
      </c>
      <c r="H298" s="369" t="s">
        <v>107</v>
      </c>
    </row>
    <row r="299">
      <c r="A299" s="369">
        <v>11.0</v>
      </c>
      <c r="B299" s="370">
        <f t="shared" si="63"/>
        <v>4</v>
      </c>
      <c r="C299" s="369" t="s">
        <v>612</v>
      </c>
      <c r="D299" s="369">
        <v>4.0</v>
      </c>
      <c r="E299" s="369">
        <v>3.0</v>
      </c>
      <c r="F299" s="369">
        <v>3.0</v>
      </c>
      <c r="G299" s="369">
        <v>1.0</v>
      </c>
      <c r="H299" s="369" t="s">
        <v>107</v>
      </c>
    </row>
    <row r="300">
      <c r="A300" s="369">
        <v>12.0</v>
      </c>
      <c r="B300" s="370">
        <f t="shared" si="63"/>
        <v>4</v>
      </c>
      <c r="C300" s="369" t="s">
        <v>404</v>
      </c>
      <c r="D300" s="369">
        <v>4.0</v>
      </c>
      <c r="E300" s="369">
        <v>3.0</v>
      </c>
      <c r="F300" s="369">
        <v>3.0</v>
      </c>
      <c r="G300" s="369">
        <v>1.0</v>
      </c>
      <c r="H300" s="369" t="s">
        <v>107</v>
      </c>
    </row>
    <row r="301">
      <c r="A301" s="369">
        <v>13.0</v>
      </c>
      <c r="B301" s="370">
        <f t="shared" ref="B301:B304" si="64">+5</f>
        <v>5</v>
      </c>
      <c r="C301" s="369" t="s">
        <v>613</v>
      </c>
      <c r="D301" s="369">
        <v>4.0</v>
      </c>
      <c r="E301" s="369">
        <v>3.0</v>
      </c>
      <c r="F301" s="369">
        <v>3.0</v>
      </c>
      <c r="G301" s="369">
        <v>1.0</v>
      </c>
      <c r="H301" s="369" t="s">
        <v>107</v>
      </c>
    </row>
    <row r="302">
      <c r="A302" s="369">
        <v>14.0</v>
      </c>
      <c r="B302" s="370">
        <f t="shared" si="64"/>
        <v>5</v>
      </c>
      <c r="C302" s="369" t="s">
        <v>614</v>
      </c>
      <c r="D302" s="369">
        <v>4.0</v>
      </c>
      <c r="E302" s="369">
        <v>3.0</v>
      </c>
      <c r="F302" s="369">
        <v>3.0</v>
      </c>
      <c r="G302" s="369">
        <v>2.0</v>
      </c>
      <c r="H302" s="369" t="s">
        <v>107</v>
      </c>
    </row>
    <row r="303">
      <c r="A303" s="369">
        <v>15.0</v>
      </c>
      <c r="B303" s="370">
        <f t="shared" si="64"/>
        <v>5</v>
      </c>
      <c r="C303" s="369" t="s">
        <v>615</v>
      </c>
      <c r="D303" s="369">
        <v>4.0</v>
      </c>
      <c r="E303" s="369">
        <v>3.0</v>
      </c>
      <c r="F303" s="369">
        <v>3.0</v>
      </c>
      <c r="G303" s="369">
        <v>2.0</v>
      </c>
      <c r="H303" s="369">
        <v>1.0</v>
      </c>
    </row>
    <row r="304">
      <c r="A304" s="369">
        <v>16.0</v>
      </c>
      <c r="B304" s="370">
        <f t="shared" si="64"/>
        <v>5</v>
      </c>
      <c r="C304" s="369" t="s">
        <v>404</v>
      </c>
      <c r="D304" s="369">
        <v>4.0</v>
      </c>
      <c r="E304" s="369">
        <v>3.0</v>
      </c>
      <c r="F304" s="369">
        <v>3.0</v>
      </c>
      <c r="G304" s="369">
        <v>2.0</v>
      </c>
      <c r="H304" s="369">
        <v>1.0</v>
      </c>
    </row>
    <row r="305">
      <c r="A305" s="369">
        <v>17.0</v>
      </c>
      <c r="B305" s="370">
        <f t="shared" ref="B305:B308" si="65">+6</f>
        <v>6</v>
      </c>
      <c r="C305" s="369" t="s">
        <v>616</v>
      </c>
      <c r="D305" s="369">
        <v>4.0</v>
      </c>
      <c r="E305" s="369">
        <v>3.0</v>
      </c>
      <c r="F305" s="369">
        <v>3.0</v>
      </c>
      <c r="G305" s="369">
        <v>2.0</v>
      </c>
      <c r="H305" s="369">
        <v>1.0</v>
      </c>
    </row>
    <row r="306">
      <c r="A306" s="369">
        <v>18.0</v>
      </c>
      <c r="B306" s="370">
        <f t="shared" si="65"/>
        <v>6</v>
      </c>
      <c r="C306" s="369" t="s">
        <v>617</v>
      </c>
      <c r="D306" s="369">
        <v>4.0</v>
      </c>
      <c r="E306" s="369">
        <v>3.0</v>
      </c>
      <c r="F306" s="369">
        <v>3.0</v>
      </c>
      <c r="G306" s="369">
        <v>3.0</v>
      </c>
      <c r="H306" s="369">
        <v>2.0</v>
      </c>
    </row>
    <row r="307">
      <c r="A307" s="369">
        <v>19.0</v>
      </c>
      <c r="B307" s="370">
        <f t="shared" si="65"/>
        <v>6</v>
      </c>
      <c r="C307" s="369" t="s">
        <v>404</v>
      </c>
      <c r="D307" s="369">
        <v>4.0</v>
      </c>
      <c r="E307" s="369">
        <v>3.0</v>
      </c>
      <c r="F307" s="369">
        <v>3.0</v>
      </c>
      <c r="G307" s="369">
        <v>3.0</v>
      </c>
      <c r="H307" s="369">
        <v>2.0</v>
      </c>
    </row>
    <row r="308">
      <c r="A308" s="371">
        <v>20.0</v>
      </c>
      <c r="B308" s="372">
        <f t="shared" si="65"/>
        <v>6</v>
      </c>
      <c r="C308" s="371" t="s">
        <v>618</v>
      </c>
      <c r="D308" s="371">
        <v>4.0</v>
      </c>
      <c r="E308" s="371">
        <v>3.0</v>
      </c>
      <c r="F308" s="371">
        <v>3.0</v>
      </c>
      <c r="G308" s="371">
        <v>3.0</v>
      </c>
      <c r="H308" s="371">
        <v>2.0</v>
      </c>
    </row>
    <row r="309">
      <c r="A309" s="344"/>
      <c r="B309" s="344"/>
      <c r="C309" s="344"/>
      <c r="D309" s="344"/>
      <c r="E309" s="344"/>
      <c r="F309" s="344"/>
      <c r="G309" s="344"/>
      <c r="H309" s="344"/>
    </row>
    <row r="310">
      <c r="A310" s="344"/>
      <c r="B310" s="344"/>
      <c r="C310" s="345" t="s">
        <v>240</v>
      </c>
      <c r="D310" s="344"/>
      <c r="E310" s="344"/>
      <c r="F310" s="344"/>
      <c r="G310" s="344"/>
      <c r="H310" s="344"/>
    </row>
    <row r="311">
      <c r="A311" s="368" t="s">
        <v>2</v>
      </c>
      <c r="B311" s="368" t="s">
        <v>465</v>
      </c>
      <c r="C311" s="368" t="s">
        <v>394</v>
      </c>
      <c r="D311" s="368" t="s">
        <v>466</v>
      </c>
      <c r="E311" s="368" t="s">
        <v>467</v>
      </c>
      <c r="F311" s="368" t="s">
        <v>468</v>
      </c>
      <c r="G311" s="368" t="s">
        <v>469</v>
      </c>
      <c r="H311" s="368" t="s">
        <v>470</v>
      </c>
    </row>
    <row r="312">
      <c r="A312" s="369">
        <v>1.0</v>
      </c>
      <c r="B312" s="370">
        <f t="shared" ref="B312:B315" si="66">+2</f>
        <v>2</v>
      </c>
      <c r="C312" s="369" t="s">
        <v>619</v>
      </c>
      <c r="D312" s="369">
        <v>2.0</v>
      </c>
      <c r="E312" s="369" t="s">
        <v>107</v>
      </c>
      <c r="F312" s="369" t="s">
        <v>107</v>
      </c>
      <c r="G312" s="369" t="s">
        <v>107</v>
      </c>
      <c r="H312" s="369" t="s">
        <v>107</v>
      </c>
    </row>
    <row r="313">
      <c r="A313" s="369">
        <v>2.0</v>
      </c>
      <c r="B313" s="370">
        <f t="shared" si="66"/>
        <v>2</v>
      </c>
      <c r="C313" s="369" t="s">
        <v>620</v>
      </c>
      <c r="D313" s="369">
        <v>3.0</v>
      </c>
      <c r="E313" s="369" t="s">
        <v>107</v>
      </c>
      <c r="F313" s="369" t="s">
        <v>107</v>
      </c>
      <c r="G313" s="369" t="s">
        <v>107</v>
      </c>
      <c r="H313" s="369" t="s">
        <v>107</v>
      </c>
    </row>
    <row r="314">
      <c r="A314" s="369">
        <v>3.0</v>
      </c>
      <c r="B314" s="370">
        <f t="shared" si="66"/>
        <v>2</v>
      </c>
      <c r="C314" s="369" t="s">
        <v>621</v>
      </c>
      <c r="D314" s="369">
        <v>4.0</v>
      </c>
      <c r="E314" s="369">
        <v>2.0</v>
      </c>
      <c r="F314" s="369" t="s">
        <v>107</v>
      </c>
      <c r="G314" s="369" t="s">
        <v>107</v>
      </c>
      <c r="H314" s="369" t="s">
        <v>107</v>
      </c>
    </row>
    <row r="315">
      <c r="A315" s="369">
        <v>4.0</v>
      </c>
      <c r="B315" s="370">
        <f t="shared" si="66"/>
        <v>2</v>
      </c>
      <c r="C315" s="369" t="s">
        <v>404</v>
      </c>
      <c r="D315" s="369">
        <v>4.0</v>
      </c>
      <c r="E315" s="369">
        <v>2.0</v>
      </c>
      <c r="F315" s="369" t="s">
        <v>107</v>
      </c>
      <c r="G315" s="369" t="s">
        <v>107</v>
      </c>
      <c r="H315" s="369" t="s">
        <v>107</v>
      </c>
    </row>
    <row r="316">
      <c r="A316" s="369">
        <v>5.0</v>
      </c>
      <c r="B316" s="370">
        <f t="shared" ref="B316:B319" si="67">+3</f>
        <v>3</v>
      </c>
      <c r="C316" s="369" t="s">
        <v>622</v>
      </c>
      <c r="D316" s="369">
        <v>4.0</v>
      </c>
      <c r="E316" s="369">
        <v>3.0</v>
      </c>
      <c r="F316" s="369" t="s">
        <v>107</v>
      </c>
      <c r="G316" s="369" t="s">
        <v>107</v>
      </c>
      <c r="H316" s="369" t="s">
        <v>107</v>
      </c>
    </row>
    <row r="317">
      <c r="A317" s="369">
        <v>6.0</v>
      </c>
      <c r="B317" s="370">
        <f t="shared" si="67"/>
        <v>3</v>
      </c>
      <c r="C317" s="369" t="s">
        <v>623</v>
      </c>
      <c r="D317" s="369">
        <v>4.0</v>
      </c>
      <c r="E317" s="369">
        <v>3.0</v>
      </c>
      <c r="F317" s="369" t="s">
        <v>107</v>
      </c>
      <c r="G317" s="369" t="s">
        <v>107</v>
      </c>
      <c r="H317" s="369" t="s">
        <v>107</v>
      </c>
    </row>
    <row r="318">
      <c r="A318" s="369">
        <v>7.0</v>
      </c>
      <c r="B318" s="370">
        <f t="shared" si="67"/>
        <v>3</v>
      </c>
      <c r="C318" s="369" t="s">
        <v>624</v>
      </c>
      <c r="D318" s="369">
        <v>4.0</v>
      </c>
      <c r="E318" s="369">
        <v>3.0</v>
      </c>
      <c r="F318" s="369">
        <v>2.0</v>
      </c>
      <c r="G318" s="369" t="s">
        <v>107</v>
      </c>
      <c r="H318" s="369" t="s">
        <v>107</v>
      </c>
    </row>
    <row r="319">
      <c r="A319" s="369">
        <v>8.0</v>
      </c>
      <c r="B319" s="370">
        <f t="shared" si="67"/>
        <v>3</v>
      </c>
      <c r="C319" s="369" t="s">
        <v>404</v>
      </c>
      <c r="D319" s="369">
        <v>4.0</v>
      </c>
      <c r="E319" s="369">
        <v>3.0</v>
      </c>
      <c r="F319" s="369">
        <v>2.0</v>
      </c>
      <c r="G319" s="369" t="s">
        <v>107</v>
      </c>
      <c r="H319" s="369" t="s">
        <v>107</v>
      </c>
    </row>
    <row r="320">
      <c r="A320" s="369">
        <v>9.0</v>
      </c>
      <c r="B320" s="370">
        <f t="shared" ref="B320:B323" si="68">+4</f>
        <v>4</v>
      </c>
      <c r="C320" s="369" t="s">
        <v>625</v>
      </c>
      <c r="D320" s="369">
        <v>4.0</v>
      </c>
      <c r="E320" s="369">
        <v>3.0</v>
      </c>
      <c r="F320" s="369">
        <v>3.0</v>
      </c>
      <c r="G320" s="369" t="s">
        <v>107</v>
      </c>
      <c r="H320" s="369" t="s">
        <v>107</v>
      </c>
    </row>
    <row r="321">
      <c r="A321" s="369">
        <v>10.0</v>
      </c>
      <c r="B321" s="370">
        <f t="shared" si="68"/>
        <v>4</v>
      </c>
      <c r="C321" s="369" t="s">
        <v>626</v>
      </c>
      <c r="D321" s="369">
        <v>4.0</v>
      </c>
      <c r="E321" s="369">
        <v>3.0</v>
      </c>
      <c r="F321" s="369">
        <v>3.0</v>
      </c>
      <c r="G321" s="369" t="s">
        <v>107</v>
      </c>
      <c r="H321" s="369" t="s">
        <v>107</v>
      </c>
    </row>
    <row r="322">
      <c r="A322" s="369">
        <v>11.0</v>
      </c>
      <c r="B322" s="370">
        <f t="shared" si="68"/>
        <v>4</v>
      </c>
      <c r="C322" s="369" t="s">
        <v>627</v>
      </c>
      <c r="D322" s="369">
        <v>4.0</v>
      </c>
      <c r="E322" s="369">
        <v>3.0</v>
      </c>
      <c r="F322" s="369">
        <v>3.0</v>
      </c>
      <c r="G322" s="369">
        <v>1.0</v>
      </c>
      <c r="H322" s="369" t="s">
        <v>107</v>
      </c>
    </row>
    <row r="323">
      <c r="A323" s="369">
        <v>12.0</v>
      </c>
      <c r="B323" s="370">
        <f t="shared" si="68"/>
        <v>4</v>
      </c>
      <c r="C323" s="369" t="s">
        <v>404</v>
      </c>
      <c r="D323" s="369">
        <v>4.0</v>
      </c>
      <c r="E323" s="369">
        <v>3.0</v>
      </c>
      <c r="F323" s="369">
        <v>3.0</v>
      </c>
      <c r="G323" s="369">
        <v>1.0</v>
      </c>
      <c r="H323" s="369" t="s">
        <v>107</v>
      </c>
    </row>
    <row r="324">
      <c r="A324" s="369">
        <v>13.0</v>
      </c>
      <c r="B324" s="370">
        <f t="shared" ref="B324:B327" si="69">+5</f>
        <v>5</v>
      </c>
      <c r="C324" s="369" t="s">
        <v>628</v>
      </c>
      <c r="D324" s="369">
        <v>4.0</v>
      </c>
      <c r="E324" s="369">
        <v>3.0</v>
      </c>
      <c r="F324" s="369">
        <v>3.0</v>
      </c>
      <c r="G324" s="369">
        <v>1.0</v>
      </c>
      <c r="H324" s="369" t="s">
        <v>107</v>
      </c>
    </row>
    <row r="325">
      <c r="A325" s="369">
        <v>14.0</v>
      </c>
      <c r="B325" s="370">
        <f t="shared" si="69"/>
        <v>5</v>
      </c>
      <c r="C325" s="369" t="s">
        <v>629</v>
      </c>
      <c r="D325" s="369">
        <v>4.0</v>
      </c>
      <c r="E325" s="369">
        <v>3.0</v>
      </c>
      <c r="F325" s="369">
        <v>3.0</v>
      </c>
      <c r="G325" s="369">
        <v>2.0</v>
      </c>
      <c r="H325" s="369" t="s">
        <v>107</v>
      </c>
    </row>
    <row r="326">
      <c r="A326" s="369">
        <v>15.0</v>
      </c>
      <c r="B326" s="370">
        <f t="shared" si="69"/>
        <v>5</v>
      </c>
      <c r="C326" s="369" t="s">
        <v>404</v>
      </c>
      <c r="D326" s="369">
        <v>4.0</v>
      </c>
      <c r="E326" s="369">
        <v>3.0</v>
      </c>
      <c r="F326" s="369">
        <v>3.0</v>
      </c>
      <c r="G326" s="369">
        <v>2.0</v>
      </c>
      <c r="H326" s="369">
        <v>1.0</v>
      </c>
    </row>
    <row r="327">
      <c r="A327" s="369">
        <v>16.0</v>
      </c>
      <c r="B327" s="370">
        <f t="shared" si="69"/>
        <v>5</v>
      </c>
      <c r="C327" s="369" t="s">
        <v>404</v>
      </c>
      <c r="D327" s="369">
        <v>4.0</v>
      </c>
      <c r="E327" s="369">
        <v>3.0</v>
      </c>
      <c r="F327" s="369">
        <v>3.0</v>
      </c>
      <c r="G327" s="369">
        <v>2.0</v>
      </c>
      <c r="H327" s="369">
        <v>1.0</v>
      </c>
    </row>
    <row r="328">
      <c r="A328" s="369">
        <v>17.0</v>
      </c>
      <c r="B328" s="370">
        <f t="shared" ref="B328:B331" si="70">+6</f>
        <v>6</v>
      </c>
      <c r="C328" s="369" t="s">
        <v>630</v>
      </c>
      <c r="D328" s="369">
        <v>4.0</v>
      </c>
      <c r="E328" s="369">
        <v>3.0</v>
      </c>
      <c r="F328" s="369">
        <v>3.0</v>
      </c>
      <c r="G328" s="369">
        <v>2.0</v>
      </c>
      <c r="H328" s="369">
        <v>1.0</v>
      </c>
    </row>
    <row r="329">
      <c r="A329" s="369">
        <v>18.0</v>
      </c>
      <c r="B329" s="370">
        <f t="shared" si="70"/>
        <v>6</v>
      </c>
      <c r="C329" s="369" t="s">
        <v>404</v>
      </c>
      <c r="D329" s="369">
        <v>4.0</v>
      </c>
      <c r="E329" s="369">
        <v>3.0</v>
      </c>
      <c r="F329" s="369">
        <v>3.0</v>
      </c>
      <c r="G329" s="369">
        <v>3.0</v>
      </c>
      <c r="H329" s="369">
        <v>2.0</v>
      </c>
    </row>
    <row r="330">
      <c r="A330" s="369">
        <v>19.0</v>
      </c>
      <c r="B330" s="370">
        <f t="shared" si="70"/>
        <v>6</v>
      </c>
      <c r="C330" s="369" t="s">
        <v>404</v>
      </c>
      <c r="D330" s="369">
        <v>4.0</v>
      </c>
      <c r="E330" s="369">
        <v>3.0</v>
      </c>
      <c r="F330" s="369">
        <v>3.0</v>
      </c>
      <c r="G330" s="369">
        <v>3.0</v>
      </c>
      <c r="H330" s="369">
        <v>2.0</v>
      </c>
    </row>
    <row r="331">
      <c r="A331" s="371">
        <v>20.0</v>
      </c>
      <c r="B331" s="372">
        <f t="shared" si="70"/>
        <v>6</v>
      </c>
      <c r="C331" s="371" t="s">
        <v>631</v>
      </c>
      <c r="D331" s="371">
        <v>4.0</v>
      </c>
      <c r="E331" s="371">
        <v>3.0</v>
      </c>
      <c r="F331" s="371">
        <v>3.0</v>
      </c>
      <c r="G331" s="371">
        <v>3.0</v>
      </c>
      <c r="H331" s="371">
        <v>2.0</v>
      </c>
    </row>
    <row r="332">
      <c r="A332" s="344"/>
      <c r="B332" s="344"/>
      <c r="C332" s="344"/>
      <c r="D332" s="344"/>
      <c r="E332" s="344"/>
      <c r="F332" s="344"/>
      <c r="G332" s="344"/>
      <c r="H332" s="344"/>
    </row>
    <row r="333">
      <c r="A333" s="344"/>
      <c r="B333" s="344"/>
      <c r="C333" s="345" t="s">
        <v>260</v>
      </c>
      <c r="D333" s="344"/>
      <c r="E333" s="344"/>
      <c r="F333" s="344"/>
      <c r="G333" s="344"/>
      <c r="H333" s="344"/>
    </row>
    <row r="334">
      <c r="A334" s="373" t="s">
        <v>2</v>
      </c>
      <c r="B334" s="373" t="s">
        <v>465</v>
      </c>
      <c r="C334" s="373" t="s">
        <v>394</v>
      </c>
      <c r="D334" s="373" t="s">
        <v>466</v>
      </c>
      <c r="E334" s="373" t="s">
        <v>467</v>
      </c>
      <c r="F334" s="373" t="s">
        <v>468</v>
      </c>
      <c r="G334" s="373" t="s">
        <v>469</v>
      </c>
      <c r="H334" s="373" t="s">
        <v>470</v>
      </c>
    </row>
    <row r="335">
      <c r="A335" s="374">
        <v>1.0</v>
      </c>
      <c r="B335" s="375">
        <f t="shared" ref="B335:B338" si="71">+2</f>
        <v>2</v>
      </c>
      <c r="C335" s="374" t="s">
        <v>632</v>
      </c>
      <c r="D335" s="374">
        <v>2.0</v>
      </c>
      <c r="E335" s="374" t="s">
        <v>107</v>
      </c>
      <c r="F335" s="374" t="s">
        <v>107</v>
      </c>
      <c r="G335" s="374" t="s">
        <v>107</v>
      </c>
      <c r="H335" s="374" t="s">
        <v>107</v>
      </c>
    </row>
    <row r="336">
      <c r="A336" s="374">
        <v>2.0</v>
      </c>
      <c r="B336" s="375">
        <f t="shared" si="71"/>
        <v>2</v>
      </c>
      <c r="C336" s="374" t="s">
        <v>633</v>
      </c>
      <c r="D336" s="374">
        <v>3.0</v>
      </c>
      <c r="E336" s="374" t="s">
        <v>107</v>
      </c>
      <c r="F336" s="374" t="s">
        <v>107</v>
      </c>
      <c r="G336" s="374" t="s">
        <v>107</v>
      </c>
      <c r="H336" s="374" t="s">
        <v>107</v>
      </c>
    </row>
    <row r="337">
      <c r="A337" s="374">
        <v>3.0</v>
      </c>
      <c r="B337" s="375">
        <f t="shared" si="71"/>
        <v>2</v>
      </c>
      <c r="C337" s="374" t="s">
        <v>634</v>
      </c>
      <c r="D337" s="374">
        <v>4.0</v>
      </c>
      <c r="E337" s="374">
        <v>2.0</v>
      </c>
      <c r="F337" s="374" t="s">
        <v>107</v>
      </c>
      <c r="G337" s="374" t="s">
        <v>107</v>
      </c>
      <c r="H337" s="374" t="s">
        <v>107</v>
      </c>
    </row>
    <row r="338">
      <c r="A338" s="374">
        <v>4.0</v>
      </c>
      <c r="B338" s="375">
        <f t="shared" si="71"/>
        <v>2</v>
      </c>
      <c r="C338" s="374" t="s">
        <v>404</v>
      </c>
      <c r="D338" s="374">
        <v>4.0</v>
      </c>
      <c r="E338" s="374">
        <v>2.0</v>
      </c>
      <c r="F338" s="374" t="s">
        <v>107</v>
      </c>
      <c r="G338" s="374" t="s">
        <v>107</v>
      </c>
      <c r="H338" s="374" t="s">
        <v>107</v>
      </c>
    </row>
    <row r="339">
      <c r="A339" s="374">
        <v>5.0</v>
      </c>
      <c r="B339" s="375">
        <f t="shared" ref="B339:B342" si="72">+3</f>
        <v>3</v>
      </c>
      <c r="C339" s="374" t="s">
        <v>635</v>
      </c>
      <c r="D339" s="374">
        <v>4.0</v>
      </c>
      <c r="E339" s="374">
        <v>3.0</v>
      </c>
      <c r="F339" s="374" t="s">
        <v>107</v>
      </c>
      <c r="G339" s="374" t="s">
        <v>107</v>
      </c>
      <c r="H339" s="374" t="s">
        <v>107</v>
      </c>
    </row>
    <row r="340">
      <c r="A340" s="374">
        <v>6.0</v>
      </c>
      <c r="B340" s="375">
        <f t="shared" si="72"/>
        <v>3</v>
      </c>
      <c r="C340" s="374" t="s">
        <v>636</v>
      </c>
      <c r="D340" s="374">
        <v>4.0</v>
      </c>
      <c r="E340" s="374">
        <v>3.0</v>
      </c>
      <c r="F340" s="374" t="s">
        <v>107</v>
      </c>
      <c r="G340" s="374" t="s">
        <v>107</v>
      </c>
      <c r="H340" s="374" t="s">
        <v>107</v>
      </c>
    </row>
    <row r="341">
      <c r="A341" s="374">
        <v>7.0</v>
      </c>
      <c r="B341" s="375">
        <f t="shared" si="72"/>
        <v>3</v>
      </c>
      <c r="C341" s="374" t="s">
        <v>637</v>
      </c>
      <c r="D341" s="374">
        <v>4.0</v>
      </c>
      <c r="E341" s="374">
        <v>3.0</v>
      </c>
      <c r="F341" s="374">
        <v>2.0</v>
      </c>
      <c r="G341" s="374" t="s">
        <v>107</v>
      </c>
      <c r="H341" s="374" t="s">
        <v>107</v>
      </c>
    </row>
    <row r="342">
      <c r="A342" s="374">
        <v>8.0</v>
      </c>
      <c r="B342" s="375">
        <f t="shared" si="72"/>
        <v>3</v>
      </c>
      <c r="C342" s="374" t="s">
        <v>404</v>
      </c>
      <c r="D342" s="374">
        <v>4.0</v>
      </c>
      <c r="E342" s="374">
        <v>3.0</v>
      </c>
      <c r="F342" s="374">
        <v>2.0</v>
      </c>
      <c r="G342" s="374" t="s">
        <v>107</v>
      </c>
      <c r="H342" s="374" t="s">
        <v>107</v>
      </c>
    </row>
    <row r="343">
      <c r="A343" s="374">
        <v>9.0</v>
      </c>
      <c r="B343" s="375">
        <f t="shared" ref="B343:B346" si="73">+4</f>
        <v>4</v>
      </c>
      <c r="C343" s="374" t="s">
        <v>638</v>
      </c>
      <c r="D343" s="374">
        <v>4.0</v>
      </c>
      <c r="E343" s="374">
        <v>3.0</v>
      </c>
      <c r="F343" s="374">
        <v>3.0</v>
      </c>
      <c r="G343" s="374" t="s">
        <v>107</v>
      </c>
      <c r="H343" s="374" t="s">
        <v>107</v>
      </c>
    </row>
    <row r="344">
      <c r="A344" s="374">
        <v>10.0</v>
      </c>
      <c r="B344" s="375">
        <f t="shared" si="73"/>
        <v>4</v>
      </c>
      <c r="C344" s="374" t="s">
        <v>639</v>
      </c>
      <c r="D344" s="374">
        <v>4.0</v>
      </c>
      <c r="E344" s="374">
        <v>3.0</v>
      </c>
      <c r="F344" s="374">
        <v>3.0</v>
      </c>
      <c r="G344" s="374" t="s">
        <v>107</v>
      </c>
      <c r="H344" s="374" t="s">
        <v>107</v>
      </c>
    </row>
    <row r="345">
      <c r="A345" s="374">
        <v>11.0</v>
      </c>
      <c r="B345" s="375">
        <f t="shared" si="73"/>
        <v>4</v>
      </c>
      <c r="C345" s="374" t="s">
        <v>640</v>
      </c>
      <c r="D345" s="374">
        <v>4.0</v>
      </c>
      <c r="E345" s="374">
        <v>3.0</v>
      </c>
      <c r="F345" s="374">
        <v>3.0</v>
      </c>
      <c r="G345" s="374">
        <v>1.0</v>
      </c>
      <c r="H345" s="374" t="s">
        <v>107</v>
      </c>
    </row>
    <row r="346">
      <c r="A346" s="374">
        <v>12.0</v>
      </c>
      <c r="B346" s="375">
        <f t="shared" si="73"/>
        <v>4</v>
      </c>
      <c r="C346" s="374" t="s">
        <v>404</v>
      </c>
      <c r="D346" s="374">
        <v>4.0</v>
      </c>
      <c r="E346" s="374">
        <v>3.0</v>
      </c>
      <c r="F346" s="374">
        <v>3.0</v>
      </c>
      <c r="G346" s="374">
        <v>1.0</v>
      </c>
      <c r="H346" s="374" t="s">
        <v>107</v>
      </c>
    </row>
    <row r="347">
      <c r="A347" s="374">
        <v>13.0</v>
      </c>
      <c r="B347" s="375">
        <f t="shared" ref="B347:B348" si="74">+5</f>
        <v>5</v>
      </c>
      <c r="C347" s="374" t="s">
        <v>641</v>
      </c>
      <c r="D347" s="374">
        <v>4.0</v>
      </c>
      <c r="E347" s="374">
        <v>3.0</v>
      </c>
      <c r="F347" s="374">
        <v>3.0</v>
      </c>
      <c r="G347" s="374">
        <v>1.0</v>
      </c>
      <c r="H347" s="374" t="s">
        <v>107</v>
      </c>
    </row>
    <row r="348">
      <c r="A348" s="374">
        <v>15.0</v>
      </c>
      <c r="B348" s="375">
        <f t="shared" si="74"/>
        <v>5</v>
      </c>
      <c r="C348" s="374" t="s">
        <v>642</v>
      </c>
      <c r="D348" s="374">
        <v>4.0</v>
      </c>
      <c r="E348" s="374">
        <v>3.0</v>
      </c>
      <c r="F348" s="374">
        <v>3.0</v>
      </c>
      <c r="G348" s="374">
        <v>2.0</v>
      </c>
      <c r="H348" s="374">
        <v>1.0</v>
      </c>
    </row>
    <row r="349">
      <c r="A349" s="374">
        <v>18.0</v>
      </c>
      <c r="B349" s="375">
        <f t="shared" ref="B349:B350" si="75">+6</f>
        <v>6</v>
      </c>
      <c r="C349" s="374" t="s">
        <v>643</v>
      </c>
      <c r="D349" s="374">
        <v>4.0</v>
      </c>
      <c r="E349" s="374">
        <v>3.0</v>
      </c>
      <c r="F349" s="374">
        <v>3.0</v>
      </c>
      <c r="G349" s="374">
        <v>3.0</v>
      </c>
      <c r="H349" s="374">
        <v>2.0</v>
      </c>
    </row>
    <row r="350">
      <c r="A350" s="374">
        <v>20.0</v>
      </c>
      <c r="B350" s="375">
        <f t="shared" si="75"/>
        <v>6</v>
      </c>
      <c r="C350" s="374" t="s">
        <v>644</v>
      </c>
      <c r="D350" s="374">
        <v>4.0</v>
      </c>
      <c r="E350" s="374">
        <v>3.0</v>
      </c>
      <c r="F350" s="374">
        <v>3.0</v>
      </c>
      <c r="G350" s="374">
        <v>3.0</v>
      </c>
      <c r="H350" s="374">
        <v>2.0</v>
      </c>
    </row>
    <row r="351">
      <c r="A351" s="344"/>
      <c r="B351" s="344"/>
      <c r="C351" s="344"/>
      <c r="D351" s="344"/>
      <c r="E351" s="344"/>
      <c r="F351" s="344"/>
      <c r="G351" s="344"/>
      <c r="H351" s="344"/>
    </row>
    <row r="352">
      <c r="A352" s="344"/>
      <c r="B352" s="344"/>
      <c r="C352" s="345" t="s">
        <v>645</v>
      </c>
      <c r="D352" s="344"/>
      <c r="E352" s="344"/>
      <c r="F352" s="344"/>
      <c r="G352" s="344"/>
      <c r="H352" s="344"/>
    </row>
    <row r="353">
      <c r="A353" s="368" t="s">
        <v>2</v>
      </c>
      <c r="B353" s="368" t="s">
        <v>465</v>
      </c>
      <c r="C353" s="368" t="s">
        <v>394</v>
      </c>
      <c r="D353" s="368" t="s">
        <v>466</v>
      </c>
      <c r="E353" s="368" t="s">
        <v>467</v>
      </c>
      <c r="F353" s="368" t="s">
        <v>468</v>
      </c>
      <c r="G353" s="368" t="s">
        <v>469</v>
      </c>
      <c r="H353" s="368" t="s">
        <v>470</v>
      </c>
    </row>
    <row r="354">
      <c r="A354" s="369">
        <v>1.0</v>
      </c>
      <c r="B354" s="370">
        <f t="shared" ref="B354:B357" si="76">+2</f>
        <v>2</v>
      </c>
      <c r="C354" s="369" t="s">
        <v>646</v>
      </c>
      <c r="D354" s="369">
        <v>2.0</v>
      </c>
      <c r="E354" s="369" t="s">
        <v>107</v>
      </c>
      <c r="F354" s="369" t="s">
        <v>107</v>
      </c>
      <c r="G354" s="369" t="s">
        <v>107</v>
      </c>
      <c r="H354" s="369" t="s">
        <v>107</v>
      </c>
    </row>
    <row r="355">
      <c r="A355" s="369">
        <v>2.0</v>
      </c>
      <c r="B355" s="370">
        <f t="shared" si="76"/>
        <v>2</v>
      </c>
      <c r="C355" s="369" t="s">
        <v>647</v>
      </c>
      <c r="D355" s="369">
        <v>3.0</v>
      </c>
      <c r="E355" s="369" t="s">
        <v>107</v>
      </c>
      <c r="F355" s="369" t="s">
        <v>107</v>
      </c>
      <c r="G355" s="369" t="s">
        <v>107</v>
      </c>
      <c r="H355" s="369" t="s">
        <v>107</v>
      </c>
    </row>
    <row r="356">
      <c r="A356" s="369">
        <v>3.0</v>
      </c>
      <c r="B356" s="370">
        <f t="shared" si="76"/>
        <v>2</v>
      </c>
      <c r="C356" s="369" t="s">
        <v>648</v>
      </c>
      <c r="D356" s="369">
        <v>4.0</v>
      </c>
      <c r="E356" s="369">
        <v>2.0</v>
      </c>
      <c r="F356" s="369" t="s">
        <v>107</v>
      </c>
      <c r="G356" s="369" t="s">
        <v>107</v>
      </c>
      <c r="H356" s="369" t="s">
        <v>107</v>
      </c>
    </row>
    <row r="357">
      <c r="A357" s="369">
        <v>4.0</v>
      </c>
      <c r="B357" s="370">
        <f t="shared" si="76"/>
        <v>2</v>
      </c>
      <c r="C357" s="369" t="s">
        <v>404</v>
      </c>
      <c r="D357" s="369">
        <v>4.0</v>
      </c>
      <c r="E357" s="369">
        <v>2.0</v>
      </c>
      <c r="F357" s="369" t="s">
        <v>107</v>
      </c>
      <c r="G357" s="369" t="s">
        <v>107</v>
      </c>
      <c r="H357" s="369" t="s">
        <v>107</v>
      </c>
    </row>
    <row r="358">
      <c r="A358" s="369">
        <v>5.0</v>
      </c>
      <c r="B358" s="370">
        <f t="shared" ref="B358:B361" si="77">+3</f>
        <v>3</v>
      </c>
      <c r="C358" s="369" t="s">
        <v>649</v>
      </c>
      <c r="D358" s="369">
        <v>4.0</v>
      </c>
      <c r="E358" s="369">
        <v>3.0</v>
      </c>
      <c r="F358" s="369" t="s">
        <v>107</v>
      </c>
      <c r="G358" s="369" t="s">
        <v>107</v>
      </c>
      <c r="H358" s="369" t="s">
        <v>107</v>
      </c>
    </row>
    <row r="359">
      <c r="A359" s="369">
        <v>6.0</v>
      </c>
      <c r="B359" s="370">
        <f t="shared" si="77"/>
        <v>3</v>
      </c>
      <c r="C359" s="369" t="s">
        <v>547</v>
      </c>
      <c r="D359" s="369">
        <v>4.0</v>
      </c>
      <c r="E359" s="369">
        <v>3.0</v>
      </c>
      <c r="F359" s="369" t="s">
        <v>107</v>
      </c>
      <c r="G359" s="369" t="s">
        <v>107</v>
      </c>
      <c r="H359" s="369" t="s">
        <v>107</v>
      </c>
    </row>
    <row r="360">
      <c r="A360" s="369">
        <v>7.0</v>
      </c>
      <c r="B360" s="370">
        <f t="shared" si="77"/>
        <v>3</v>
      </c>
      <c r="C360" s="369" t="s">
        <v>650</v>
      </c>
      <c r="D360" s="369">
        <v>4.0</v>
      </c>
      <c r="E360" s="369">
        <v>3.0</v>
      </c>
      <c r="F360" s="369">
        <v>2.0</v>
      </c>
      <c r="G360" s="369" t="s">
        <v>107</v>
      </c>
      <c r="H360" s="369" t="s">
        <v>107</v>
      </c>
    </row>
    <row r="361">
      <c r="A361" s="369">
        <v>8.0</v>
      </c>
      <c r="B361" s="370">
        <f t="shared" si="77"/>
        <v>3</v>
      </c>
      <c r="C361" s="369" t="s">
        <v>404</v>
      </c>
      <c r="D361" s="369">
        <v>4.0</v>
      </c>
      <c r="E361" s="369">
        <v>3.0</v>
      </c>
      <c r="F361" s="369">
        <v>2.0</v>
      </c>
      <c r="G361" s="369" t="s">
        <v>107</v>
      </c>
      <c r="H361" s="369" t="s">
        <v>107</v>
      </c>
    </row>
    <row r="362">
      <c r="A362" s="369">
        <v>9.0</v>
      </c>
      <c r="B362" s="370">
        <f t="shared" ref="B362:B365" si="78">+4</f>
        <v>4</v>
      </c>
      <c r="C362" s="369" t="s">
        <v>651</v>
      </c>
      <c r="D362" s="369">
        <v>4.0</v>
      </c>
      <c r="E362" s="369">
        <v>3.0</v>
      </c>
      <c r="F362" s="369">
        <v>3.0</v>
      </c>
      <c r="G362" s="369" t="s">
        <v>107</v>
      </c>
      <c r="H362" s="369" t="s">
        <v>107</v>
      </c>
    </row>
    <row r="363">
      <c r="A363" s="369">
        <v>10.0</v>
      </c>
      <c r="B363" s="370">
        <f t="shared" si="78"/>
        <v>4</v>
      </c>
      <c r="C363" s="369" t="s">
        <v>652</v>
      </c>
      <c r="D363" s="369">
        <v>4.0</v>
      </c>
      <c r="E363" s="369">
        <v>3.0</v>
      </c>
      <c r="F363" s="369">
        <v>3.0</v>
      </c>
      <c r="G363" s="369" t="s">
        <v>107</v>
      </c>
      <c r="H363" s="369" t="s">
        <v>107</v>
      </c>
    </row>
    <row r="364">
      <c r="A364" s="369">
        <v>11.0</v>
      </c>
      <c r="B364" s="370">
        <f t="shared" si="78"/>
        <v>4</v>
      </c>
      <c r="C364" s="369" t="s">
        <v>653</v>
      </c>
      <c r="D364" s="369">
        <v>4.0</v>
      </c>
      <c r="E364" s="369">
        <v>3.0</v>
      </c>
      <c r="F364" s="369">
        <v>3.0</v>
      </c>
      <c r="G364" s="369">
        <v>1.0</v>
      </c>
      <c r="H364" s="369" t="s">
        <v>107</v>
      </c>
    </row>
    <row r="365">
      <c r="A365" s="369">
        <v>12.0</v>
      </c>
      <c r="B365" s="370">
        <f t="shared" si="78"/>
        <v>4</v>
      </c>
      <c r="C365" s="369" t="s">
        <v>404</v>
      </c>
      <c r="D365" s="369">
        <v>4.0</v>
      </c>
      <c r="E365" s="369">
        <v>3.0</v>
      </c>
      <c r="F365" s="369">
        <v>3.0</v>
      </c>
      <c r="G365" s="369">
        <v>1.0</v>
      </c>
      <c r="H365" s="369" t="s">
        <v>107</v>
      </c>
    </row>
    <row r="366">
      <c r="A366" s="369">
        <v>13.0</v>
      </c>
      <c r="B366" s="370">
        <f t="shared" ref="B366:B369" si="79">+5</f>
        <v>5</v>
      </c>
      <c r="C366" s="369" t="s">
        <v>654</v>
      </c>
      <c r="D366" s="369">
        <v>4.0</v>
      </c>
      <c r="E366" s="369">
        <v>3.0</v>
      </c>
      <c r="F366" s="369">
        <v>3.0</v>
      </c>
      <c r="G366" s="369">
        <v>1.0</v>
      </c>
      <c r="H366" s="369" t="s">
        <v>107</v>
      </c>
    </row>
    <row r="367">
      <c r="A367" s="369">
        <v>14.0</v>
      </c>
      <c r="B367" s="370">
        <f t="shared" si="79"/>
        <v>5</v>
      </c>
      <c r="C367" s="369" t="s">
        <v>655</v>
      </c>
      <c r="D367" s="369">
        <v>4.0</v>
      </c>
      <c r="E367" s="369">
        <v>3.0</v>
      </c>
      <c r="F367" s="369">
        <v>3.0</v>
      </c>
      <c r="G367" s="369">
        <v>2.0</v>
      </c>
      <c r="H367" s="369">
        <v>1.0</v>
      </c>
    </row>
    <row r="368">
      <c r="A368" s="369">
        <v>15.0</v>
      </c>
      <c r="B368" s="370">
        <f t="shared" si="79"/>
        <v>5</v>
      </c>
      <c r="C368" s="369" t="s">
        <v>558</v>
      </c>
      <c r="D368" s="369">
        <v>4.0</v>
      </c>
      <c r="E368" s="369">
        <v>3.0</v>
      </c>
      <c r="F368" s="369">
        <v>3.0</v>
      </c>
      <c r="G368" s="369">
        <v>2.0</v>
      </c>
      <c r="H368" s="369">
        <v>1.0</v>
      </c>
    </row>
    <row r="369">
      <c r="A369" s="369">
        <v>16.0</v>
      </c>
      <c r="B369" s="370">
        <f t="shared" si="79"/>
        <v>5</v>
      </c>
      <c r="C369" s="369" t="s">
        <v>404</v>
      </c>
      <c r="D369" s="369">
        <v>4.0</v>
      </c>
      <c r="E369" s="369">
        <v>3.0</v>
      </c>
      <c r="F369" s="369">
        <v>3.0</v>
      </c>
      <c r="G369" s="369">
        <v>2.0</v>
      </c>
      <c r="H369" s="369">
        <v>1.0</v>
      </c>
    </row>
    <row r="370">
      <c r="A370" s="369">
        <v>17.0</v>
      </c>
      <c r="B370" s="370">
        <f t="shared" ref="B370:B373" si="80">+6</f>
        <v>6</v>
      </c>
      <c r="C370" s="369" t="s">
        <v>656</v>
      </c>
      <c r="D370" s="369">
        <v>4.0</v>
      </c>
      <c r="E370" s="369">
        <v>3.0</v>
      </c>
      <c r="F370" s="369">
        <v>3.0</v>
      </c>
      <c r="G370" s="369">
        <v>3.0</v>
      </c>
      <c r="H370" s="369">
        <v>2.0</v>
      </c>
    </row>
    <row r="371">
      <c r="A371" s="369">
        <v>18.0</v>
      </c>
      <c r="B371" s="370">
        <f t="shared" si="80"/>
        <v>6</v>
      </c>
      <c r="C371" s="369" t="s">
        <v>656</v>
      </c>
      <c r="D371" s="369">
        <v>4.0</v>
      </c>
      <c r="E371" s="369">
        <v>3.0</v>
      </c>
      <c r="F371" s="369">
        <v>3.0</v>
      </c>
      <c r="G371" s="369">
        <v>3.0</v>
      </c>
      <c r="H371" s="369">
        <v>2.0</v>
      </c>
    </row>
    <row r="372">
      <c r="A372" s="369">
        <v>19.0</v>
      </c>
      <c r="B372" s="370">
        <f t="shared" si="80"/>
        <v>6</v>
      </c>
      <c r="C372" s="369" t="s">
        <v>404</v>
      </c>
      <c r="D372" s="369">
        <v>4.0</v>
      </c>
      <c r="E372" s="369">
        <v>3.0</v>
      </c>
      <c r="F372" s="369">
        <v>3.0</v>
      </c>
      <c r="G372" s="369">
        <v>3.0</v>
      </c>
      <c r="H372" s="369">
        <v>2.0</v>
      </c>
    </row>
    <row r="373">
      <c r="A373" s="371">
        <v>20.0</v>
      </c>
      <c r="B373" s="372">
        <f t="shared" si="80"/>
        <v>6</v>
      </c>
      <c r="C373" s="371" t="s">
        <v>657</v>
      </c>
      <c r="D373" s="371">
        <v>4.0</v>
      </c>
      <c r="E373" s="371">
        <v>3.0</v>
      </c>
      <c r="F373" s="371">
        <v>3.0</v>
      </c>
      <c r="G373" s="371">
        <v>3.0</v>
      </c>
      <c r="H373" s="371">
        <v>2.0</v>
      </c>
    </row>
    <row r="374">
      <c r="A374" s="344"/>
      <c r="B374" s="344"/>
      <c r="C374" s="344"/>
      <c r="D374" s="344"/>
      <c r="E374" s="344"/>
      <c r="F374" s="344"/>
      <c r="G374" s="344"/>
      <c r="H374" s="344"/>
    </row>
    <row r="375">
      <c r="A375" s="344"/>
      <c r="B375" s="344"/>
      <c r="C375" s="345" t="s">
        <v>658</v>
      </c>
      <c r="D375" s="344"/>
      <c r="E375" s="344"/>
      <c r="F375" s="344"/>
      <c r="G375" s="344"/>
      <c r="H375" s="344"/>
    </row>
    <row r="376">
      <c r="A376" s="368" t="s">
        <v>2</v>
      </c>
      <c r="B376" s="368" t="s">
        <v>465</v>
      </c>
      <c r="C376" s="368" t="s">
        <v>394</v>
      </c>
      <c r="D376" s="368" t="s">
        <v>466</v>
      </c>
      <c r="E376" s="368" t="s">
        <v>467</v>
      </c>
      <c r="F376" s="368" t="s">
        <v>468</v>
      </c>
      <c r="G376" s="368" t="s">
        <v>469</v>
      </c>
      <c r="H376" s="368" t="s">
        <v>470</v>
      </c>
    </row>
    <row r="377">
      <c r="A377" s="369">
        <v>1.0</v>
      </c>
      <c r="B377" s="370">
        <f t="shared" ref="B377:B380" si="81">+2</f>
        <v>2</v>
      </c>
      <c r="C377" s="369" t="s">
        <v>659</v>
      </c>
      <c r="D377" s="369">
        <v>2.0</v>
      </c>
      <c r="E377" s="369" t="s">
        <v>107</v>
      </c>
      <c r="F377" s="369" t="s">
        <v>107</v>
      </c>
      <c r="G377" s="369" t="s">
        <v>107</v>
      </c>
      <c r="H377" s="369" t="s">
        <v>107</v>
      </c>
    </row>
    <row r="378">
      <c r="A378" s="369">
        <v>2.0</v>
      </c>
      <c r="B378" s="370">
        <f t="shared" si="81"/>
        <v>2</v>
      </c>
      <c r="C378" s="369" t="s">
        <v>660</v>
      </c>
      <c r="D378" s="369">
        <v>3.0</v>
      </c>
      <c r="E378" s="369" t="s">
        <v>107</v>
      </c>
      <c r="F378" s="369" t="s">
        <v>107</v>
      </c>
      <c r="G378" s="369" t="s">
        <v>107</v>
      </c>
      <c r="H378" s="369" t="s">
        <v>107</v>
      </c>
    </row>
    <row r="379">
      <c r="A379" s="369">
        <v>3.0</v>
      </c>
      <c r="B379" s="370">
        <f t="shared" si="81"/>
        <v>2</v>
      </c>
      <c r="C379" s="369" t="s">
        <v>661</v>
      </c>
      <c r="D379" s="369">
        <v>4.0</v>
      </c>
      <c r="E379" s="369">
        <v>2.0</v>
      </c>
      <c r="F379" s="369" t="s">
        <v>107</v>
      </c>
      <c r="G379" s="369" t="s">
        <v>107</v>
      </c>
      <c r="H379" s="369" t="s">
        <v>107</v>
      </c>
    </row>
    <row r="380">
      <c r="A380" s="369">
        <v>4.0</v>
      </c>
      <c r="B380" s="370">
        <f t="shared" si="81"/>
        <v>2</v>
      </c>
      <c r="C380" s="369" t="s">
        <v>404</v>
      </c>
      <c r="D380" s="369">
        <v>4.0</v>
      </c>
      <c r="E380" s="369">
        <v>2.0</v>
      </c>
      <c r="F380" s="369" t="s">
        <v>107</v>
      </c>
      <c r="G380" s="369" t="s">
        <v>107</v>
      </c>
      <c r="H380" s="369" t="s">
        <v>107</v>
      </c>
    </row>
    <row r="381">
      <c r="A381" s="369">
        <v>5.0</v>
      </c>
      <c r="B381" s="370">
        <f t="shared" ref="B381:B384" si="82">+3</f>
        <v>3</v>
      </c>
      <c r="C381" s="369" t="s">
        <v>662</v>
      </c>
      <c r="D381" s="369">
        <v>4.0</v>
      </c>
      <c r="E381" s="369">
        <v>3.0</v>
      </c>
      <c r="F381" s="369" t="s">
        <v>107</v>
      </c>
      <c r="G381" s="369" t="s">
        <v>107</v>
      </c>
      <c r="H381" s="369" t="s">
        <v>107</v>
      </c>
    </row>
    <row r="382">
      <c r="A382" s="369">
        <v>6.0</v>
      </c>
      <c r="B382" s="370">
        <f t="shared" si="82"/>
        <v>3</v>
      </c>
      <c r="C382" s="369" t="s">
        <v>547</v>
      </c>
      <c r="D382" s="369">
        <v>4.0</v>
      </c>
      <c r="E382" s="369">
        <v>3.0</v>
      </c>
      <c r="F382" s="369" t="s">
        <v>107</v>
      </c>
      <c r="G382" s="369" t="s">
        <v>107</v>
      </c>
      <c r="H382" s="369" t="s">
        <v>107</v>
      </c>
    </row>
    <row r="383">
      <c r="A383" s="369">
        <v>7.0</v>
      </c>
      <c r="B383" s="370">
        <f t="shared" si="82"/>
        <v>3</v>
      </c>
      <c r="C383" s="369" t="s">
        <v>663</v>
      </c>
      <c r="D383" s="369">
        <v>4.0</v>
      </c>
      <c r="E383" s="369">
        <v>3.0</v>
      </c>
      <c r="F383" s="369">
        <v>2.0</v>
      </c>
      <c r="G383" s="369" t="s">
        <v>107</v>
      </c>
      <c r="H383" s="369" t="s">
        <v>107</v>
      </c>
    </row>
    <row r="384">
      <c r="A384" s="369">
        <v>8.0</v>
      </c>
      <c r="B384" s="370">
        <f t="shared" si="82"/>
        <v>3</v>
      </c>
      <c r="C384" s="369" t="s">
        <v>404</v>
      </c>
      <c r="D384" s="369">
        <v>4.0</v>
      </c>
      <c r="E384" s="369">
        <v>3.0</v>
      </c>
      <c r="F384" s="369">
        <v>2.0</v>
      </c>
      <c r="G384" s="369" t="s">
        <v>107</v>
      </c>
      <c r="H384" s="369" t="s">
        <v>107</v>
      </c>
    </row>
    <row r="385">
      <c r="A385" s="369">
        <v>9.0</v>
      </c>
      <c r="B385" s="370">
        <f t="shared" ref="B385:B388" si="83">+4</f>
        <v>4</v>
      </c>
      <c r="C385" s="369" t="s">
        <v>664</v>
      </c>
      <c r="D385" s="369">
        <v>4.0</v>
      </c>
      <c r="E385" s="369">
        <v>3.0</v>
      </c>
      <c r="F385" s="369">
        <v>3.0</v>
      </c>
      <c r="G385" s="369" t="s">
        <v>107</v>
      </c>
      <c r="H385" s="369" t="s">
        <v>107</v>
      </c>
    </row>
    <row r="386">
      <c r="A386" s="369">
        <v>10.0</v>
      </c>
      <c r="B386" s="370">
        <f t="shared" si="83"/>
        <v>4</v>
      </c>
      <c r="C386" s="369" t="s">
        <v>665</v>
      </c>
      <c r="D386" s="369">
        <v>4.0</v>
      </c>
      <c r="E386" s="369">
        <v>3.0</v>
      </c>
      <c r="F386" s="369">
        <v>3.0</v>
      </c>
      <c r="G386" s="369" t="s">
        <v>107</v>
      </c>
      <c r="H386" s="369" t="s">
        <v>107</v>
      </c>
    </row>
    <row r="387">
      <c r="A387" s="369">
        <v>11.0</v>
      </c>
      <c r="B387" s="370">
        <f t="shared" si="83"/>
        <v>4</v>
      </c>
      <c r="C387" s="369" t="s">
        <v>666</v>
      </c>
      <c r="D387" s="369">
        <v>4.0</v>
      </c>
      <c r="E387" s="369">
        <v>3.0</v>
      </c>
      <c r="F387" s="369">
        <v>3.0</v>
      </c>
      <c r="G387" s="369">
        <v>1.0</v>
      </c>
      <c r="H387" s="369" t="s">
        <v>107</v>
      </c>
    </row>
    <row r="388">
      <c r="A388" s="369">
        <v>12.0</v>
      </c>
      <c r="B388" s="370">
        <f t="shared" si="83"/>
        <v>4</v>
      </c>
      <c r="C388" s="369" t="s">
        <v>404</v>
      </c>
      <c r="D388" s="369">
        <v>4.0</v>
      </c>
      <c r="E388" s="369">
        <v>3.0</v>
      </c>
      <c r="F388" s="369">
        <v>3.0</v>
      </c>
      <c r="G388" s="369">
        <v>1.0</v>
      </c>
      <c r="H388" s="369" t="s">
        <v>107</v>
      </c>
    </row>
    <row r="389">
      <c r="A389" s="369">
        <v>13.0</v>
      </c>
      <c r="B389" s="370">
        <f t="shared" ref="B389:B392" si="84">+5</f>
        <v>5</v>
      </c>
      <c r="C389" s="369" t="s">
        <v>667</v>
      </c>
      <c r="D389" s="369">
        <v>4.0</v>
      </c>
      <c r="E389" s="369">
        <v>3.0</v>
      </c>
      <c r="F389" s="369">
        <v>3.0</v>
      </c>
      <c r="G389" s="369">
        <v>1.0</v>
      </c>
      <c r="H389" s="369" t="s">
        <v>107</v>
      </c>
    </row>
    <row r="390">
      <c r="A390" s="369">
        <v>14.0</v>
      </c>
      <c r="B390" s="370">
        <f t="shared" si="84"/>
        <v>5</v>
      </c>
      <c r="C390" s="369" t="s">
        <v>668</v>
      </c>
      <c r="D390" s="369">
        <v>4.0</v>
      </c>
      <c r="E390" s="369">
        <v>3.0</v>
      </c>
      <c r="F390" s="369">
        <v>3.0</v>
      </c>
      <c r="G390" s="369">
        <v>2.0</v>
      </c>
      <c r="H390" s="369">
        <v>1.0</v>
      </c>
    </row>
    <row r="391">
      <c r="A391" s="369">
        <v>15.0</v>
      </c>
      <c r="B391" s="370">
        <f t="shared" si="84"/>
        <v>5</v>
      </c>
      <c r="C391" s="369" t="s">
        <v>555</v>
      </c>
      <c r="D391" s="369">
        <v>4.0</v>
      </c>
      <c r="E391" s="369">
        <v>3.0</v>
      </c>
      <c r="F391" s="369">
        <v>3.0</v>
      </c>
      <c r="G391" s="369">
        <v>2.0</v>
      </c>
      <c r="H391" s="369">
        <v>1.0</v>
      </c>
    </row>
    <row r="392">
      <c r="A392" s="369">
        <v>16.0</v>
      </c>
      <c r="B392" s="370">
        <f t="shared" si="84"/>
        <v>5</v>
      </c>
      <c r="C392" s="369" t="s">
        <v>404</v>
      </c>
      <c r="D392" s="369">
        <v>4.0</v>
      </c>
      <c r="E392" s="369">
        <v>3.0</v>
      </c>
      <c r="F392" s="369">
        <v>3.0</v>
      </c>
      <c r="G392" s="369">
        <v>2.0</v>
      </c>
      <c r="H392" s="369">
        <v>1.0</v>
      </c>
    </row>
    <row r="393">
      <c r="A393" s="369">
        <v>17.0</v>
      </c>
      <c r="B393" s="370">
        <f t="shared" ref="B393:B396" si="85">+6</f>
        <v>6</v>
      </c>
      <c r="C393" s="369" t="s">
        <v>669</v>
      </c>
      <c r="D393" s="369">
        <v>4.0</v>
      </c>
      <c r="E393" s="369">
        <v>3.0</v>
      </c>
      <c r="F393" s="369">
        <v>3.0</v>
      </c>
      <c r="G393" s="369">
        <v>3.0</v>
      </c>
      <c r="H393" s="369">
        <v>2.0</v>
      </c>
    </row>
    <row r="394">
      <c r="A394" s="369">
        <v>18.0</v>
      </c>
      <c r="B394" s="370">
        <f t="shared" si="85"/>
        <v>6</v>
      </c>
      <c r="C394" s="369" t="s">
        <v>670</v>
      </c>
      <c r="D394" s="369">
        <v>4.0</v>
      </c>
      <c r="E394" s="369">
        <v>3.0</v>
      </c>
      <c r="F394" s="369">
        <v>3.0</v>
      </c>
      <c r="G394" s="369">
        <v>3.0</v>
      </c>
      <c r="H394" s="369">
        <v>2.0</v>
      </c>
    </row>
    <row r="395">
      <c r="A395" s="369">
        <v>19.0</v>
      </c>
      <c r="B395" s="370">
        <f t="shared" si="85"/>
        <v>6</v>
      </c>
      <c r="C395" s="369" t="s">
        <v>404</v>
      </c>
      <c r="D395" s="369">
        <v>4.0</v>
      </c>
      <c r="E395" s="369">
        <v>3.0</v>
      </c>
      <c r="F395" s="369">
        <v>3.0</v>
      </c>
      <c r="G395" s="369">
        <v>3.0</v>
      </c>
      <c r="H395" s="369">
        <v>2.0</v>
      </c>
    </row>
    <row r="396">
      <c r="A396" s="371">
        <v>20.0</v>
      </c>
      <c r="B396" s="372">
        <f t="shared" si="85"/>
        <v>6</v>
      </c>
      <c r="C396" s="371" t="s">
        <v>671</v>
      </c>
      <c r="D396" s="371">
        <v>4.0</v>
      </c>
      <c r="E396" s="371">
        <v>3.0</v>
      </c>
      <c r="F396" s="371">
        <v>3.0</v>
      </c>
      <c r="G396" s="371">
        <v>3.0</v>
      </c>
      <c r="H396" s="371">
        <v>2.0</v>
      </c>
    </row>
    <row r="397">
      <c r="A397" s="344"/>
      <c r="B397" s="344"/>
      <c r="C397" s="344"/>
      <c r="D397" s="344"/>
      <c r="E397" s="344"/>
      <c r="F397" s="344"/>
      <c r="G397" s="344"/>
      <c r="H397" s="344"/>
    </row>
    <row r="398">
      <c r="A398" s="344"/>
      <c r="B398" s="344"/>
      <c r="C398" s="374" t="s">
        <v>672</v>
      </c>
      <c r="D398" s="344"/>
      <c r="E398" s="344"/>
      <c r="F398" s="344"/>
      <c r="G398" s="344"/>
      <c r="H398" s="344"/>
    </row>
    <row r="399">
      <c r="A399" s="368" t="s">
        <v>2</v>
      </c>
      <c r="B399" s="368" t="s">
        <v>465</v>
      </c>
      <c r="C399" s="368" t="s">
        <v>394</v>
      </c>
      <c r="D399" s="368" t="s">
        <v>466</v>
      </c>
      <c r="E399" s="368" t="s">
        <v>467</v>
      </c>
      <c r="F399" s="368" t="s">
        <v>468</v>
      </c>
      <c r="G399" s="368" t="s">
        <v>469</v>
      </c>
      <c r="H399" s="368" t="s">
        <v>470</v>
      </c>
    </row>
    <row r="400">
      <c r="A400" s="369">
        <v>1.0</v>
      </c>
      <c r="B400" s="370">
        <f t="shared" ref="B400:B403" si="86">+2</f>
        <v>2</v>
      </c>
      <c r="C400" s="369" t="s">
        <v>673</v>
      </c>
      <c r="D400" s="369">
        <v>2.0</v>
      </c>
      <c r="E400" s="369" t="s">
        <v>107</v>
      </c>
      <c r="F400" s="369" t="s">
        <v>107</v>
      </c>
      <c r="G400" s="369" t="s">
        <v>107</v>
      </c>
      <c r="H400" s="369" t="s">
        <v>107</v>
      </c>
    </row>
    <row r="401">
      <c r="A401" s="369">
        <v>2.0</v>
      </c>
      <c r="B401" s="370">
        <f t="shared" si="86"/>
        <v>2</v>
      </c>
      <c r="C401" s="369" t="s">
        <v>674</v>
      </c>
      <c r="D401" s="369">
        <v>3.0</v>
      </c>
      <c r="E401" s="369" t="s">
        <v>107</v>
      </c>
      <c r="F401" s="369" t="s">
        <v>107</v>
      </c>
      <c r="G401" s="369" t="s">
        <v>107</v>
      </c>
      <c r="H401" s="369" t="s">
        <v>107</v>
      </c>
    </row>
    <row r="402">
      <c r="A402" s="369">
        <v>3.0</v>
      </c>
      <c r="B402" s="370">
        <f t="shared" si="86"/>
        <v>2</v>
      </c>
      <c r="C402" s="369" t="s">
        <v>675</v>
      </c>
      <c r="D402" s="369">
        <v>4.0</v>
      </c>
      <c r="E402" s="369">
        <v>2.0</v>
      </c>
      <c r="F402" s="369" t="s">
        <v>107</v>
      </c>
      <c r="G402" s="369" t="s">
        <v>107</v>
      </c>
      <c r="H402" s="369" t="s">
        <v>107</v>
      </c>
    </row>
    <row r="403">
      <c r="A403" s="369">
        <v>4.0</v>
      </c>
      <c r="B403" s="370">
        <f t="shared" si="86"/>
        <v>2</v>
      </c>
      <c r="C403" s="369" t="s">
        <v>404</v>
      </c>
      <c r="D403" s="369">
        <v>4.0</v>
      </c>
      <c r="E403" s="369">
        <v>2.0</v>
      </c>
      <c r="F403" s="369" t="s">
        <v>107</v>
      </c>
      <c r="G403" s="369" t="s">
        <v>107</v>
      </c>
      <c r="H403" s="369" t="s">
        <v>107</v>
      </c>
    </row>
    <row r="404">
      <c r="A404" s="369">
        <v>5.0</v>
      </c>
      <c r="B404" s="370">
        <f t="shared" ref="B404:B407" si="87">+3</f>
        <v>3</v>
      </c>
      <c r="C404" s="369" t="s">
        <v>676</v>
      </c>
      <c r="D404" s="369">
        <v>4.0</v>
      </c>
      <c r="E404" s="369">
        <v>2.0</v>
      </c>
      <c r="F404" s="369">
        <v>1.0</v>
      </c>
      <c r="G404" s="369" t="s">
        <v>107</v>
      </c>
      <c r="H404" s="369" t="s">
        <v>107</v>
      </c>
    </row>
    <row r="405">
      <c r="A405" s="369">
        <v>6.0</v>
      </c>
      <c r="B405" s="370">
        <f t="shared" si="87"/>
        <v>3</v>
      </c>
      <c r="C405" s="369" t="s">
        <v>677</v>
      </c>
      <c r="D405" s="369">
        <v>4.0</v>
      </c>
      <c r="E405" s="369">
        <v>2.0</v>
      </c>
      <c r="F405" s="369">
        <v>1.0</v>
      </c>
      <c r="G405" s="369" t="s">
        <v>107</v>
      </c>
      <c r="H405" s="369" t="s">
        <v>107</v>
      </c>
    </row>
    <row r="406">
      <c r="A406" s="369">
        <v>7.0</v>
      </c>
      <c r="B406" s="370">
        <f t="shared" si="87"/>
        <v>3</v>
      </c>
      <c r="C406" s="369" t="s">
        <v>678</v>
      </c>
      <c r="D406" s="369">
        <v>4.0</v>
      </c>
      <c r="E406" s="369">
        <v>3.0</v>
      </c>
      <c r="F406" s="369">
        <v>2.0</v>
      </c>
      <c r="G406" s="369" t="s">
        <v>107</v>
      </c>
      <c r="H406" s="369" t="s">
        <v>107</v>
      </c>
    </row>
    <row r="407">
      <c r="A407" s="369">
        <v>8.0</v>
      </c>
      <c r="B407" s="370">
        <f t="shared" si="87"/>
        <v>3</v>
      </c>
      <c r="C407" s="369" t="s">
        <v>404</v>
      </c>
      <c r="D407" s="369">
        <v>4.0</v>
      </c>
      <c r="E407" s="369">
        <v>3.0</v>
      </c>
      <c r="F407" s="369">
        <v>2.0</v>
      </c>
      <c r="G407" s="369" t="s">
        <v>107</v>
      </c>
      <c r="H407" s="369" t="s">
        <v>107</v>
      </c>
    </row>
    <row r="408">
      <c r="A408" s="369">
        <v>9.0</v>
      </c>
      <c r="B408" s="370">
        <f t="shared" ref="B408:B411" si="88">+4</f>
        <v>4</v>
      </c>
      <c r="C408" s="369" t="s">
        <v>679</v>
      </c>
      <c r="D408" s="369">
        <v>4.0</v>
      </c>
      <c r="E408" s="369">
        <v>3.0</v>
      </c>
      <c r="F408" s="369">
        <v>3.0</v>
      </c>
      <c r="G408" s="369" t="s">
        <v>107</v>
      </c>
      <c r="H408" s="369" t="s">
        <v>107</v>
      </c>
    </row>
    <row r="409">
      <c r="A409" s="369">
        <v>10.0</v>
      </c>
      <c r="B409" s="370">
        <f t="shared" si="88"/>
        <v>4</v>
      </c>
      <c r="C409" s="369" t="s">
        <v>680</v>
      </c>
      <c r="D409" s="369">
        <v>4.0</v>
      </c>
      <c r="E409" s="369">
        <v>3.0</v>
      </c>
      <c r="F409" s="369">
        <v>3.0</v>
      </c>
      <c r="G409" s="369" t="s">
        <v>107</v>
      </c>
      <c r="H409" s="369" t="s">
        <v>107</v>
      </c>
    </row>
    <row r="410">
      <c r="A410" s="369">
        <v>11.0</v>
      </c>
      <c r="B410" s="370">
        <f t="shared" si="88"/>
        <v>4</v>
      </c>
      <c r="C410" s="369" t="s">
        <v>681</v>
      </c>
      <c r="D410" s="369">
        <v>4.0</v>
      </c>
      <c r="E410" s="369">
        <v>3.0</v>
      </c>
      <c r="F410" s="369">
        <v>3.0</v>
      </c>
      <c r="G410" s="369">
        <v>1.0</v>
      </c>
      <c r="H410" s="369" t="s">
        <v>107</v>
      </c>
    </row>
    <row r="411">
      <c r="A411" s="369">
        <v>12.0</v>
      </c>
      <c r="B411" s="370">
        <f t="shared" si="88"/>
        <v>4</v>
      </c>
      <c r="C411" s="369" t="s">
        <v>404</v>
      </c>
      <c r="D411" s="369">
        <v>4.0</v>
      </c>
      <c r="E411" s="369">
        <v>3.0</v>
      </c>
      <c r="F411" s="369">
        <v>3.0</v>
      </c>
      <c r="G411" s="369">
        <v>1.0</v>
      </c>
      <c r="H411" s="369" t="s">
        <v>107</v>
      </c>
    </row>
    <row r="412">
      <c r="A412" s="369">
        <v>13.0</v>
      </c>
      <c r="B412" s="370">
        <f t="shared" ref="B412:B415" si="89">+5</f>
        <v>5</v>
      </c>
      <c r="C412" s="369" t="s">
        <v>682</v>
      </c>
      <c r="D412" s="369">
        <v>4.0</v>
      </c>
      <c r="E412" s="369">
        <v>3.0</v>
      </c>
      <c r="F412" s="369">
        <v>3.0</v>
      </c>
      <c r="G412" s="369">
        <v>1.0</v>
      </c>
      <c r="H412" s="369" t="s">
        <v>107</v>
      </c>
    </row>
    <row r="413">
      <c r="A413" s="369">
        <v>14.0</v>
      </c>
      <c r="B413" s="370">
        <f t="shared" si="89"/>
        <v>5</v>
      </c>
      <c r="C413" s="369" t="s">
        <v>683</v>
      </c>
      <c r="D413" s="369">
        <v>4.0</v>
      </c>
      <c r="E413" s="369">
        <v>3.0</v>
      </c>
      <c r="F413" s="369">
        <v>3.0</v>
      </c>
      <c r="G413" s="369">
        <v>2.0</v>
      </c>
      <c r="H413" s="369">
        <v>1.0</v>
      </c>
    </row>
    <row r="414">
      <c r="A414" s="369">
        <v>15.0</v>
      </c>
      <c r="B414" s="370">
        <f t="shared" si="89"/>
        <v>5</v>
      </c>
      <c r="C414" s="369" t="s">
        <v>684</v>
      </c>
      <c r="D414" s="369">
        <v>4.0</v>
      </c>
      <c r="E414" s="369">
        <v>3.0</v>
      </c>
      <c r="F414" s="369">
        <v>3.0</v>
      </c>
      <c r="G414" s="369">
        <v>2.0</v>
      </c>
      <c r="H414" s="369">
        <v>1.0</v>
      </c>
    </row>
    <row r="415">
      <c r="A415" s="369">
        <v>16.0</v>
      </c>
      <c r="B415" s="370">
        <f t="shared" si="89"/>
        <v>5</v>
      </c>
      <c r="C415" s="369" t="s">
        <v>404</v>
      </c>
      <c r="D415" s="369">
        <v>4.0</v>
      </c>
      <c r="E415" s="369">
        <v>3.0</v>
      </c>
      <c r="F415" s="369">
        <v>3.0</v>
      </c>
      <c r="G415" s="369">
        <v>2.0</v>
      </c>
      <c r="H415" s="369">
        <v>1.0</v>
      </c>
    </row>
    <row r="416">
      <c r="A416" s="369">
        <v>17.0</v>
      </c>
      <c r="B416" s="370">
        <f t="shared" ref="B416:B419" si="90">+6</f>
        <v>6</v>
      </c>
      <c r="C416" s="369" t="s">
        <v>685</v>
      </c>
      <c r="D416" s="369">
        <v>4.0</v>
      </c>
      <c r="E416" s="369">
        <v>3.0</v>
      </c>
      <c r="F416" s="369">
        <v>3.0</v>
      </c>
      <c r="G416" s="369">
        <v>3.0</v>
      </c>
      <c r="H416" s="369">
        <v>2.0</v>
      </c>
    </row>
    <row r="417">
      <c r="A417" s="369">
        <v>18.0</v>
      </c>
      <c r="B417" s="370">
        <f t="shared" si="90"/>
        <v>6</v>
      </c>
      <c r="C417" s="369" t="s">
        <v>686</v>
      </c>
      <c r="D417" s="369">
        <v>4.0</v>
      </c>
      <c r="E417" s="369">
        <v>3.0</v>
      </c>
      <c r="F417" s="369">
        <v>3.0</v>
      </c>
      <c r="G417" s="369">
        <v>3.0</v>
      </c>
      <c r="H417" s="369">
        <v>2.0</v>
      </c>
    </row>
    <row r="418">
      <c r="A418" s="369">
        <v>19.0</v>
      </c>
      <c r="B418" s="370">
        <f t="shared" si="90"/>
        <v>6</v>
      </c>
      <c r="C418" s="369" t="s">
        <v>404</v>
      </c>
      <c r="D418" s="369">
        <v>4.0</v>
      </c>
      <c r="E418" s="369">
        <v>3.0</v>
      </c>
      <c r="F418" s="369">
        <v>3.0</v>
      </c>
      <c r="G418" s="369">
        <v>3.0</v>
      </c>
      <c r="H418" s="369">
        <v>2.0</v>
      </c>
    </row>
    <row r="419">
      <c r="A419" s="371">
        <v>20.0</v>
      </c>
      <c r="B419" s="372">
        <f t="shared" si="90"/>
        <v>6</v>
      </c>
      <c r="C419" s="371" t="s">
        <v>687</v>
      </c>
      <c r="D419" s="371">
        <v>4.0</v>
      </c>
      <c r="E419" s="371">
        <v>3.0</v>
      </c>
      <c r="F419" s="371">
        <v>3.0</v>
      </c>
      <c r="G419" s="371">
        <v>3.0</v>
      </c>
      <c r="H419" s="371">
        <v>2.0</v>
      </c>
    </row>
    <row r="420">
      <c r="A420" s="344"/>
      <c r="B420" s="344"/>
      <c r="C420" s="344"/>
      <c r="D420" s="344"/>
      <c r="E420" s="344"/>
      <c r="F420" s="344"/>
      <c r="G420" s="344"/>
      <c r="H420" s="344"/>
    </row>
    <row r="421">
      <c r="A421" s="344"/>
      <c r="B421" s="344"/>
      <c r="C421" s="345" t="s">
        <v>688</v>
      </c>
      <c r="D421" s="344"/>
      <c r="E421" s="344"/>
      <c r="F421" s="344"/>
      <c r="G421" s="344"/>
      <c r="H421" s="344"/>
    </row>
    <row r="422">
      <c r="A422" s="373" t="s">
        <v>2</v>
      </c>
      <c r="B422" s="373" t="s">
        <v>465</v>
      </c>
      <c r="C422" s="373" t="s">
        <v>394</v>
      </c>
      <c r="D422" s="373" t="s">
        <v>466</v>
      </c>
      <c r="E422" s="373" t="s">
        <v>467</v>
      </c>
      <c r="F422" s="373" t="s">
        <v>468</v>
      </c>
      <c r="G422" s="373" t="s">
        <v>469</v>
      </c>
      <c r="H422" s="373" t="s">
        <v>470</v>
      </c>
      <c r="I422" s="373" t="s">
        <v>689</v>
      </c>
    </row>
    <row r="423">
      <c r="A423" s="374">
        <v>1.0</v>
      </c>
      <c r="B423" s="375">
        <f t="shared" ref="B423:B426" si="91">+2</f>
        <v>2</v>
      </c>
      <c r="C423" s="374" t="s">
        <v>690</v>
      </c>
      <c r="D423" s="374">
        <v>3.0</v>
      </c>
      <c r="E423" s="374" t="s">
        <v>107</v>
      </c>
      <c r="F423" s="374" t="s">
        <v>107</v>
      </c>
      <c r="G423" s="374" t="s">
        <v>107</v>
      </c>
      <c r="H423" s="374" t="s">
        <v>107</v>
      </c>
      <c r="I423" s="374" t="s">
        <v>107</v>
      </c>
    </row>
    <row r="424">
      <c r="A424" s="374">
        <v>2.0</v>
      </c>
      <c r="B424" s="375">
        <f t="shared" si="91"/>
        <v>2</v>
      </c>
      <c r="C424" s="374" t="s">
        <v>691</v>
      </c>
      <c r="D424" s="374">
        <v>3.0</v>
      </c>
      <c r="E424" s="374">
        <v>2.0</v>
      </c>
      <c r="F424" s="374" t="s">
        <v>107</v>
      </c>
      <c r="G424" s="374" t="s">
        <v>107</v>
      </c>
      <c r="H424" s="374" t="s">
        <v>107</v>
      </c>
      <c r="I424" s="374" t="s">
        <v>107</v>
      </c>
    </row>
    <row r="425">
      <c r="A425" s="374">
        <v>3.0</v>
      </c>
      <c r="B425" s="375">
        <f t="shared" si="91"/>
        <v>2</v>
      </c>
      <c r="C425" s="374" t="s">
        <v>692</v>
      </c>
      <c r="D425" s="374">
        <v>4.0</v>
      </c>
      <c r="E425" s="374">
        <v>2.0</v>
      </c>
      <c r="F425" s="374" t="s">
        <v>107</v>
      </c>
      <c r="G425" s="374" t="s">
        <v>107</v>
      </c>
      <c r="H425" s="374" t="s">
        <v>107</v>
      </c>
      <c r="I425" s="374" t="s">
        <v>107</v>
      </c>
    </row>
    <row r="426">
      <c r="A426" s="374">
        <v>4.0</v>
      </c>
      <c r="B426" s="375">
        <f t="shared" si="91"/>
        <v>2</v>
      </c>
      <c r="C426" s="374" t="s">
        <v>404</v>
      </c>
      <c r="D426" s="374">
        <v>4.0</v>
      </c>
      <c r="E426" s="374">
        <v>3.0</v>
      </c>
      <c r="F426" s="374" t="s">
        <v>107</v>
      </c>
      <c r="G426" s="374" t="s">
        <v>107</v>
      </c>
      <c r="H426" s="374" t="s">
        <v>107</v>
      </c>
      <c r="I426" s="374" t="s">
        <v>107</v>
      </c>
    </row>
    <row r="427">
      <c r="A427" s="374">
        <v>5.0</v>
      </c>
      <c r="B427" s="375">
        <f t="shared" ref="B427:B430" si="92">+3</f>
        <v>3</v>
      </c>
      <c r="C427" s="374" t="s">
        <v>693</v>
      </c>
      <c r="D427" s="374">
        <v>4.0</v>
      </c>
      <c r="E427" s="374">
        <v>3.0</v>
      </c>
      <c r="F427" s="374">
        <v>2.0</v>
      </c>
      <c r="G427" s="374" t="s">
        <v>107</v>
      </c>
      <c r="H427" s="374" t="s">
        <v>107</v>
      </c>
      <c r="I427" s="374" t="s">
        <v>694</v>
      </c>
    </row>
    <row r="428">
      <c r="A428" s="374">
        <v>6.0</v>
      </c>
      <c r="B428" s="375">
        <f t="shared" si="92"/>
        <v>3</v>
      </c>
      <c r="C428" s="374" t="s">
        <v>695</v>
      </c>
      <c r="D428" s="374">
        <v>4.0</v>
      </c>
      <c r="E428" s="374">
        <v>3.0</v>
      </c>
      <c r="F428" s="374">
        <v>2.0</v>
      </c>
      <c r="G428" s="374" t="s">
        <v>107</v>
      </c>
      <c r="H428" s="374" t="s">
        <v>107</v>
      </c>
      <c r="I428" s="374" t="s">
        <v>694</v>
      </c>
    </row>
    <row r="429">
      <c r="A429" s="374">
        <v>7.0</v>
      </c>
      <c r="B429" s="375">
        <f t="shared" si="92"/>
        <v>3</v>
      </c>
      <c r="C429" s="374" t="s">
        <v>404</v>
      </c>
      <c r="D429" s="374">
        <v>4.0</v>
      </c>
      <c r="E429" s="374">
        <v>3.0</v>
      </c>
      <c r="F429" s="374">
        <v>3.0</v>
      </c>
      <c r="G429" s="374" t="s">
        <v>107</v>
      </c>
      <c r="H429" s="374" t="s">
        <v>107</v>
      </c>
      <c r="I429" s="374" t="s">
        <v>694</v>
      </c>
    </row>
    <row r="430">
      <c r="A430" s="374">
        <v>8.0</v>
      </c>
      <c r="B430" s="375">
        <f t="shared" si="92"/>
        <v>3</v>
      </c>
      <c r="C430" s="374" t="s">
        <v>696</v>
      </c>
      <c r="D430" s="374">
        <v>4.0</v>
      </c>
      <c r="E430" s="374">
        <v>3.0</v>
      </c>
      <c r="F430" s="374">
        <v>3.0</v>
      </c>
      <c r="G430" s="374">
        <v>1.0</v>
      </c>
      <c r="H430" s="374" t="s">
        <v>107</v>
      </c>
      <c r="I430" s="374" t="s">
        <v>697</v>
      </c>
    </row>
    <row r="431">
      <c r="A431" s="374">
        <v>9.0</v>
      </c>
      <c r="B431" s="375">
        <f t="shared" ref="B431:B434" si="93">+4</f>
        <v>4</v>
      </c>
      <c r="C431" s="374" t="s">
        <v>698</v>
      </c>
      <c r="D431" s="374">
        <v>4.0</v>
      </c>
      <c r="E431" s="374">
        <v>3.0</v>
      </c>
      <c r="F431" s="374">
        <v>3.0</v>
      </c>
      <c r="G431" s="374">
        <v>2.0</v>
      </c>
      <c r="H431" s="374" t="s">
        <v>107</v>
      </c>
      <c r="I431" s="374" t="s">
        <v>697</v>
      </c>
    </row>
    <row r="432">
      <c r="A432" s="374">
        <v>10.0</v>
      </c>
      <c r="B432" s="375">
        <f t="shared" si="93"/>
        <v>4</v>
      </c>
      <c r="C432" s="374" t="s">
        <v>699</v>
      </c>
      <c r="D432" s="374">
        <v>4.0</v>
      </c>
      <c r="E432" s="374">
        <v>3.0</v>
      </c>
      <c r="F432" s="374">
        <v>3.0</v>
      </c>
      <c r="G432" s="374">
        <v>2.0</v>
      </c>
      <c r="H432" s="374" t="s">
        <v>107</v>
      </c>
      <c r="I432" s="374" t="s">
        <v>697</v>
      </c>
    </row>
    <row r="433">
      <c r="A433" s="374">
        <v>11.0</v>
      </c>
      <c r="B433" s="375">
        <f t="shared" si="93"/>
        <v>4</v>
      </c>
      <c r="C433" s="374" t="s">
        <v>404</v>
      </c>
      <c r="D433" s="374">
        <v>4.0</v>
      </c>
      <c r="E433" s="374">
        <v>3.0</v>
      </c>
      <c r="F433" s="374">
        <v>3.0</v>
      </c>
      <c r="G433" s="374">
        <v>2.0</v>
      </c>
      <c r="H433" s="374" t="s">
        <v>107</v>
      </c>
      <c r="I433" s="374" t="s">
        <v>697</v>
      </c>
    </row>
    <row r="434">
      <c r="A434" s="374">
        <v>12.0</v>
      </c>
      <c r="B434" s="375">
        <f t="shared" si="93"/>
        <v>4</v>
      </c>
      <c r="C434" s="374" t="s">
        <v>700</v>
      </c>
      <c r="D434" s="374">
        <v>4.0</v>
      </c>
      <c r="E434" s="374">
        <v>3.0</v>
      </c>
      <c r="F434" s="374">
        <v>3.0</v>
      </c>
      <c r="G434" s="374">
        <v>2.0</v>
      </c>
      <c r="H434" s="374">
        <v>1.0</v>
      </c>
      <c r="I434" s="374" t="s">
        <v>701</v>
      </c>
    </row>
    <row r="435">
      <c r="A435" s="374">
        <v>13.0</v>
      </c>
      <c r="B435" s="375">
        <f t="shared" ref="B435:B438" si="94">+5</f>
        <v>5</v>
      </c>
      <c r="C435" s="374" t="s">
        <v>702</v>
      </c>
      <c r="D435" s="374">
        <v>4.0</v>
      </c>
      <c r="E435" s="374">
        <v>3.0</v>
      </c>
      <c r="F435" s="374">
        <v>3.0</v>
      </c>
      <c r="G435" s="374">
        <v>3.0</v>
      </c>
      <c r="H435" s="374">
        <v>1.0</v>
      </c>
      <c r="I435" s="374" t="s">
        <v>701</v>
      </c>
    </row>
    <row r="436">
      <c r="A436" s="374">
        <v>14.0</v>
      </c>
      <c r="B436" s="375">
        <f t="shared" si="94"/>
        <v>5</v>
      </c>
      <c r="C436" s="374" t="s">
        <v>404</v>
      </c>
      <c r="D436" s="374">
        <v>4.0</v>
      </c>
      <c r="E436" s="374">
        <v>3.0</v>
      </c>
      <c r="F436" s="374">
        <v>3.0</v>
      </c>
      <c r="G436" s="374">
        <v>3.0</v>
      </c>
      <c r="H436" s="374">
        <v>2.0</v>
      </c>
      <c r="I436" s="374" t="s">
        <v>701</v>
      </c>
    </row>
    <row r="437">
      <c r="A437" s="374">
        <v>15.0</v>
      </c>
      <c r="B437" s="375">
        <f t="shared" si="94"/>
        <v>5</v>
      </c>
      <c r="C437" s="374" t="s">
        <v>703</v>
      </c>
      <c r="D437" s="374">
        <v>4.0</v>
      </c>
      <c r="E437" s="374">
        <v>3.0</v>
      </c>
      <c r="F437" s="374">
        <v>3.0</v>
      </c>
      <c r="G437" s="374">
        <v>3.0</v>
      </c>
      <c r="H437" s="374">
        <v>2.0</v>
      </c>
      <c r="I437" s="374" t="s">
        <v>701</v>
      </c>
    </row>
    <row r="438">
      <c r="A438" s="374">
        <v>16.0</v>
      </c>
      <c r="B438" s="375">
        <f t="shared" si="94"/>
        <v>5</v>
      </c>
      <c r="C438" s="374" t="s">
        <v>404</v>
      </c>
      <c r="D438" s="374">
        <v>4.0</v>
      </c>
      <c r="E438" s="374">
        <v>3.0</v>
      </c>
      <c r="F438" s="374">
        <v>3.0</v>
      </c>
      <c r="G438" s="374">
        <v>3.0</v>
      </c>
      <c r="H438" s="374">
        <v>2.0</v>
      </c>
      <c r="I438" s="374" t="s">
        <v>704</v>
      </c>
    </row>
    <row r="439">
      <c r="A439" s="374">
        <v>17.0</v>
      </c>
      <c r="B439" s="375">
        <f t="shared" ref="B439:B442" si="95">+6</f>
        <v>6</v>
      </c>
      <c r="C439" s="374" t="s">
        <v>705</v>
      </c>
      <c r="D439" s="374">
        <v>4.0</v>
      </c>
      <c r="E439" s="374">
        <v>3.0</v>
      </c>
      <c r="F439" s="374">
        <v>3.0</v>
      </c>
      <c r="G439" s="374">
        <v>3.0</v>
      </c>
      <c r="H439" s="374">
        <v>2.0</v>
      </c>
      <c r="I439" s="374" t="s">
        <v>704</v>
      </c>
    </row>
    <row r="440">
      <c r="A440" s="374">
        <v>18.0</v>
      </c>
      <c r="B440" s="375">
        <f t="shared" si="95"/>
        <v>6</v>
      </c>
      <c r="C440" s="374" t="s">
        <v>706</v>
      </c>
      <c r="D440" s="374">
        <v>4.0</v>
      </c>
      <c r="E440" s="374">
        <v>3.0</v>
      </c>
      <c r="F440" s="374">
        <v>3.0</v>
      </c>
      <c r="G440" s="374">
        <v>3.0</v>
      </c>
      <c r="H440" s="374">
        <v>3.0</v>
      </c>
      <c r="I440" s="374" t="s">
        <v>704</v>
      </c>
    </row>
    <row r="441">
      <c r="A441" s="374">
        <v>19.0</v>
      </c>
      <c r="B441" s="375">
        <f t="shared" si="95"/>
        <v>6</v>
      </c>
      <c r="C441" s="374" t="s">
        <v>404</v>
      </c>
      <c r="D441" s="374">
        <v>4.0</v>
      </c>
      <c r="E441" s="374">
        <v>3.0</v>
      </c>
      <c r="F441" s="374">
        <v>3.0</v>
      </c>
      <c r="G441" s="374">
        <v>3.0</v>
      </c>
      <c r="H441" s="374">
        <v>3.0</v>
      </c>
      <c r="I441" s="374" t="s">
        <v>704</v>
      </c>
    </row>
    <row r="442">
      <c r="A442" s="374">
        <v>20.0</v>
      </c>
      <c r="B442" s="375">
        <f t="shared" si="95"/>
        <v>6</v>
      </c>
      <c r="C442" s="374" t="s">
        <v>707</v>
      </c>
      <c r="D442" s="374">
        <v>4.0</v>
      </c>
      <c r="E442" s="374">
        <v>3.0</v>
      </c>
      <c r="F442" s="374">
        <v>3.0</v>
      </c>
      <c r="G442" s="374">
        <v>3.0</v>
      </c>
      <c r="H442" s="374">
        <v>3.0</v>
      </c>
      <c r="I442" s="374" t="s">
        <v>704</v>
      </c>
    </row>
    <row r="443">
      <c r="A443" s="344"/>
      <c r="B443" s="344"/>
      <c r="C443" s="344"/>
      <c r="D443" s="344"/>
      <c r="E443" s="344"/>
      <c r="F443" s="344"/>
      <c r="G443" s="344"/>
      <c r="H443" s="344"/>
    </row>
    <row r="444">
      <c r="A444" s="344"/>
      <c r="B444" s="344"/>
      <c r="C444" s="345" t="s">
        <v>288</v>
      </c>
      <c r="D444" s="344"/>
      <c r="E444" s="344"/>
      <c r="F444" s="344"/>
      <c r="G444" s="344"/>
      <c r="H444" s="344"/>
    </row>
    <row r="445">
      <c r="A445" s="368" t="s">
        <v>2</v>
      </c>
      <c r="B445" s="368" t="s">
        <v>465</v>
      </c>
      <c r="C445" s="368" t="s">
        <v>394</v>
      </c>
      <c r="D445" s="368" t="s">
        <v>466</v>
      </c>
      <c r="E445" s="368" t="s">
        <v>467</v>
      </c>
      <c r="F445" s="368" t="s">
        <v>468</v>
      </c>
      <c r="G445" s="368" t="s">
        <v>469</v>
      </c>
      <c r="H445" s="368" t="s">
        <v>470</v>
      </c>
    </row>
    <row r="446">
      <c r="A446" s="369">
        <v>1.0</v>
      </c>
      <c r="B446" s="370">
        <f t="shared" ref="B446:B449" si="96">+2</f>
        <v>2</v>
      </c>
      <c r="C446" s="369" t="s">
        <v>708</v>
      </c>
      <c r="D446" s="369">
        <v>3.0</v>
      </c>
      <c r="E446" s="369" t="s">
        <v>107</v>
      </c>
      <c r="F446" s="369" t="s">
        <v>107</v>
      </c>
      <c r="G446" s="369" t="s">
        <v>107</v>
      </c>
      <c r="H446" s="369" t="s">
        <v>107</v>
      </c>
    </row>
    <row r="447">
      <c r="A447" s="369">
        <v>2.0</v>
      </c>
      <c r="B447" s="370">
        <f t="shared" si="96"/>
        <v>2</v>
      </c>
      <c r="C447" s="369" t="s">
        <v>709</v>
      </c>
      <c r="D447" s="369">
        <v>3.0</v>
      </c>
      <c r="E447" s="369" t="s">
        <v>107</v>
      </c>
      <c r="F447" s="369" t="s">
        <v>107</v>
      </c>
      <c r="G447" s="369" t="s">
        <v>107</v>
      </c>
      <c r="H447" s="369" t="s">
        <v>107</v>
      </c>
    </row>
    <row r="448">
      <c r="A448" s="369">
        <v>3.0</v>
      </c>
      <c r="B448" s="370">
        <f t="shared" si="96"/>
        <v>2</v>
      </c>
      <c r="C448" s="369" t="s">
        <v>710</v>
      </c>
      <c r="D448" s="369">
        <v>4.0</v>
      </c>
      <c r="E448" s="369">
        <v>2.0</v>
      </c>
      <c r="F448" s="369" t="s">
        <v>107</v>
      </c>
      <c r="G448" s="369" t="s">
        <v>107</v>
      </c>
      <c r="H448" s="369" t="s">
        <v>107</v>
      </c>
    </row>
    <row r="449">
      <c r="A449" s="369">
        <v>4.0</v>
      </c>
      <c r="B449" s="370">
        <f t="shared" si="96"/>
        <v>2</v>
      </c>
      <c r="C449" s="369" t="s">
        <v>404</v>
      </c>
      <c r="D449" s="369">
        <v>4.0</v>
      </c>
      <c r="E449" s="369">
        <v>2.0</v>
      </c>
      <c r="F449" s="369" t="s">
        <v>107</v>
      </c>
      <c r="G449" s="369" t="s">
        <v>107</v>
      </c>
      <c r="H449" s="369" t="s">
        <v>107</v>
      </c>
    </row>
    <row r="450">
      <c r="A450" s="369">
        <v>5.0</v>
      </c>
      <c r="B450" s="370">
        <f t="shared" ref="B450:B453" si="97">+3</f>
        <v>3</v>
      </c>
      <c r="C450" s="369" t="s">
        <v>711</v>
      </c>
      <c r="D450" s="369">
        <v>4.0</v>
      </c>
      <c r="E450" s="369">
        <v>3.0</v>
      </c>
      <c r="F450" s="369" t="s">
        <v>107</v>
      </c>
      <c r="G450" s="369" t="s">
        <v>107</v>
      </c>
      <c r="H450" s="369" t="s">
        <v>107</v>
      </c>
    </row>
    <row r="451">
      <c r="A451" s="369">
        <v>6.0</v>
      </c>
      <c r="B451" s="370">
        <f t="shared" si="97"/>
        <v>3</v>
      </c>
      <c r="C451" s="369" t="s">
        <v>712</v>
      </c>
      <c r="D451" s="369">
        <v>4.0</v>
      </c>
      <c r="E451" s="369">
        <v>3.0</v>
      </c>
      <c r="F451" s="369">
        <v>1.0</v>
      </c>
      <c r="G451" s="369" t="s">
        <v>107</v>
      </c>
      <c r="H451" s="369" t="s">
        <v>107</v>
      </c>
    </row>
    <row r="452">
      <c r="A452" s="369">
        <v>7.0</v>
      </c>
      <c r="B452" s="370">
        <f t="shared" si="97"/>
        <v>3</v>
      </c>
      <c r="C452" s="369" t="s">
        <v>713</v>
      </c>
      <c r="D452" s="369">
        <v>4.0</v>
      </c>
      <c r="E452" s="369">
        <v>3.0</v>
      </c>
      <c r="F452" s="369">
        <v>1.0</v>
      </c>
      <c r="G452" s="369" t="s">
        <v>107</v>
      </c>
      <c r="H452" s="369" t="s">
        <v>107</v>
      </c>
    </row>
    <row r="453">
      <c r="A453" s="369">
        <v>8.0</v>
      </c>
      <c r="B453" s="370">
        <f t="shared" si="97"/>
        <v>3</v>
      </c>
      <c r="C453" s="369" t="s">
        <v>404</v>
      </c>
      <c r="D453" s="369">
        <v>4.0</v>
      </c>
      <c r="E453" s="369">
        <v>3.0</v>
      </c>
      <c r="F453" s="369">
        <v>2.0</v>
      </c>
      <c r="G453" s="369" t="s">
        <v>107</v>
      </c>
      <c r="H453" s="369" t="s">
        <v>107</v>
      </c>
    </row>
    <row r="454">
      <c r="A454" s="369">
        <v>9.0</v>
      </c>
      <c r="B454" s="370">
        <f t="shared" ref="B454:B457" si="98">+4</f>
        <v>4</v>
      </c>
      <c r="C454" s="369" t="s">
        <v>714</v>
      </c>
      <c r="D454" s="369">
        <v>4.0</v>
      </c>
      <c r="E454" s="369">
        <v>3.0</v>
      </c>
      <c r="F454" s="369">
        <v>2.0</v>
      </c>
      <c r="G454" s="369">
        <v>1.0</v>
      </c>
      <c r="H454" s="369" t="s">
        <v>107</v>
      </c>
    </row>
    <row r="455">
      <c r="A455" s="369">
        <v>10.0</v>
      </c>
      <c r="B455" s="370">
        <f t="shared" si="98"/>
        <v>4</v>
      </c>
      <c r="C455" s="369" t="s">
        <v>715</v>
      </c>
      <c r="D455" s="369">
        <v>4.0</v>
      </c>
      <c r="E455" s="369">
        <v>3.0</v>
      </c>
      <c r="F455" s="369">
        <v>2.0</v>
      </c>
      <c r="G455" s="369">
        <v>1.0</v>
      </c>
      <c r="H455" s="369" t="s">
        <v>107</v>
      </c>
    </row>
    <row r="456">
      <c r="A456" s="369">
        <v>11.0</v>
      </c>
      <c r="B456" s="370">
        <f t="shared" si="98"/>
        <v>4</v>
      </c>
      <c r="C456" s="369" t="s">
        <v>716</v>
      </c>
      <c r="D456" s="369">
        <v>4.0</v>
      </c>
      <c r="E456" s="369">
        <v>3.0</v>
      </c>
      <c r="F456" s="369">
        <v>3.0</v>
      </c>
      <c r="G456" s="369">
        <v>1.0</v>
      </c>
      <c r="H456" s="369" t="s">
        <v>107</v>
      </c>
    </row>
    <row r="457">
      <c r="A457" s="369">
        <v>12.0</v>
      </c>
      <c r="B457" s="370">
        <f t="shared" si="98"/>
        <v>4</v>
      </c>
      <c r="C457" s="369" t="s">
        <v>404</v>
      </c>
      <c r="D457" s="369">
        <v>4.0</v>
      </c>
      <c r="E457" s="369">
        <v>3.0</v>
      </c>
      <c r="F457" s="369">
        <v>3.0</v>
      </c>
      <c r="G457" s="369">
        <v>1.0</v>
      </c>
      <c r="H457" s="369" t="s">
        <v>107</v>
      </c>
    </row>
    <row r="458">
      <c r="A458" s="369">
        <v>13.0</v>
      </c>
      <c r="B458" s="370">
        <f t="shared" ref="B458:B461" si="99">+5</f>
        <v>5</v>
      </c>
      <c r="C458" s="369" t="s">
        <v>717</v>
      </c>
      <c r="D458" s="369">
        <v>4.0</v>
      </c>
      <c r="E458" s="369">
        <v>3.0</v>
      </c>
      <c r="F458" s="369">
        <v>3.0</v>
      </c>
      <c r="G458" s="369">
        <v>2.0</v>
      </c>
      <c r="H458" s="369" t="s">
        <v>107</v>
      </c>
    </row>
    <row r="459">
      <c r="A459" s="369">
        <v>14.0</v>
      </c>
      <c r="B459" s="370">
        <f t="shared" si="99"/>
        <v>5</v>
      </c>
      <c r="C459" s="369" t="s">
        <v>404</v>
      </c>
      <c r="D459" s="369">
        <v>4.0</v>
      </c>
      <c r="E459" s="369">
        <v>3.0</v>
      </c>
      <c r="F459" s="369">
        <v>3.0</v>
      </c>
      <c r="G459" s="369">
        <v>2.0</v>
      </c>
      <c r="H459" s="369" t="s">
        <v>107</v>
      </c>
    </row>
    <row r="460">
      <c r="A460" s="369">
        <v>15.0</v>
      </c>
      <c r="B460" s="370">
        <f t="shared" si="99"/>
        <v>5</v>
      </c>
      <c r="C460" s="369" t="s">
        <v>718</v>
      </c>
      <c r="D460" s="369">
        <v>4.0</v>
      </c>
      <c r="E460" s="369">
        <v>3.0</v>
      </c>
      <c r="F460" s="369">
        <v>3.0</v>
      </c>
      <c r="G460" s="369">
        <v>2.0</v>
      </c>
      <c r="H460" s="369" t="s">
        <v>107</v>
      </c>
    </row>
    <row r="461">
      <c r="A461" s="369">
        <v>16.0</v>
      </c>
      <c r="B461" s="370">
        <f t="shared" si="99"/>
        <v>5</v>
      </c>
      <c r="C461" s="369" t="s">
        <v>404</v>
      </c>
      <c r="D461" s="369">
        <v>4.0</v>
      </c>
      <c r="E461" s="369">
        <v>3.0</v>
      </c>
      <c r="F461" s="369">
        <v>3.0</v>
      </c>
      <c r="G461" s="369">
        <v>2.0</v>
      </c>
      <c r="H461" s="369">
        <v>1.0</v>
      </c>
    </row>
    <row r="462">
      <c r="A462" s="369">
        <v>17.0</v>
      </c>
      <c r="B462" s="370">
        <f t="shared" ref="B462:B465" si="100">+6</f>
        <v>6</v>
      </c>
      <c r="C462" s="369" t="s">
        <v>719</v>
      </c>
      <c r="D462" s="369">
        <v>4.0</v>
      </c>
      <c r="E462" s="369">
        <v>3.0</v>
      </c>
      <c r="F462" s="369">
        <v>3.0</v>
      </c>
      <c r="G462" s="369">
        <v>2.0</v>
      </c>
      <c r="H462" s="369">
        <v>1.0</v>
      </c>
    </row>
    <row r="463">
      <c r="A463" s="369">
        <v>18.0</v>
      </c>
      <c r="B463" s="370">
        <f t="shared" si="100"/>
        <v>6</v>
      </c>
      <c r="C463" s="369" t="s">
        <v>404</v>
      </c>
      <c r="D463" s="369">
        <v>4.0</v>
      </c>
      <c r="E463" s="369">
        <v>3.0</v>
      </c>
      <c r="F463" s="369">
        <v>3.0</v>
      </c>
      <c r="G463" s="369">
        <v>3.0</v>
      </c>
      <c r="H463" s="369">
        <v>1.0</v>
      </c>
    </row>
    <row r="464">
      <c r="A464" s="369">
        <v>19.0</v>
      </c>
      <c r="B464" s="370">
        <f t="shared" si="100"/>
        <v>6</v>
      </c>
      <c r="C464" s="369" t="s">
        <v>720</v>
      </c>
      <c r="D464" s="369">
        <v>4.0</v>
      </c>
      <c r="E464" s="369">
        <v>3.0</v>
      </c>
      <c r="F464" s="369">
        <v>3.0</v>
      </c>
      <c r="G464" s="369">
        <v>3.0</v>
      </c>
      <c r="H464" s="369">
        <v>2.0</v>
      </c>
    </row>
    <row r="465">
      <c r="A465" s="371">
        <v>20.0</v>
      </c>
      <c r="B465" s="372">
        <f t="shared" si="100"/>
        <v>6</v>
      </c>
      <c r="C465" s="371"/>
      <c r="D465" s="371">
        <v>4.0</v>
      </c>
      <c r="E465" s="371">
        <v>3.0</v>
      </c>
      <c r="F465" s="371">
        <v>3.0</v>
      </c>
      <c r="G465" s="371">
        <v>3.0</v>
      </c>
      <c r="H465" s="371">
        <v>2.0</v>
      </c>
    </row>
    <row r="466">
      <c r="A466" s="344"/>
      <c r="B466" s="344"/>
      <c r="C466" s="344"/>
      <c r="D466" s="344"/>
      <c r="E466" s="344"/>
      <c r="F466" s="344"/>
      <c r="G466" s="344"/>
      <c r="H466" s="344"/>
    </row>
    <row r="467">
      <c r="A467" s="344"/>
      <c r="B467" s="344"/>
      <c r="C467" s="345" t="s">
        <v>721</v>
      </c>
      <c r="D467" s="344"/>
      <c r="E467" s="344"/>
      <c r="F467" s="344"/>
      <c r="G467" s="344"/>
      <c r="H467" s="344"/>
    </row>
    <row r="468">
      <c r="A468" s="368" t="s">
        <v>2</v>
      </c>
      <c r="B468" s="368" t="s">
        <v>465</v>
      </c>
      <c r="C468" s="368" t="s">
        <v>394</v>
      </c>
      <c r="D468" s="368" t="s">
        <v>466</v>
      </c>
      <c r="E468" s="368" t="s">
        <v>467</v>
      </c>
      <c r="F468" s="368" t="s">
        <v>468</v>
      </c>
      <c r="G468" s="368" t="s">
        <v>469</v>
      </c>
      <c r="H468" s="368" t="s">
        <v>470</v>
      </c>
    </row>
    <row r="469">
      <c r="A469" s="369">
        <v>1.0</v>
      </c>
      <c r="B469" s="370">
        <f t="shared" ref="B469:B472" si="101">+2</f>
        <v>2</v>
      </c>
      <c r="C469" s="369" t="s">
        <v>722</v>
      </c>
      <c r="D469" s="369">
        <v>3.0</v>
      </c>
      <c r="E469" s="369" t="s">
        <v>107</v>
      </c>
      <c r="F469" s="369" t="s">
        <v>107</v>
      </c>
      <c r="G469" s="369" t="s">
        <v>107</v>
      </c>
      <c r="H469" s="369" t="s">
        <v>107</v>
      </c>
    </row>
    <row r="470">
      <c r="A470" s="369">
        <v>2.0</v>
      </c>
      <c r="B470" s="370">
        <f t="shared" si="101"/>
        <v>2</v>
      </c>
      <c r="C470" s="369" t="s">
        <v>723</v>
      </c>
      <c r="D470" s="369">
        <v>3.0</v>
      </c>
      <c r="E470" s="369" t="s">
        <v>107</v>
      </c>
      <c r="F470" s="369" t="s">
        <v>107</v>
      </c>
      <c r="G470" s="369" t="s">
        <v>107</v>
      </c>
      <c r="H470" s="369" t="s">
        <v>107</v>
      </c>
    </row>
    <row r="471">
      <c r="A471" s="369">
        <v>3.0</v>
      </c>
      <c r="B471" s="370">
        <f t="shared" si="101"/>
        <v>2</v>
      </c>
      <c r="C471" s="369" t="s">
        <v>724</v>
      </c>
      <c r="D471" s="369">
        <v>4.0</v>
      </c>
      <c r="E471" s="369">
        <v>2.0</v>
      </c>
      <c r="F471" s="369" t="s">
        <v>107</v>
      </c>
      <c r="G471" s="369" t="s">
        <v>107</v>
      </c>
      <c r="H471" s="369" t="s">
        <v>107</v>
      </c>
    </row>
    <row r="472">
      <c r="A472" s="369">
        <v>4.0</v>
      </c>
      <c r="B472" s="370">
        <f t="shared" si="101"/>
        <v>2</v>
      </c>
      <c r="C472" s="369" t="s">
        <v>404</v>
      </c>
      <c r="D472" s="369">
        <v>4.0</v>
      </c>
      <c r="E472" s="369">
        <v>2.0</v>
      </c>
      <c r="F472" s="369" t="s">
        <v>107</v>
      </c>
      <c r="G472" s="369" t="s">
        <v>107</v>
      </c>
      <c r="H472" s="369" t="s">
        <v>107</v>
      </c>
    </row>
    <row r="473">
      <c r="A473" s="369">
        <v>5.0</v>
      </c>
      <c r="B473" s="370">
        <f t="shared" ref="B473:B476" si="102">+3</f>
        <v>3</v>
      </c>
      <c r="C473" s="369" t="s">
        <v>725</v>
      </c>
      <c r="D473" s="369">
        <v>4.0</v>
      </c>
      <c r="E473" s="369">
        <v>3.0</v>
      </c>
      <c r="F473" s="369" t="s">
        <v>107</v>
      </c>
      <c r="G473" s="369" t="s">
        <v>107</v>
      </c>
      <c r="H473" s="369" t="s">
        <v>107</v>
      </c>
    </row>
    <row r="474">
      <c r="A474" s="369">
        <v>6.0</v>
      </c>
      <c r="B474" s="370">
        <f t="shared" si="102"/>
        <v>3</v>
      </c>
      <c r="C474" s="369" t="s">
        <v>726</v>
      </c>
      <c r="D474" s="369">
        <v>4.0</v>
      </c>
      <c r="E474" s="369">
        <v>3.0</v>
      </c>
      <c r="F474" s="369">
        <v>1.0</v>
      </c>
      <c r="G474" s="369" t="s">
        <v>107</v>
      </c>
      <c r="H474" s="369" t="s">
        <v>107</v>
      </c>
    </row>
    <row r="475">
      <c r="A475" s="369">
        <v>7.0</v>
      </c>
      <c r="B475" s="370">
        <f t="shared" si="102"/>
        <v>3</v>
      </c>
      <c r="C475" s="369" t="s">
        <v>727</v>
      </c>
      <c r="D475" s="369">
        <v>4.0</v>
      </c>
      <c r="E475" s="369">
        <v>3.0</v>
      </c>
      <c r="F475" s="369">
        <v>1.0</v>
      </c>
      <c r="G475" s="369" t="s">
        <v>107</v>
      </c>
      <c r="H475" s="369" t="s">
        <v>107</v>
      </c>
    </row>
    <row r="476">
      <c r="A476" s="369">
        <v>8.0</v>
      </c>
      <c r="B476" s="370">
        <f t="shared" si="102"/>
        <v>3</v>
      </c>
      <c r="C476" s="369" t="s">
        <v>404</v>
      </c>
      <c r="D476" s="369">
        <v>4.0</v>
      </c>
      <c r="E476" s="369">
        <v>3.0</v>
      </c>
      <c r="F476" s="369">
        <v>2.0</v>
      </c>
      <c r="G476" s="369" t="s">
        <v>107</v>
      </c>
      <c r="H476" s="369" t="s">
        <v>107</v>
      </c>
    </row>
    <row r="477">
      <c r="A477" s="369">
        <v>9.0</v>
      </c>
      <c r="B477" s="370">
        <f t="shared" ref="B477:B480" si="103">+4</f>
        <v>4</v>
      </c>
      <c r="C477" s="369" t="s">
        <v>728</v>
      </c>
      <c r="D477" s="369">
        <v>4.0</v>
      </c>
      <c r="E477" s="369">
        <v>3.0</v>
      </c>
      <c r="F477" s="369">
        <v>2.0</v>
      </c>
      <c r="G477" s="369">
        <v>1.0</v>
      </c>
      <c r="H477" s="369" t="s">
        <v>107</v>
      </c>
    </row>
    <row r="478">
      <c r="A478" s="369">
        <v>10.0</v>
      </c>
      <c r="B478" s="370">
        <f t="shared" si="103"/>
        <v>4</v>
      </c>
      <c r="C478" s="369" t="s">
        <v>729</v>
      </c>
      <c r="D478" s="369">
        <v>4.0</v>
      </c>
      <c r="E478" s="369">
        <v>3.0</v>
      </c>
      <c r="F478" s="369">
        <v>2.0</v>
      </c>
      <c r="G478" s="369">
        <v>1.0</v>
      </c>
      <c r="H478" s="369" t="s">
        <v>107</v>
      </c>
    </row>
    <row r="479">
      <c r="A479" s="369">
        <v>11.0</v>
      </c>
      <c r="B479" s="370">
        <f t="shared" si="103"/>
        <v>4</v>
      </c>
      <c r="C479" s="369" t="s">
        <v>530</v>
      </c>
      <c r="D479" s="369">
        <v>4.0</v>
      </c>
      <c r="E479" s="369">
        <v>3.0</v>
      </c>
      <c r="F479" s="369">
        <v>3.0</v>
      </c>
      <c r="G479" s="369">
        <v>1.0</v>
      </c>
      <c r="H479" s="369" t="s">
        <v>107</v>
      </c>
    </row>
    <row r="480">
      <c r="A480" s="369">
        <v>12.0</v>
      </c>
      <c r="B480" s="370">
        <f t="shared" si="103"/>
        <v>4</v>
      </c>
      <c r="C480" s="369" t="s">
        <v>404</v>
      </c>
      <c r="D480" s="369">
        <v>4.0</v>
      </c>
      <c r="E480" s="369">
        <v>3.0</v>
      </c>
      <c r="F480" s="369">
        <v>3.0</v>
      </c>
      <c r="G480" s="369">
        <v>1.0</v>
      </c>
      <c r="H480" s="369" t="s">
        <v>107</v>
      </c>
    </row>
    <row r="481">
      <c r="A481" s="369">
        <v>13.0</v>
      </c>
      <c r="B481" s="370">
        <f t="shared" ref="B481:B484" si="104">+5</f>
        <v>5</v>
      </c>
      <c r="C481" s="369" t="s">
        <v>730</v>
      </c>
      <c r="D481" s="369">
        <v>4.0</v>
      </c>
      <c r="E481" s="369">
        <v>3.0</v>
      </c>
      <c r="F481" s="369">
        <v>3.0</v>
      </c>
      <c r="G481" s="369">
        <v>2.0</v>
      </c>
      <c r="H481" s="369" t="s">
        <v>107</v>
      </c>
    </row>
    <row r="482">
      <c r="A482" s="369">
        <v>14.0</v>
      </c>
      <c r="B482" s="370">
        <f t="shared" si="104"/>
        <v>5</v>
      </c>
      <c r="C482" s="369" t="s">
        <v>404</v>
      </c>
      <c r="D482" s="369">
        <v>4.0</v>
      </c>
      <c r="E482" s="369">
        <v>3.0</v>
      </c>
      <c r="F482" s="369">
        <v>3.0</v>
      </c>
      <c r="G482" s="369">
        <v>2.0</v>
      </c>
      <c r="H482" s="369" t="s">
        <v>107</v>
      </c>
    </row>
    <row r="483">
      <c r="A483" s="369">
        <v>15.0</v>
      </c>
      <c r="B483" s="370">
        <f t="shared" si="104"/>
        <v>5</v>
      </c>
      <c r="C483" s="369" t="s">
        <v>731</v>
      </c>
      <c r="D483" s="369">
        <v>4.0</v>
      </c>
      <c r="E483" s="369">
        <v>3.0</v>
      </c>
      <c r="F483" s="369">
        <v>3.0</v>
      </c>
      <c r="G483" s="369">
        <v>2.0</v>
      </c>
      <c r="H483" s="369" t="s">
        <v>107</v>
      </c>
    </row>
    <row r="484">
      <c r="A484" s="369">
        <v>16.0</v>
      </c>
      <c r="B484" s="370">
        <f t="shared" si="104"/>
        <v>5</v>
      </c>
      <c r="C484" s="369" t="s">
        <v>404</v>
      </c>
      <c r="D484" s="369">
        <v>4.0</v>
      </c>
      <c r="E484" s="369">
        <v>3.0</v>
      </c>
      <c r="F484" s="369">
        <v>3.0</v>
      </c>
      <c r="G484" s="369">
        <v>2.0</v>
      </c>
      <c r="H484" s="369">
        <v>1.0</v>
      </c>
    </row>
    <row r="485">
      <c r="A485" s="369">
        <v>17.0</v>
      </c>
      <c r="B485" s="370">
        <f t="shared" ref="B485:B488" si="105">+6</f>
        <v>6</v>
      </c>
      <c r="C485" s="369" t="s">
        <v>732</v>
      </c>
      <c r="D485" s="369">
        <v>4.0</v>
      </c>
      <c r="E485" s="369">
        <v>3.0</v>
      </c>
      <c r="F485" s="369">
        <v>3.0</v>
      </c>
      <c r="G485" s="369">
        <v>2.0</v>
      </c>
      <c r="H485" s="369">
        <v>1.0</v>
      </c>
    </row>
    <row r="486">
      <c r="A486" s="369">
        <v>18.0</v>
      </c>
      <c r="B486" s="370">
        <f t="shared" si="105"/>
        <v>6</v>
      </c>
      <c r="C486" s="369" t="s">
        <v>404</v>
      </c>
      <c r="D486" s="369">
        <v>4.0</v>
      </c>
      <c r="E486" s="369">
        <v>3.0</v>
      </c>
      <c r="F486" s="369">
        <v>3.0</v>
      </c>
      <c r="G486" s="369">
        <v>3.0</v>
      </c>
      <c r="H486" s="369">
        <v>1.0</v>
      </c>
    </row>
    <row r="487">
      <c r="A487" s="369">
        <v>19.0</v>
      </c>
      <c r="B487" s="370">
        <f t="shared" si="105"/>
        <v>6</v>
      </c>
      <c r="C487" s="369" t="s">
        <v>404</v>
      </c>
      <c r="D487" s="369">
        <v>4.0</v>
      </c>
      <c r="E487" s="369">
        <v>3.0</v>
      </c>
      <c r="F487" s="369">
        <v>3.0</v>
      </c>
      <c r="G487" s="369">
        <v>3.0</v>
      </c>
      <c r="H487" s="369">
        <v>2.0</v>
      </c>
    </row>
    <row r="488">
      <c r="A488" s="371">
        <v>20.0</v>
      </c>
      <c r="B488" s="372">
        <f t="shared" si="105"/>
        <v>6</v>
      </c>
      <c r="C488" s="371" t="s">
        <v>733</v>
      </c>
      <c r="D488" s="371">
        <v>4.0</v>
      </c>
      <c r="E488" s="371">
        <v>3.0</v>
      </c>
      <c r="F488" s="371">
        <v>3.0</v>
      </c>
      <c r="G488" s="371">
        <v>3.0</v>
      </c>
      <c r="H488" s="371">
        <v>2.0</v>
      </c>
    </row>
    <row r="489">
      <c r="A489" s="344"/>
      <c r="B489" s="344"/>
      <c r="C489" s="344"/>
      <c r="D489" s="344"/>
      <c r="E489" s="344"/>
      <c r="F489" s="344"/>
      <c r="G489" s="344"/>
      <c r="H489" s="344"/>
    </row>
    <row r="490">
      <c r="A490" s="344"/>
      <c r="B490" s="344"/>
      <c r="C490" s="345" t="s">
        <v>311</v>
      </c>
      <c r="D490" s="344"/>
      <c r="E490" s="344"/>
      <c r="F490" s="344"/>
      <c r="G490" s="344"/>
      <c r="H490" s="344"/>
    </row>
    <row r="491">
      <c r="A491" s="373" t="s">
        <v>2</v>
      </c>
      <c r="B491" s="373" t="s">
        <v>465</v>
      </c>
      <c r="C491" s="373" t="s">
        <v>394</v>
      </c>
      <c r="D491" s="373" t="s">
        <v>466</v>
      </c>
      <c r="E491" s="373" t="s">
        <v>467</v>
      </c>
      <c r="F491" s="373" t="s">
        <v>468</v>
      </c>
      <c r="G491" s="373" t="s">
        <v>469</v>
      </c>
      <c r="H491" s="373" t="s">
        <v>470</v>
      </c>
    </row>
    <row r="492">
      <c r="A492" s="374">
        <v>1.0</v>
      </c>
      <c r="B492" s="375">
        <f t="shared" ref="B492:B495" si="106">+2</f>
        <v>2</v>
      </c>
      <c r="C492" s="374" t="s">
        <v>734</v>
      </c>
      <c r="D492" s="374">
        <v>3.0</v>
      </c>
      <c r="E492" s="374" t="s">
        <v>107</v>
      </c>
      <c r="F492" s="374" t="s">
        <v>107</v>
      </c>
      <c r="G492" s="374" t="s">
        <v>107</v>
      </c>
      <c r="H492" s="374" t="s">
        <v>107</v>
      </c>
    </row>
    <row r="493">
      <c r="A493" s="374">
        <v>2.0</v>
      </c>
      <c r="B493" s="375">
        <f t="shared" si="106"/>
        <v>2</v>
      </c>
      <c r="C493" s="374" t="s">
        <v>735</v>
      </c>
      <c r="D493" s="374">
        <v>3.0</v>
      </c>
      <c r="E493" s="374" t="s">
        <v>107</v>
      </c>
      <c r="F493" s="374" t="s">
        <v>107</v>
      </c>
      <c r="G493" s="374" t="s">
        <v>107</v>
      </c>
      <c r="H493" s="374" t="s">
        <v>107</v>
      </c>
    </row>
    <row r="494">
      <c r="A494" s="374">
        <v>3.0</v>
      </c>
      <c r="B494" s="375">
        <f t="shared" si="106"/>
        <v>2</v>
      </c>
      <c r="C494" s="374" t="s">
        <v>736</v>
      </c>
      <c r="D494" s="374">
        <v>3.0</v>
      </c>
      <c r="E494" s="374">
        <v>2.0</v>
      </c>
      <c r="F494" s="374" t="s">
        <v>107</v>
      </c>
      <c r="G494" s="374" t="s">
        <v>107</v>
      </c>
      <c r="H494" s="374" t="s">
        <v>107</v>
      </c>
    </row>
    <row r="495">
      <c r="A495" s="374">
        <v>4.0</v>
      </c>
      <c r="B495" s="375">
        <f t="shared" si="106"/>
        <v>2</v>
      </c>
      <c r="C495" s="374" t="s">
        <v>404</v>
      </c>
      <c r="D495" s="374">
        <v>3.0</v>
      </c>
      <c r="E495" s="374">
        <v>2.0</v>
      </c>
      <c r="F495" s="374" t="s">
        <v>107</v>
      </c>
      <c r="G495" s="374" t="s">
        <v>107</v>
      </c>
      <c r="H495" s="374" t="s">
        <v>107</v>
      </c>
    </row>
    <row r="496">
      <c r="A496" s="374">
        <v>5.0</v>
      </c>
      <c r="B496" s="375">
        <f t="shared" ref="B496:B499" si="107">+3</f>
        <v>3</v>
      </c>
      <c r="C496" s="374" t="s">
        <v>737</v>
      </c>
      <c r="D496" s="374">
        <v>4.0</v>
      </c>
      <c r="E496" s="374">
        <v>2.0</v>
      </c>
      <c r="F496" s="374" t="s">
        <v>107</v>
      </c>
      <c r="G496" s="374" t="s">
        <v>107</v>
      </c>
      <c r="H496" s="374" t="s">
        <v>107</v>
      </c>
    </row>
    <row r="497">
      <c r="A497" s="374">
        <v>6.0</v>
      </c>
      <c r="B497" s="375">
        <f t="shared" si="107"/>
        <v>3</v>
      </c>
      <c r="C497" s="374" t="s">
        <v>738</v>
      </c>
      <c r="D497" s="374">
        <v>4.0</v>
      </c>
      <c r="E497" s="374">
        <v>2.0</v>
      </c>
      <c r="F497" s="374" t="s">
        <v>107</v>
      </c>
      <c r="G497" s="374" t="s">
        <v>107</v>
      </c>
      <c r="H497" s="374" t="s">
        <v>107</v>
      </c>
    </row>
    <row r="498">
      <c r="A498" s="374">
        <v>7.0</v>
      </c>
      <c r="B498" s="375">
        <f t="shared" si="107"/>
        <v>3</v>
      </c>
      <c r="C498" s="374" t="s">
        <v>739</v>
      </c>
      <c r="D498" s="374">
        <v>4.0</v>
      </c>
      <c r="E498" s="374">
        <v>2.0</v>
      </c>
      <c r="F498" s="374">
        <v>1.0</v>
      </c>
      <c r="G498" s="374" t="s">
        <v>107</v>
      </c>
      <c r="H498" s="374" t="s">
        <v>107</v>
      </c>
    </row>
    <row r="499">
      <c r="A499" s="374">
        <v>8.0</v>
      </c>
      <c r="B499" s="375">
        <f t="shared" si="107"/>
        <v>3</v>
      </c>
      <c r="C499" s="374" t="s">
        <v>404</v>
      </c>
      <c r="D499" s="374">
        <v>4.0</v>
      </c>
      <c r="E499" s="374">
        <v>2.0</v>
      </c>
      <c r="F499" s="374">
        <v>1.0</v>
      </c>
      <c r="G499" s="374" t="s">
        <v>107</v>
      </c>
      <c r="H499" s="374" t="s">
        <v>107</v>
      </c>
    </row>
    <row r="500">
      <c r="A500" s="374">
        <v>9.0</v>
      </c>
      <c r="B500" s="375">
        <f t="shared" ref="B500:B503" si="108">+4</f>
        <v>4</v>
      </c>
      <c r="C500" s="374" t="s">
        <v>740</v>
      </c>
      <c r="D500" s="374">
        <v>4.0</v>
      </c>
      <c r="E500" s="374">
        <v>3.0</v>
      </c>
      <c r="F500" s="374">
        <v>1.0</v>
      </c>
      <c r="G500" s="374" t="s">
        <v>107</v>
      </c>
      <c r="H500" s="374" t="s">
        <v>107</v>
      </c>
    </row>
    <row r="501">
      <c r="A501" s="374">
        <v>10.0</v>
      </c>
      <c r="B501" s="375">
        <f t="shared" si="108"/>
        <v>4</v>
      </c>
      <c r="C501" s="374" t="s">
        <v>741</v>
      </c>
      <c r="D501" s="374">
        <v>4.0</v>
      </c>
      <c r="E501" s="374">
        <v>3.0</v>
      </c>
      <c r="F501" s="374">
        <v>1.0</v>
      </c>
      <c r="G501" s="374" t="s">
        <v>107</v>
      </c>
      <c r="H501" s="374" t="s">
        <v>107</v>
      </c>
    </row>
    <row r="502">
      <c r="A502" s="374">
        <v>11.0</v>
      </c>
      <c r="B502" s="375">
        <f t="shared" si="108"/>
        <v>4</v>
      </c>
      <c r="C502" s="374" t="s">
        <v>742</v>
      </c>
      <c r="D502" s="374">
        <v>4.0</v>
      </c>
      <c r="E502" s="374">
        <v>3.0</v>
      </c>
      <c r="F502" s="374">
        <v>1.0</v>
      </c>
      <c r="G502" s="374" t="s">
        <v>107</v>
      </c>
      <c r="H502" s="374" t="s">
        <v>107</v>
      </c>
    </row>
    <row r="503">
      <c r="A503" s="374">
        <v>12.0</v>
      </c>
      <c r="B503" s="375">
        <f t="shared" si="108"/>
        <v>4</v>
      </c>
      <c r="C503" s="374" t="s">
        <v>404</v>
      </c>
      <c r="D503" s="374">
        <v>4.0</v>
      </c>
      <c r="E503" s="374">
        <v>3.0</v>
      </c>
      <c r="F503" s="374">
        <v>1.0</v>
      </c>
      <c r="G503" s="374" t="s">
        <v>107</v>
      </c>
      <c r="H503" s="374" t="s">
        <v>107</v>
      </c>
    </row>
    <row r="504">
      <c r="A504" s="374">
        <v>13.0</v>
      </c>
      <c r="B504" s="375">
        <f t="shared" ref="B504:B507" si="109">+5</f>
        <v>5</v>
      </c>
      <c r="C504" s="374" t="s">
        <v>743</v>
      </c>
      <c r="D504" s="374">
        <v>4.0</v>
      </c>
      <c r="E504" s="374">
        <v>3.0</v>
      </c>
      <c r="F504" s="374">
        <v>2.0</v>
      </c>
      <c r="G504" s="374">
        <v>1.0</v>
      </c>
      <c r="H504" s="374" t="s">
        <v>107</v>
      </c>
    </row>
    <row r="505">
      <c r="A505" s="374">
        <v>14.0</v>
      </c>
      <c r="B505" s="375">
        <f t="shared" si="109"/>
        <v>5</v>
      </c>
      <c r="C505" s="374" t="s">
        <v>404</v>
      </c>
      <c r="D505" s="374">
        <v>4.0</v>
      </c>
      <c r="E505" s="374">
        <v>3.0</v>
      </c>
      <c r="F505" s="374">
        <v>2.0</v>
      </c>
      <c r="G505" s="374">
        <v>1.0</v>
      </c>
      <c r="H505" s="374" t="s">
        <v>107</v>
      </c>
    </row>
    <row r="506">
      <c r="A506" s="374">
        <v>15.0</v>
      </c>
      <c r="B506" s="375">
        <f t="shared" si="109"/>
        <v>5</v>
      </c>
      <c r="C506" s="374" t="s">
        <v>744</v>
      </c>
      <c r="D506" s="374">
        <v>4.0</v>
      </c>
      <c r="E506" s="374">
        <v>3.0</v>
      </c>
      <c r="F506" s="374">
        <v>2.0</v>
      </c>
      <c r="G506" s="374">
        <v>1.0</v>
      </c>
      <c r="H506" s="374" t="s">
        <v>107</v>
      </c>
    </row>
    <row r="507">
      <c r="A507" s="374">
        <v>16.0</v>
      </c>
      <c r="B507" s="375">
        <f t="shared" si="109"/>
        <v>5</v>
      </c>
      <c r="C507" s="374" t="s">
        <v>404</v>
      </c>
      <c r="D507" s="374">
        <v>4.0</v>
      </c>
      <c r="E507" s="374">
        <v>3.0</v>
      </c>
      <c r="F507" s="374">
        <v>2.0</v>
      </c>
      <c r="G507" s="374">
        <v>1.0</v>
      </c>
      <c r="H507" s="374" t="s">
        <v>107</v>
      </c>
    </row>
    <row r="508">
      <c r="A508" s="374">
        <v>17.0</v>
      </c>
      <c r="B508" s="375">
        <f t="shared" ref="B508:B511" si="110">+6</f>
        <v>6</v>
      </c>
      <c r="C508" s="374" t="s">
        <v>745</v>
      </c>
      <c r="D508" s="374">
        <v>4.0</v>
      </c>
      <c r="E508" s="374">
        <v>3.0</v>
      </c>
      <c r="F508" s="374">
        <v>2.0</v>
      </c>
      <c r="G508" s="374">
        <v>2.0</v>
      </c>
      <c r="H508" s="374">
        <v>1.0</v>
      </c>
    </row>
    <row r="509">
      <c r="A509" s="374">
        <v>18.0</v>
      </c>
      <c r="B509" s="375">
        <f t="shared" si="110"/>
        <v>6</v>
      </c>
      <c r="C509" s="374" t="s">
        <v>404</v>
      </c>
      <c r="D509" s="374">
        <v>4.0</v>
      </c>
      <c r="E509" s="374">
        <v>3.0</v>
      </c>
      <c r="F509" s="374">
        <v>3.0</v>
      </c>
      <c r="G509" s="374">
        <v>2.0</v>
      </c>
      <c r="H509" s="374">
        <v>1.0</v>
      </c>
    </row>
    <row r="510">
      <c r="A510" s="374">
        <v>19.0</v>
      </c>
      <c r="B510" s="375">
        <f t="shared" si="110"/>
        <v>6</v>
      </c>
      <c r="C510" s="374" t="s">
        <v>404</v>
      </c>
      <c r="D510" s="374">
        <v>4.0</v>
      </c>
      <c r="E510" s="374">
        <v>3.0</v>
      </c>
      <c r="F510" s="374">
        <v>3.0</v>
      </c>
      <c r="G510" s="374">
        <v>2.0</v>
      </c>
      <c r="H510" s="374">
        <v>2.0</v>
      </c>
    </row>
    <row r="511">
      <c r="A511" s="374">
        <v>20.0</v>
      </c>
      <c r="B511" s="375">
        <f t="shared" si="110"/>
        <v>6</v>
      </c>
      <c r="C511" s="374" t="s">
        <v>746</v>
      </c>
      <c r="D511" s="374">
        <v>4.0</v>
      </c>
      <c r="E511" s="374">
        <v>3.0</v>
      </c>
      <c r="F511" s="374">
        <v>3.0</v>
      </c>
      <c r="G511" s="374">
        <v>3.0</v>
      </c>
      <c r="H511" s="374">
        <v>2.0</v>
      </c>
    </row>
    <row r="512">
      <c r="A512" s="344"/>
      <c r="B512" s="344"/>
      <c r="C512" s="344"/>
      <c r="D512" s="344"/>
      <c r="E512" s="344"/>
      <c r="F512" s="344"/>
      <c r="G512" s="344"/>
      <c r="H512" s="344"/>
    </row>
    <row r="513">
      <c r="A513" s="344"/>
      <c r="B513" s="344"/>
      <c r="C513" s="344"/>
      <c r="D513" s="344"/>
      <c r="E513" s="344"/>
      <c r="F513" s="344"/>
      <c r="G513" s="344"/>
      <c r="H513" s="344"/>
    </row>
    <row r="514">
      <c r="A514" s="344"/>
      <c r="B514" s="344"/>
      <c r="C514" s="344"/>
      <c r="D514" s="344"/>
      <c r="E514" s="344"/>
      <c r="F514" s="344"/>
      <c r="G514" s="344"/>
      <c r="H514" s="344"/>
    </row>
    <row r="515">
      <c r="A515" s="344"/>
      <c r="B515" s="344"/>
      <c r="C515" s="344"/>
      <c r="D515" s="344"/>
      <c r="E515" s="344"/>
      <c r="F515" s="344"/>
      <c r="G515" s="344"/>
      <c r="H515" s="344"/>
    </row>
    <row r="516">
      <c r="A516" s="344"/>
      <c r="B516" s="344"/>
      <c r="C516" s="344"/>
      <c r="D516" s="344"/>
      <c r="E516" s="344"/>
      <c r="F516" s="344"/>
      <c r="G516" s="344"/>
      <c r="H516" s="344"/>
    </row>
    <row r="517">
      <c r="A517" s="344"/>
      <c r="B517" s="344"/>
      <c r="C517" s="344"/>
      <c r="D517" s="344"/>
      <c r="E517" s="344"/>
      <c r="F517" s="344"/>
      <c r="G517" s="344"/>
      <c r="H517" s="344"/>
    </row>
    <row r="518">
      <c r="A518" s="344"/>
      <c r="B518" s="344"/>
      <c r="C518" s="344"/>
      <c r="D518" s="344"/>
      <c r="E518" s="344"/>
      <c r="F518" s="344"/>
      <c r="G518" s="344"/>
      <c r="H518" s="344"/>
    </row>
    <row r="519">
      <c r="A519" s="344"/>
      <c r="B519" s="344"/>
      <c r="C519" s="344"/>
      <c r="D519" s="344"/>
      <c r="E519" s="344"/>
      <c r="F519" s="344"/>
      <c r="G519" s="344"/>
      <c r="H519" s="344"/>
    </row>
    <row r="520">
      <c r="A520" s="344"/>
      <c r="B520" s="344"/>
      <c r="C520" s="344"/>
      <c r="D520" s="344"/>
      <c r="E520" s="344"/>
      <c r="F520" s="344"/>
      <c r="G520" s="344"/>
      <c r="H520" s="344"/>
    </row>
    <row r="521">
      <c r="A521" s="344"/>
      <c r="B521" s="344"/>
      <c r="C521" s="344"/>
      <c r="D521" s="344"/>
      <c r="E521" s="344"/>
      <c r="F521" s="344"/>
      <c r="G521" s="344"/>
      <c r="H521" s="344"/>
    </row>
    <row r="522">
      <c r="A522" s="344"/>
      <c r="B522" s="344"/>
      <c r="C522" s="344"/>
      <c r="D522" s="344"/>
      <c r="E522" s="344"/>
      <c r="F522" s="344"/>
      <c r="G522" s="344"/>
      <c r="H522" s="344"/>
    </row>
    <row r="523">
      <c r="A523" s="344"/>
      <c r="B523" s="344"/>
      <c r="C523" s="344"/>
      <c r="D523" s="344"/>
      <c r="E523" s="344"/>
      <c r="F523" s="344"/>
      <c r="G523" s="344"/>
      <c r="H523" s="344"/>
    </row>
    <row r="524">
      <c r="A524" s="344"/>
      <c r="B524" s="344"/>
      <c r="C524" s="344"/>
      <c r="D524" s="344"/>
      <c r="E524" s="344"/>
      <c r="F524" s="344"/>
      <c r="G524" s="344"/>
      <c r="H524" s="344"/>
    </row>
    <row r="525">
      <c r="A525" s="344"/>
      <c r="B525" s="344"/>
      <c r="C525" s="344"/>
      <c r="D525" s="344"/>
      <c r="E525" s="344"/>
      <c r="F525" s="344"/>
      <c r="G525" s="344"/>
      <c r="H525" s="344"/>
    </row>
    <row r="526">
      <c r="A526" s="344"/>
      <c r="B526" s="344"/>
      <c r="C526" s="344"/>
      <c r="D526" s="344"/>
      <c r="E526" s="344"/>
      <c r="F526" s="344"/>
      <c r="G526" s="344"/>
      <c r="H526" s="344"/>
    </row>
    <row r="527">
      <c r="A527" s="344"/>
      <c r="B527" s="344"/>
      <c r="C527" s="344"/>
      <c r="D527" s="344"/>
      <c r="E527" s="344"/>
      <c r="F527" s="344"/>
      <c r="G527" s="344"/>
      <c r="H527" s="344"/>
    </row>
    <row r="528">
      <c r="A528" s="344"/>
      <c r="B528" s="344"/>
      <c r="C528" s="344"/>
      <c r="D528" s="344"/>
      <c r="E528" s="344"/>
      <c r="F528" s="344"/>
      <c r="G528" s="344"/>
      <c r="H528" s="344"/>
    </row>
    <row r="529">
      <c r="A529" s="344"/>
      <c r="B529" s="344"/>
      <c r="C529" s="344"/>
      <c r="D529" s="344"/>
      <c r="E529" s="344"/>
      <c r="F529" s="344"/>
      <c r="G529" s="344"/>
      <c r="H529" s="344"/>
    </row>
    <row r="530">
      <c r="A530" s="344"/>
      <c r="B530" s="344"/>
      <c r="C530" s="344"/>
      <c r="D530" s="344"/>
      <c r="E530" s="344"/>
      <c r="F530" s="344"/>
      <c r="G530" s="344"/>
      <c r="H530" s="344"/>
    </row>
    <row r="531">
      <c r="A531" s="344"/>
      <c r="B531" s="344"/>
      <c r="C531" s="344"/>
      <c r="D531" s="344"/>
      <c r="E531" s="344"/>
      <c r="F531" s="344"/>
      <c r="G531" s="344"/>
      <c r="H531" s="344"/>
    </row>
    <row r="532">
      <c r="A532" s="344"/>
      <c r="B532" s="344"/>
      <c r="C532" s="344"/>
      <c r="D532" s="344"/>
      <c r="E532" s="344"/>
      <c r="F532" s="344"/>
      <c r="G532" s="344"/>
      <c r="H532" s="344"/>
    </row>
    <row r="533">
      <c r="A533" s="344"/>
      <c r="B533" s="344"/>
      <c r="C533" s="344"/>
      <c r="D533" s="344"/>
      <c r="E533" s="344"/>
      <c r="F533" s="344"/>
      <c r="G533" s="344"/>
      <c r="H533" s="344"/>
    </row>
    <row r="534">
      <c r="A534" s="344"/>
      <c r="B534" s="344"/>
      <c r="C534" s="344"/>
      <c r="D534" s="344"/>
      <c r="E534" s="344"/>
      <c r="F534" s="344"/>
      <c r="G534" s="344"/>
      <c r="H534" s="344"/>
    </row>
    <row r="535">
      <c r="A535" s="344"/>
      <c r="B535" s="344"/>
      <c r="C535" s="344"/>
      <c r="D535" s="344"/>
      <c r="E535" s="344"/>
      <c r="F535" s="344"/>
      <c r="G535" s="344"/>
      <c r="H535" s="344"/>
    </row>
    <row r="536">
      <c r="A536" s="344"/>
      <c r="B536" s="344"/>
      <c r="C536" s="344"/>
      <c r="D536" s="344"/>
      <c r="E536" s="344"/>
      <c r="F536" s="344"/>
      <c r="G536" s="344"/>
      <c r="H536" s="344"/>
    </row>
    <row r="537">
      <c r="A537" s="344"/>
      <c r="B537" s="344"/>
      <c r="C537" s="344"/>
      <c r="D537" s="344"/>
      <c r="E537" s="344"/>
      <c r="F537" s="344"/>
      <c r="G537" s="344"/>
      <c r="H537" s="344"/>
    </row>
    <row r="538">
      <c r="A538" s="344"/>
      <c r="B538" s="344"/>
      <c r="C538" s="344"/>
      <c r="D538" s="344"/>
      <c r="E538" s="344"/>
      <c r="F538" s="344"/>
      <c r="G538" s="344"/>
      <c r="H538" s="344"/>
    </row>
    <row r="539">
      <c r="A539" s="344"/>
      <c r="B539" s="344"/>
      <c r="C539" s="344"/>
      <c r="D539" s="344"/>
      <c r="E539" s="344"/>
      <c r="F539" s="344"/>
      <c r="G539" s="344"/>
      <c r="H539" s="344"/>
    </row>
    <row r="540">
      <c r="A540" s="344"/>
      <c r="B540" s="344"/>
      <c r="C540" s="344"/>
      <c r="D540" s="344"/>
      <c r="E540" s="344"/>
      <c r="F540" s="344"/>
      <c r="G540" s="344"/>
      <c r="H540" s="344"/>
    </row>
    <row r="541">
      <c r="A541" s="344"/>
      <c r="B541" s="344"/>
      <c r="C541" s="344"/>
      <c r="D541" s="344"/>
      <c r="E541" s="344"/>
      <c r="F541" s="344"/>
      <c r="G541" s="344"/>
      <c r="H541" s="344"/>
    </row>
    <row r="542">
      <c r="A542" s="344"/>
      <c r="B542" s="344"/>
      <c r="C542" s="344"/>
      <c r="D542" s="344"/>
      <c r="E542" s="344"/>
      <c r="F542" s="344"/>
      <c r="G542" s="344"/>
      <c r="H542" s="344"/>
    </row>
    <row r="543">
      <c r="A543" s="344"/>
      <c r="B543" s="344"/>
      <c r="C543" s="344"/>
      <c r="D543" s="344"/>
      <c r="E543" s="344"/>
      <c r="F543" s="344"/>
      <c r="G543" s="344"/>
      <c r="H543" s="344"/>
    </row>
    <row r="544">
      <c r="A544" s="344"/>
      <c r="B544" s="344"/>
      <c r="C544" s="344"/>
      <c r="D544" s="344"/>
      <c r="E544" s="344"/>
      <c r="F544" s="344"/>
      <c r="G544" s="344"/>
      <c r="H544" s="344"/>
    </row>
    <row r="545">
      <c r="A545" s="344"/>
      <c r="B545" s="344"/>
      <c r="C545" s="344"/>
      <c r="D545" s="344"/>
      <c r="E545" s="344"/>
      <c r="F545" s="344"/>
      <c r="G545" s="344"/>
      <c r="H545" s="344"/>
    </row>
    <row r="546">
      <c r="A546" s="344"/>
      <c r="B546" s="344"/>
      <c r="C546" s="344"/>
      <c r="D546" s="344"/>
      <c r="E546" s="344"/>
      <c r="F546" s="344"/>
      <c r="G546" s="344"/>
      <c r="H546" s="344"/>
    </row>
    <row r="547">
      <c r="A547" s="344"/>
      <c r="B547" s="344"/>
      <c r="C547" s="344"/>
      <c r="D547" s="344"/>
      <c r="E547" s="344"/>
      <c r="F547" s="344"/>
      <c r="G547" s="344"/>
      <c r="H547" s="344"/>
    </row>
    <row r="548">
      <c r="A548" s="344"/>
      <c r="B548" s="344"/>
      <c r="C548" s="344"/>
      <c r="D548" s="344"/>
      <c r="E548" s="344"/>
      <c r="F548" s="344"/>
      <c r="G548" s="344"/>
      <c r="H548" s="344"/>
    </row>
    <row r="549">
      <c r="A549" s="344"/>
      <c r="B549" s="344"/>
      <c r="C549" s="344"/>
      <c r="D549" s="344"/>
      <c r="E549" s="344"/>
      <c r="F549" s="344"/>
      <c r="G549" s="344"/>
      <c r="H549" s="344"/>
    </row>
    <row r="550">
      <c r="A550" s="344"/>
      <c r="B550" s="344"/>
      <c r="C550" s="344"/>
      <c r="D550" s="344"/>
      <c r="E550" s="344"/>
      <c r="F550" s="344"/>
      <c r="G550" s="344"/>
      <c r="H550" s="344"/>
    </row>
    <row r="551">
      <c r="A551" s="344"/>
      <c r="B551" s="344"/>
      <c r="C551" s="344"/>
      <c r="D551" s="344"/>
      <c r="E551" s="344"/>
      <c r="F551" s="344"/>
      <c r="G551" s="344"/>
      <c r="H551" s="344"/>
    </row>
    <row r="552">
      <c r="A552" s="344"/>
      <c r="B552" s="344"/>
      <c r="C552" s="344"/>
      <c r="D552" s="344"/>
      <c r="E552" s="344"/>
      <c r="F552" s="344"/>
      <c r="G552" s="344"/>
      <c r="H552" s="344"/>
    </row>
    <row r="553">
      <c r="A553" s="344"/>
      <c r="B553" s="344"/>
      <c r="C553" s="344"/>
      <c r="D553" s="344"/>
      <c r="E553" s="344"/>
      <c r="F553" s="344"/>
      <c r="G553" s="344"/>
      <c r="H553" s="344"/>
    </row>
    <row r="554">
      <c r="A554" s="344"/>
      <c r="B554" s="344"/>
      <c r="C554" s="344"/>
      <c r="D554" s="344"/>
      <c r="E554" s="344"/>
      <c r="F554" s="344"/>
      <c r="G554" s="344"/>
      <c r="H554" s="344"/>
    </row>
    <row r="555">
      <c r="A555" s="344"/>
      <c r="B555" s="344"/>
      <c r="C555" s="344"/>
      <c r="D555" s="344"/>
      <c r="E555" s="344"/>
      <c r="F555" s="344"/>
      <c r="G555" s="344"/>
      <c r="H555" s="344"/>
    </row>
    <row r="556">
      <c r="A556" s="344"/>
      <c r="B556" s="344"/>
      <c r="C556" s="344"/>
      <c r="D556" s="344"/>
      <c r="E556" s="344"/>
      <c r="F556" s="344"/>
      <c r="G556" s="344"/>
      <c r="H556" s="344"/>
    </row>
    <row r="557">
      <c r="A557" s="344"/>
      <c r="B557" s="344"/>
      <c r="C557" s="344"/>
      <c r="D557" s="344"/>
      <c r="E557" s="344"/>
      <c r="F557" s="344"/>
      <c r="G557" s="344"/>
      <c r="H557" s="344"/>
    </row>
    <row r="558">
      <c r="A558" s="344"/>
      <c r="B558" s="344"/>
      <c r="C558" s="344"/>
      <c r="D558" s="344"/>
      <c r="E558" s="344"/>
      <c r="F558" s="344"/>
      <c r="G558" s="344"/>
      <c r="H558" s="344"/>
    </row>
    <row r="559">
      <c r="A559" s="344"/>
      <c r="B559" s="344"/>
      <c r="C559" s="344"/>
      <c r="D559" s="344"/>
      <c r="E559" s="344"/>
      <c r="F559" s="344"/>
      <c r="G559" s="344"/>
      <c r="H559" s="344"/>
    </row>
    <row r="560">
      <c r="A560" s="344"/>
      <c r="B560" s="344"/>
      <c r="C560" s="344"/>
      <c r="D560" s="344"/>
      <c r="E560" s="344"/>
      <c r="F560" s="344"/>
      <c r="G560" s="344"/>
      <c r="H560" s="344"/>
    </row>
    <row r="561">
      <c r="A561" s="344"/>
      <c r="B561" s="344"/>
      <c r="C561" s="344"/>
      <c r="D561" s="344"/>
      <c r="E561" s="344"/>
      <c r="F561" s="344"/>
      <c r="G561" s="344"/>
      <c r="H561" s="344"/>
    </row>
    <row r="562">
      <c r="A562" s="344"/>
      <c r="B562" s="344"/>
      <c r="C562" s="344"/>
      <c r="D562" s="344"/>
      <c r="E562" s="344"/>
      <c r="F562" s="344"/>
      <c r="G562" s="344"/>
      <c r="H562" s="344"/>
    </row>
    <row r="563">
      <c r="A563" s="344"/>
      <c r="B563" s="344"/>
      <c r="C563" s="344"/>
      <c r="D563" s="344"/>
      <c r="E563" s="344"/>
      <c r="F563" s="344"/>
      <c r="G563" s="344"/>
      <c r="H563" s="344"/>
    </row>
    <row r="564">
      <c r="A564" s="344"/>
      <c r="B564" s="344"/>
      <c r="C564" s="344"/>
      <c r="D564" s="344"/>
      <c r="E564" s="344"/>
      <c r="F564" s="344"/>
      <c r="G564" s="344"/>
      <c r="H564" s="344"/>
    </row>
    <row r="565">
      <c r="A565" s="344"/>
      <c r="B565" s="344"/>
      <c r="C565" s="344"/>
      <c r="D565" s="344"/>
      <c r="E565" s="344"/>
      <c r="F565" s="344"/>
      <c r="G565" s="344"/>
      <c r="H565" s="344"/>
    </row>
    <row r="566">
      <c r="A566" s="344"/>
      <c r="B566" s="344"/>
      <c r="C566" s="344"/>
      <c r="D566" s="344"/>
      <c r="E566" s="344"/>
      <c r="F566" s="344"/>
      <c r="G566" s="344"/>
      <c r="H566" s="344"/>
    </row>
    <row r="567">
      <c r="A567" s="344"/>
      <c r="B567" s="344"/>
      <c r="C567" s="344"/>
      <c r="D567" s="344"/>
      <c r="E567" s="344"/>
      <c r="F567" s="344"/>
      <c r="G567" s="344"/>
      <c r="H567" s="344"/>
    </row>
    <row r="568">
      <c r="A568" s="344"/>
      <c r="B568" s="344"/>
      <c r="C568" s="344"/>
      <c r="D568" s="344"/>
      <c r="E568" s="344"/>
      <c r="F568" s="344"/>
      <c r="G568" s="344"/>
      <c r="H568" s="344"/>
    </row>
    <row r="569">
      <c r="A569" s="344"/>
      <c r="B569" s="344"/>
      <c r="C569" s="344"/>
      <c r="D569" s="344"/>
      <c r="E569" s="344"/>
      <c r="F569" s="344"/>
      <c r="G569" s="344"/>
      <c r="H569" s="344"/>
    </row>
    <row r="570">
      <c r="A570" s="344"/>
      <c r="B570" s="344"/>
      <c r="C570" s="344"/>
      <c r="D570" s="344"/>
      <c r="E570" s="344"/>
      <c r="F570" s="344"/>
      <c r="G570" s="344"/>
      <c r="H570" s="344"/>
    </row>
    <row r="571">
      <c r="A571" s="344"/>
      <c r="B571" s="344"/>
      <c r="C571" s="344"/>
      <c r="D571" s="344"/>
      <c r="E571" s="344"/>
      <c r="F571" s="344"/>
      <c r="G571" s="344"/>
      <c r="H571" s="344"/>
    </row>
    <row r="572">
      <c r="A572" s="344"/>
      <c r="B572" s="344"/>
      <c r="C572" s="344"/>
      <c r="D572" s="344"/>
      <c r="E572" s="344"/>
      <c r="F572" s="344"/>
      <c r="G572" s="344"/>
      <c r="H572" s="344"/>
    </row>
    <row r="573">
      <c r="A573" s="344"/>
      <c r="B573" s="344"/>
      <c r="C573" s="344"/>
      <c r="D573" s="344"/>
      <c r="E573" s="344"/>
      <c r="F573" s="344"/>
      <c r="G573" s="344"/>
      <c r="H573" s="344"/>
    </row>
    <row r="574">
      <c r="A574" s="344"/>
      <c r="B574" s="344"/>
      <c r="C574" s="344"/>
      <c r="D574" s="344"/>
      <c r="E574" s="344"/>
      <c r="F574" s="344"/>
      <c r="G574" s="344"/>
      <c r="H574" s="344"/>
    </row>
    <row r="575">
      <c r="A575" s="344"/>
      <c r="B575" s="344"/>
      <c r="C575" s="344"/>
      <c r="D575" s="344"/>
      <c r="E575" s="344"/>
      <c r="F575" s="344"/>
      <c r="G575" s="344"/>
      <c r="H575" s="344"/>
    </row>
    <row r="576">
      <c r="A576" s="344"/>
      <c r="B576" s="344"/>
      <c r="C576" s="344"/>
      <c r="D576" s="344"/>
      <c r="E576" s="344"/>
      <c r="F576" s="344"/>
      <c r="G576" s="344"/>
      <c r="H576" s="344"/>
    </row>
    <row r="577">
      <c r="A577" s="344"/>
      <c r="B577" s="344"/>
      <c r="C577" s="344"/>
      <c r="D577" s="344"/>
      <c r="E577" s="344"/>
      <c r="F577" s="344"/>
      <c r="G577" s="344"/>
      <c r="H577" s="344"/>
    </row>
    <row r="578">
      <c r="A578" s="344"/>
      <c r="B578" s="344"/>
      <c r="C578" s="344"/>
      <c r="D578" s="344"/>
      <c r="E578" s="344"/>
      <c r="F578" s="344"/>
      <c r="G578" s="344"/>
      <c r="H578" s="344"/>
    </row>
    <row r="579">
      <c r="A579" s="344"/>
      <c r="B579" s="344"/>
      <c r="C579" s="344"/>
      <c r="D579" s="344"/>
      <c r="E579" s="344"/>
      <c r="F579" s="344"/>
      <c r="G579" s="344"/>
      <c r="H579" s="344"/>
    </row>
    <row r="580">
      <c r="A580" s="344"/>
      <c r="B580" s="344"/>
      <c r="C580" s="344"/>
      <c r="D580" s="344"/>
      <c r="E580" s="344"/>
      <c r="F580" s="344"/>
      <c r="G580" s="344"/>
      <c r="H580" s="344"/>
    </row>
    <row r="581">
      <c r="A581" s="344"/>
      <c r="B581" s="344"/>
      <c r="C581" s="344"/>
      <c r="D581" s="344"/>
      <c r="E581" s="344"/>
      <c r="F581" s="344"/>
      <c r="G581" s="344"/>
      <c r="H581" s="344"/>
    </row>
    <row r="582">
      <c r="A582" s="344"/>
      <c r="B582" s="344"/>
      <c r="C582" s="344"/>
      <c r="D582" s="344"/>
      <c r="E582" s="344"/>
      <c r="F582" s="344"/>
      <c r="G582" s="344"/>
      <c r="H582" s="344"/>
    </row>
    <row r="583">
      <c r="A583" s="344"/>
      <c r="B583" s="344"/>
      <c r="C583" s="344"/>
      <c r="D583" s="344"/>
      <c r="E583" s="344"/>
      <c r="F583" s="344"/>
      <c r="G583" s="344"/>
      <c r="H583" s="344"/>
    </row>
    <row r="584">
      <c r="A584" s="344"/>
      <c r="B584" s="344"/>
      <c r="C584" s="344"/>
      <c r="D584" s="344"/>
      <c r="E584" s="344"/>
      <c r="F584" s="344"/>
      <c r="G584" s="344"/>
      <c r="H584" s="344"/>
    </row>
    <row r="585">
      <c r="A585" s="344"/>
      <c r="B585" s="344"/>
      <c r="C585" s="344"/>
      <c r="D585" s="344"/>
      <c r="E585" s="344"/>
      <c r="F585" s="344"/>
      <c r="G585" s="344"/>
      <c r="H585" s="344"/>
    </row>
    <row r="586">
      <c r="A586" s="344"/>
      <c r="B586" s="344"/>
      <c r="C586" s="344"/>
      <c r="D586" s="344"/>
      <c r="E586" s="344"/>
      <c r="F586" s="344"/>
      <c r="G586" s="344"/>
      <c r="H586" s="344"/>
    </row>
    <row r="587">
      <c r="A587" s="344"/>
      <c r="B587" s="344"/>
      <c r="C587" s="344"/>
      <c r="D587" s="344"/>
      <c r="E587" s="344"/>
      <c r="F587" s="344"/>
      <c r="G587" s="344"/>
      <c r="H587" s="344"/>
    </row>
    <row r="588">
      <c r="A588" s="344"/>
      <c r="B588" s="344"/>
      <c r="C588" s="344"/>
      <c r="D588" s="344"/>
      <c r="E588" s="344"/>
      <c r="F588" s="344"/>
      <c r="G588" s="344"/>
      <c r="H588" s="344"/>
    </row>
    <row r="589">
      <c r="A589" s="344"/>
      <c r="B589" s="344"/>
      <c r="C589" s="344"/>
      <c r="D589" s="344"/>
      <c r="E589" s="344"/>
      <c r="F589" s="344"/>
      <c r="G589" s="344"/>
      <c r="H589" s="344"/>
    </row>
    <row r="590">
      <c r="A590" s="344"/>
      <c r="B590" s="344"/>
      <c r="C590" s="344"/>
      <c r="D590" s="344"/>
      <c r="E590" s="344"/>
      <c r="F590" s="344"/>
      <c r="G590" s="344"/>
      <c r="H590" s="344"/>
    </row>
    <row r="591">
      <c r="A591" s="344"/>
      <c r="B591" s="344"/>
      <c r="C591" s="344"/>
      <c r="D591" s="344"/>
      <c r="E591" s="344"/>
      <c r="F591" s="344"/>
      <c r="G591" s="344"/>
      <c r="H591" s="344"/>
    </row>
    <row r="592">
      <c r="A592" s="344"/>
      <c r="B592" s="344"/>
      <c r="C592" s="344"/>
      <c r="D592" s="344"/>
      <c r="E592" s="344"/>
      <c r="F592" s="344"/>
      <c r="G592" s="344"/>
      <c r="H592" s="344"/>
    </row>
    <row r="593">
      <c r="A593" s="344"/>
      <c r="B593" s="344"/>
      <c r="C593" s="344"/>
      <c r="D593" s="344"/>
      <c r="E593" s="344"/>
      <c r="F593" s="344"/>
      <c r="G593" s="344"/>
      <c r="H593" s="344"/>
    </row>
    <row r="594">
      <c r="A594" s="344"/>
      <c r="B594" s="344"/>
      <c r="C594" s="344"/>
      <c r="D594" s="344"/>
      <c r="E594" s="344"/>
      <c r="F594" s="344"/>
      <c r="G594" s="344"/>
      <c r="H594" s="344"/>
    </row>
    <row r="595">
      <c r="A595" s="344"/>
      <c r="B595" s="344"/>
      <c r="C595" s="344"/>
      <c r="D595" s="344"/>
      <c r="E595" s="344"/>
      <c r="F595" s="344"/>
      <c r="G595" s="344"/>
      <c r="H595" s="344"/>
    </row>
    <row r="596">
      <c r="A596" s="344"/>
      <c r="B596" s="344"/>
      <c r="C596" s="344"/>
      <c r="D596" s="344"/>
      <c r="E596" s="344"/>
      <c r="F596" s="344"/>
      <c r="G596" s="344"/>
      <c r="H596" s="344"/>
    </row>
    <row r="597">
      <c r="A597" s="344"/>
      <c r="B597" s="344"/>
      <c r="C597" s="344"/>
      <c r="D597" s="344"/>
      <c r="E597" s="344"/>
      <c r="F597" s="344"/>
      <c r="G597" s="344"/>
      <c r="H597" s="344"/>
    </row>
    <row r="598">
      <c r="A598" s="344"/>
      <c r="B598" s="344"/>
      <c r="C598" s="344"/>
      <c r="D598" s="344"/>
      <c r="E598" s="344"/>
      <c r="F598" s="344"/>
      <c r="G598" s="344"/>
      <c r="H598" s="344"/>
    </row>
    <row r="599">
      <c r="A599" s="344"/>
      <c r="B599" s="344"/>
      <c r="C599" s="344"/>
      <c r="D599" s="344"/>
      <c r="E599" s="344"/>
      <c r="F599" s="344"/>
      <c r="G599" s="344"/>
      <c r="H599" s="344"/>
    </row>
    <row r="600">
      <c r="A600" s="344"/>
      <c r="B600" s="344"/>
      <c r="C600" s="344"/>
      <c r="D600" s="344"/>
      <c r="E600" s="344"/>
      <c r="F600" s="344"/>
      <c r="G600" s="344"/>
      <c r="H600" s="344"/>
    </row>
    <row r="601">
      <c r="A601" s="344"/>
      <c r="B601" s="344"/>
      <c r="C601" s="344"/>
      <c r="D601" s="344"/>
      <c r="E601" s="344"/>
      <c r="F601" s="344"/>
      <c r="G601" s="344"/>
      <c r="H601" s="344"/>
    </row>
    <row r="602">
      <c r="A602" s="344"/>
      <c r="B602" s="344"/>
      <c r="C602" s="344"/>
      <c r="D602" s="344"/>
      <c r="E602" s="344"/>
      <c r="F602" s="344"/>
      <c r="G602" s="344"/>
      <c r="H602" s="344"/>
    </row>
    <row r="603">
      <c r="A603" s="344"/>
      <c r="B603" s="344"/>
      <c r="C603" s="344"/>
      <c r="D603" s="344"/>
      <c r="E603" s="344"/>
      <c r="F603" s="344"/>
      <c r="G603" s="344"/>
      <c r="H603" s="344"/>
    </row>
    <row r="604">
      <c r="A604" s="344"/>
      <c r="B604" s="344"/>
      <c r="C604" s="344"/>
      <c r="D604" s="344"/>
      <c r="E604" s="344"/>
      <c r="F604" s="344"/>
      <c r="G604" s="344"/>
      <c r="H604" s="344"/>
    </row>
    <row r="605">
      <c r="A605" s="344"/>
      <c r="B605" s="344"/>
      <c r="C605" s="344"/>
      <c r="D605" s="344"/>
      <c r="E605" s="344"/>
      <c r="F605" s="344"/>
      <c r="G605" s="344"/>
      <c r="H605" s="344"/>
    </row>
    <row r="606">
      <c r="A606" s="344"/>
      <c r="B606" s="344"/>
      <c r="C606" s="344"/>
      <c r="D606" s="344"/>
      <c r="E606" s="344"/>
      <c r="F606" s="344"/>
      <c r="G606" s="344"/>
      <c r="H606" s="344"/>
    </row>
    <row r="607">
      <c r="A607" s="344"/>
      <c r="B607" s="344"/>
      <c r="C607" s="344"/>
      <c r="D607" s="344"/>
      <c r="E607" s="344"/>
      <c r="F607" s="344"/>
      <c r="G607" s="344"/>
      <c r="H607" s="344"/>
    </row>
    <row r="608">
      <c r="A608" s="344"/>
      <c r="B608" s="344"/>
      <c r="C608" s="344"/>
      <c r="D608" s="344"/>
      <c r="E608" s="344"/>
      <c r="F608" s="344"/>
      <c r="G608" s="344"/>
      <c r="H608" s="344"/>
    </row>
    <row r="609">
      <c r="A609" s="344"/>
      <c r="B609" s="344"/>
      <c r="C609" s="344"/>
      <c r="D609" s="344"/>
      <c r="E609" s="344"/>
      <c r="F609" s="344"/>
      <c r="G609" s="344"/>
      <c r="H609" s="344"/>
    </row>
    <row r="610">
      <c r="A610" s="344"/>
      <c r="B610" s="344"/>
      <c r="C610" s="344"/>
      <c r="D610" s="344"/>
      <c r="E610" s="344"/>
      <c r="F610" s="344"/>
      <c r="G610" s="344"/>
      <c r="H610" s="344"/>
    </row>
    <row r="611">
      <c r="A611" s="344"/>
      <c r="B611" s="344"/>
      <c r="C611" s="344"/>
      <c r="D611" s="344"/>
      <c r="E611" s="344"/>
      <c r="F611" s="344"/>
      <c r="G611" s="344"/>
      <c r="H611" s="344"/>
    </row>
    <row r="612">
      <c r="A612" s="344"/>
      <c r="B612" s="344"/>
      <c r="C612" s="344"/>
      <c r="D612" s="344"/>
      <c r="E612" s="344"/>
      <c r="F612" s="344"/>
      <c r="G612" s="344"/>
      <c r="H612" s="344"/>
    </row>
    <row r="613">
      <c r="A613" s="344"/>
      <c r="B613" s="344"/>
      <c r="C613" s="344"/>
      <c r="D613" s="344"/>
      <c r="E613" s="344"/>
      <c r="F613" s="344"/>
      <c r="G613" s="344"/>
      <c r="H613" s="344"/>
    </row>
    <row r="614">
      <c r="A614" s="344"/>
      <c r="B614" s="344"/>
      <c r="C614" s="344"/>
      <c r="D614" s="344"/>
      <c r="E614" s="344"/>
      <c r="F614" s="344"/>
      <c r="G614" s="344"/>
      <c r="H614" s="344"/>
    </row>
    <row r="615">
      <c r="A615" s="344"/>
      <c r="B615" s="344"/>
      <c r="C615" s="344"/>
      <c r="D615" s="344"/>
      <c r="E615" s="344"/>
      <c r="F615" s="344"/>
      <c r="G615" s="344"/>
      <c r="H615" s="344"/>
    </row>
    <row r="616">
      <c r="A616" s="344"/>
      <c r="B616" s="344"/>
      <c r="C616" s="344"/>
      <c r="D616" s="344"/>
      <c r="E616" s="344"/>
      <c r="F616" s="344"/>
      <c r="G616" s="344"/>
      <c r="H616" s="344"/>
    </row>
    <row r="617">
      <c r="A617" s="344"/>
      <c r="B617" s="344"/>
      <c r="C617" s="344"/>
      <c r="D617" s="344"/>
      <c r="E617" s="344"/>
      <c r="F617" s="344"/>
      <c r="G617" s="344"/>
      <c r="H617" s="344"/>
    </row>
    <row r="618">
      <c r="A618" s="344"/>
      <c r="B618" s="344"/>
      <c r="C618" s="344"/>
      <c r="D618" s="344"/>
      <c r="E618" s="344"/>
      <c r="F618" s="344"/>
      <c r="G618" s="344"/>
      <c r="H618" s="344"/>
    </row>
    <row r="619">
      <c r="A619" s="344"/>
      <c r="B619" s="344"/>
      <c r="C619" s="344"/>
      <c r="D619" s="344"/>
      <c r="E619" s="344"/>
      <c r="F619" s="344"/>
      <c r="G619" s="344"/>
      <c r="H619" s="344"/>
    </row>
    <row r="620">
      <c r="A620" s="344"/>
      <c r="B620" s="344"/>
      <c r="C620" s="344"/>
      <c r="D620" s="344"/>
      <c r="E620" s="344"/>
      <c r="F620" s="344"/>
      <c r="G620" s="344"/>
      <c r="H620" s="344"/>
    </row>
    <row r="621">
      <c r="A621" s="344"/>
      <c r="B621" s="344"/>
      <c r="C621" s="344"/>
      <c r="D621" s="344"/>
      <c r="E621" s="344"/>
      <c r="F621" s="344"/>
      <c r="G621" s="344"/>
      <c r="H621" s="344"/>
    </row>
    <row r="622">
      <c r="A622" s="344"/>
      <c r="B622" s="344"/>
      <c r="C622" s="344"/>
      <c r="D622" s="344"/>
      <c r="E622" s="344"/>
      <c r="F622" s="344"/>
      <c r="G622" s="344"/>
      <c r="H622" s="344"/>
    </row>
    <row r="623">
      <c r="A623" s="344"/>
      <c r="B623" s="344"/>
      <c r="C623" s="344"/>
      <c r="D623" s="344"/>
      <c r="E623" s="344"/>
      <c r="F623" s="344"/>
      <c r="G623" s="344"/>
      <c r="H623" s="344"/>
    </row>
    <row r="624">
      <c r="A624" s="344"/>
      <c r="B624" s="344"/>
      <c r="C624" s="344"/>
      <c r="D624" s="344"/>
      <c r="E624" s="344"/>
      <c r="F624" s="344"/>
      <c r="G624" s="344"/>
      <c r="H624" s="344"/>
    </row>
    <row r="625">
      <c r="A625" s="344"/>
      <c r="B625" s="344"/>
      <c r="C625" s="344"/>
      <c r="D625" s="344"/>
      <c r="E625" s="344"/>
      <c r="F625" s="344"/>
      <c r="G625" s="344"/>
      <c r="H625" s="344"/>
    </row>
    <row r="626">
      <c r="A626" s="344"/>
      <c r="B626" s="344"/>
      <c r="C626" s="344"/>
      <c r="D626" s="344"/>
      <c r="E626" s="344"/>
      <c r="F626" s="344"/>
      <c r="G626" s="344"/>
      <c r="H626" s="344"/>
    </row>
    <row r="627">
      <c r="A627" s="344"/>
      <c r="B627" s="344"/>
      <c r="C627" s="344"/>
      <c r="D627" s="344"/>
      <c r="E627" s="344"/>
      <c r="F627" s="344"/>
      <c r="G627" s="344"/>
      <c r="H627" s="344"/>
    </row>
    <row r="628">
      <c r="A628" s="344"/>
      <c r="B628" s="344"/>
      <c r="C628" s="344"/>
      <c r="D628" s="344"/>
      <c r="E628" s="344"/>
      <c r="F628" s="344"/>
      <c r="G628" s="344"/>
      <c r="H628" s="344"/>
    </row>
    <row r="629">
      <c r="A629" s="344"/>
      <c r="B629" s="344"/>
      <c r="C629" s="344"/>
      <c r="D629" s="344"/>
      <c r="E629" s="344"/>
      <c r="F629" s="344"/>
      <c r="G629" s="344"/>
      <c r="H629" s="344"/>
    </row>
    <row r="630">
      <c r="A630" s="344"/>
      <c r="B630" s="344"/>
      <c r="C630" s="344"/>
      <c r="D630" s="344"/>
      <c r="E630" s="344"/>
      <c r="F630" s="344"/>
      <c r="G630" s="344"/>
      <c r="H630" s="344"/>
    </row>
    <row r="631">
      <c r="A631" s="344"/>
      <c r="B631" s="344"/>
      <c r="C631" s="344"/>
      <c r="D631" s="344"/>
      <c r="E631" s="344"/>
      <c r="F631" s="344"/>
      <c r="G631" s="344"/>
      <c r="H631" s="344"/>
    </row>
    <row r="632">
      <c r="A632" s="344"/>
      <c r="B632" s="344"/>
      <c r="C632" s="344"/>
      <c r="D632" s="344"/>
      <c r="E632" s="344"/>
      <c r="F632" s="344"/>
      <c r="G632" s="344"/>
      <c r="H632" s="344"/>
    </row>
    <row r="633">
      <c r="A633" s="344"/>
      <c r="B633" s="344"/>
      <c r="C633" s="344"/>
      <c r="D633" s="344"/>
      <c r="E633" s="344"/>
      <c r="F633" s="344"/>
      <c r="G633" s="344"/>
      <c r="H633" s="344"/>
    </row>
    <row r="634">
      <c r="A634" s="344"/>
      <c r="B634" s="344"/>
      <c r="C634" s="344"/>
      <c r="D634" s="344"/>
      <c r="E634" s="344"/>
      <c r="F634" s="344"/>
      <c r="G634" s="344"/>
      <c r="H634" s="344"/>
    </row>
    <row r="635">
      <c r="A635" s="344"/>
      <c r="B635" s="344"/>
      <c r="C635" s="344"/>
      <c r="D635" s="344"/>
      <c r="E635" s="344"/>
      <c r="F635" s="344"/>
      <c r="G635" s="344"/>
      <c r="H635" s="344"/>
    </row>
    <row r="636">
      <c r="A636" s="344"/>
      <c r="B636" s="344"/>
      <c r="C636" s="344"/>
      <c r="D636" s="344"/>
      <c r="E636" s="344"/>
      <c r="F636" s="344"/>
      <c r="G636" s="344"/>
      <c r="H636" s="344"/>
    </row>
    <row r="637">
      <c r="A637" s="344"/>
      <c r="B637" s="344"/>
      <c r="C637" s="344"/>
      <c r="D637" s="344"/>
      <c r="E637" s="344"/>
      <c r="F637" s="344"/>
      <c r="G637" s="344"/>
      <c r="H637" s="344"/>
    </row>
    <row r="638">
      <c r="A638" s="344"/>
      <c r="B638" s="344"/>
      <c r="C638" s="344"/>
      <c r="D638" s="344"/>
      <c r="E638" s="344"/>
      <c r="F638" s="344"/>
      <c r="G638" s="344"/>
      <c r="H638" s="344"/>
    </row>
    <row r="639">
      <c r="A639" s="344"/>
      <c r="B639" s="344"/>
      <c r="C639" s="344"/>
      <c r="D639" s="344"/>
      <c r="E639" s="344"/>
      <c r="F639" s="344"/>
      <c r="G639" s="344"/>
      <c r="H639" s="344"/>
    </row>
    <row r="640">
      <c r="A640" s="344"/>
      <c r="B640" s="344"/>
      <c r="C640" s="344"/>
      <c r="D640" s="344"/>
      <c r="E640" s="344"/>
      <c r="F640" s="344"/>
      <c r="G640" s="344"/>
      <c r="H640" s="344"/>
    </row>
    <row r="641">
      <c r="A641" s="344"/>
      <c r="B641" s="344"/>
      <c r="C641" s="344"/>
      <c r="D641" s="344"/>
      <c r="E641" s="344"/>
      <c r="F641" s="344"/>
      <c r="G641" s="344"/>
      <c r="H641" s="344"/>
    </row>
    <row r="642">
      <c r="A642" s="344"/>
      <c r="B642" s="344"/>
      <c r="C642" s="344"/>
      <c r="D642" s="344"/>
      <c r="E642" s="344"/>
      <c r="F642" s="344"/>
      <c r="G642" s="344"/>
      <c r="H642" s="344"/>
    </row>
    <row r="643">
      <c r="A643" s="344"/>
      <c r="B643" s="344"/>
      <c r="C643" s="344"/>
      <c r="D643" s="344"/>
      <c r="E643" s="344"/>
      <c r="F643" s="344"/>
      <c r="G643" s="344"/>
      <c r="H643" s="344"/>
    </row>
    <row r="644">
      <c r="A644" s="344"/>
      <c r="B644" s="344"/>
      <c r="C644" s="344"/>
      <c r="D644" s="344"/>
      <c r="E644" s="344"/>
      <c r="F644" s="344"/>
      <c r="G644" s="344"/>
      <c r="H644" s="344"/>
    </row>
    <row r="645">
      <c r="A645" s="344"/>
      <c r="B645" s="344"/>
      <c r="C645" s="344"/>
      <c r="D645" s="344"/>
      <c r="E645" s="344"/>
      <c r="F645" s="344"/>
      <c r="G645" s="344"/>
      <c r="H645" s="344"/>
    </row>
    <row r="646">
      <c r="A646" s="344"/>
      <c r="B646" s="344"/>
      <c r="C646" s="344"/>
      <c r="D646" s="344"/>
      <c r="E646" s="344"/>
      <c r="F646" s="344"/>
      <c r="G646" s="344"/>
      <c r="H646" s="344"/>
    </row>
    <row r="647">
      <c r="A647" s="344"/>
      <c r="B647" s="344"/>
      <c r="C647" s="344"/>
      <c r="D647" s="344"/>
      <c r="E647" s="344"/>
      <c r="F647" s="344"/>
      <c r="G647" s="344"/>
      <c r="H647" s="344"/>
    </row>
    <row r="648">
      <c r="A648" s="344"/>
      <c r="B648" s="344"/>
      <c r="C648" s="344"/>
      <c r="D648" s="344"/>
      <c r="E648" s="344"/>
      <c r="F648" s="344"/>
      <c r="G648" s="344"/>
      <c r="H648" s="344"/>
    </row>
    <row r="649">
      <c r="A649" s="344"/>
      <c r="B649" s="344"/>
      <c r="C649" s="344"/>
      <c r="D649" s="344"/>
      <c r="E649" s="344"/>
      <c r="F649" s="344"/>
      <c r="G649" s="344"/>
      <c r="H649" s="344"/>
    </row>
    <row r="650">
      <c r="A650" s="344"/>
      <c r="B650" s="344"/>
      <c r="C650" s="344"/>
      <c r="D650" s="344"/>
      <c r="E650" s="344"/>
      <c r="F650" s="344"/>
      <c r="G650" s="344"/>
      <c r="H650" s="344"/>
    </row>
    <row r="651">
      <c r="A651" s="344"/>
      <c r="B651" s="344"/>
      <c r="C651" s="344"/>
      <c r="D651" s="344"/>
      <c r="E651" s="344"/>
      <c r="F651" s="344"/>
      <c r="G651" s="344"/>
      <c r="H651" s="344"/>
    </row>
    <row r="652">
      <c r="A652" s="344"/>
      <c r="B652" s="344"/>
      <c r="C652" s="344"/>
      <c r="D652" s="344"/>
      <c r="E652" s="344"/>
      <c r="F652" s="344"/>
      <c r="G652" s="344"/>
      <c r="H652" s="344"/>
    </row>
    <row r="653">
      <c r="A653" s="344"/>
      <c r="B653" s="344"/>
      <c r="C653" s="344"/>
      <c r="D653" s="344"/>
      <c r="E653" s="344"/>
      <c r="F653" s="344"/>
      <c r="G653" s="344"/>
      <c r="H653" s="344"/>
    </row>
    <row r="654">
      <c r="A654" s="344"/>
      <c r="B654" s="344"/>
      <c r="C654" s="344"/>
      <c r="D654" s="344"/>
      <c r="E654" s="344"/>
      <c r="F654" s="344"/>
      <c r="G654" s="344"/>
      <c r="H654" s="344"/>
    </row>
    <row r="655">
      <c r="A655" s="344"/>
      <c r="B655" s="344"/>
      <c r="C655" s="344"/>
      <c r="D655" s="344"/>
      <c r="E655" s="344"/>
      <c r="F655" s="344"/>
      <c r="G655" s="344"/>
      <c r="H655" s="344"/>
    </row>
    <row r="656">
      <c r="A656" s="344"/>
      <c r="B656" s="344"/>
      <c r="C656" s="344"/>
      <c r="D656" s="344"/>
      <c r="E656" s="344"/>
      <c r="F656" s="344"/>
      <c r="G656" s="344"/>
      <c r="H656" s="344"/>
    </row>
    <row r="657">
      <c r="A657" s="344"/>
      <c r="B657" s="344"/>
      <c r="C657" s="344"/>
      <c r="D657" s="344"/>
      <c r="E657" s="344"/>
      <c r="F657" s="344"/>
      <c r="G657" s="344"/>
      <c r="H657" s="344"/>
    </row>
    <row r="658">
      <c r="A658" s="344"/>
      <c r="B658" s="344"/>
      <c r="C658" s="344"/>
      <c r="D658" s="344"/>
      <c r="E658" s="344"/>
      <c r="F658" s="344"/>
      <c r="G658" s="344"/>
      <c r="H658" s="344"/>
    </row>
    <row r="659">
      <c r="A659" s="344"/>
      <c r="B659" s="344"/>
      <c r="C659" s="344"/>
      <c r="D659" s="344"/>
      <c r="E659" s="344"/>
      <c r="F659" s="344"/>
      <c r="G659" s="344"/>
      <c r="H659" s="344"/>
    </row>
    <row r="660">
      <c r="A660" s="344"/>
      <c r="B660" s="344"/>
      <c r="C660" s="344"/>
      <c r="D660" s="344"/>
      <c r="E660" s="344"/>
      <c r="F660" s="344"/>
      <c r="G660" s="344"/>
      <c r="H660" s="344"/>
    </row>
    <row r="661">
      <c r="A661" s="344"/>
      <c r="B661" s="344"/>
      <c r="C661" s="344"/>
      <c r="D661" s="344"/>
      <c r="E661" s="344"/>
      <c r="F661" s="344"/>
      <c r="G661" s="344"/>
      <c r="H661" s="344"/>
    </row>
    <row r="662">
      <c r="A662" s="344"/>
      <c r="B662" s="344"/>
      <c r="C662" s="344"/>
      <c r="D662" s="344"/>
      <c r="E662" s="344"/>
      <c r="F662" s="344"/>
      <c r="G662" s="344"/>
      <c r="H662" s="344"/>
    </row>
    <row r="663">
      <c r="A663" s="344"/>
      <c r="B663" s="344"/>
      <c r="C663" s="344"/>
      <c r="D663" s="344"/>
      <c r="E663" s="344"/>
      <c r="F663" s="344"/>
      <c r="G663" s="344"/>
      <c r="H663" s="344"/>
    </row>
    <row r="664">
      <c r="A664" s="344"/>
      <c r="B664" s="344"/>
      <c r="C664" s="344"/>
      <c r="D664" s="344"/>
      <c r="E664" s="344"/>
      <c r="F664" s="344"/>
      <c r="G664" s="344"/>
      <c r="H664" s="344"/>
    </row>
    <row r="665">
      <c r="A665" s="344"/>
      <c r="B665" s="344"/>
      <c r="C665" s="344"/>
      <c r="D665" s="344"/>
      <c r="E665" s="344"/>
      <c r="F665" s="344"/>
      <c r="G665" s="344"/>
      <c r="H665" s="344"/>
    </row>
    <row r="666">
      <c r="A666" s="344"/>
      <c r="B666" s="344"/>
      <c r="C666" s="344"/>
      <c r="D666" s="344"/>
      <c r="E666" s="344"/>
      <c r="F666" s="344"/>
      <c r="G666" s="344"/>
      <c r="H666" s="344"/>
    </row>
    <row r="667">
      <c r="A667" s="344"/>
      <c r="B667" s="344"/>
      <c r="C667" s="344"/>
      <c r="D667" s="344"/>
      <c r="E667" s="344"/>
      <c r="F667" s="344"/>
      <c r="G667" s="344"/>
      <c r="H667" s="344"/>
    </row>
    <row r="668">
      <c r="A668" s="344"/>
      <c r="B668" s="344"/>
      <c r="C668" s="344"/>
      <c r="D668" s="344"/>
      <c r="E668" s="344"/>
      <c r="F668" s="344"/>
      <c r="G668" s="344"/>
      <c r="H668" s="344"/>
    </row>
    <row r="669">
      <c r="A669" s="344"/>
      <c r="B669" s="344"/>
      <c r="C669" s="344"/>
      <c r="D669" s="344"/>
      <c r="E669" s="344"/>
      <c r="F669" s="344"/>
      <c r="G669" s="344"/>
      <c r="H669" s="344"/>
    </row>
    <row r="670">
      <c r="A670" s="344"/>
      <c r="B670" s="344"/>
      <c r="C670" s="344"/>
      <c r="D670" s="344"/>
      <c r="E670" s="344"/>
      <c r="F670" s="344"/>
      <c r="G670" s="344"/>
      <c r="H670" s="344"/>
    </row>
    <row r="671">
      <c r="A671" s="344"/>
      <c r="B671" s="344"/>
      <c r="C671" s="344"/>
      <c r="D671" s="344"/>
      <c r="E671" s="344"/>
      <c r="F671" s="344"/>
      <c r="G671" s="344"/>
      <c r="H671" s="344"/>
    </row>
    <row r="672">
      <c r="A672" s="344"/>
      <c r="B672" s="344"/>
      <c r="C672" s="344"/>
      <c r="D672" s="344"/>
      <c r="E672" s="344"/>
      <c r="F672" s="344"/>
      <c r="G672" s="344"/>
      <c r="H672" s="344"/>
    </row>
    <row r="673">
      <c r="A673" s="344"/>
      <c r="B673" s="344"/>
      <c r="C673" s="344"/>
      <c r="D673" s="344"/>
      <c r="E673" s="344"/>
      <c r="F673" s="344"/>
      <c r="G673" s="344"/>
      <c r="H673" s="344"/>
    </row>
    <row r="674">
      <c r="A674" s="344"/>
      <c r="B674" s="344"/>
      <c r="C674" s="344"/>
      <c r="D674" s="344"/>
      <c r="E674" s="344"/>
      <c r="F674" s="344"/>
      <c r="G674" s="344"/>
      <c r="H674" s="344"/>
    </row>
    <row r="675">
      <c r="A675" s="344"/>
      <c r="B675" s="344"/>
      <c r="C675" s="344"/>
      <c r="D675" s="344"/>
      <c r="E675" s="344"/>
      <c r="F675" s="344"/>
      <c r="G675" s="344"/>
      <c r="H675" s="344"/>
    </row>
    <row r="676">
      <c r="A676" s="344"/>
      <c r="B676" s="344"/>
      <c r="C676" s="344"/>
      <c r="D676" s="344"/>
      <c r="E676" s="344"/>
      <c r="F676" s="344"/>
      <c r="G676" s="344"/>
      <c r="H676" s="344"/>
    </row>
    <row r="677">
      <c r="A677" s="344"/>
      <c r="B677" s="344"/>
      <c r="C677" s="344"/>
      <c r="D677" s="344"/>
      <c r="E677" s="344"/>
      <c r="F677" s="344"/>
      <c r="G677" s="344"/>
      <c r="H677" s="344"/>
    </row>
    <row r="678">
      <c r="A678" s="344"/>
      <c r="B678" s="344"/>
      <c r="C678" s="344"/>
      <c r="D678" s="344"/>
      <c r="E678" s="344"/>
      <c r="F678" s="344"/>
      <c r="G678" s="344"/>
      <c r="H678" s="344"/>
    </row>
    <row r="679">
      <c r="A679" s="344"/>
      <c r="B679" s="344"/>
      <c r="C679" s="344"/>
      <c r="D679" s="344"/>
      <c r="E679" s="344"/>
      <c r="F679" s="344"/>
      <c r="G679" s="344"/>
      <c r="H679" s="344"/>
    </row>
    <row r="680">
      <c r="A680" s="344"/>
      <c r="B680" s="344"/>
      <c r="C680" s="344"/>
      <c r="D680" s="344"/>
      <c r="E680" s="344"/>
      <c r="F680" s="344"/>
      <c r="G680" s="344"/>
      <c r="H680" s="344"/>
    </row>
    <row r="681">
      <c r="A681" s="344"/>
      <c r="B681" s="344"/>
      <c r="C681" s="344"/>
      <c r="D681" s="344"/>
      <c r="E681" s="344"/>
      <c r="F681" s="344"/>
      <c r="G681" s="344"/>
      <c r="H681" s="344"/>
    </row>
    <row r="682">
      <c r="A682" s="344"/>
      <c r="B682" s="344"/>
      <c r="C682" s="344"/>
      <c r="D682" s="344"/>
      <c r="E682" s="344"/>
      <c r="F682" s="344"/>
      <c r="G682" s="344"/>
      <c r="H682" s="344"/>
    </row>
    <row r="683">
      <c r="A683" s="344"/>
      <c r="B683" s="344"/>
      <c r="C683" s="344"/>
      <c r="D683" s="344"/>
      <c r="E683" s="344"/>
      <c r="F683" s="344"/>
      <c r="G683" s="344"/>
      <c r="H683" s="344"/>
    </row>
    <row r="684">
      <c r="A684" s="344"/>
      <c r="B684" s="344"/>
      <c r="C684" s="344"/>
      <c r="D684" s="344"/>
      <c r="E684" s="344"/>
      <c r="F684" s="344"/>
      <c r="G684" s="344"/>
      <c r="H684" s="344"/>
    </row>
    <row r="685">
      <c r="A685" s="344"/>
      <c r="B685" s="344"/>
      <c r="C685" s="344"/>
      <c r="D685" s="344"/>
      <c r="E685" s="344"/>
      <c r="F685" s="344"/>
      <c r="G685" s="344"/>
      <c r="H685" s="344"/>
    </row>
    <row r="686">
      <c r="A686" s="344"/>
      <c r="B686" s="344"/>
      <c r="C686" s="344"/>
      <c r="D686" s="344"/>
      <c r="E686" s="344"/>
      <c r="F686" s="344"/>
      <c r="G686" s="344"/>
      <c r="H686" s="344"/>
    </row>
    <row r="687">
      <c r="A687" s="344"/>
      <c r="B687" s="344"/>
      <c r="C687" s="344"/>
      <c r="D687" s="344"/>
      <c r="E687" s="344"/>
      <c r="F687" s="344"/>
      <c r="G687" s="344"/>
      <c r="H687" s="344"/>
    </row>
    <row r="688">
      <c r="A688" s="344"/>
      <c r="B688" s="344"/>
      <c r="C688" s="344"/>
      <c r="D688" s="344"/>
      <c r="E688" s="344"/>
      <c r="F688" s="344"/>
      <c r="G688" s="344"/>
      <c r="H688" s="344"/>
    </row>
    <row r="689">
      <c r="A689" s="344"/>
      <c r="B689" s="344"/>
      <c r="C689" s="344"/>
      <c r="D689" s="344"/>
      <c r="E689" s="344"/>
      <c r="F689" s="344"/>
      <c r="G689" s="344"/>
      <c r="H689" s="344"/>
    </row>
    <row r="690">
      <c r="A690" s="344"/>
      <c r="B690" s="344"/>
      <c r="C690" s="344"/>
      <c r="D690" s="344"/>
      <c r="E690" s="344"/>
      <c r="F690" s="344"/>
      <c r="G690" s="344"/>
      <c r="H690" s="344"/>
    </row>
    <row r="691">
      <c r="A691" s="344"/>
      <c r="B691" s="344"/>
      <c r="C691" s="344"/>
      <c r="D691" s="344"/>
      <c r="E691" s="344"/>
      <c r="F691" s="344"/>
      <c r="G691" s="344"/>
      <c r="H691" s="344"/>
    </row>
    <row r="692">
      <c r="A692" s="344"/>
      <c r="B692" s="344"/>
      <c r="C692" s="344"/>
      <c r="D692" s="344"/>
      <c r="E692" s="344"/>
      <c r="F692" s="344"/>
      <c r="G692" s="344"/>
      <c r="H692" s="344"/>
    </row>
    <row r="693">
      <c r="A693" s="344"/>
      <c r="B693" s="344"/>
      <c r="C693" s="344"/>
      <c r="D693" s="344"/>
      <c r="E693" s="344"/>
      <c r="F693" s="344"/>
      <c r="G693" s="344"/>
      <c r="H693" s="344"/>
    </row>
    <row r="694">
      <c r="A694" s="344"/>
      <c r="B694" s="344"/>
      <c r="C694" s="344"/>
      <c r="D694" s="344"/>
      <c r="E694" s="344"/>
      <c r="F694" s="344"/>
      <c r="G694" s="344"/>
      <c r="H694" s="344"/>
    </row>
    <row r="695">
      <c r="A695" s="344"/>
      <c r="B695" s="344"/>
      <c r="C695" s="344"/>
      <c r="D695" s="344"/>
      <c r="E695" s="344"/>
      <c r="F695" s="344"/>
      <c r="G695" s="344"/>
      <c r="H695" s="344"/>
    </row>
    <row r="696">
      <c r="A696" s="344"/>
      <c r="B696" s="344"/>
      <c r="C696" s="344"/>
      <c r="D696" s="344"/>
      <c r="E696" s="344"/>
      <c r="F696" s="344"/>
      <c r="G696" s="344"/>
      <c r="H696" s="344"/>
    </row>
    <row r="697">
      <c r="A697" s="344"/>
      <c r="B697" s="344"/>
      <c r="C697" s="344"/>
      <c r="D697" s="344"/>
      <c r="E697" s="344"/>
      <c r="F697" s="344"/>
      <c r="G697" s="344"/>
      <c r="H697" s="344"/>
    </row>
    <row r="698">
      <c r="A698" s="344"/>
      <c r="B698" s="344"/>
      <c r="C698" s="344"/>
      <c r="D698" s="344"/>
      <c r="E698" s="344"/>
      <c r="F698" s="344"/>
      <c r="G698" s="344"/>
      <c r="H698" s="344"/>
    </row>
    <row r="699">
      <c r="A699" s="344"/>
      <c r="B699" s="344"/>
      <c r="C699" s="344"/>
      <c r="D699" s="344"/>
      <c r="E699" s="344"/>
      <c r="F699" s="344"/>
      <c r="G699" s="344"/>
      <c r="H699" s="344"/>
    </row>
    <row r="700">
      <c r="A700" s="344"/>
      <c r="B700" s="344"/>
      <c r="C700" s="344"/>
      <c r="D700" s="344"/>
      <c r="E700" s="344"/>
      <c r="F700" s="344"/>
      <c r="G700" s="344"/>
      <c r="H700" s="344"/>
    </row>
    <row r="701">
      <c r="A701" s="344"/>
      <c r="B701" s="344"/>
      <c r="C701" s="344"/>
      <c r="D701" s="344"/>
      <c r="E701" s="344"/>
      <c r="F701" s="344"/>
      <c r="G701" s="344"/>
      <c r="H701" s="344"/>
    </row>
    <row r="702">
      <c r="A702" s="344"/>
      <c r="B702" s="344"/>
      <c r="C702" s="344"/>
      <c r="D702" s="344"/>
      <c r="E702" s="344"/>
      <c r="F702" s="344"/>
      <c r="G702" s="344"/>
      <c r="H702" s="344"/>
    </row>
    <row r="703">
      <c r="A703" s="344"/>
      <c r="B703" s="344"/>
      <c r="C703" s="344"/>
      <c r="D703" s="344"/>
      <c r="E703" s="344"/>
      <c r="F703" s="344"/>
      <c r="G703" s="344"/>
      <c r="H703" s="344"/>
    </row>
    <row r="704">
      <c r="A704" s="344"/>
      <c r="B704" s="344"/>
      <c r="C704" s="344"/>
      <c r="D704" s="344"/>
      <c r="E704" s="344"/>
      <c r="F704" s="344"/>
      <c r="G704" s="344"/>
      <c r="H704" s="344"/>
    </row>
    <row r="705">
      <c r="A705" s="344"/>
      <c r="B705" s="344"/>
      <c r="C705" s="344"/>
      <c r="D705" s="344"/>
      <c r="E705" s="344"/>
      <c r="F705" s="344"/>
      <c r="G705" s="344"/>
      <c r="H705" s="344"/>
    </row>
    <row r="706">
      <c r="A706" s="344"/>
      <c r="B706" s="344"/>
      <c r="C706" s="344"/>
      <c r="D706" s="344"/>
      <c r="E706" s="344"/>
      <c r="F706" s="344"/>
      <c r="G706" s="344"/>
      <c r="H706" s="344"/>
    </row>
    <row r="707">
      <c r="A707" s="344"/>
      <c r="B707" s="344"/>
      <c r="C707" s="344"/>
      <c r="D707" s="344"/>
      <c r="E707" s="344"/>
      <c r="F707" s="344"/>
      <c r="G707" s="344"/>
      <c r="H707" s="344"/>
    </row>
    <row r="708">
      <c r="A708" s="344"/>
      <c r="B708" s="344"/>
      <c r="C708" s="344"/>
      <c r="D708" s="344"/>
      <c r="E708" s="344"/>
      <c r="F708" s="344"/>
      <c r="G708" s="344"/>
      <c r="H708" s="344"/>
    </row>
    <row r="709">
      <c r="A709" s="344"/>
      <c r="B709" s="344"/>
      <c r="C709" s="344"/>
      <c r="D709" s="344"/>
      <c r="E709" s="344"/>
      <c r="F709" s="344"/>
      <c r="G709" s="344"/>
      <c r="H709" s="344"/>
    </row>
    <row r="710">
      <c r="A710" s="344"/>
      <c r="B710" s="344"/>
      <c r="C710" s="344"/>
      <c r="D710" s="344"/>
      <c r="E710" s="344"/>
      <c r="F710" s="344"/>
      <c r="G710" s="344"/>
      <c r="H710" s="344"/>
    </row>
    <row r="711">
      <c r="A711" s="344"/>
      <c r="B711" s="344"/>
      <c r="C711" s="344"/>
      <c r="D711" s="344"/>
      <c r="E711" s="344"/>
      <c r="F711" s="344"/>
      <c r="G711" s="344"/>
      <c r="H711" s="344"/>
    </row>
    <row r="712">
      <c r="A712" s="344"/>
      <c r="B712" s="344"/>
      <c r="C712" s="344"/>
      <c r="D712" s="344"/>
      <c r="E712" s="344"/>
      <c r="F712" s="344"/>
      <c r="G712" s="344"/>
      <c r="H712" s="344"/>
    </row>
    <row r="713">
      <c r="A713" s="344"/>
      <c r="B713" s="344"/>
      <c r="C713" s="344"/>
      <c r="D713" s="344"/>
      <c r="E713" s="344"/>
      <c r="F713" s="344"/>
      <c r="G713" s="344"/>
      <c r="H713" s="344"/>
    </row>
    <row r="714">
      <c r="A714" s="344"/>
      <c r="B714" s="344"/>
      <c r="C714" s="344"/>
      <c r="D714" s="344"/>
      <c r="E714" s="344"/>
      <c r="F714" s="344"/>
      <c r="G714" s="344"/>
      <c r="H714" s="344"/>
    </row>
    <row r="715">
      <c r="A715" s="344"/>
      <c r="B715" s="344"/>
      <c r="C715" s="344"/>
      <c r="D715" s="344"/>
      <c r="E715" s="344"/>
      <c r="F715" s="344"/>
      <c r="G715" s="344"/>
      <c r="H715" s="344"/>
    </row>
    <row r="716">
      <c r="A716" s="344"/>
      <c r="B716" s="344"/>
      <c r="C716" s="344"/>
      <c r="D716" s="344"/>
      <c r="E716" s="344"/>
      <c r="F716" s="344"/>
      <c r="G716" s="344"/>
      <c r="H716" s="344"/>
    </row>
    <row r="717">
      <c r="A717" s="344"/>
      <c r="B717" s="344"/>
      <c r="C717" s="344"/>
      <c r="D717" s="344"/>
      <c r="E717" s="344"/>
      <c r="F717" s="344"/>
      <c r="G717" s="344"/>
      <c r="H717" s="344"/>
    </row>
    <row r="718">
      <c r="A718" s="344"/>
      <c r="B718" s="344"/>
      <c r="C718" s="344"/>
      <c r="D718" s="344"/>
      <c r="E718" s="344"/>
      <c r="F718" s="344"/>
      <c r="G718" s="344"/>
      <c r="H718" s="344"/>
    </row>
    <row r="719">
      <c r="A719" s="344"/>
      <c r="B719" s="344"/>
      <c r="C719" s="344"/>
      <c r="D719" s="344"/>
      <c r="E719" s="344"/>
      <c r="F719" s="344"/>
      <c r="G719" s="344"/>
      <c r="H719" s="344"/>
    </row>
    <row r="720">
      <c r="A720" s="344"/>
      <c r="B720" s="344"/>
      <c r="C720" s="344"/>
      <c r="D720" s="344"/>
      <c r="E720" s="344"/>
      <c r="F720" s="344"/>
      <c r="G720" s="344"/>
      <c r="H720" s="344"/>
    </row>
    <row r="721">
      <c r="A721" s="344"/>
      <c r="B721" s="344"/>
      <c r="C721" s="344"/>
      <c r="D721" s="344"/>
      <c r="E721" s="344"/>
      <c r="F721" s="344"/>
      <c r="G721" s="344"/>
      <c r="H721" s="344"/>
    </row>
    <row r="722">
      <c r="A722" s="344"/>
      <c r="B722" s="344"/>
      <c r="C722" s="344"/>
      <c r="D722" s="344"/>
      <c r="E722" s="344"/>
      <c r="F722" s="344"/>
      <c r="G722" s="344"/>
      <c r="H722" s="344"/>
    </row>
    <row r="723">
      <c r="A723" s="344"/>
      <c r="B723" s="344"/>
      <c r="C723" s="344"/>
      <c r="D723" s="344"/>
      <c r="E723" s="344"/>
      <c r="F723" s="344"/>
      <c r="G723" s="344"/>
      <c r="H723" s="344"/>
    </row>
    <row r="724">
      <c r="A724" s="344"/>
      <c r="B724" s="344"/>
      <c r="C724" s="344"/>
      <c r="D724" s="344"/>
      <c r="E724" s="344"/>
      <c r="F724" s="344"/>
      <c r="G724" s="344"/>
      <c r="H724" s="344"/>
    </row>
    <row r="725">
      <c r="A725" s="344"/>
      <c r="B725" s="344"/>
      <c r="C725" s="344"/>
      <c r="D725" s="344"/>
      <c r="E725" s="344"/>
      <c r="F725" s="344"/>
      <c r="G725" s="344"/>
      <c r="H725" s="344"/>
    </row>
    <row r="726">
      <c r="A726" s="344"/>
      <c r="B726" s="344"/>
      <c r="C726" s="344"/>
      <c r="D726" s="344"/>
      <c r="E726" s="344"/>
      <c r="F726" s="344"/>
      <c r="G726" s="344"/>
      <c r="H726" s="344"/>
    </row>
    <row r="727">
      <c r="A727" s="344"/>
      <c r="B727" s="344"/>
      <c r="C727" s="344"/>
      <c r="D727" s="344"/>
      <c r="E727" s="344"/>
      <c r="F727" s="344"/>
      <c r="G727" s="344"/>
      <c r="H727" s="344"/>
    </row>
    <row r="728">
      <c r="A728" s="344"/>
      <c r="B728" s="344"/>
      <c r="C728" s="344"/>
      <c r="D728" s="344"/>
      <c r="E728" s="344"/>
      <c r="F728" s="344"/>
      <c r="G728" s="344"/>
      <c r="H728" s="344"/>
    </row>
    <row r="729">
      <c r="A729" s="344"/>
      <c r="B729" s="344"/>
      <c r="C729" s="344"/>
      <c r="D729" s="344"/>
      <c r="E729" s="344"/>
      <c r="F729" s="344"/>
      <c r="G729" s="344"/>
      <c r="H729" s="344"/>
    </row>
    <row r="730">
      <c r="A730" s="344"/>
      <c r="B730" s="344"/>
      <c r="C730" s="344"/>
      <c r="D730" s="344"/>
      <c r="E730" s="344"/>
      <c r="F730" s="344"/>
      <c r="G730" s="344"/>
      <c r="H730" s="344"/>
    </row>
    <row r="731">
      <c r="A731" s="344"/>
      <c r="B731" s="344"/>
      <c r="C731" s="344"/>
      <c r="D731" s="344"/>
      <c r="E731" s="344"/>
      <c r="F731" s="344"/>
      <c r="G731" s="344"/>
      <c r="H731" s="344"/>
    </row>
    <row r="732">
      <c r="A732" s="344"/>
      <c r="B732" s="344"/>
      <c r="C732" s="344"/>
      <c r="D732" s="344"/>
      <c r="E732" s="344"/>
      <c r="F732" s="344"/>
      <c r="G732" s="344"/>
      <c r="H732" s="344"/>
    </row>
    <row r="733">
      <c r="A733" s="344"/>
      <c r="B733" s="344"/>
      <c r="C733" s="344"/>
      <c r="D733" s="344"/>
      <c r="E733" s="344"/>
      <c r="F733" s="344"/>
      <c r="G733" s="344"/>
      <c r="H733" s="344"/>
    </row>
    <row r="734">
      <c r="A734" s="344"/>
      <c r="B734" s="344"/>
      <c r="C734" s="344"/>
      <c r="D734" s="344"/>
      <c r="E734" s="344"/>
      <c r="F734" s="344"/>
      <c r="G734" s="344"/>
      <c r="H734" s="344"/>
    </row>
    <row r="735">
      <c r="A735" s="344"/>
      <c r="B735" s="344"/>
      <c r="C735" s="344"/>
      <c r="D735" s="344"/>
      <c r="E735" s="344"/>
      <c r="F735" s="344"/>
      <c r="G735" s="344"/>
      <c r="H735" s="344"/>
    </row>
    <row r="736">
      <c r="A736" s="344"/>
      <c r="B736" s="344"/>
      <c r="C736" s="344"/>
      <c r="D736" s="344"/>
      <c r="E736" s="344"/>
      <c r="F736" s="344"/>
      <c r="G736" s="344"/>
      <c r="H736" s="344"/>
    </row>
    <row r="737">
      <c r="A737" s="344"/>
      <c r="B737" s="344"/>
      <c r="C737" s="344"/>
      <c r="D737" s="344"/>
      <c r="E737" s="344"/>
      <c r="F737" s="344"/>
      <c r="G737" s="344"/>
      <c r="H737" s="344"/>
    </row>
    <row r="738">
      <c r="A738" s="344"/>
      <c r="B738" s="344"/>
      <c r="C738" s="344"/>
      <c r="D738" s="344"/>
      <c r="E738" s="344"/>
      <c r="F738" s="344"/>
      <c r="G738" s="344"/>
      <c r="H738" s="344"/>
    </row>
    <row r="739">
      <c r="A739" s="344"/>
      <c r="B739" s="344"/>
      <c r="C739" s="344"/>
      <c r="D739" s="344"/>
      <c r="E739" s="344"/>
      <c r="F739" s="344"/>
      <c r="G739" s="344"/>
      <c r="H739" s="344"/>
    </row>
    <row r="740">
      <c r="A740" s="344"/>
      <c r="B740" s="344"/>
      <c r="C740" s="344"/>
      <c r="D740" s="344"/>
      <c r="E740" s="344"/>
      <c r="F740" s="344"/>
      <c r="G740" s="344"/>
      <c r="H740" s="344"/>
    </row>
    <row r="741">
      <c r="A741" s="344"/>
      <c r="B741" s="344"/>
      <c r="C741" s="344"/>
      <c r="D741" s="344"/>
      <c r="E741" s="344"/>
      <c r="F741" s="344"/>
      <c r="G741" s="344"/>
      <c r="H741" s="344"/>
    </row>
    <row r="742">
      <c r="A742" s="344"/>
      <c r="B742" s="344"/>
      <c r="C742" s="344"/>
      <c r="D742" s="344"/>
      <c r="E742" s="344"/>
      <c r="F742" s="344"/>
      <c r="G742" s="344"/>
      <c r="H742" s="344"/>
    </row>
    <row r="743">
      <c r="A743" s="344"/>
      <c r="B743" s="344"/>
      <c r="C743" s="344"/>
      <c r="D743" s="344"/>
      <c r="E743" s="344"/>
      <c r="F743" s="344"/>
      <c r="G743" s="344"/>
      <c r="H743" s="344"/>
    </row>
    <row r="744">
      <c r="A744" s="344"/>
      <c r="B744" s="344"/>
      <c r="C744" s="344"/>
      <c r="D744" s="344"/>
      <c r="E744" s="344"/>
      <c r="F744" s="344"/>
      <c r="G744" s="344"/>
      <c r="H744" s="344"/>
    </row>
    <row r="745">
      <c r="A745" s="344"/>
      <c r="B745" s="344"/>
      <c r="C745" s="344"/>
      <c r="D745" s="344"/>
      <c r="E745" s="344"/>
      <c r="F745" s="344"/>
      <c r="G745" s="344"/>
      <c r="H745" s="344"/>
    </row>
    <row r="746">
      <c r="A746" s="344"/>
      <c r="B746" s="344"/>
      <c r="C746" s="344"/>
      <c r="D746" s="344"/>
      <c r="E746" s="344"/>
      <c r="F746" s="344"/>
      <c r="G746" s="344"/>
      <c r="H746" s="344"/>
    </row>
    <row r="747">
      <c r="A747" s="344"/>
      <c r="B747" s="344"/>
      <c r="C747" s="344"/>
      <c r="D747" s="344"/>
      <c r="E747" s="344"/>
      <c r="F747" s="344"/>
      <c r="G747" s="344"/>
      <c r="H747" s="344"/>
    </row>
    <row r="748">
      <c r="A748" s="344"/>
      <c r="B748" s="344"/>
      <c r="C748" s="344"/>
      <c r="D748" s="344"/>
      <c r="E748" s="344"/>
      <c r="F748" s="344"/>
      <c r="G748" s="344"/>
      <c r="H748" s="344"/>
    </row>
    <row r="749">
      <c r="A749" s="344"/>
      <c r="B749" s="344"/>
      <c r="C749" s="344"/>
      <c r="D749" s="344"/>
      <c r="E749" s="344"/>
      <c r="F749" s="344"/>
      <c r="G749" s="344"/>
      <c r="H749" s="344"/>
    </row>
    <row r="750">
      <c r="A750" s="344"/>
      <c r="B750" s="344"/>
      <c r="C750" s="344"/>
      <c r="D750" s="344"/>
      <c r="E750" s="344"/>
      <c r="F750" s="344"/>
      <c r="G750" s="344"/>
      <c r="H750" s="344"/>
    </row>
    <row r="751">
      <c r="A751" s="344"/>
      <c r="B751" s="344"/>
      <c r="C751" s="344"/>
      <c r="D751" s="344"/>
      <c r="E751" s="344"/>
      <c r="F751" s="344"/>
      <c r="G751" s="344"/>
      <c r="H751" s="344"/>
    </row>
    <row r="752">
      <c r="A752" s="344"/>
      <c r="B752" s="344"/>
      <c r="C752" s="344"/>
      <c r="D752" s="344"/>
      <c r="E752" s="344"/>
      <c r="F752" s="344"/>
      <c r="G752" s="344"/>
      <c r="H752" s="344"/>
    </row>
    <row r="753">
      <c r="A753" s="344"/>
      <c r="B753" s="344"/>
      <c r="C753" s="344"/>
      <c r="D753" s="344"/>
      <c r="E753" s="344"/>
      <c r="F753" s="344"/>
      <c r="G753" s="344"/>
      <c r="H753" s="344"/>
    </row>
    <row r="754">
      <c r="A754" s="344"/>
      <c r="B754" s="344"/>
      <c r="C754" s="344"/>
      <c r="D754" s="344"/>
      <c r="E754" s="344"/>
      <c r="F754" s="344"/>
      <c r="G754" s="344"/>
      <c r="H754" s="344"/>
    </row>
    <row r="755">
      <c r="A755" s="344"/>
      <c r="B755" s="344"/>
      <c r="C755" s="344"/>
      <c r="D755" s="344"/>
      <c r="E755" s="344"/>
      <c r="F755" s="344"/>
      <c r="G755" s="344"/>
      <c r="H755" s="344"/>
    </row>
    <row r="756">
      <c r="A756" s="344"/>
      <c r="B756" s="344"/>
      <c r="C756" s="344"/>
      <c r="D756" s="344"/>
      <c r="E756" s="344"/>
      <c r="F756" s="344"/>
      <c r="G756" s="344"/>
      <c r="H756" s="344"/>
    </row>
    <row r="757">
      <c r="A757" s="344"/>
      <c r="B757" s="344"/>
      <c r="C757" s="344"/>
      <c r="D757" s="344"/>
      <c r="E757" s="344"/>
      <c r="F757" s="344"/>
      <c r="G757" s="344"/>
      <c r="H757" s="344"/>
    </row>
    <row r="758">
      <c r="A758" s="344"/>
      <c r="B758" s="344"/>
      <c r="C758" s="344"/>
      <c r="D758" s="344"/>
      <c r="E758" s="344"/>
      <c r="F758" s="344"/>
      <c r="G758" s="344"/>
      <c r="H758" s="344"/>
    </row>
    <row r="759">
      <c r="A759" s="344"/>
      <c r="B759" s="344"/>
      <c r="C759" s="344"/>
      <c r="D759" s="344"/>
      <c r="E759" s="344"/>
      <c r="F759" s="344"/>
      <c r="G759" s="344"/>
      <c r="H759" s="344"/>
    </row>
    <row r="760">
      <c r="A760" s="344"/>
      <c r="B760" s="344"/>
      <c r="C760" s="344"/>
      <c r="D760" s="344"/>
      <c r="E760" s="344"/>
      <c r="F760" s="344"/>
      <c r="G760" s="344"/>
      <c r="H760" s="344"/>
    </row>
    <row r="761">
      <c r="A761" s="344"/>
      <c r="B761" s="344"/>
      <c r="C761" s="344"/>
      <c r="D761" s="344"/>
      <c r="E761" s="344"/>
      <c r="F761" s="344"/>
      <c r="G761" s="344"/>
      <c r="H761" s="344"/>
    </row>
    <row r="762">
      <c r="A762" s="344"/>
      <c r="B762" s="344"/>
      <c r="C762" s="344"/>
      <c r="D762" s="344"/>
      <c r="E762" s="344"/>
      <c r="F762" s="344"/>
      <c r="G762" s="344"/>
      <c r="H762" s="344"/>
    </row>
    <row r="763">
      <c r="A763" s="344"/>
      <c r="B763" s="344"/>
      <c r="C763" s="344"/>
      <c r="D763" s="344"/>
      <c r="E763" s="344"/>
      <c r="F763" s="344"/>
      <c r="G763" s="344"/>
      <c r="H763" s="344"/>
    </row>
    <row r="764">
      <c r="A764" s="344"/>
      <c r="B764" s="344"/>
      <c r="C764" s="344"/>
      <c r="D764" s="344"/>
      <c r="E764" s="344"/>
      <c r="F764" s="344"/>
      <c r="G764" s="344"/>
      <c r="H764" s="344"/>
    </row>
    <row r="765">
      <c r="A765" s="344"/>
      <c r="B765" s="344"/>
      <c r="C765" s="344"/>
      <c r="D765" s="344"/>
      <c r="E765" s="344"/>
      <c r="F765" s="344"/>
      <c r="G765" s="344"/>
      <c r="H765" s="344"/>
    </row>
    <row r="766">
      <c r="A766" s="344"/>
      <c r="B766" s="344"/>
      <c r="C766" s="344"/>
      <c r="D766" s="344"/>
      <c r="E766" s="344"/>
      <c r="F766" s="344"/>
      <c r="G766" s="344"/>
      <c r="H766" s="344"/>
    </row>
    <row r="767">
      <c r="A767" s="344"/>
      <c r="B767" s="344"/>
      <c r="C767" s="344"/>
      <c r="D767" s="344"/>
      <c r="E767" s="344"/>
      <c r="F767" s="344"/>
      <c r="G767" s="344"/>
      <c r="H767" s="344"/>
    </row>
    <row r="768">
      <c r="A768" s="344"/>
      <c r="B768" s="344"/>
      <c r="C768" s="344"/>
      <c r="D768" s="344"/>
      <c r="E768" s="344"/>
      <c r="F768" s="344"/>
      <c r="G768" s="344"/>
      <c r="H768" s="344"/>
    </row>
    <row r="769">
      <c r="A769" s="344"/>
      <c r="B769" s="344"/>
      <c r="C769" s="344"/>
      <c r="D769" s="344"/>
      <c r="E769" s="344"/>
      <c r="F769" s="344"/>
      <c r="G769" s="344"/>
      <c r="H769" s="344"/>
    </row>
    <row r="770">
      <c r="A770" s="344"/>
      <c r="B770" s="344"/>
      <c r="C770" s="344"/>
      <c r="D770" s="344"/>
      <c r="E770" s="344"/>
      <c r="F770" s="344"/>
      <c r="G770" s="344"/>
      <c r="H770" s="344"/>
    </row>
    <row r="771">
      <c r="A771" s="344"/>
      <c r="B771" s="344"/>
      <c r="C771" s="344"/>
      <c r="D771" s="344"/>
      <c r="E771" s="344"/>
      <c r="F771" s="344"/>
      <c r="G771" s="344"/>
      <c r="H771" s="344"/>
    </row>
    <row r="772">
      <c r="A772" s="344"/>
      <c r="B772" s="344"/>
      <c r="C772" s="344"/>
      <c r="D772" s="344"/>
      <c r="E772" s="344"/>
      <c r="F772" s="344"/>
      <c r="G772" s="344"/>
      <c r="H772" s="344"/>
    </row>
    <row r="773">
      <c r="A773" s="344"/>
      <c r="B773" s="344"/>
      <c r="C773" s="344"/>
      <c r="D773" s="344"/>
      <c r="E773" s="344"/>
      <c r="F773" s="344"/>
      <c r="G773" s="344"/>
      <c r="H773" s="344"/>
    </row>
    <row r="774">
      <c r="A774" s="344"/>
      <c r="B774" s="344"/>
      <c r="C774" s="344"/>
      <c r="D774" s="344"/>
      <c r="E774" s="344"/>
      <c r="F774" s="344"/>
      <c r="G774" s="344"/>
      <c r="H774" s="344"/>
    </row>
    <row r="775">
      <c r="A775" s="344"/>
      <c r="B775" s="344"/>
      <c r="C775" s="344"/>
      <c r="D775" s="344"/>
      <c r="E775" s="344"/>
      <c r="F775" s="344"/>
      <c r="G775" s="344"/>
      <c r="H775" s="344"/>
    </row>
    <row r="776">
      <c r="A776" s="344"/>
      <c r="B776" s="344"/>
      <c r="C776" s="344"/>
      <c r="D776" s="344"/>
      <c r="E776" s="344"/>
      <c r="F776" s="344"/>
      <c r="G776" s="344"/>
      <c r="H776" s="344"/>
    </row>
    <row r="777">
      <c r="A777" s="344"/>
      <c r="B777" s="344"/>
      <c r="C777" s="344"/>
      <c r="D777" s="344"/>
      <c r="E777" s="344"/>
      <c r="F777" s="344"/>
      <c r="G777" s="344"/>
      <c r="H777" s="344"/>
    </row>
    <row r="778">
      <c r="A778" s="344"/>
      <c r="B778" s="344"/>
      <c r="C778" s="344"/>
      <c r="D778" s="344"/>
      <c r="E778" s="344"/>
      <c r="F778" s="344"/>
      <c r="G778" s="344"/>
      <c r="H778" s="344"/>
    </row>
    <row r="779">
      <c r="A779" s="344"/>
      <c r="B779" s="344"/>
      <c r="C779" s="344"/>
      <c r="D779" s="344"/>
      <c r="E779" s="344"/>
      <c r="F779" s="344"/>
      <c r="G779" s="344"/>
      <c r="H779" s="344"/>
    </row>
    <row r="780">
      <c r="A780" s="344"/>
      <c r="B780" s="344"/>
      <c r="C780" s="344"/>
      <c r="D780" s="344"/>
      <c r="E780" s="344"/>
      <c r="F780" s="344"/>
      <c r="G780" s="344"/>
      <c r="H780" s="344"/>
    </row>
    <row r="781">
      <c r="A781" s="344"/>
      <c r="B781" s="344"/>
      <c r="C781" s="344"/>
      <c r="D781" s="344"/>
      <c r="E781" s="344"/>
      <c r="F781" s="344"/>
      <c r="G781" s="344"/>
      <c r="H781" s="344"/>
    </row>
    <row r="782">
      <c r="A782" s="344"/>
      <c r="B782" s="344"/>
      <c r="C782" s="344"/>
      <c r="D782" s="344"/>
      <c r="E782" s="344"/>
      <c r="F782" s="344"/>
      <c r="G782" s="344"/>
      <c r="H782" s="344"/>
    </row>
    <row r="783">
      <c r="A783" s="344"/>
      <c r="B783" s="344"/>
      <c r="C783" s="344"/>
      <c r="D783" s="344"/>
      <c r="E783" s="344"/>
      <c r="F783" s="344"/>
      <c r="G783" s="344"/>
      <c r="H783" s="344"/>
    </row>
    <row r="784">
      <c r="A784" s="344"/>
      <c r="B784" s="344"/>
      <c r="C784" s="344"/>
      <c r="D784" s="344"/>
      <c r="E784" s="344"/>
      <c r="F784" s="344"/>
      <c r="G784" s="344"/>
      <c r="H784" s="344"/>
    </row>
    <row r="785">
      <c r="A785" s="344"/>
      <c r="B785" s="344"/>
      <c r="C785" s="344"/>
      <c r="D785" s="344"/>
      <c r="E785" s="344"/>
      <c r="F785" s="344"/>
      <c r="G785" s="344"/>
      <c r="H785" s="344"/>
    </row>
    <row r="786">
      <c r="A786" s="344"/>
      <c r="B786" s="344"/>
      <c r="C786" s="344"/>
      <c r="D786" s="344"/>
      <c r="E786" s="344"/>
      <c r="F786" s="344"/>
      <c r="G786" s="344"/>
      <c r="H786" s="344"/>
    </row>
    <row r="787">
      <c r="A787" s="344"/>
      <c r="B787" s="344"/>
      <c r="C787" s="344"/>
      <c r="D787" s="344"/>
      <c r="E787" s="344"/>
      <c r="F787" s="344"/>
      <c r="G787" s="344"/>
      <c r="H787" s="344"/>
    </row>
    <row r="788">
      <c r="A788" s="344"/>
      <c r="B788" s="344"/>
      <c r="C788" s="344"/>
      <c r="D788" s="344"/>
      <c r="E788" s="344"/>
      <c r="F788" s="344"/>
      <c r="G788" s="344"/>
      <c r="H788" s="344"/>
    </row>
    <row r="789">
      <c r="A789" s="344"/>
      <c r="B789" s="344"/>
      <c r="C789" s="344"/>
      <c r="D789" s="344"/>
      <c r="E789" s="344"/>
      <c r="F789" s="344"/>
      <c r="G789" s="344"/>
      <c r="H789" s="344"/>
    </row>
    <row r="790">
      <c r="A790" s="344"/>
      <c r="B790" s="344"/>
      <c r="C790" s="344"/>
      <c r="D790" s="344"/>
      <c r="E790" s="344"/>
      <c r="F790" s="344"/>
      <c r="G790" s="344"/>
      <c r="H790" s="344"/>
    </row>
    <row r="791">
      <c r="A791" s="344"/>
      <c r="B791" s="344"/>
      <c r="C791" s="344"/>
      <c r="D791" s="344"/>
      <c r="E791" s="344"/>
      <c r="F791" s="344"/>
      <c r="G791" s="344"/>
      <c r="H791" s="344"/>
    </row>
    <row r="792">
      <c r="A792" s="344"/>
      <c r="B792" s="344"/>
      <c r="C792" s="344"/>
      <c r="D792" s="344"/>
      <c r="E792" s="344"/>
      <c r="F792" s="344"/>
      <c r="G792" s="344"/>
      <c r="H792" s="344"/>
    </row>
    <row r="793">
      <c r="A793" s="344"/>
      <c r="B793" s="344"/>
      <c r="C793" s="344"/>
      <c r="D793" s="344"/>
      <c r="E793" s="344"/>
      <c r="F793" s="344"/>
      <c r="G793" s="344"/>
      <c r="H793" s="344"/>
    </row>
    <row r="794">
      <c r="A794" s="344"/>
      <c r="B794" s="344"/>
      <c r="C794" s="344"/>
      <c r="D794" s="344"/>
      <c r="E794" s="344"/>
      <c r="F794" s="344"/>
      <c r="G794" s="344"/>
      <c r="H794" s="344"/>
    </row>
    <row r="795">
      <c r="A795" s="344"/>
      <c r="B795" s="344"/>
      <c r="C795" s="344"/>
      <c r="D795" s="344"/>
      <c r="E795" s="344"/>
      <c r="F795" s="344"/>
      <c r="G795" s="344"/>
      <c r="H795" s="344"/>
    </row>
    <row r="796">
      <c r="A796" s="344"/>
      <c r="B796" s="344"/>
      <c r="C796" s="344"/>
      <c r="D796" s="344"/>
      <c r="E796" s="344"/>
      <c r="F796" s="344"/>
      <c r="G796" s="344"/>
      <c r="H796" s="344"/>
    </row>
    <row r="797">
      <c r="A797" s="344"/>
      <c r="B797" s="344"/>
      <c r="C797" s="344"/>
      <c r="D797" s="344"/>
      <c r="E797" s="344"/>
      <c r="F797" s="344"/>
      <c r="G797" s="344"/>
      <c r="H797" s="344"/>
    </row>
    <row r="798">
      <c r="A798" s="344"/>
      <c r="B798" s="344"/>
      <c r="C798" s="344"/>
      <c r="D798" s="344"/>
      <c r="E798" s="344"/>
      <c r="F798" s="344"/>
      <c r="G798" s="344"/>
      <c r="H798" s="344"/>
    </row>
    <row r="799">
      <c r="A799" s="344"/>
      <c r="B799" s="344"/>
      <c r="C799" s="344"/>
      <c r="D799" s="344"/>
      <c r="E799" s="344"/>
      <c r="F799" s="344"/>
      <c r="G799" s="344"/>
      <c r="H799" s="344"/>
    </row>
    <row r="800">
      <c r="A800" s="344"/>
      <c r="B800" s="344"/>
      <c r="C800" s="344"/>
      <c r="D800" s="344"/>
      <c r="E800" s="344"/>
      <c r="F800" s="344"/>
      <c r="G800" s="344"/>
      <c r="H800" s="344"/>
    </row>
    <row r="801">
      <c r="A801" s="344"/>
      <c r="B801" s="344"/>
      <c r="C801" s="344"/>
      <c r="D801" s="344"/>
      <c r="E801" s="344"/>
      <c r="F801" s="344"/>
      <c r="G801" s="344"/>
      <c r="H801" s="344"/>
    </row>
    <row r="802">
      <c r="A802" s="344"/>
      <c r="B802" s="344"/>
      <c r="C802" s="344"/>
      <c r="D802" s="344"/>
      <c r="E802" s="344"/>
      <c r="F802" s="344"/>
      <c r="G802" s="344"/>
      <c r="H802" s="344"/>
    </row>
    <row r="803">
      <c r="A803" s="344"/>
      <c r="B803" s="344"/>
      <c r="C803" s="344"/>
      <c r="D803" s="344"/>
      <c r="E803" s="344"/>
      <c r="F803" s="344"/>
      <c r="G803" s="344"/>
      <c r="H803" s="344"/>
    </row>
    <row r="804">
      <c r="A804" s="344"/>
      <c r="B804" s="344"/>
      <c r="C804" s="344"/>
      <c r="D804" s="344"/>
      <c r="E804" s="344"/>
      <c r="F804" s="344"/>
      <c r="G804" s="344"/>
      <c r="H804" s="344"/>
    </row>
    <row r="805">
      <c r="A805" s="344"/>
      <c r="B805" s="344"/>
      <c r="C805" s="344"/>
      <c r="D805" s="344"/>
      <c r="E805" s="344"/>
      <c r="F805" s="344"/>
      <c r="G805" s="344"/>
      <c r="H805" s="344"/>
    </row>
    <row r="806">
      <c r="A806" s="344"/>
      <c r="B806" s="344"/>
      <c r="C806" s="344"/>
      <c r="D806" s="344"/>
      <c r="E806" s="344"/>
      <c r="F806" s="344"/>
      <c r="G806" s="344"/>
      <c r="H806" s="344"/>
    </row>
    <row r="807">
      <c r="A807" s="344"/>
      <c r="B807" s="344"/>
      <c r="C807" s="344"/>
      <c r="D807" s="344"/>
      <c r="E807" s="344"/>
      <c r="F807" s="344"/>
      <c r="G807" s="344"/>
      <c r="H807" s="344"/>
    </row>
    <row r="808">
      <c r="A808" s="344"/>
      <c r="B808" s="344"/>
      <c r="C808" s="344"/>
      <c r="D808" s="344"/>
      <c r="E808" s="344"/>
      <c r="F808" s="344"/>
      <c r="G808" s="344"/>
      <c r="H808" s="344"/>
    </row>
    <row r="809">
      <c r="A809" s="344"/>
      <c r="B809" s="344"/>
      <c r="C809" s="344"/>
      <c r="D809" s="344"/>
      <c r="E809" s="344"/>
      <c r="F809" s="344"/>
      <c r="G809" s="344"/>
      <c r="H809" s="344"/>
    </row>
    <row r="810">
      <c r="A810" s="344"/>
      <c r="B810" s="344"/>
      <c r="C810" s="344"/>
      <c r="D810" s="344"/>
      <c r="E810" s="344"/>
      <c r="F810" s="344"/>
      <c r="G810" s="344"/>
      <c r="H810" s="344"/>
    </row>
    <row r="811">
      <c r="A811" s="344"/>
      <c r="B811" s="344"/>
      <c r="C811" s="344"/>
      <c r="D811" s="344"/>
      <c r="E811" s="344"/>
      <c r="F811" s="344"/>
      <c r="G811" s="344"/>
      <c r="H811" s="344"/>
    </row>
    <row r="812">
      <c r="A812" s="344"/>
      <c r="B812" s="344"/>
      <c r="C812" s="344"/>
      <c r="D812" s="344"/>
      <c r="E812" s="344"/>
      <c r="F812" s="344"/>
      <c r="G812" s="344"/>
      <c r="H812" s="344"/>
    </row>
    <row r="813">
      <c r="A813" s="344"/>
      <c r="B813" s="344"/>
      <c r="C813" s="344"/>
      <c r="D813" s="344"/>
      <c r="E813" s="344"/>
      <c r="F813" s="344"/>
      <c r="G813" s="344"/>
      <c r="H813" s="344"/>
    </row>
    <row r="814">
      <c r="A814" s="344"/>
      <c r="B814" s="344"/>
      <c r="C814" s="344"/>
      <c r="D814" s="344"/>
      <c r="E814" s="344"/>
      <c r="F814" s="344"/>
      <c r="G814" s="344"/>
      <c r="H814" s="344"/>
    </row>
    <row r="815">
      <c r="A815" s="344"/>
      <c r="B815" s="344"/>
      <c r="C815" s="344"/>
      <c r="D815" s="344"/>
      <c r="E815" s="344"/>
      <c r="F815" s="344"/>
      <c r="G815" s="344"/>
      <c r="H815" s="344"/>
    </row>
    <row r="816">
      <c r="A816" s="344"/>
      <c r="B816" s="344"/>
      <c r="C816" s="344"/>
      <c r="D816" s="344"/>
      <c r="E816" s="344"/>
      <c r="F816" s="344"/>
      <c r="G816" s="344"/>
      <c r="H816" s="344"/>
    </row>
    <row r="817">
      <c r="A817" s="344"/>
      <c r="B817" s="344"/>
      <c r="C817" s="344"/>
      <c r="D817" s="344"/>
      <c r="E817" s="344"/>
      <c r="F817" s="344"/>
      <c r="G817" s="344"/>
      <c r="H817" s="344"/>
    </row>
    <row r="818">
      <c r="A818" s="344"/>
      <c r="B818" s="344"/>
      <c r="C818" s="344"/>
      <c r="D818" s="344"/>
      <c r="E818" s="344"/>
      <c r="F818" s="344"/>
      <c r="G818" s="344"/>
      <c r="H818" s="344"/>
    </row>
    <row r="819">
      <c r="A819" s="344"/>
      <c r="B819" s="344"/>
      <c r="C819" s="344"/>
      <c r="D819" s="344"/>
      <c r="E819" s="344"/>
      <c r="F819" s="344"/>
      <c r="G819" s="344"/>
      <c r="H819" s="344"/>
    </row>
    <row r="820">
      <c r="A820" s="344"/>
      <c r="B820" s="344"/>
      <c r="C820" s="344"/>
      <c r="D820" s="344"/>
      <c r="E820" s="344"/>
      <c r="F820" s="344"/>
      <c r="G820" s="344"/>
      <c r="H820" s="344"/>
    </row>
    <row r="821">
      <c r="A821" s="344"/>
      <c r="B821" s="344"/>
      <c r="C821" s="344"/>
      <c r="D821" s="344"/>
      <c r="E821" s="344"/>
      <c r="F821" s="344"/>
      <c r="G821" s="344"/>
      <c r="H821" s="344"/>
    </row>
    <row r="822">
      <c r="A822" s="344"/>
      <c r="B822" s="344"/>
      <c r="C822" s="344"/>
      <c r="D822" s="344"/>
      <c r="E822" s="344"/>
      <c r="F822" s="344"/>
      <c r="G822" s="344"/>
      <c r="H822" s="344"/>
    </row>
    <row r="823">
      <c r="A823" s="344"/>
      <c r="B823" s="344"/>
      <c r="C823" s="344"/>
      <c r="D823" s="344"/>
      <c r="E823" s="344"/>
      <c r="F823" s="344"/>
      <c r="G823" s="344"/>
      <c r="H823" s="344"/>
    </row>
    <row r="824">
      <c r="A824" s="344"/>
      <c r="B824" s="344"/>
      <c r="C824" s="344"/>
      <c r="D824" s="344"/>
      <c r="E824" s="344"/>
      <c r="F824" s="344"/>
      <c r="G824" s="344"/>
      <c r="H824" s="344"/>
    </row>
    <row r="825">
      <c r="A825" s="344"/>
      <c r="B825" s="344"/>
      <c r="C825" s="344"/>
      <c r="D825" s="344"/>
      <c r="E825" s="344"/>
      <c r="F825" s="344"/>
      <c r="G825" s="344"/>
      <c r="H825" s="344"/>
    </row>
    <row r="826">
      <c r="A826" s="344"/>
      <c r="B826" s="344"/>
      <c r="C826" s="344"/>
      <c r="D826" s="344"/>
      <c r="E826" s="344"/>
      <c r="F826" s="344"/>
      <c r="G826" s="344"/>
      <c r="H826" s="344"/>
    </row>
    <row r="827">
      <c r="A827" s="344"/>
      <c r="B827" s="344"/>
      <c r="C827" s="344"/>
      <c r="D827" s="344"/>
      <c r="E827" s="344"/>
      <c r="F827" s="344"/>
      <c r="G827" s="344"/>
      <c r="H827" s="344"/>
    </row>
    <row r="828">
      <c r="A828" s="344"/>
      <c r="B828" s="344"/>
      <c r="C828" s="344"/>
      <c r="D828" s="344"/>
      <c r="E828" s="344"/>
      <c r="F828" s="344"/>
      <c r="G828" s="344"/>
      <c r="H828" s="344"/>
    </row>
    <row r="829">
      <c r="A829" s="344"/>
      <c r="B829" s="344"/>
      <c r="C829" s="344"/>
      <c r="D829" s="344"/>
      <c r="E829" s="344"/>
      <c r="F829" s="344"/>
      <c r="G829" s="344"/>
      <c r="H829" s="344"/>
    </row>
    <row r="830">
      <c r="A830" s="344"/>
      <c r="B830" s="344"/>
      <c r="C830" s="344"/>
      <c r="D830" s="344"/>
      <c r="E830" s="344"/>
      <c r="F830" s="344"/>
      <c r="G830" s="344"/>
      <c r="H830" s="344"/>
    </row>
    <row r="831">
      <c r="A831" s="344"/>
      <c r="B831" s="344"/>
      <c r="C831" s="344"/>
      <c r="D831" s="344"/>
      <c r="E831" s="344"/>
      <c r="F831" s="344"/>
      <c r="G831" s="344"/>
      <c r="H831" s="344"/>
    </row>
    <row r="832">
      <c r="A832" s="344"/>
      <c r="B832" s="344"/>
      <c r="C832" s="344"/>
      <c r="D832" s="344"/>
      <c r="E832" s="344"/>
      <c r="F832" s="344"/>
      <c r="G832" s="344"/>
      <c r="H832" s="344"/>
    </row>
    <row r="833">
      <c r="A833" s="344"/>
      <c r="B833" s="344"/>
      <c r="C833" s="344"/>
      <c r="D833" s="344"/>
      <c r="E833" s="344"/>
      <c r="F833" s="344"/>
      <c r="G833" s="344"/>
      <c r="H833" s="344"/>
    </row>
    <row r="834">
      <c r="A834" s="344"/>
      <c r="B834" s="344"/>
      <c r="C834" s="344"/>
      <c r="D834" s="344"/>
      <c r="E834" s="344"/>
      <c r="F834" s="344"/>
      <c r="G834" s="344"/>
      <c r="H834" s="344"/>
    </row>
    <row r="835">
      <c r="A835" s="344"/>
      <c r="B835" s="344"/>
      <c r="C835" s="344"/>
      <c r="D835" s="344"/>
      <c r="E835" s="344"/>
      <c r="F835" s="344"/>
      <c r="G835" s="344"/>
      <c r="H835" s="344"/>
    </row>
    <row r="836">
      <c r="A836" s="344"/>
      <c r="B836" s="344"/>
      <c r="C836" s="344"/>
      <c r="D836" s="344"/>
      <c r="E836" s="344"/>
      <c r="F836" s="344"/>
      <c r="G836" s="344"/>
      <c r="H836" s="344"/>
    </row>
    <row r="837">
      <c r="A837" s="344"/>
      <c r="B837" s="344"/>
      <c r="C837" s="344"/>
      <c r="D837" s="344"/>
      <c r="E837" s="344"/>
      <c r="F837" s="344"/>
      <c r="G837" s="344"/>
      <c r="H837" s="344"/>
    </row>
    <row r="838">
      <c r="A838" s="344"/>
      <c r="B838" s="344"/>
      <c r="C838" s="344"/>
      <c r="D838" s="344"/>
      <c r="E838" s="344"/>
      <c r="F838" s="344"/>
      <c r="G838" s="344"/>
      <c r="H838" s="344"/>
    </row>
    <row r="839">
      <c r="A839" s="344"/>
      <c r="B839" s="344"/>
      <c r="C839" s="344"/>
      <c r="D839" s="344"/>
      <c r="E839" s="344"/>
      <c r="F839" s="344"/>
      <c r="G839" s="344"/>
      <c r="H839" s="344"/>
    </row>
    <row r="840">
      <c r="A840" s="344"/>
      <c r="B840" s="344"/>
      <c r="C840" s="344"/>
      <c r="D840" s="344"/>
      <c r="E840" s="344"/>
      <c r="F840" s="344"/>
      <c r="G840" s="344"/>
      <c r="H840" s="344"/>
    </row>
    <row r="841">
      <c r="A841" s="344"/>
      <c r="B841" s="344"/>
      <c r="C841" s="344"/>
      <c r="D841" s="344"/>
      <c r="E841" s="344"/>
      <c r="F841" s="344"/>
      <c r="G841" s="344"/>
      <c r="H841" s="344"/>
    </row>
    <row r="842">
      <c r="A842" s="344"/>
      <c r="B842" s="344"/>
      <c r="C842" s="344"/>
      <c r="D842" s="344"/>
      <c r="E842" s="344"/>
      <c r="F842" s="344"/>
      <c r="G842" s="344"/>
      <c r="H842" s="344"/>
    </row>
    <row r="843">
      <c r="A843" s="344"/>
      <c r="B843" s="344"/>
      <c r="C843" s="344"/>
      <c r="D843" s="344"/>
      <c r="E843" s="344"/>
      <c r="F843" s="344"/>
      <c r="G843" s="344"/>
      <c r="H843" s="344"/>
    </row>
    <row r="844">
      <c r="A844" s="344"/>
      <c r="B844" s="344"/>
      <c r="C844" s="344"/>
      <c r="D844" s="344"/>
      <c r="E844" s="344"/>
      <c r="F844" s="344"/>
      <c r="G844" s="344"/>
      <c r="H844" s="344"/>
    </row>
    <row r="845">
      <c r="A845" s="344"/>
      <c r="B845" s="344"/>
      <c r="C845" s="344"/>
      <c r="D845" s="344"/>
      <c r="E845" s="344"/>
      <c r="F845" s="344"/>
      <c r="G845" s="344"/>
      <c r="H845" s="344"/>
    </row>
    <row r="846">
      <c r="A846" s="344"/>
      <c r="B846" s="344"/>
      <c r="C846" s="344"/>
      <c r="D846" s="344"/>
      <c r="E846" s="344"/>
      <c r="F846" s="344"/>
      <c r="G846" s="344"/>
      <c r="H846" s="344"/>
    </row>
    <row r="847">
      <c r="A847" s="344"/>
      <c r="B847" s="344"/>
      <c r="C847" s="344"/>
      <c r="D847" s="344"/>
      <c r="E847" s="344"/>
      <c r="F847" s="344"/>
      <c r="G847" s="344"/>
      <c r="H847" s="344"/>
    </row>
    <row r="848">
      <c r="A848" s="344"/>
      <c r="B848" s="344"/>
      <c r="C848" s="344"/>
      <c r="D848" s="344"/>
      <c r="E848" s="344"/>
      <c r="F848" s="344"/>
      <c r="G848" s="344"/>
      <c r="H848" s="344"/>
    </row>
    <row r="849">
      <c r="A849" s="344"/>
      <c r="B849" s="344"/>
      <c r="C849" s="344"/>
      <c r="D849" s="344"/>
      <c r="E849" s="344"/>
      <c r="F849" s="344"/>
      <c r="G849" s="344"/>
      <c r="H849" s="344"/>
    </row>
    <row r="850">
      <c r="A850" s="344"/>
      <c r="B850" s="344"/>
      <c r="C850" s="344"/>
      <c r="D850" s="344"/>
      <c r="E850" s="344"/>
      <c r="F850" s="344"/>
      <c r="G850" s="344"/>
      <c r="H850" s="344"/>
    </row>
    <row r="851">
      <c r="A851" s="344"/>
      <c r="B851" s="344"/>
      <c r="C851" s="344"/>
      <c r="D851" s="344"/>
      <c r="E851" s="344"/>
      <c r="F851" s="344"/>
      <c r="G851" s="344"/>
      <c r="H851" s="344"/>
    </row>
    <row r="852">
      <c r="A852" s="344"/>
      <c r="B852" s="344"/>
      <c r="C852" s="344"/>
      <c r="D852" s="344"/>
      <c r="E852" s="344"/>
      <c r="F852" s="344"/>
      <c r="G852" s="344"/>
      <c r="H852" s="344"/>
    </row>
    <row r="853">
      <c r="A853" s="344"/>
      <c r="B853" s="344"/>
      <c r="C853" s="344"/>
      <c r="D853" s="344"/>
      <c r="E853" s="344"/>
      <c r="F853" s="344"/>
      <c r="G853" s="344"/>
      <c r="H853" s="344"/>
    </row>
    <row r="854">
      <c r="A854" s="344"/>
      <c r="B854" s="344"/>
      <c r="C854" s="344"/>
      <c r="D854" s="344"/>
      <c r="E854" s="344"/>
      <c r="F854" s="344"/>
      <c r="G854" s="344"/>
      <c r="H854" s="344"/>
    </row>
    <row r="855">
      <c r="A855" s="344"/>
      <c r="B855" s="344"/>
      <c r="C855" s="344"/>
      <c r="D855" s="344"/>
      <c r="E855" s="344"/>
      <c r="F855" s="344"/>
      <c r="G855" s="344"/>
      <c r="H855" s="344"/>
    </row>
    <row r="856">
      <c r="A856" s="344"/>
      <c r="B856" s="344"/>
      <c r="C856" s="344"/>
      <c r="D856" s="344"/>
      <c r="E856" s="344"/>
      <c r="F856" s="344"/>
      <c r="G856" s="344"/>
      <c r="H856" s="344"/>
    </row>
    <row r="857">
      <c r="A857" s="344"/>
      <c r="B857" s="344"/>
      <c r="C857" s="344"/>
      <c r="D857" s="344"/>
      <c r="E857" s="344"/>
      <c r="F857" s="344"/>
      <c r="G857" s="344"/>
      <c r="H857" s="344"/>
    </row>
    <row r="858">
      <c r="A858" s="344"/>
      <c r="B858" s="344"/>
      <c r="C858" s="344"/>
      <c r="D858" s="344"/>
      <c r="E858" s="344"/>
      <c r="F858" s="344"/>
      <c r="G858" s="344"/>
      <c r="H858" s="344"/>
    </row>
    <row r="859">
      <c r="A859" s="344"/>
      <c r="B859" s="344"/>
      <c r="C859" s="344"/>
      <c r="D859" s="344"/>
      <c r="E859" s="344"/>
      <c r="F859" s="344"/>
      <c r="G859" s="344"/>
      <c r="H859" s="344"/>
    </row>
    <row r="860">
      <c r="A860" s="344"/>
      <c r="B860" s="344"/>
      <c r="C860" s="344"/>
      <c r="D860" s="344"/>
      <c r="E860" s="344"/>
      <c r="F860" s="344"/>
      <c r="G860" s="344"/>
      <c r="H860" s="344"/>
    </row>
    <row r="861">
      <c r="A861" s="344"/>
      <c r="B861" s="344"/>
      <c r="C861" s="344"/>
      <c r="D861" s="344"/>
      <c r="E861" s="344"/>
      <c r="F861" s="344"/>
      <c r="G861" s="344"/>
      <c r="H861" s="344"/>
    </row>
    <row r="862">
      <c r="A862" s="344"/>
      <c r="B862" s="344"/>
      <c r="C862" s="344"/>
      <c r="D862" s="344"/>
      <c r="E862" s="344"/>
      <c r="F862" s="344"/>
      <c r="G862" s="344"/>
      <c r="H862" s="344"/>
    </row>
    <row r="863">
      <c r="A863" s="344"/>
      <c r="B863" s="344"/>
      <c r="C863" s="344"/>
      <c r="D863" s="344"/>
      <c r="E863" s="344"/>
      <c r="F863" s="344"/>
      <c r="G863" s="344"/>
      <c r="H863" s="344"/>
    </row>
    <row r="864">
      <c r="A864" s="344"/>
      <c r="B864" s="344"/>
      <c r="C864" s="344"/>
      <c r="D864" s="344"/>
      <c r="E864" s="344"/>
      <c r="F864" s="344"/>
      <c r="G864" s="344"/>
      <c r="H864" s="344"/>
    </row>
    <row r="865">
      <c r="A865" s="344"/>
      <c r="B865" s="344"/>
      <c r="C865" s="344"/>
      <c r="D865" s="344"/>
      <c r="E865" s="344"/>
      <c r="F865" s="344"/>
      <c r="G865" s="344"/>
      <c r="H865" s="344"/>
    </row>
    <row r="866">
      <c r="A866" s="344"/>
      <c r="B866" s="344"/>
      <c r="C866" s="344"/>
      <c r="D866" s="344"/>
      <c r="E866" s="344"/>
      <c r="F866" s="344"/>
      <c r="G866" s="344"/>
      <c r="H866" s="344"/>
    </row>
    <row r="867">
      <c r="A867" s="344"/>
      <c r="B867" s="344"/>
      <c r="C867" s="344"/>
      <c r="D867" s="344"/>
      <c r="E867" s="344"/>
      <c r="F867" s="344"/>
      <c r="G867" s="344"/>
      <c r="H867" s="344"/>
    </row>
    <row r="868">
      <c r="A868" s="344"/>
      <c r="B868" s="344"/>
      <c r="C868" s="344"/>
      <c r="D868" s="344"/>
      <c r="E868" s="344"/>
      <c r="F868" s="344"/>
      <c r="G868" s="344"/>
      <c r="H868" s="344"/>
    </row>
    <row r="869">
      <c r="A869" s="344"/>
      <c r="B869" s="344"/>
      <c r="C869" s="344"/>
      <c r="D869" s="344"/>
      <c r="E869" s="344"/>
      <c r="F869" s="344"/>
      <c r="G869" s="344"/>
      <c r="H869" s="344"/>
    </row>
    <row r="870">
      <c r="A870" s="344"/>
      <c r="B870" s="344"/>
      <c r="C870" s="344"/>
      <c r="D870" s="344"/>
      <c r="E870" s="344"/>
      <c r="F870" s="344"/>
      <c r="G870" s="344"/>
      <c r="H870" s="344"/>
    </row>
    <row r="871">
      <c r="A871" s="344"/>
      <c r="B871" s="344"/>
      <c r="C871" s="344"/>
      <c r="D871" s="344"/>
      <c r="E871" s="344"/>
      <c r="F871" s="344"/>
      <c r="G871" s="344"/>
      <c r="H871" s="344"/>
    </row>
    <row r="872">
      <c r="A872" s="344"/>
      <c r="B872" s="344"/>
      <c r="C872" s="344"/>
      <c r="D872" s="344"/>
      <c r="E872" s="344"/>
      <c r="F872" s="344"/>
      <c r="G872" s="344"/>
      <c r="H872" s="344"/>
    </row>
    <row r="873">
      <c r="A873" s="344"/>
      <c r="B873" s="344"/>
      <c r="C873" s="344"/>
      <c r="D873" s="344"/>
      <c r="E873" s="344"/>
      <c r="F873" s="344"/>
      <c r="G873" s="344"/>
      <c r="H873" s="344"/>
    </row>
    <row r="874">
      <c r="A874" s="344"/>
      <c r="B874" s="344"/>
      <c r="C874" s="344"/>
      <c r="D874" s="344"/>
      <c r="E874" s="344"/>
      <c r="F874" s="344"/>
      <c r="G874" s="344"/>
      <c r="H874" s="344"/>
    </row>
    <row r="875">
      <c r="A875" s="344"/>
      <c r="B875" s="344"/>
      <c r="C875" s="344"/>
      <c r="D875" s="344"/>
      <c r="E875" s="344"/>
      <c r="F875" s="344"/>
      <c r="G875" s="344"/>
      <c r="H875" s="344"/>
    </row>
    <row r="876">
      <c r="A876" s="344"/>
      <c r="B876" s="344"/>
      <c r="C876" s="344"/>
      <c r="D876" s="344"/>
      <c r="E876" s="344"/>
      <c r="F876" s="344"/>
      <c r="G876" s="344"/>
      <c r="H876" s="344"/>
    </row>
    <row r="877">
      <c r="A877" s="344"/>
      <c r="B877" s="344"/>
      <c r="C877" s="344"/>
      <c r="D877" s="344"/>
      <c r="E877" s="344"/>
      <c r="F877" s="344"/>
      <c r="G877" s="344"/>
      <c r="H877" s="344"/>
    </row>
    <row r="878">
      <c r="A878" s="344"/>
      <c r="B878" s="344"/>
      <c r="C878" s="344"/>
      <c r="D878" s="344"/>
      <c r="E878" s="344"/>
      <c r="F878" s="344"/>
      <c r="G878" s="344"/>
      <c r="H878" s="344"/>
    </row>
    <row r="879">
      <c r="A879" s="344"/>
      <c r="B879" s="344"/>
      <c r="C879" s="344"/>
      <c r="D879" s="344"/>
      <c r="E879" s="344"/>
      <c r="F879" s="344"/>
      <c r="G879" s="344"/>
      <c r="H879" s="344"/>
    </row>
    <row r="880">
      <c r="A880" s="344"/>
      <c r="B880" s="344"/>
      <c r="C880" s="344"/>
      <c r="D880" s="344"/>
      <c r="E880" s="344"/>
      <c r="F880" s="344"/>
      <c r="G880" s="344"/>
      <c r="H880" s="344"/>
    </row>
    <row r="881">
      <c r="A881" s="344"/>
      <c r="B881" s="344"/>
      <c r="C881" s="344"/>
      <c r="D881" s="344"/>
      <c r="E881" s="344"/>
      <c r="F881" s="344"/>
      <c r="G881" s="344"/>
      <c r="H881" s="344"/>
    </row>
    <row r="882">
      <c r="A882" s="344"/>
      <c r="B882" s="344"/>
      <c r="C882" s="344"/>
      <c r="D882" s="344"/>
      <c r="E882" s="344"/>
      <c r="F882" s="344"/>
      <c r="G882" s="344"/>
      <c r="H882" s="344"/>
    </row>
    <row r="883">
      <c r="A883" s="344"/>
      <c r="B883" s="344"/>
      <c r="C883" s="344"/>
      <c r="D883" s="344"/>
      <c r="E883" s="344"/>
      <c r="F883" s="344"/>
      <c r="G883" s="344"/>
      <c r="H883" s="344"/>
    </row>
    <row r="884">
      <c r="A884" s="344"/>
      <c r="B884" s="344"/>
      <c r="C884" s="344"/>
      <c r="D884" s="344"/>
      <c r="E884" s="344"/>
      <c r="F884" s="344"/>
      <c r="G884" s="344"/>
      <c r="H884" s="344"/>
    </row>
    <row r="885">
      <c r="A885" s="344"/>
      <c r="B885" s="344"/>
      <c r="C885" s="344"/>
      <c r="D885" s="344"/>
      <c r="E885" s="344"/>
      <c r="F885" s="344"/>
      <c r="G885" s="344"/>
      <c r="H885" s="344"/>
    </row>
    <row r="886">
      <c r="A886" s="344"/>
      <c r="B886" s="344"/>
      <c r="C886" s="344"/>
      <c r="D886" s="344"/>
      <c r="E886" s="344"/>
      <c r="F886" s="344"/>
      <c r="G886" s="344"/>
      <c r="H886" s="344"/>
    </row>
    <row r="887">
      <c r="A887" s="344"/>
      <c r="B887" s="344"/>
      <c r="C887" s="344"/>
      <c r="D887" s="344"/>
      <c r="E887" s="344"/>
      <c r="F887" s="344"/>
      <c r="G887" s="344"/>
      <c r="H887" s="344"/>
    </row>
    <row r="888">
      <c r="A888" s="344"/>
      <c r="B888" s="344"/>
      <c r="C888" s="344"/>
      <c r="D888" s="344"/>
      <c r="E888" s="344"/>
      <c r="F888" s="344"/>
      <c r="G888" s="344"/>
      <c r="H888" s="344"/>
    </row>
    <row r="889">
      <c r="A889" s="344"/>
      <c r="B889" s="344"/>
      <c r="C889" s="344"/>
      <c r="D889" s="344"/>
      <c r="E889" s="344"/>
      <c r="F889" s="344"/>
      <c r="G889" s="344"/>
      <c r="H889" s="344"/>
    </row>
    <row r="890">
      <c r="A890" s="344"/>
      <c r="B890" s="344"/>
      <c r="C890" s="344"/>
      <c r="D890" s="344"/>
      <c r="E890" s="344"/>
      <c r="F890" s="344"/>
      <c r="G890" s="344"/>
      <c r="H890" s="344"/>
    </row>
    <row r="891">
      <c r="A891" s="344"/>
      <c r="B891" s="344"/>
      <c r="C891" s="344"/>
      <c r="D891" s="344"/>
      <c r="E891" s="344"/>
      <c r="F891" s="344"/>
      <c r="G891" s="344"/>
      <c r="H891" s="344"/>
    </row>
    <row r="892">
      <c r="A892" s="344"/>
      <c r="B892" s="344"/>
      <c r="C892" s="344"/>
      <c r="D892" s="344"/>
      <c r="E892" s="344"/>
      <c r="F892" s="344"/>
      <c r="G892" s="344"/>
      <c r="H892" s="344"/>
    </row>
    <row r="893">
      <c r="A893" s="344"/>
      <c r="B893" s="344"/>
      <c r="C893" s="344"/>
      <c r="D893" s="344"/>
      <c r="E893" s="344"/>
      <c r="F893" s="344"/>
      <c r="G893" s="344"/>
      <c r="H893" s="344"/>
    </row>
    <row r="894">
      <c r="A894" s="344"/>
      <c r="B894" s="344"/>
      <c r="C894" s="344"/>
      <c r="D894" s="344"/>
      <c r="E894" s="344"/>
      <c r="F894" s="344"/>
      <c r="G894" s="344"/>
      <c r="H894" s="344"/>
    </row>
    <row r="895">
      <c r="A895" s="344"/>
      <c r="B895" s="344"/>
      <c r="C895" s="344"/>
      <c r="D895" s="344"/>
      <c r="E895" s="344"/>
      <c r="F895" s="344"/>
      <c r="G895" s="344"/>
      <c r="H895" s="344"/>
    </row>
    <row r="896">
      <c r="A896" s="344"/>
      <c r="B896" s="344"/>
      <c r="C896" s="344"/>
      <c r="D896" s="344"/>
      <c r="E896" s="344"/>
      <c r="F896" s="344"/>
      <c r="G896" s="344"/>
      <c r="H896" s="344"/>
    </row>
    <row r="897">
      <c r="A897" s="344"/>
      <c r="B897" s="344"/>
      <c r="C897" s="344"/>
      <c r="D897" s="344"/>
      <c r="E897" s="344"/>
      <c r="F897" s="344"/>
      <c r="G897" s="344"/>
      <c r="H897" s="344"/>
    </row>
    <row r="898">
      <c r="A898" s="344"/>
      <c r="B898" s="344"/>
      <c r="C898" s="344"/>
      <c r="D898" s="344"/>
      <c r="E898" s="344"/>
      <c r="F898" s="344"/>
      <c r="G898" s="344"/>
      <c r="H898" s="344"/>
    </row>
    <row r="899">
      <c r="A899" s="344"/>
      <c r="B899" s="344"/>
      <c r="C899" s="344"/>
      <c r="D899" s="344"/>
      <c r="E899" s="344"/>
      <c r="F899" s="344"/>
      <c r="G899" s="344"/>
      <c r="H899" s="344"/>
    </row>
    <row r="900">
      <c r="A900" s="344"/>
      <c r="B900" s="344"/>
      <c r="C900" s="344"/>
      <c r="D900" s="344"/>
      <c r="E900" s="344"/>
      <c r="F900" s="344"/>
      <c r="G900" s="344"/>
      <c r="H900" s="344"/>
    </row>
    <row r="901">
      <c r="A901" s="344"/>
      <c r="B901" s="344"/>
      <c r="C901" s="344"/>
      <c r="D901" s="344"/>
      <c r="E901" s="344"/>
      <c r="F901" s="344"/>
      <c r="G901" s="344"/>
      <c r="H901" s="344"/>
    </row>
    <row r="902">
      <c r="A902" s="344"/>
      <c r="B902" s="344"/>
      <c r="C902" s="344"/>
      <c r="D902" s="344"/>
      <c r="E902" s="344"/>
      <c r="F902" s="344"/>
      <c r="G902" s="344"/>
      <c r="H902" s="344"/>
    </row>
    <row r="903">
      <c r="A903" s="344"/>
      <c r="B903" s="344"/>
      <c r="C903" s="344"/>
      <c r="D903" s="344"/>
      <c r="E903" s="344"/>
      <c r="F903" s="344"/>
      <c r="G903" s="344"/>
      <c r="H903" s="344"/>
    </row>
    <row r="904">
      <c r="A904" s="344"/>
      <c r="B904" s="344"/>
      <c r="C904" s="344"/>
      <c r="D904" s="344"/>
      <c r="E904" s="344"/>
      <c r="F904" s="344"/>
      <c r="G904" s="344"/>
      <c r="H904" s="344"/>
    </row>
    <row r="905">
      <c r="A905" s="344"/>
      <c r="B905" s="344"/>
      <c r="C905" s="344"/>
      <c r="D905" s="344"/>
      <c r="E905" s="344"/>
      <c r="F905" s="344"/>
      <c r="G905" s="344"/>
      <c r="H905" s="344"/>
    </row>
    <row r="906">
      <c r="A906" s="344"/>
      <c r="B906" s="344"/>
      <c r="C906" s="344"/>
      <c r="D906" s="344"/>
      <c r="E906" s="344"/>
      <c r="F906" s="344"/>
      <c r="G906" s="344"/>
      <c r="H906" s="344"/>
    </row>
    <row r="907">
      <c r="A907" s="344"/>
      <c r="B907" s="344"/>
      <c r="C907" s="344"/>
      <c r="D907" s="344"/>
      <c r="E907" s="344"/>
      <c r="F907" s="344"/>
      <c r="G907" s="344"/>
      <c r="H907" s="344"/>
    </row>
    <row r="908">
      <c r="A908" s="344"/>
      <c r="B908" s="344"/>
      <c r="C908" s="344"/>
      <c r="D908" s="344"/>
      <c r="E908" s="344"/>
      <c r="F908" s="344"/>
      <c r="G908" s="344"/>
      <c r="H908" s="344"/>
    </row>
    <row r="909">
      <c r="A909" s="344"/>
      <c r="B909" s="344"/>
      <c r="C909" s="344"/>
      <c r="D909" s="344"/>
      <c r="E909" s="344"/>
      <c r="F909" s="344"/>
      <c r="G909" s="344"/>
      <c r="H909" s="344"/>
    </row>
    <row r="910">
      <c r="A910" s="344"/>
      <c r="B910" s="344"/>
      <c r="C910" s="344"/>
      <c r="D910" s="344"/>
      <c r="E910" s="344"/>
      <c r="F910" s="344"/>
      <c r="G910" s="344"/>
      <c r="H910" s="344"/>
    </row>
    <row r="911">
      <c r="A911" s="344"/>
      <c r="B911" s="344"/>
      <c r="C911" s="344"/>
      <c r="D911" s="344"/>
      <c r="E911" s="344"/>
      <c r="F911" s="344"/>
      <c r="G911" s="344"/>
      <c r="H911" s="344"/>
    </row>
    <row r="912">
      <c r="A912" s="344"/>
      <c r="B912" s="344"/>
      <c r="C912" s="344"/>
      <c r="D912" s="344"/>
      <c r="E912" s="344"/>
      <c r="F912" s="344"/>
      <c r="G912" s="344"/>
      <c r="H912" s="344"/>
    </row>
    <row r="913">
      <c r="A913" s="344"/>
      <c r="B913" s="344"/>
      <c r="C913" s="344"/>
      <c r="D913" s="344"/>
      <c r="E913" s="344"/>
      <c r="F913" s="344"/>
      <c r="G913" s="344"/>
      <c r="H913" s="344"/>
    </row>
    <row r="914">
      <c r="A914" s="344"/>
      <c r="B914" s="344"/>
      <c r="C914" s="344"/>
      <c r="D914" s="344"/>
      <c r="E914" s="344"/>
      <c r="F914" s="344"/>
      <c r="G914" s="344"/>
      <c r="H914" s="344"/>
    </row>
    <row r="915">
      <c r="A915" s="344"/>
      <c r="B915" s="344"/>
      <c r="C915" s="344"/>
      <c r="D915" s="344"/>
      <c r="E915" s="344"/>
      <c r="F915" s="344"/>
      <c r="G915" s="344"/>
      <c r="H915" s="344"/>
    </row>
    <row r="916">
      <c r="A916" s="344"/>
      <c r="B916" s="344"/>
      <c r="C916" s="344"/>
      <c r="D916" s="344"/>
      <c r="E916" s="344"/>
      <c r="F916" s="344"/>
      <c r="G916" s="344"/>
      <c r="H916" s="344"/>
    </row>
    <row r="917">
      <c r="A917" s="344"/>
      <c r="B917" s="344"/>
      <c r="C917" s="344"/>
      <c r="D917" s="344"/>
      <c r="E917" s="344"/>
      <c r="F917" s="344"/>
      <c r="G917" s="344"/>
      <c r="H917" s="344"/>
    </row>
    <row r="918">
      <c r="A918" s="344"/>
      <c r="B918" s="344"/>
      <c r="C918" s="344"/>
      <c r="D918" s="344"/>
      <c r="E918" s="344"/>
      <c r="F918" s="344"/>
      <c r="G918" s="344"/>
      <c r="H918" s="344"/>
    </row>
    <row r="919">
      <c r="A919" s="344"/>
      <c r="B919" s="344"/>
      <c r="C919" s="344"/>
      <c r="D919" s="344"/>
      <c r="E919" s="344"/>
      <c r="F919" s="344"/>
      <c r="G919" s="344"/>
      <c r="H919" s="344"/>
    </row>
    <row r="920">
      <c r="A920" s="344"/>
      <c r="B920" s="344"/>
      <c r="C920" s="344"/>
      <c r="D920" s="344"/>
      <c r="E920" s="344"/>
      <c r="F920" s="344"/>
      <c r="G920" s="344"/>
      <c r="H920" s="344"/>
    </row>
    <row r="921">
      <c r="A921" s="344"/>
      <c r="B921" s="344"/>
      <c r="C921" s="344"/>
      <c r="D921" s="344"/>
      <c r="E921" s="344"/>
      <c r="F921" s="344"/>
      <c r="G921" s="344"/>
      <c r="H921" s="344"/>
    </row>
    <row r="922">
      <c r="A922" s="344"/>
      <c r="B922" s="344"/>
      <c r="C922" s="344"/>
      <c r="D922" s="344"/>
      <c r="E922" s="344"/>
      <c r="F922" s="344"/>
      <c r="G922" s="344"/>
      <c r="H922" s="344"/>
    </row>
    <row r="923">
      <c r="A923" s="344"/>
      <c r="B923" s="344"/>
      <c r="C923" s="344"/>
      <c r="D923" s="344"/>
      <c r="E923" s="344"/>
      <c r="F923" s="344"/>
      <c r="G923" s="344"/>
      <c r="H923" s="344"/>
    </row>
    <row r="924">
      <c r="A924" s="344"/>
      <c r="B924" s="344"/>
      <c r="C924" s="344"/>
      <c r="D924" s="344"/>
      <c r="E924" s="344"/>
      <c r="F924" s="344"/>
      <c r="G924" s="344"/>
      <c r="H924" s="344"/>
    </row>
    <row r="925">
      <c r="A925" s="344"/>
      <c r="B925" s="344"/>
      <c r="C925" s="344"/>
      <c r="D925" s="344"/>
      <c r="E925" s="344"/>
      <c r="F925" s="344"/>
      <c r="G925" s="344"/>
      <c r="H925" s="344"/>
    </row>
    <row r="926">
      <c r="A926" s="344"/>
      <c r="B926" s="344"/>
      <c r="C926" s="344"/>
      <c r="D926" s="344"/>
      <c r="E926" s="344"/>
      <c r="F926" s="344"/>
      <c r="G926" s="344"/>
      <c r="H926" s="344"/>
    </row>
    <row r="927">
      <c r="A927" s="344"/>
      <c r="B927" s="344"/>
      <c r="C927" s="344"/>
      <c r="D927" s="344"/>
      <c r="E927" s="344"/>
      <c r="F927" s="344"/>
      <c r="G927" s="344"/>
      <c r="H927" s="344"/>
    </row>
    <row r="928">
      <c r="A928" s="344"/>
      <c r="B928" s="344"/>
      <c r="C928" s="344"/>
      <c r="D928" s="344"/>
      <c r="E928" s="344"/>
      <c r="F928" s="344"/>
      <c r="G928" s="344"/>
      <c r="H928" s="344"/>
    </row>
    <row r="929">
      <c r="A929" s="344"/>
      <c r="B929" s="344"/>
      <c r="C929" s="344"/>
      <c r="D929" s="344"/>
      <c r="E929" s="344"/>
      <c r="F929" s="344"/>
      <c r="G929" s="344"/>
      <c r="H929" s="344"/>
    </row>
    <row r="930">
      <c r="A930" s="344"/>
      <c r="B930" s="344"/>
      <c r="C930" s="344"/>
      <c r="D930" s="344"/>
      <c r="E930" s="344"/>
      <c r="F930" s="344"/>
      <c r="G930" s="344"/>
      <c r="H930" s="344"/>
    </row>
    <row r="931">
      <c r="A931" s="344"/>
      <c r="B931" s="344"/>
      <c r="C931" s="344"/>
      <c r="D931" s="344"/>
      <c r="E931" s="344"/>
      <c r="F931" s="344"/>
      <c r="G931" s="344"/>
      <c r="H931" s="344"/>
    </row>
    <row r="932">
      <c r="A932" s="344"/>
      <c r="B932" s="344"/>
      <c r="C932" s="344"/>
      <c r="D932" s="344"/>
      <c r="E932" s="344"/>
      <c r="F932" s="344"/>
      <c r="G932" s="344"/>
      <c r="H932" s="344"/>
    </row>
    <row r="933">
      <c r="A933" s="344"/>
      <c r="B933" s="344"/>
      <c r="C933" s="344"/>
      <c r="D933" s="344"/>
      <c r="E933" s="344"/>
      <c r="F933" s="344"/>
      <c r="G933" s="344"/>
      <c r="H933" s="344"/>
    </row>
    <row r="934">
      <c r="A934" s="344"/>
      <c r="B934" s="344"/>
      <c r="C934" s="344"/>
      <c r="D934" s="344"/>
      <c r="E934" s="344"/>
      <c r="F934" s="344"/>
      <c r="G934" s="344"/>
      <c r="H934" s="344"/>
    </row>
    <row r="935">
      <c r="A935" s="344"/>
      <c r="B935" s="344"/>
      <c r="C935" s="344"/>
      <c r="D935" s="344"/>
      <c r="E935" s="344"/>
      <c r="F935" s="344"/>
      <c r="G935" s="344"/>
      <c r="H935" s="344"/>
    </row>
    <row r="936">
      <c r="A936" s="344"/>
      <c r="B936" s="344"/>
      <c r="C936" s="344"/>
      <c r="D936" s="344"/>
      <c r="E936" s="344"/>
      <c r="F936" s="344"/>
      <c r="G936" s="344"/>
      <c r="H936" s="344"/>
    </row>
    <row r="937">
      <c r="A937" s="344"/>
      <c r="B937" s="344"/>
      <c r="C937" s="344"/>
      <c r="D937" s="344"/>
      <c r="E937" s="344"/>
      <c r="F937" s="344"/>
      <c r="G937" s="344"/>
      <c r="H937" s="344"/>
    </row>
    <row r="938">
      <c r="A938" s="344"/>
      <c r="B938" s="344"/>
      <c r="C938" s="344"/>
      <c r="D938" s="344"/>
      <c r="E938" s="344"/>
      <c r="F938" s="344"/>
      <c r="G938" s="344"/>
      <c r="H938" s="344"/>
    </row>
    <row r="939">
      <c r="A939" s="344"/>
      <c r="B939" s="344"/>
      <c r="C939" s="344"/>
      <c r="D939" s="344"/>
      <c r="E939" s="344"/>
      <c r="F939" s="344"/>
      <c r="G939" s="344"/>
      <c r="H939" s="344"/>
    </row>
    <row r="940">
      <c r="A940" s="344"/>
      <c r="B940" s="344"/>
      <c r="C940" s="344"/>
      <c r="D940" s="344"/>
      <c r="E940" s="344"/>
      <c r="F940" s="344"/>
      <c r="G940" s="344"/>
      <c r="H940" s="344"/>
    </row>
    <row r="941">
      <c r="A941" s="344"/>
      <c r="B941" s="344"/>
      <c r="C941" s="344"/>
      <c r="D941" s="344"/>
      <c r="E941" s="344"/>
      <c r="F941" s="344"/>
      <c r="G941" s="344"/>
      <c r="H941" s="344"/>
    </row>
    <row r="942">
      <c r="A942" s="344"/>
      <c r="B942" s="344"/>
      <c r="C942" s="344"/>
      <c r="D942" s="344"/>
      <c r="E942" s="344"/>
      <c r="F942" s="344"/>
      <c r="G942" s="344"/>
      <c r="H942" s="344"/>
    </row>
    <row r="943">
      <c r="A943" s="344"/>
      <c r="B943" s="344"/>
      <c r="C943" s="344"/>
      <c r="D943" s="344"/>
      <c r="E943" s="344"/>
      <c r="F943" s="344"/>
      <c r="G943" s="344"/>
      <c r="H943" s="344"/>
    </row>
    <row r="944">
      <c r="A944" s="344"/>
      <c r="B944" s="344"/>
      <c r="C944" s="344"/>
      <c r="D944" s="344"/>
      <c r="E944" s="344"/>
      <c r="F944" s="344"/>
      <c r="G944" s="344"/>
      <c r="H944" s="344"/>
    </row>
    <row r="945">
      <c r="A945" s="344"/>
      <c r="B945" s="344"/>
      <c r="C945" s="344"/>
      <c r="D945" s="344"/>
      <c r="E945" s="344"/>
      <c r="F945" s="344"/>
      <c r="G945" s="344"/>
      <c r="H945" s="344"/>
    </row>
    <row r="946">
      <c r="A946" s="344"/>
      <c r="B946" s="344"/>
      <c r="C946" s="344"/>
      <c r="D946" s="344"/>
      <c r="E946" s="344"/>
      <c r="F946" s="344"/>
      <c r="G946" s="344"/>
      <c r="H946" s="344"/>
    </row>
    <row r="947">
      <c r="A947" s="344"/>
      <c r="B947" s="344"/>
      <c r="C947" s="344"/>
      <c r="D947" s="344"/>
      <c r="E947" s="344"/>
      <c r="F947" s="344"/>
      <c r="G947" s="344"/>
      <c r="H947" s="344"/>
    </row>
    <row r="948">
      <c r="A948" s="344"/>
      <c r="B948" s="344"/>
      <c r="C948" s="344"/>
      <c r="D948" s="344"/>
      <c r="E948" s="344"/>
      <c r="F948" s="344"/>
      <c r="G948" s="344"/>
      <c r="H948" s="344"/>
    </row>
    <row r="949">
      <c r="A949" s="344"/>
      <c r="B949" s="344"/>
      <c r="C949" s="344"/>
      <c r="D949" s="344"/>
      <c r="E949" s="344"/>
      <c r="F949" s="344"/>
      <c r="G949" s="344"/>
      <c r="H949" s="344"/>
    </row>
    <row r="950">
      <c r="A950" s="344"/>
      <c r="B950" s="344"/>
      <c r="C950" s="344"/>
      <c r="D950" s="344"/>
      <c r="E950" s="344"/>
      <c r="F950" s="344"/>
      <c r="G950" s="344"/>
      <c r="H950" s="344"/>
    </row>
    <row r="951">
      <c r="A951" s="344"/>
      <c r="B951" s="344"/>
      <c r="C951" s="344"/>
      <c r="D951" s="344"/>
      <c r="E951" s="344"/>
      <c r="F951" s="344"/>
      <c r="G951" s="344"/>
      <c r="H951" s="344"/>
    </row>
    <row r="952">
      <c r="A952" s="344"/>
      <c r="B952" s="344"/>
      <c r="C952" s="344"/>
      <c r="D952" s="344"/>
      <c r="E952" s="344"/>
      <c r="F952" s="344"/>
      <c r="G952" s="344"/>
      <c r="H952" s="344"/>
    </row>
    <row r="953">
      <c r="A953" s="344"/>
      <c r="B953" s="344"/>
      <c r="C953" s="344"/>
      <c r="D953" s="344"/>
      <c r="E953" s="344"/>
      <c r="F953" s="344"/>
      <c r="G953" s="344"/>
      <c r="H953" s="344"/>
    </row>
    <row r="954">
      <c r="A954" s="344"/>
      <c r="B954" s="344"/>
      <c r="C954" s="344"/>
      <c r="D954" s="344"/>
      <c r="E954" s="344"/>
      <c r="F954" s="344"/>
      <c r="G954" s="344"/>
      <c r="H954" s="344"/>
    </row>
    <row r="955">
      <c r="A955" s="344"/>
      <c r="B955" s="344"/>
      <c r="C955" s="344"/>
      <c r="D955" s="344"/>
      <c r="E955" s="344"/>
      <c r="F955" s="344"/>
      <c r="G955" s="344"/>
      <c r="H955" s="344"/>
    </row>
    <row r="956">
      <c r="A956" s="344"/>
      <c r="B956" s="344"/>
      <c r="C956" s="344"/>
      <c r="D956" s="344"/>
      <c r="E956" s="344"/>
      <c r="F956" s="344"/>
      <c r="G956" s="344"/>
      <c r="H956" s="344"/>
    </row>
    <row r="957">
      <c r="A957" s="344"/>
      <c r="B957" s="344"/>
      <c r="C957" s="344"/>
      <c r="D957" s="344"/>
      <c r="E957" s="344"/>
      <c r="F957" s="344"/>
      <c r="G957" s="344"/>
      <c r="H957" s="344"/>
    </row>
    <row r="958">
      <c r="A958" s="344"/>
      <c r="B958" s="344"/>
      <c r="C958" s="344"/>
      <c r="D958" s="344"/>
      <c r="E958" s="344"/>
      <c r="F958" s="344"/>
      <c r="G958" s="344"/>
      <c r="H958" s="344"/>
    </row>
    <row r="959">
      <c r="A959" s="344"/>
      <c r="B959" s="344"/>
      <c r="C959" s="344"/>
      <c r="D959" s="344"/>
      <c r="E959" s="344"/>
      <c r="F959" s="344"/>
      <c r="G959" s="344"/>
      <c r="H959" s="344"/>
    </row>
    <row r="960">
      <c r="A960" s="344"/>
      <c r="B960" s="344"/>
      <c r="C960" s="344"/>
      <c r="D960" s="344"/>
      <c r="E960" s="344"/>
      <c r="F960" s="344"/>
      <c r="G960" s="344"/>
      <c r="H960" s="344"/>
    </row>
    <row r="961">
      <c r="A961" s="344"/>
      <c r="B961" s="344"/>
      <c r="C961" s="344"/>
      <c r="D961" s="344"/>
      <c r="E961" s="344"/>
      <c r="F961" s="344"/>
      <c r="G961" s="344"/>
      <c r="H961" s="344"/>
    </row>
    <row r="962">
      <c r="A962" s="344"/>
      <c r="B962" s="344"/>
      <c r="C962" s="344"/>
      <c r="D962" s="344"/>
      <c r="E962" s="344"/>
      <c r="F962" s="344"/>
      <c r="G962" s="344"/>
      <c r="H962" s="344"/>
    </row>
    <row r="963">
      <c r="A963" s="344"/>
      <c r="B963" s="344"/>
      <c r="C963" s="344"/>
      <c r="D963" s="344"/>
      <c r="E963" s="344"/>
      <c r="F963" s="344"/>
      <c r="G963" s="344"/>
      <c r="H963" s="344"/>
    </row>
    <row r="964">
      <c r="A964" s="344"/>
      <c r="B964" s="344"/>
      <c r="C964" s="344"/>
      <c r="D964" s="344"/>
      <c r="E964" s="344"/>
      <c r="F964" s="344"/>
      <c r="G964" s="344"/>
      <c r="H964" s="344"/>
    </row>
    <row r="965">
      <c r="A965" s="344"/>
      <c r="B965" s="344"/>
      <c r="C965" s="344"/>
      <c r="D965" s="344"/>
      <c r="E965" s="344"/>
      <c r="F965" s="344"/>
      <c r="G965" s="344"/>
      <c r="H965" s="344"/>
    </row>
    <row r="966">
      <c r="A966" s="344"/>
      <c r="B966" s="344"/>
      <c r="C966" s="344"/>
      <c r="D966" s="344"/>
      <c r="E966" s="344"/>
      <c r="F966" s="344"/>
      <c r="G966" s="344"/>
      <c r="H966" s="344"/>
    </row>
    <row r="967">
      <c r="A967" s="344"/>
      <c r="B967" s="344"/>
      <c r="C967" s="344"/>
      <c r="D967" s="344"/>
      <c r="E967" s="344"/>
      <c r="F967" s="344"/>
      <c r="G967" s="344"/>
      <c r="H967" s="344"/>
    </row>
    <row r="968">
      <c r="A968" s="344"/>
      <c r="B968" s="344"/>
      <c r="C968" s="344"/>
      <c r="D968" s="344"/>
      <c r="E968" s="344"/>
      <c r="F968" s="344"/>
      <c r="G968" s="344"/>
      <c r="H968" s="344"/>
    </row>
    <row r="969">
      <c r="A969" s="344"/>
      <c r="B969" s="344"/>
      <c r="C969" s="344"/>
      <c r="D969" s="344"/>
      <c r="E969" s="344"/>
      <c r="F969" s="344"/>
      <c r="G969" s="344"/>
      <c r="H969" s="344"/>
    </row>
    <row r="970">
      <c r="A970" s="344"/>
      <c r="B970" s="344"/>
      <c r="C970" s="344"/>
      <c r="D970" s="344"/>
      <c r="E970" s="344"/>
      <c r="F970" s="344"/>
      <c r="G970" s="344"/>
      <c r="H970" s="344"/>
    </row>
    <row r="971">
      <c r="A971" s="344"/>
      <c r="B971" s="344"/>
      <c r="C971" s="344"/>
      <c r="D971" s="344"/>
      <c r="E971" s="344"/>
      <c r="F971" s="344"/>
      <c r="G971" s="344"/>
      <c r="H971" s="344"/>
    </row>
    <row r="972">
      <c r="A972" s="344"/>
      <c r="B972" s="344"/>
      <c r="C972" s="344"/>
      <c r="D972" s="344"/>
      <c r="E972" s="344"/>
      <c r="F972" s="344"/>
      <c r="G972" s="344"/>
      <c r="H972" s="344"/>
    </row>
    <row r="973">
      <c r="A973" s="344"/>
      <c r="B973" s="344"/>
      <c r="C973" s="344"/>
      <c r="D973" s="344"/>
      <c r="E973" s="344"/>
      <c r="F973" s="344"/>
      <c r="G973" s="344"/>
      <c r="H973" s="344"/>
    </row>
    <row r="974">
      <c r="A974" s="344"/>
      <c r="B974" s="344"/>
      <c r="C974" s="344"/>
      <c r="D974" s="344"/>
      <c r="E974" s="344"/>
      <c r="F974" s="344"/>
      <c r="G974" s="344"/>
      <c r="H974" s="344"/>
    </row>
    <row r="975">
      <c r="A975" s="344"/>
      <c r="B975" s="344"/>
      <c r="C975" s="344"/>
      <c r="D975" s="344"/>
      <c r="E975" s="344"/>
      <c r="F975" s="344"/>
      <c r="G975" s="344"/>
      <c r="H975" s="344"/>
    </row>
    <row r="976">
      <c r="A976" s="344"/>
      <c r="B976" s="344"/>
      <c r="C976" s="344"/>
      <c r="D976" s="344"/>
      <c r="E976" s="344"/>
      <c r="F976" s="344"/>
      <c r="G976" s="344"/>
      <c r="H976" s="344"/>
    </row>
    <row r="977">
      <c r="A977" s="344"/>
      <c r="B977" s="344"/>
      <c r="C977" s="344"/>
      <c r="D977" s="344"/>
      <c r="E977" s="344"/>
      <c r="F977" s="344"/>
      <c r="G977" s="344"/>
      <c r="H977" s="344"/>
    </row>
    <row r="978">
      <c r="A978" s="344"/>
      <c r="B978" s="344"/>
      <c r="C978" s="344"/>
      <c r="D978" s="344"/>
      <c r="E978" s="344"/>
      <c r="F978" s="344"/>
      <c r="G978" s="344"/>
      <c r="H978" s="344"/>
    </row>
    <row r="979">
      <c r="A979" s="344"/>
      <c r="B979" s="344"/>
      <c r="C979" s="344"/>
      <c r="D979" s="344"/>
      <c r="E979" s="344"/>
      <c r="F979" s="344"/>
      <c r="G979" s="344"/>
      <c r="H979" s="344"/>
    </row>
    <row r="980">
      <c r="A980" s="344"/>
      <c r="B980" s="344"/>
      <c r="C980" s="344"/>
      <c r="D980" s="344"/>
      <c r="E980" s="344"/>
      <c r="F980" s="344"/>
      <c r="G980" s="344"/>
      <c r="H980" s="344"/>
    </row>
    <row r="981">
      <c r="A981" s="344"/>
      <c r="B981" s="344"/>
      <c r="C981" s="344"/>
      <c r="D981" s="344"/>
      <c r="E981" s="344"/>
      <c r="F981" s="344"/>
      <c r="G981" s="344"/>
      <c r="H981" s="344"/>
    </row>
    <row r="982">
      <c r="A982" s="344"/>
      <c r="B982" s="344"/>
      <c r="C982" s="344"/>
      <c r="D982" s="344"/>
      <c r="E982" s="344"/>
      <c r="F982" s="344"/>
      <c r="G982" s="344"/>
      <c r="H982" s="344"/>
    </row>
    <row r="983">
      <c r="A983" s="344"/>
      <c r="B983" s="344"/>
      <c r="C983" s="344"/>
      <c r="D983" s="344"/>
      <c r="E983" s="344"/>
      <c r="F983" s="344"/>
      <c r="G983" s="344"/>
      <c r="H983" s="344"/>
    </row>
    <row r="984">
      <c r="A984" s="344"/>
      <c r="B984" s="344"/>
      <c r="C984" s="344"/>
      <c r="D984" s="344"/>
      <c r="E984" s="344"/>
      <c r="F984" s="344"/>
      <c r="G984" s="344"/>
      <c r="H984" s="344"/>
    </row>
    <row r="985">
      <c r="A985" s="344"/>
      <c r="B985" s="344"/>
      <c r="C985" s="344"/>
      <c r="D985" s="344"/>
      <c r="E985" s="344"/>
      <c r="F985" s="344"/>
      <c r="G985" s="344"/>
      <c r="H985" s="344"/>
    </row>
    <row r="986">
      <c r="A986" s="344"/>
      <c r="B986" s="344"/>
      <c r="C986" s="344"/>
      <c r="D986" s="344"/>
      <c r="E986" s="344"/>
      <c r="F986" s="344"/>
      <c r="G986" s="344"/>
      <c r="H986" s="344"/>
    </row>
    <row r="987">
      <c r="A987" s="344"/>
      <c r="B987" s="344"/>
      <c r="C987" s="344"/>
      <c r="D987" s="344"/>
      <c r="E987" s="344"/>
      <c r="F987" s="344"/>
      <c r="G987" s="344"/>
      <c r="H987" s="344"/>
    </row>
    <row r="988">
      <c r="A988" s="344"/>
      <c r="B988" s="344"/>
      <c r="C988" s="344"/>
      <c r="D988" s="344"/>
      <c r="E988" s="344"/>
      <c r="F988" s="344"/>
      <c r="G988" s="344"/>
      <c r="H988" s="344"/>
    </row>
    <row r="989">
      <c r="A989" s="344"/>
      <c r="B989" s="344"/>
      <c r="C989" s="344"/>
      <c r="D989" s="344"/>
      <c r="E989" s="344"/>
      <c r="F989" s="344"/>
      <c r="G989" s="344"/>
      <c r="H989" s="344"/>
    </row>
    <row r="990">
      <c r="A990" s="344"/>
      <c r="B990" s="344"/>
      <c r="C990" s="344"/>
      <c r="D990" s="344"/>
      <c r="E990" s="344"/>
      <c r="F990" s="344"/>
      <c r="G990" s="344"/>
      <c r="H990" s="344"/>
    </row>
    <row r="991">
      <c r="A991" s="344"/>
      <c r="B991" s="344"/>
      <c r="C991" s="344"/>
      <c r="D991" s="344"/>
      <c r="E991" s="344"/>
      <c r="F991" s="344"/>
      <c r="G991" s="344"/>
      <c r="H991" s="344"/>
    </row>
    <row r="992">
      <c r="A992" s="344"/>
      <c r="B992" s="344"/>
      <c r="C992" s="344"/>
      <c r="D992" s="344"/>
      <c r="E992" s="344"/>
      <c r="F992" s="344"/>
      <c r="G992" s="344"/>
      <c r="H992" s="344"/>
    </row>
    <row r="993">
      <c r="A993" s="344"/>
      <c r="B993" s="344"/>
      <c r="C993" s="344"/>
      <c r="D993" s="344"/>
      <c r="E993" s="344"/>
      <c r="F993" s="344"/>
      <c r="G993" s="344"/>
      <c r="H993" s="344"/>
    </row>
    <row r="994">
      <c r="A994" s="344"/>
      <c r="B994" s="344"/>
      <c r="C994" s="344"/>
      <c r="D994" s="344"/>
      <c r="E994" s="344"/>
      <c r="F994" s="344"/>
      <c r="G994" s="344"/>
      <c r="H994" s="344"/>
    </row>
    <row r="995">
      <c r="A995" s="344"/>
      <c r="B995" s="344"/>
      <c r="C995" s="344"/>
      <c r="D995" s="344"/>
      <c r="E995" s="344"/>
      <c r="F995" s="344"/>
      <c r="G995" s="344"/>
      <c r="H995" s="344"/>
    </row>
    <row r="996">
      <c r="A996" s="344"/>
      <c r="B996" s="344"/>
      <c r="C996" s="344"/>
      <c r="D996" s="344"/>
      <c r="E996" s="344"/>
      <c r="F996" s="344"/>
      <c r="G996" s="344"/>
      <c r="H996" s="344"/>
    </row>
    <row r="997">
      <c r="A997" s="344"/>
      <c r="B997" s="344"/>
      <c r="C997" s="344"/>
      <c r="D997" s="344"/>
      <c r="E997" s="344"/>
      <c r="F997" s="344"/>
      <c r="G997" s="344"/>
      <c r="H997" s="344"/>
    </row>
    <row r="998">
      <c r="A998" s="344"/>
      <c r="B998" s="344"/>
      <c r="C998" s="344"/>
      <c r="D998" s="344"/>
      <c r="E998" s="344"/>
      <c r="F998" s="344"/>
      <c r="G998" s="344"/>
      <c r="H998" s="344"/>
    </row>
    <row r="999">
      <c r="A999" s="344"/>
      <c r="B999" s="344"/>
      <c r="C999" s="344"/>
      <c r="D999" s="344"/>
      <c r="E999" s="344"/>
      <c r="F999" s="344"/>
      <c r="G999" s="344"/>
      <c r="H999" s="344"/>
    </row>
    <row r="1000">
      <c r="A1000" s="344"/>
      <c r="B1000" s="344"/>
      <c r="C1000" s="344"/>
      <c r="D1000" s="344"/>
      <c r="E1000" s="344"/>
      <c r="F1000" s="344"/>
      <c r="G1000" s="344"/>
      <c r="H1000" s="3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88"/>
    <col customWidth="1" min="2" max="6" width="12.63"/>
    <col customWidth="1" min="18" max="19" width="62.63"/>
  </cols>
  <sheetData>
    <row r="1" ht="15.75" customHeight="1">
      <c r="A1" s="376" t="s">
        <v>747</v>
      </c>
      <c r="B1" s="376" t="s">
        <v>748</v>
      </c>
      <c r="C1" s="376" t="s">
        <v>749</v>
      </c>
      <c r="D1" s="376" t="s">
        <v>750</v>
      </c>
      <c r="E1" s="377" t="s">
        <v>751</v>
      </c>
      <c r="F1" s="376" t="s">
        <v>752</v>
      </c>
      <c r="G1" s="376" t="s">
        <v>753</v>
      </c>
      <c r="H1" s="376" t="s">
        <v>754</v>
      </c>
      <c r="I1" s="376" t="s">
        <v>755</v>
      </c>
      <c r="J1" s="376" t="s">
        <v>756</v>
      </c>
      <c r="K1" s="376" t="s">
        <v>757</v>
      </c>
      <c r="L1" s="378" t="s">
        <v>758</v>
      </c>
      <c r="M1" s="378" t="s">
        <v>759</v>
      </c>
      <c r="N1" s="378" t="s">
        <v>15</v>
      </c>
      <c r="O1" s="378" t="s">
        <v>16</v>
      </c>
      <c r="P1" s="378" t="s">
        <v>760</v>
      </c>
      <c r="Q1" s="378" t="s">
        <v>761</v>
      </c>
      <c r="R1" s="376" t="s">
        <v>762</v>
      </c>
      <c r="S1" s="376" t="s">
        <v>763</v>
      </c>
      <c r="T1" s="376" t="s">
        <v>764</v>
      </c>
    </row>
    <row r="2" ht="15.75" customHeight="1">
      <c r="A2" s="379" t="s">
        <v>765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380"/>
    </row>
    <row r="3" ht="15.75" customHeight="1">
      <c r="A3" s="381" t="s">
        <v>765</v>
      </c>
      <c r="B3" s="382" t="s">
        <v>766</v>
      </c>
      <c r="C3" s="383"/>
      <c r="D3" s="384" t="s">
        <v>767</v>
      </c>
      <c r="E3" s="385">
        <v>60.0</v>
      </c>
      <c r="F3" s="386" t="s">
        <v>768</v>
      </c>
      <c r="G3" s="387" t="s">
        <v>769</v>
      </c>
      <c r="H3" s="387">
        <v>30.0</v>
      </c>
      <c r="I3" s="387">
        <v>30.0</v>
      </c>
      <c r="J3" s="387"/>
      <c r="K3" s="388" t="s">
        <v>770</v>
      </c>
      <c r="L3" s="389" t="s">
        <v>107</v>
      </c>
      <c r="M3" s="390" t="s">
        <v>107</v>
      </c>
      <c r="N3" s="390">
        <v>2.0</v>
      </c>
      <c r="O3" s="390" t="s">
        <v>107</v>
      </c>
      <c r="P3" s="390">
        <v>1.0</v>
      </c>
      <c r="Q3" s="391" t="s">
        <v>107</v>
      </c>
      <c r="R3" s="382" t="str">
        <f>"2 skills: "&amp;'Habilidades de Rol'!D60</f>
        <v>2 skills: Trato con animales, Naturaleza, Percepcion, Sigilo, Supervivencia, </v>
      </c>
      <c r="S3" s="382" t="s">
        <v>771</v>
      </c>
      <c r="T3" s="392" t="s">
        <v>772</v>
      </c>
    </row>
    <row r="4" ht="15.75" customHeight="1">
      <c r="A4" s="381" t="s">
        <v>765</v>
      </c>
      <c r="B4" s="382" t="s">
        <v>766</v>
      </c>
      <c r="C4" s="383"/>
      <c r="D4" s="384" t="s">
        <v>767</v>
      </c>
      <c r="E4" s="385">
        <v>60.0</v>
      </c>
      <c r="F4" s="386" t="s">
        <v>773</v>
      </c>
      <c r="G4" s="387" t="s">
        <v>774</v>
      </c>
      <c r="H4" s="387">
        <v>30.0</v>
      </c>
      <c r="I4" s="387"/>
      <c r="J4" s="387"/>
      <c r="K4" s="388" t="s">
        <v>770</v>
      </c>
      <c r="L4" s="389" t="s">
        <v>107</v>
      </c>
      <c r="M4" s="390">
        <v>2.0</v>
      </c>
      <c r="N4" s="390" t="s">
        <v>107</v>
      </c>
      <c r="O4" s="390">
        <v>1.0</v>
      </c>
      <c r="P4" s="390" t="s">
        <v>107</v>
      </c>
      <c r="Q4" s="391" t="s">
        <v>107</v>
      </c>
      <c r="R4" s="382" t="str">
        <f>"1 skills: "&amp;'Habilidades de Rol'!D61</f>
        <v>1 skills: Trato con animales, Naturaleza, Percepcion, Sigilo, Supervivencia, </v>
      </c>
      <c r="S4" s="382" t="s">
        <v>775</v>
      </c>
      <c r="T4" s="392" t="s">
        <v>776</v>
      </c>
      <c r="U4" s="393"/>
      <c r="V4" s="393"/>
      <c r="W4" s="393"/>
      <c r="X4" s="393"/>
      <c r="Y4" s="393"/>
      <c r="Z4" s="393"/>
      <c r="AA4" s="393"/>
      <c r="AB4" s="393"/>
      <c r="AC4" s="393"/>
      <c r="AD4" s="393"/>
      <c r="AE4" s="393"/>
    </row>
    <row r="5" ht="15.75" customHeight="1">
      <c r="A5" s="379" t="s">
        <v>777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380"/>
    </row>
    <row r="6" ht="15.75" customHeight="1">
      <c r="A6" s="381" t="s">
        <v>777</v>
      </c>
      <c r="B6" s="382" t="s">
        <v>766</v>
      </c>
      <c r="C6" s="383"/>
      <c r="D6" s="384"/>
      <c r="E6" s="385">
        <v>0.0</v>
      </c>
      <c r="F6" s="386" t="s">
        <v>768</v>
      </c>
      <c r="G6" s="387" t="s">
        <v>769</v>
      </c>
      <c r="H6" s="387">
        <v>25.0</v>
      </c>
      <c r="I6" s="387"/>
      <c r="J6" s="387">
        <v>50.0</v>
      </c>
      <c r="K6" s="388" t="s">
        <v>778</v>
      </c>
      <c r="L6" s="389" t="s">
        <v>107</v>
      </c>
      <c r="M6" s="390">
        <v>2.0</v>
      </c>
      <c r="N6" s="390" t="s">
        <v>107</v>
      </c>
      <c r="O6" s="390" t="s">
        <v>107</v>
      </c>
      <c r="P6" s="390">
        <v>1.0</v>
      </c>
      <c r="Q6" s="391" t="s">
        <v>107</v>
      </c>
      <c r="R6" s="382" t="str">
        <f>"1 skills: "&amp;'Habilidades de Rol'!D63</f>
        <v>1 skills: </v>
      </c>
      <c r="S6" s="382" t="s">
        <v>779</v>
      </c>
      <c r="T6" s="392" t="s">
        <v>780</v>
      </c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</row>
    <row r="7" ht="15.75" customHeight="1">
      <c r="A7" s="381" t="s">
        <v>777</v>
      </c>
      <c r="B7" s="382" t="s">
        <v>781</v>
      </c>
      <c r="C7" s="383"/>
      <c r="D7" s="384" t="s">
        <v>767</v>
      </c>
      <c r="E7" s="385">
        <v>20.0</v>
      </c>
      <c r="F7" s="386"/>
      <c r="G7" s="387"/>
      <c r="H7" s="387">
        <v>25.0</v>
      </c>
      <c r="I7" s="387"/>
      <c r="J7" s="387"/>
      <c r="K7" s="388"/>
      <c r="L7" s="389" t="s">
        <v>107</v>
      </c>
      <c r="M7" s="390" t="s">
        <v>107</v>
      </c>
      <c r="N7" s="390" t="s">
        <v>107</v>
      </c>
      <c r="O7" s="390" t="s">
        <v>107</v>
      </c>
      <c r="P7" s="390">
        <v>1.0</v>
      </c>
      <c r="Q7" s="391">
        <v>2.0</v>
      </c>
      <c r="R7" s="382" t="str">
        <f>"1 skills: "&amp;'Habilidades de Rol'!D64</f>
        <v>1 skills: </v>
      </c>
      <c r="S7" s="382" t="s">
        <v>782</v>
      </c>
      <c r="T7" s="392" t="s">
        <v>783</v>
      </c>
      <c r="U7" s="393"/>
      <c r="V7" s="393"/>
      <c r="W7" s="393"/>
      <c r="X7" s="393"/>
      <c r="Y7" s="393"/>
      <c r="Z7" s="393"/>
      <c r="AA7" s="393"/>
      <c r="AB7" s="393"/>
      <c r="AC7" s="393"/>
      <c r="AD7" s="393"/>
      <c r="AE7" s="393"/>
    </row>
    <row r="8" ht="15.75" customHeight="1">
      <c r="A8" s="379" t="s">
        <v>784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380"/>
    </row>
    <row r="9" ht="15.75" customHeight="1">
      <c r="A9" s="381" t="s">
        <v>784</v>
      </c>
      <c r="B9" s="382" t="s">
        <v>766</v>
      </c>
      <c r="C9" s="383"/>
      <c r="D9" s="384" t="s">
        <v>767</v>
      </c>
      <c r="E9" s="385">
        <v>60.0</v>
      </c>
      <c r="F9" s="386" t="s">
        <v>785</v>
      </c>
      <c r="G9" s="387" t="s">
        <v>769</v>
      </c>
      <c r="H9" s="387">
        <v>30.0</v>
      </c>
      <c r="I9" s="387"/>
      <c r="J9" s="387"/>
      <c r="K9" s="388" t="s">
        <v>786</v>
      </c>
      <c r="L9" s="389" t="s">
        <v>107</v>
      </c>
      <c r="M9" s="390">
        <v>2.0</v>
      </c>
      <c r="N9" s="390" t="s">
        <v>107</v>
      </c>
      <c r="O9" s="390" t="s">
        <v>107</v>
      </c>
      <c r="P9" s="390" t="s">
        <v>107</v>
      </c>
      <c r="Q9" s="391">
        <v>1.0</v>
      </c>
      <c r="R9" s="382" t="str">
        <f>"2 skills: "&amp;'Habilidades de Rol'!D66</f>
        <v>2 skills: Percepcion, Sigilo, </v>
      </c>
      <c r="S9" s="382" t="s">
        <v>787</v>
      </c>
      <c r="T9" s="392" t="s">
        <v>788</v>
      </c>
      <c r="U9" s="393"/>
      <c r="V9" s="393"/>
      <c r="W9" s="393"/>
      <c r="X9" s="393"/>
      <c r="Y9" s="393"/>
      <c r="Z9" s="393"/>
      <c r="AA9" s="393"/>
      <c r="AB9" s="393"/>
      <c r="AC9" s="393"/>
      <c r="AD9" s="393"/>
      <c r="AE9" s="393"/>
    </row>
    <row r="10" ht="15.75" customHeight="1">
      <c r="A10" s="381" t="s">
        <v>784</v>
      </c>
      <c r="B10" s="382" t="s">
        <v>789</v>
      </c>
      <c r="C10" s="383"/>
      <c r="D10" s="384"/>
      <c r="E10" s="385">
        <v>60.0</v>
      </c>
      <c r="F10" s="386" t="s">
        <v>785</v>
      </c>
      <c r="G10" s="387" t="s">
        <v>769</v>
      </c>
      <c r="H10" s="387">
        <v>35.0</v>
      </c>
      <c r="I10" s="387"/>
      <c r="J10" s="387"/>
      <c r="K10" s="388" t="s">
        <v>790</v>
      </c>
      <c r="L10" s="389">
        <v>1.0</v>
      </c>
      <c r="M10" s="390" t="s">
        <v>107</v>
      </c>
      <c r="N10" s="390">
        <v>2.0</v>
      </c>
      <c r="O10" s="390" t="s">
        <v>107</v>
      </c>
      <c r="P10" s="390" t="s">
        <v>107</v>
      </c>
      <c r="Q10" s="391" t="s">
        <v>107</v>
      </c>
      <c r="R10" s="382" t="str">
        <f>"1 skills: "&amp;'Habilidades de Rol'!D67</f>
        <v>1 skills: </v>
      </c>
      <c r="S10" s="382" t="s">
        <v>791</v>
      </c>
      <c r="T10" s="392" t="s">
        <v>792</v>
      </c>
      <c r="U10" s="393"/>
      <c r="V10" s="393"/>
      <c r="W10" s="393"/>
      <c r="X10" s="393"/>
      <c r="Y10" s="393"/>
      <c r="Z10" s="393"/>
      <c r="AA10" s="393"/>
      <c r="AB10" s="393"/>
      <c r="AC10" s="393"/>
      <c r="AD10" s="393"/>
      <c r="AE10" s="393"/>
    </row>
    <row r="11" ht="15.75" customHeight="1">
      <c r="A11" s="379" t="s">
        <v>793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380"/>
    </row>
    <row r="12" ht="15.75" customHeight="1">
      <c r="A12" s="381" t="s">
        <v>793</v>
      </c>
      <c r="B12" s="382" t="s">
        <v>766</v>
      </c>
      <c r="C12" s="383"/>
      <c r="D12" s="384"/>
      <c r="E12" s="385">
        <v>0.0</v>
      </c>
      <c r="F12" s="386" t="s">
        <v>794</v>
      </c>
      <c r="G12" s="387" t="s">
        <v>769</v>
      </c>
      <c r="H12" s="387">
        <v>40.0</v>
      </c>
      <c r="I12" s="387"/>
      <c r="J12" s="387"/>
      <c r="K12" s="388" t="s">
        <v>795</v>
      </c>
      <c r="L12" s="389">
        <v>2.0</v>
      </c>
      <c r="M12" s="390" t="s">
        <v>107</v>
      </c>
      <c r="N12" s="390" t="s">
        <v>107</v>
      </c>
      <c r="O12" s="390" t="s">
        <v>107</v>
      </c>
      <c r="P12" s="390">
        <v>1.0</v>
      </c>
      <c r="Q12" s="391" t="s">
        <v>107</v>
      </c>
      <c r="R12" s="382" t="str">
        <f>"2 skills: "&amp;'Habilidades de Rol'!D69</f>
        <v>2 skills: </v>
      </c>
      <c r="S12" s="382" t="s">
        <v>796</v>
      </c>
      <c r="T12" s="392" t="s">
        <v>794</v>
      </c>
      <c r="U12" s="393"/>
      <c r="V12" s="393"/>
      <c r="W12" s="393"/>
      <c r="X12" s="393"/>
      <c r="Y12" s="393"/>
      <c r="Z12" s="393"/>
      <c r="AA12" s="393"/>
      <c r="AB12" s="393"/>
      <c r="AC12" s="393"/>
      <c r="AD12" s="393"/>
      <c r="AE12" s="393"/>
    </row>
    <row r="13" ht="15.75" customHeight="1">
      <c r="A13" s="379" t="s">
        <v>797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380"/>
    </row>
    <row r="14" ht="15.75" customHeight="1">
      <c r="A14" s="381" t="s">
        <v>797</v>
      </c>
      <c r="B14" s="382" t="s">
        <v>766</v>
      </c>
      <c r="C14" s="383"/>
      <c r="D14" s="384" t="s">
        <v>767</v>
      </c>
      <c r="E14" s="385">
        <v>60.0</v>
      </c>
      <c r="F14" s="386" t="s">
        <v>785</v>
      </c>
      <c r="G14" s="387" t="s">
        <v>769</v>
      </c>
      <c r="H14" s="387">
        <v>30.0</v>
      </c>
      <c r="I14" s="387"/>
      <c r="J14" s="387"/>
      <c r="K14" s="388" t="s">
        <v>798</v>
      </c>
      <c r="L14" s="389">
        <v>1.0</v>
      </c>
      <c r="M14" s="390" t="s">
        <v>107</v>
      </c>
      <c r="N14" s="390" t="s">
        <v>107</v>
      </c>
      <c r="O14" s="390" t="s">
        <v>107</v>
      </c>
      <c r="P14" s="390">
        <v>2.0</v>
      </c>
      <c r="Q14" s="391" t="s">
        <v>107</v>
      </c>
      <c r="R14" s="382" t="str">
        <f>"1 skills: "&amp;'Habilidades de Rol'!D71</f>
        <v>1 skills: </v>
      </c>
      <c r="S14" s="382" t="s">
        <v>799</v>
      </c>
      <c r="T14" s="392" t="s">
        <v>800</v>
      </c>
      <c r="U14" s="393"/>
      <c r="V14" s="393"/>
      <c r="W14" s="393"/>
      <c r="X14" s="393"/>
      <c r="Y14" s="393"/>
      <c r="Z14" s="393"/>
      <c r="AA14" s="393"/>
      <c r="AB14" s="393"/>
      <c r="AC14" s="393"/>
      <c r="AD14" s="393"/>
      <c r="AE14" s="393"/>
    </row>
    <row r="15" ht="15.75" customHeight="1">
      <c r="A15" s="381" t="s">
        <v>797</v>
      </c>
      <c r="B15" s="382" t="s">
        <v>801</v>
      </c>
      <c r="C15" s="383"/>
      <c r="D15" s="384"/>
      <c r="E15" s="385">
        <v>60.0</v>
      </c>
      <c r="F15" s="386" t="s">
        <v>768</v>
      </c>
      <c r="G15" s="387"/>
      <c r="H15" s="387">
        <v>30.0</v>
      </c>
      <c r="I15" s="387"/>
      <c r="J15" s="387">
        <v>30.0</v>
      </c>
      <c r="K15" s="394" t="s">
        <v>802</v>
      </c>
      <c r="L15" s="389" t="s">
        <v>107</v>
      </c>
      <c r="M15" s="390">
        <v>2.0</v>
      </c>
      <c r="N15" s="390" t="s">
        <v>107</v>
      </c>
      <c r="O15" s="390" t="s">
        <v>107</v>
      </c>
      <c r="P15" s="390" t="s">
        <v>107</v>
      </c>
      <c r="Q15" s="391">
        <v>1.0</v>
      </c>
      <c r="R15" s="382" t="str">
        <f>"1 skills: "&amp;'Habilidades de Rol'!D72</f>
        <v>1 skills: </v>
      </c>
      <c r="S15" s="382"/>
      <c r="T15" s="392" t="s">
        <v>803</v>
      </c>
      <c r="U15" s="393"/>
      <c r="V15" s="393"/>
      <c r="W15" s="393"/>
      <c r="X15" s="393"/>
      <c r="Y15" s="393"/>
      <c r="Z15" s="393"/>
      <c r="AA15" s="393"/>
      <c r="AB15" s="393"/>
      <c r="AC15" s="393"/>
      <c r="AD15" s="393"/>
      <c r="AE15" s="393"/>
    </row>
    <row r="16" ht="15.75" customHeight="1">
      <c r="A16" s="381" t="s">
        <v>797</v>
      </c>
      <c r="B16" s="382" t="s">
        <v>804</v>
      </c>
      <c r="C16" s="383"/>
      <c r="D16" s="384"/>
      <c r="E16" s="385">
        <v>60.0</v>
      </c>
      <c r="F16" s="386" t="s">
        <v>805</v>
      </c>
      <c r="G16" s="387"/>
      <c r="H16" s="387">
        <v>30.0</v>
      </c>
      <c r="I16" s="387"/>
      <c r="J16" s="387"/>
      <c r="K16" s="394" t="s">
        <v>806</v>
      </c>
      <c r="L16" s="389">
        <v>1.0</v>
      </c>
      <c r="M16" s="390">
        <v>2.0</v>
      </c>
      <c r="N16" s="390" t="s">
        <v>107</v>
      </c>
      <c r="O16" s="390" t="s">
        <v>107</v>
      </c>
      <c r="P16" s="390" t="s">
        <v>107</v>
      </c>
      <c r="Q16" s="391" t="s">
        <v>107</v>
      </c>
      <c r="R16" s="382" t="str">
        <f>"1 skills: "&amp;'Habilidades de Rol'!D73</f>
        <v>1 skills: </v>
      </c>
      <c r="S16" s="382" t="s">
        <v>807</v>
      </c>
      <c r="T16" s="392" t="s">
        <v>803</v>
      </c>
      <c r="U16" s="393"/>
      <c r="V16" s="393"/>
      <c r="W16" s="393"/>
      <c r="X16" s="393"/>
      <c r="Y16" s="393"/>
      <c r="Z16" s="393"/>
      <c r="AA16" s="393"/>
      <c r="AB16" s="393"/>
      <c r="AC16" s="393"/>
      <c r="AD16" s="393"/>
      <c r="AE16" s="393"/>
    </row>
    <row r="17" ht="15.75" customHeight="1">
      <c r="A17" s="381" t="s">
        <v>797</v>
      </c>
      <c r="B17" s="382" t="s">
        <v>766</v>
      </c>
      <c r="C17" s="383"/>
      <c r="D17" s="384"/>
      <c r="E17" s="385">
        <v>60.0</v>
      </c>
      <c r="F17" s="386" t="s">
        <v>768</v>
      </c>
      <c r="G17" s="387" t="s">
        <v>769</v>
      </c>
      <c r="H17" s="387">
        <v>35.0</v>
      </c>
      <c r="I17" s="387"/>
      <c r="J17" s="387"/>
      <c r="K17" s="388" t="s">
        <v>795</v>
      </c>
      <c r="L17" s="389" t="s">
        <v>107</v>
      </c>
      <c r="M17" s="390">
        <v>1.0</v>
      </c>
      <c r="N17" s="390" t="s">
        <v>107</v>
      </c>
      <c r="O17" s="390" t="s">
        <v>107</v>
      </c>
      <c r="P17" s="390" t="s">
        <v>107</v>
      </c>
      <c r="Q17" s="391">
        <v>2.0</v>
      </c>
      <c r="R17" s="382" t="str">
        <f>"2 skills: "&amp;'Habilidades de Rol'!D74</f>
        <v>2 skills: Interpretacion, Persuasion, </v>
      </c>
      <c r="S17" s="382" t="s">
        <v>808</v>
      </c>
      <c r="T17" s="392" t="s">
        <v>792</v>
      </c>
      <c r="U17" s="393"/>
      <c r="V17" s="393"/>
      <c r="W17" s="393"/>
      <c r="X17" s="393"/>
      <c r="Y17" s="393"/>
      <c r="Z17" s="393"/>
      <c r="AA17" s="393"/>
      <c r="AB17" s="393"/>
      <c r="AC17" s="393"/>
      <c r="AD17" s="393"/>
      <c r="AE17" s="393"/>
    </row>
    <row r="18" ht="15.75" customHeight="1">
      <c r="A18" s="379" t="s">
        <v>809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380"/>
    </row>
    <row r="19" ht="15.75" customHeight="1">
      <c r="A19" s="381" t="s">
        <v>809</v>
      </c>
      <c r="B19" s="382" t="s">
        <v>766</v>
      </c>
      <c r="C19" s="383"/>
      <c r="D19" s="384" t="s">
        <v>767</v>
      </c>
      <c r="E19" s="385">
        <v>60.0</v>
      </c>
      <c r="F19" s="386" t="s">
        <v>773</v>
      </c>
      <c r="G19" s="387" t="s">
        <v>769</v>
      </c>
      <c r="H19" s="387">
        <v>30.0</v>
      </c>
      <c r="I19" s="387"/>
      <c r="J19" s="387"/>
      <c r="K19" s="388" t="s">
        <v>810</v>
      </c>
      <c r="L19" s="389">
        <f>+2</f>
        <v>2</v>
      </c>
      <c r="M19" s="390" t="s">
        <v>107</v>
      </c>
      <c r="N19" s="390">
        <f>+1</f>
        <v>1</v>
      </c>
      <c r="O19" s="390" t="s">
        <v>107</v>
      </c>
      <c r="P19" s="390" t="s">
        <v>107</v>
      </c>
      <c r="Q19" s="391" t="s">
        <v>107</v>
      </c>
      <c r="R19" s="382" t="str">
        <f>"1 skills: "&amp;'Habilidades de Rol'!D76</f>
        <v>1 skills: Percepcion, </v>
      </c>
      <c r="S19" s="382" t="s">
        <v>811</v>
      </c>
      <c r="T19" s="392" t="s">
        <v>812</v>
      </c>
      <c r="U19" s="393"/>
      <c r="V19" s="393"/>
      <c r="W19" s="393"/>
      <c r="X19" s="393"/>
      <c r="Y19" s="393"/>
      <c r="Z19" s="393"/>
      <c r="AA19" s="393"/>
      <c r="AB19" s="393"/>
      <c r="AC19" s="393"/>
      <c r="AD19" s="393"/>
      <c r="AE19" s="393"/>
    </row>
    <row r="20" ht="15.75" customHeight="1">
      <c r="A20" s="381" t="s">
        <v>813</v>
      </c>
      <c r="B20" s="382" t="s">
        <v>766</v>
      </c>
      <c r="C20" s="383"/>
      <c r="D20" s="384" t="s">
        <v>767</v>
      </c>
      <c r="E20" s="385">
        <v>60.0</v>
      </c>
      <c r="F20" s="386" t="s">
        <v>814</v>
      </c>
      <c r="G20" s="387" t="s">
        <v>769</v>
      </c>
      <c r="H20" s="387">
        <v>30.0</v>
      </c>
      <c r="I20" s="387"/>
      <c r="J20" s="387"/>
      <c r="K20" s="388" t="s">
        <v>810</v>
      </c>
      <c r="L20" s="389">
        <v>2.0</v>
      </c>
      <c r="M20" s="390" t="s">
        <v>107</v>
      </c>
      <c r="N20" s="390">
        <v>1.0</v>
      </c>
      <c r="O20" s="390" t="s">
        <v>107</v>
      </c>
      <c r="P20" s="390" t="s">
        <v>107</v>
      </c>
      <c r="Q20" s="391" t="s">
        <v>107</v>
      </c>
      <c r="R20" s="382" t="str">
        <f>"2 skills: "&amp;'Habilidades de Rol'!D77</f>
        <v>2 skills: Intimidacion, </v>
      </c>
      <c r="S20" s="382" t="s">
        <v>815</v>
      </c>
      <c r="T20" s="392" t="s">
        <v>816</v>
      </c>
      <c r="U20" s="393"/>
      <c r="V20" s="393"/>
      <c r="W20" s="393"/>
      <c r="X20" s="393"/>
      <c r="Y20" s="393"/>
      <c r="Z20" s="393"/>
      <c r="AA20" s="393"/>
      <c r="AB20" s="393"/>
      <c r="AC20" s="393"/>
      <c r="AD20" s="393"/>
      <c r="AE20" s="393"/>
    </row>
    <row r="21" ht="15.75" customHeight="1">
      <c r="A21" s="381" t="s">
        <v>809</v>
      </c>
      <c r="B21" s="382" t="s">
        <v>817</v>
      </c>
      <c r="C21" s="383"/>
      <c r="D21" s="384" t="s">
        <v>767</v>
      </c>
      <c r="E21" s="385">
        <v>60.0</v>
      </c>
      <c r="F21" s="386"/>
      <c r="G21" s="387"/>
      <c r="H21" s="387">
        <v>30.0</v>
      </c>
      <c r="I21" s="387"/>
      <c r="J21" s="387"/>
      <c r="K21" s="394" t="s">
        <v>818</v>
      </c>
      <c r="L21" s="389">
        <v>2.0</v>
      </c>
      <c r="M21" s="390" t="s">
        <v>107</v>
      </c>
      <c r="N21" s="390" t="s">
        <v>107</v>
      </c>
      <c r="O21" s="390">
        <v>1.0</v>
      </c>
      <c r="P21" s="390" t="s">
        <v>107</v>
      </c>
      <c r="Q21" s="391" t="s">
        <v>107</v>
      </c>
      <c r="R21" s="382" t="str">
        <f>"1 skills: "&amp;'Habilidades de Rol'!D78</f>
        <v>1 skills: </v>
      </c>
      <c r="S21" s="382" t="s">
        <v>819</v>
      </c>
      <c r="T21" s="392" t="s">
        <v>820</v>
      </c>
      <c r="U21" s="393"/>
      <c r="V21" s="393"/>
      <c r="W21" s="393"/>
      <c r="X21" s="393"/>
      <c r="Y21" s="393"/>
      <c r="Z21" s="393"/>
      <c r="AA21" s="393"/>
      <c r="AB21" s="393"/>
      <c r="AC21" s="393"/>
      <c r="AD21" s="393"/>
      <c r="AE21" s="393"/>
    </row>
    <row r="22" ht="15.75" customHeight="1">
      <c r="A22" s="379" t="s">
        <v>821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380"/>
    </row>
    <row r="23" ht="15.75" customHeight="1">
      <c r="A23" s="381" t="s">
        <v>822</v>
      </c>
      <c r="B23" s="382" t="s">
        <v>823</v>
      </c>
      <c r="C23" s="383"/>
      <c r="D23" s="384" t="s">
        <v>767</v>
      </c>
      <c r="E23" s="385">
        <v>60.0</v>
      </c>
      <c r="F23" s="386" t="s">
        <v>824</v>
      </c>
      <c r="G23" s="387" t="s">
        <v>769</v>
      </c>
      <c r="H23" s="387">
        <v>25.0</v>
      </c>
      <c r="I23" s="387"/>
      <c r="J23" s="387"/>
      <c r="K23" s="388" t="s">
        <v>825</v>
      </c>
      <c r="L23" s="389" t="s">
        <v>107</v>
      </c>
      <c r="M23" s="390" t="s">
        <v>107</v>
      </c>
      <c r="N23" s="390" t="s">
        <v>107</v>
      </c>
      <c r="O23" s="390" t="s">
        <v>107</v>
      </c>
      <c r="P23" s="390" t="s">
        <v>107</v>
      </c>
      <c r="Q23" s="391" t="s">
        <v>107</v>
      </c>
      <c r="R23" s="382" t="str">
        <f>"1 skills: "&amp;'Habilidades de Rol'!D80</f>
        <v>1 skills: </v>
      </c>
      <c r="S23" s="382" t="s">
        <v>826</v>
      </c>
      <c r="T23" s="392" t="s">
        <v>827</v>
      </c>
      <c r="U23" s="393"/>
      <c r="V23" s="393"/>
      <c r="W23" s="393"/>
      <c r="X23" s="393"/>
      <c r="Y23" s="393"/>
      <c r="Z23" s="393"/>
      <c r="AA23" s="393"/>
      <c r="AB23" s="393"/>
      <c r="AC23" s="393"/>
      <c r="AD23" s="393"/>
      <c r="AE23" s="393"/>
    </row>
    <row r="24" ht="15.75" customHeight="1">
      <c r="A24" s="381" t="s">
        <v>828</v>
      </c>
      <c r="B24" s="382" t="s">
        <v>829</v>
      </c>
      <c r="C24" s="383"/>
      <c r="D24" s="384" t="s">
        <v>767</v>
      </c>
      <c r="E24" s="385">
        <v>60.0</v>
      </c>
      <c r="F24" s="386"/>
      <c r="G24" s="387"/>
      <c r="H24" s="387">
        <v>25.0</v>
      </c>
      <c r="I24" s="387"/>
      <c r="J24" s="387"/>
      <c r="K24" s="388"/>
      <c r="L24" s="389" t="s">
        <v>107</v>
      </c>
      <c r="M24" s="390" t="s">
        <v>107</v>
      </c>
      <c r="N24" s="390">
        <v>2.0</v>
      </c>
      <c r="O24" s="390" t="s">
        <v>107</v>
      </c>
      <c r="P24" s="390">
        <f>+1</f>
        <v>1</v>
      </c>
      <c r="Q24" s="391" t="s">
        <v>107</v>
      </c>
      <c r="R24" s="382" t="str">
        <f>"1 skills: "&amp;'Habilidades de Rol'!D81</f>
        <v>1 skills: </v>
      </c>
      <c r="S24" s="382" t="s">
        <v>830</v>
      </c>
      <c r="T24" s="392" t="s">
        <v>831</v>
      </c>
      <c r="U24" s="393"/>
      <c r="V24" s="393"/>
      <c r="W24" s="393"/>
      <c r="X24" s="393"/>
      <c r="Y24" s="393"/>
      <c r="Z24" s="393"/>
      <c r="AA24" s="393"/>
      <c r="AB24" s="393"/>
      <c r="AC24" s="393"/>
      <c r="AD24" s="393"/>
      <c r="AE24" s="393"/>
    </row>
    <row r="25" ht="15.75" customHeight="1">
      <c r="A25" s="381" t="s">
        <v>828</v>
      </c>
      <c r="B25" s="382" t="s">
        <v>832</v>
      </c>
      <c r="C25" s="383"/>
      <c r="D25" s="384" t="s">
        <v>767</v>
      </c>
      <c r="E25" s="385">
        <v>60.0</v>
      </c>
      <c r="F25" s="386"/>
      <c r="G25" s="387"/>
      <c r="H25" s="387">
        <v>25.0</v>
      </c>
      <c r="I25" s="387"/>
      <c r="J25" s="387"/>
      <c r="K25" s="388"/>
      <c r="L25" s="389">
        <f>+2</f>
        <v>2</v>
      </c>
      <c r="M25" s="390" t="s">
        <v>107</v>
      </c>
      <c r="N25" s="390">
        <v>2.0</v>
      </c>
      <c r="O25" s="390" t="s">
        <v>107</v>
      </c>
      <c r="P25" s="390" t="s">
        <v>107</v>
      </c>
      <c r="Q25" s="391" t="s">
        <v>107</v>
      </c>
      <c r="R25" s="382" t="str">
        <f>"1 skills: "&amp;'Habilidades de Rol'!D82</f>
        <v>1 skills: </v>
      </c>
      <c r="S25" s="382" t="s">
        <v>833</v>
      </c>
      <c r="T25" s="392" t="s">
        <v>831</v>
      </c>
      <c r="U25" s="393"/>
      <c r="V25" s="393"/>
      <c r="W25" s="393"/>
      <c r="X25" s="393"/>
      <c r="Y25" s="393"/>
      <c r="Z25" s="393"/>
      <c r="AA25" s="393"/>
      <c r="AB25" s="393"/>
      <c r="AC25" s="393"/>
      <c r="AD25" s="393"/>
      <c r="AE25" s="393"/>
    </row>
    <row r="26" ht="15.75" customHeight="1">
      <c r="A26" s="381" t="s">
        <v>828</v>
      </c>
      <c r="B26" s="382" t="s">
        <v>834</v>
      </c>
      <c r="C26" s="383"/>
      <c r="D26" s="384" t="s">
        <v>767</v>
      </c>
      <c r="E26" s="385">
        <v>120.0</v>
      </c>
      <c r="F26" s="386" t="s">
        <v>785</v>
      </c>
      <c r="G26" s="387"/>
      <c r="H26" s="387">
        <v>25.0</v>
      </c>
      <c r="I26" s="387"/>
      <c r="J26" s="387"/>
      <c r="K26" s="394" t="s">
        <v>835</v>
      </c>
      <c r="L26" s="389">
        <f>+1</f>
        <v>1</v>
      </c>
      <c r="M26" s="390" t="s">
        <v>107</v>
      </c>
      <c r="N26" s="390">
        <v>2.0</v>
      </c>
      <c r="O26" s="390" t="s">
        <v>107</v>
      </c>
      <c r="P26" s="390" t="s">
        <v>107</v>
      </c>
      <c r="Q26" s="391" t="s">
        <v>107</v>
      </c>
      <c r="R26" s="382" t="str">
        <f>"1 skills: "&amp;'Habilidades de Rol'!D83</f>
        <v>1 skills: </v>
      </c>
      <c r="S26" s="382" t="s">
        <v>836</v>
      </c>
      <c r="T26" s="392" t="s">
        <v>837</v>
      </c>
      <c r="U26" s="393"/>
      <c r="V26" s="393"/>
      <c r="W26" s="393"/>
      <c r="X26" s="393"/>
      <c r="Y26" s="393"/>
      <c r="Z26" s="393"/>
      <c r="AA26" s="393"/>
      <c r="AB26" s="393"/>
      <c r="AC26" s="393"/>
      <c r="AD26" s="393"/>
      <c r="AE26" s="393"/>
    </row>
    <row r="27" ht="15.75" customHeight="1">
      <c r="A27" s="379" t="s">
        <v>838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380"/>
    </row>
    <row r="28" ht="15.75" customHeight="1">
      <c r="A28" s="381" t="s">
        <v>839</v>
      </c>
      <c r="B28" s="382" t="s">
        <v>840</v>
      </c>
      <c r="C28" s="383"/>
      <c r="D28" s="384" t="s">
        <v>767</v>
      </c>
      <c r="E28" s="385">
        <v>60.0</v>
      </c>
      <c r="F28" s="386" t="s">
        <v>814</v>
      </c>
      <c r="G28" s="387"/>
      <c r="H28" s="387">
        <v>30.0</v>
      </c>
      <c r="I28" s="387"/>
      <c r="J28" s="387"/>
      <c r="K28" s="394" t="s">
        <v>818</v>
      </c>
      <c r="L28" s="389" t="s">
        <v>107</v>
      </c>
      <c r="M28" s="390">
        <v>2.0</v>
      </c>
      <c r="N28" s="390" t="s">
        <v>107</v>
      </c>
      <c r="O28" s="390">
        <f>+1</f>
        <v>1</v>
      </c>
      <c r="P28" s="390" t="s">
        <v>107</v>
      </c>
      <c r="Q28" s="391" t="s">
        <v>107</v>
      </c>
      <c r="R28" s="382" t="str">
        <f>"1 skills: "&amp;'Habilidades de Rol'!D85</f>
        <v>1 skills: </v>
      </c>
      <c r="S28" s="382" t="s">
        <v>841</v>
      </c>
      <c r="T28" s="392" t="s">
        <v>842</v>
      </c>
      <c r="U28" s="393"/>
      <c r="V28" s="393"/>
      <c r="W28" s="393"/>
      <c r="X28" s="393"/>
      <c r="Y28" s="393"/>
      <c r="Z28" s="393"/>
      <c r="AA28" s="393"/>
      <c r="AB28" s="393"/>
      <c r="AC28" s="393"/>
      <c r="AD28" s="393"/>
      <c r="AE28" s="393"/>
    </row>
    <row r="29" ht="15.75" customHeight="1">
      <c r="A29" s="381" t="s">
        <v>839</v>
      </c>
      <c r="B29" s="382" t="s">
        <v>843</v>
      </c>
      <c r="C29" s="383"/>
      <c r="D29" s="384" t="s">
        <v>767</v>
      </c>
      <c r="E29" s="385">
        <v>60.0</v>
      </c>
      <c r="F29" s="386" t="s">
        <v>814</v>
      </c>
      <c r="G29" s="387"/>
      <c r="H29" s="387">
        <v>35.0</v>
      </c>
      <c r="I29" s="387"/>
      <c r="J29" s="387"/>
      <c r="K29" s="388"/>
      <c r="L29" s="389" t="s">
        <v>107</v>
      </c>
      <c r="M29" s="390">
        <v>2.0</v>
      </c>
      <c r="N29" s="390" t="s">
        <v>107</v>
      </c>
      <c r="O29" s="390" t="s">
        <v>107</v>
      </c>
      <c r="P29" s="390">
        <f>+1</f>
        <v>1</v>
      </c>
      <c r="Q29" s="391" t="s">
        <v>107</v>
      </c>
      <c r="R29" s="382" t="str">
        <f>"1 skills: "&amp;'Habilidades de Rol'!D86</f>
        <v>1 skills: </v>
      </c>
      <c r="S29" s="382" t="s">
        <v>844</v>
      </c>
      <c r="T29" s="392" t="s">
        <v>845</v>
      </c>
      <c r="U29" s="393"/>
      <c r="V29" s="393"/>
      <c r="W29" s="393"/>
      <c r="X29" s="393"/>
      <c r="Y29" s="393"/>
      <c r="Z29" s="393"/>
      <c r="AA29" s="393"/>
      <c r="AB29" s="393"/>
      <c r="AC29" s="393"/>
      <c r="AD29" s="393"/>
      <c r="AE29" s="393"/>
    </row>
    <row r="30" ht="15.75" customHeight="1">
      <c r="A30" s="381" t="s">
        <v>839</v>
      </c>
      <c r="B30" s="382" t="s">
        <v>846</v>
      </c>
      <c r="C30" s="383"/>
      <c r="D30" s="384" t="s">
        <v>767</v>
      </c>
      <c r="E30" s="385">
        <v>120.0</v>
      </c>
      <c r="F30" s="386" t="s">
        <v>814</v>
      </c>
      <c r="G30" s="387"/>
      <c r="H30" s="387">
        <v>30.0</v>
      </c>
      <c r="I30" s="387"/>
      <c r="J30" s="387"/>
      <c r="K30" s="388"/>
      <c r="L30" s="389" t="s">
        <v>107</v>
      </c>
      <c r="M30" s="390">
        <v>2.0</v>
      </c>
      <c r="N30" s="390" t="s">
        <v>107</v>
      </c>
      <c r="O30" s="390" t="s">
        <v>107</v>
      </c>
      <c r="P30" s="390" t="s">
        <v>107</v>
      </c>
      <c r="Q30" s="391">
        <f>+1</f>
        <v>1</v>
      </c>
      <c r="R30" s="382" t="str">
        <f>"1 skills: "&amp;'Habilidades de Rol'!D87</f>
        <v>1 skills: </v>
      </c>
      <c r="S30" s="382" t="s">
        <v>847</v>
      </c>
      <c r="T30" s="392" t="s">
        <v>845</v>
      </c>
      <c r="U30" s="393"/>
      <c r="V30" s="393"/>
      <c r="W30" s="393"/>
      <c r="X30" s="393"/>
      <c r="Y30" s="393"/>
      <c r="Z30" s="393"/>
      <c r="AA30" s="393"/>
      <c r="AB30" s="393"/>
      <c r="AC30" s="393"/>
      <c r="AD30" s="393"/>
      <c r="AE30" s="393"/>
    </row>
    <row r="31" ht="15.75" customHeight="1">
      <c r="A31" s="381" t="s">
        <v>839</v>
      </c>
      <c r="B31" s="382" t="s">
        <v>848</v>
      </c>
      <c r="C31" s="383"/>
      <c r="D31" s="384"/>
      <c r="E31" s="385">
        <v>60.0</v>
      </c>
      <c r="F31" s="386" t="s">
        <v>768</v>
      </c>
      <c r="G31" s="387"/>
      <c r="H31" s="387">
        <v>30.0</v>
      </c>
      <c r="I31" s="387"/>
      <c r="J31" s="387"/>
      <c r="K31" s="388"/>
      <c r="L31" s="389" t="s">
        <v>107</v>
      </c>
      <c r="M31" s="390">
        <v>2.0</v>
      </c>
      <c r="N31" s="390" t="s">
        <v>107</v>
      </c>
      <c r="O31" s="390">
        <f>+1</f>
        <v>1</v>
      </c>
      <c r="P31" s="390" t="s">
        <v>107</v>
      </c>
      <c r="Q31" s="391" t="s">
        <v>107</v>
      </c>
      <c r="R31" s="382" t="str">
        <f>"1 skills: "&amp;'Habilidades de Rol'!D88</f>
        <v>1 skills: </v>
      </c>
      <c r="S31" s="382" t="s">
        <v>849</v>
      </c>
      <c r="T31" s="392" t="s">
        <v>850</v>
      </c>
      <c r="U31" s="393"/>
      <c r="V31" s="393"/>
      <c r="W31" s="393"/>
      <c r="X31" s="393"/>
      <c r="Y31" s="393"/>
      <c r="Z31" s="393"/>
      <c r="AA31" s="393"/>
      <c r="AB31" s="393"/>
      <c r="AC31" s="393"/>
      <c r="AD31" s="393"/>
      <c r="AE31" s="393"/>
    </row>
    <row r="32" ht="15.75" customHeight="1">
      <c r="A32" s="381" t="s">
        <v>851</v>
      </c>
      <c r="B32" s="382" t="s">
        <v>852</v>
      </c>
      <c r="C32" s="383"/>
      <c r="D32" s="384" t="s">
        <v>767</v>
      </c>
      <c r="E32" s="385">
        <v>45.0</v>
      </c>
      <c r="F32" s="386" t="s">
        <v>853</v>
      </c>
      <c r="G32" s="387"/>
      <c r="H32" s="387">
        <v>30.0</v>
      </c>
      <c r="I32" s="387"/>
      <c r="J32" s="387"/>
      <c r="K32" s="388"/>
      <c r="L32" s="389" t="s">
        <v>107</v>
      </c>
      <c r="M32" s="390">
        <v>1.0</v>
      </c>
      <c r="N32" s="390" t="s">
        <v>107</v>
      </c>
      <c r="O32" s="390" t="s">
        <v>107</v>
      </c>
      <c r="P32" s="390" t="s">
        <v>107</v>
      </c>
      <c r="Q32" s="391">
        <v>2.0</v>
      </c>
      <c r="R32" s="382" t="str">
        <f>"1 skills: "&amp;'Habilidades de Rol'!D89</f>
        <v>1 skills: </v>
      </c>
      <c r="S32" s="382" t="s">
        <v>854</v>
      </c>
      <c r="T32" s="392" t="s">
        <v>855</v>
      </c>
      <c r="U32" s="393"/>
      <c r="V32" s="393"/>
      <c r="W32" s="393"/>
      <c r="X32" s="393"/>
      <c r="Y32" s="393"/>
      <c r="Z32" s="393"/>
      <c r="AA32" s="393"/>
      <c r="AB32" s="393"/>
      <c r="AC32" s="393"/>
      <c r="AD32" s="393"/>
      <c r="AE32" s="393"/>
    </row>
    <row r="33" ht="15.75" customHeight="1">
      <c r="A33" s="381" t="s">
        <v>851</v>
      </c>
      <c r="B33" s="382" t="s">
        <v>856</v>
      </c>
      <c r="C33" s="383"/>
      <c r="D33" s="384" t="s">
        <v>767</v>
      </c>
      <c r="E33" s="385">
        <v>45.0</v>
      </c>
      <c r="F33" s="386" t="s">
        <v>853</v>
      </c>
      <c r="G33" s="387"/>
      <c r="H33" s="387">
        <v>30.0</v>
      </c>
      <c r="I33" s="387"/>
      <c r="J33" s="387"/>
      <c r="K33" s="388"/>
      <c r="L33" s="389" t="s">
        <v>107</v>
      </c>
      <c r="M33" s="390">
        <v>1.0</v>
      </c>
      <c r="N33" s="390" t="s">
        <v>107</v>
      </c>
      <c r="O33" s="390" t="s">
        <v>107</v>
      </c>
      <c r="P33" s="390" t="s">
        <v>107</v>
      </c>
      <c r="Q33" s="391">
        <v>2.0</v>
      </c>
      <c r="R33" s="382" t="str">
        <f>"1 skills: "&amp;'Habilidades de Rol'!D90</f>
        <v>1 skills: </v>
      </c>
      <c r="S33" s="382" t="s">
        <v>857</v>
      </c>
      <c r="T33" s="392" t="s">
        <v>855</v>
      </c>
      <c r="U33" s="393"/>
      <c r="V33" s="393"/>
      <c r="W33" s="393"/>
      <c r="X33" s="393"/>
      <c r="Y33" s="393"/>
      <c r="Z33" s="393"/>
      <c r="AA33" s="393"/>
      <c r="AB33" s="393"/>
      <c r="AC33" s="393"/>
      <c r="AD33" s="393"/>
      <c r="AE33" s="393"/>
    </row>
    <row r="34" ht="15.75" customHeight="1">
      <c r="A34" s="379" t="s">
        <v>858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380"/>
    </row>
    <row r="35" ht="15.75" customHeight="1">
      <c r="A35" s="381" t="s">
        <v>859</v>
      </c>
      <c r="B35" s="382" t="s">
        <v>860</v>
      </c>
      <c r="C35" s="383"/>
      <c r="D35" s="384" t="s">
        <v>767</v>
      </c>
      <c r="E35" s="385">
        <v>60.0</v>
      </c>
      <c r="F35" s="386"/>
      <c r="G35" s="387"/>
      <c r="H35" s="387">
        <v>25.0</v>
      </c>
      <c r="I35" s="387"/>
      <c r="J35" s="387"/>
      <c r="K35" s="388"/>
      <c r="L35" s="389" t="s">
        <v>107</v>
      </c>
      <c r="M35" s="390">
        <v>1.0</v>
      </c>
      <c r="N35" s="390" t="s">
        <v>107</v>
      </c>
      <c r="O35" s="390">
        <v>2.0</v>
      </c>
      <c r="P35" s="390" t="s">
        <v>107</v>
      </c>
      <c r="Q35" s="391" t="s">
        <v>107</v>
      </c>
      <c r="R35" s="382" t="str">
        <f>"1 skills: "&amp;'Habilidades de Rol'!D92</f>
        <v>1 skills: </v>
      </c>
      <c r="S35" s="382" t="s">
        <v>861</v>
      </c>
      <c r="T35" s="392" t="s">
        <v>862</v>
      </c>
      <c r="U35" s="393"/>
      <c r="V35" s="393"/>
      <c r="W35" s="393"/>
      <c r="X35" s="393"/>
      <c r="Y35" s="393"/>
      <c r="Z35" s="393"/>
      <c r="AA35" s="393"/>
      <c r="AB35" s="393"/>
      <c r="AC35" s="393"/>
      <c r="AD35" s="393"/>
      <c r="AE35" s="393"/>
    </row>
    <row r="36" ht="15.75" customHeight="1">
      <c r="A36" s="381" t="s">
        <v>859</v>
      </c>
      <c r="B36" s="382" t="s">
        <v>863</v>
      </c>
      <c r="C36" s="383"/>
      <c r="D36" s="384" t="s">
        <v>767</v>
      </c>
      <c r="E36" s="385">
        <v>60.0</v>
      </c>
      <c r="F36" s="386"/>
      <c r="G36" s="387"/>
      <c r="H36" s="387">
        <v>25.0</v>
      </c>
      <c r="I36" s="387"/>
      <c r="J36" s="387"/>
      <c r="K36" s="388"/>
      <c r="L36" s="389" t="s">
        <v>107</v>
      </c>
      <c r="M36" s="390" t="s">
        <v>107</v>
      </c>
      <c r="N36" s="390">
        <v>1.0</v>
      </c>
      <c r="O36" s="390">
        <v>2.0</v>
      </c>
      <c r="P36" s="390" t="s">
        <v>107</v>
      </c>
      <c r="Q36" s="391" t="s">
        <v>107</v>
      </c>
      <c r="R36" s="382" t="str">
        <f>"1 skills: "&amp;'Habilidades de Rol'!D93</f>
        <v>1 skills: </v>
      </c>
      <c r="S36" s="382" t="s">
        <v>864</v>
      </c>
      <c r="T36" s="392" t="s">
        <v>862</v>
      </c>
      <c r="U36" s="393"/>
      <c r="V36" s="393"/>
      <c r="W36" s="393"/>
      <c r="X36" s="393"/>
      <c r="Y36" s="393"/>
      <c r="Z36" s="393"/>
      <c r="AA36" s="393"/>
      <c r="AB36" s="393"/>
      <c r="AC36" s="393"/>
      <c r="AD36" s="393"/>
      <c r="AE36" s="393"/>
    </row>
    <row r="37" ht="15.75" customHeight="1">
      <c r="A37" s="381" t="s">
        <v>859</v>
      </c>
      <c r="B37" s="382" t="s">
        <v>865</v>
      </c>
      <c r="C37" s="383"/>
      <c r="D37" s="384" t="s">
        <v>767</v>
      </c>
      <c r="E37" s="385">
        <v>120.0</v>
      </c>
      <c r="F37" s="386" t="s">
        <v>785</v>
      </c>
      <c r="G37" s="387"/>
      <c r="H37" s="387">
        <v>25.0</v>
      </c>
      <c r="I37" s="387"/>
      <c r="J37" s="387"/>
      <c r="K37" s="394" t="s">
        <v>835</v>
      </c>
      <c r="L37" s="389" t="s">
        <v>107</v>
      </c>
      <c r="M37" s="390">
        <v>1.0</v>
      </c>
      <c r="N37" s="390" t="s">
        <v>107</v>
      </c>
      <c r="O37" s="390">
        <v>2.0</v>
      </c>
      <c r="P37" s="390" t="s">
        <v>107</v>
      </c>
      <c r="Q37" s="391" t="s">
        <v>107</v>
      </c>
      <c r="R37" s="382" t="str">
        <f>"1 skills: "&amp;'Habilidades de Rol'!D94</f>
        <v>1 skills: </v>
      </c>
      <c r="S37" s="382" t="s">
        <v>866</v>
      </c>
      <c r="T37" s="392" t="s">
        <v>837</v>
      </c>
      <c r="U37" s="393"/>
      <c r="V37" s="393"/>
      <c r="W37" s="393"/>
      <c r="X37" s="393"/>
      <c r="Y37" s="393"/>
      <c r="Z37" s="393"/>
      <c r="AA37" s="393"/>
      <c r="AB37" s="393"/>
      <c r="AC37" s="393"/>
      <c r="AD37" s="393"/>
      <c r="AE37" s="393"/>
    </row>
    <row r="38" ht="15.75" customHeight="1">
      <c r="A38" s="379" t="s">
        <v>867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380"/>
    </row>
    <row r="39" ht="15.75" customHeight="1">
      <c r="A39" s="381" t="s">
        <v>867</v>
      </c>
      <c r="B39" s="382" t="s">
        <v>766</v>
      </c>
      <c r="C39" s="383"/>
      <c r="D39" s="384"/>
      <c r="E39" s="385"/>
      <c r="F39" s="386" t="s">
        <v>868</v>
      </c>
      <c r="G39" s="387" t="s">
        <v>774</v>
      </c>
      <c r="H39" s="387">
        <v>25.0</v>
      </c>
      <c r="I39" s="387"/>
      <c r="J39" s="387"/>
      <c r="K39" s="388" t="s">
        <v>869</v>
      </c>
      <c r="L39" s="389" t="s">
        <v>107</v>
      </c>
      <c r="M39" s="390">
        <v>1.0</v>
      </c>
      <c r="N39" s="390" t="s">
        <v>107</v>
      </c>
      <c r="O39" s="390">
        <v>2.0</v>
      </c>
      <c r="P39" s="390" t="s">
        <v>107</v>
      </c>
      <c r="Q39" s="391">
        <v>1.0</v>
      </c>
      <c r="R39" s="382" t="str">
        <f>"1 skills: "&amp;'Habilidades de Rol'!D96</f>
        <v>1 skills: </v>
      </c>
      <c r="S39" s="382" t="s">
        <v>870</v>
      </c>
      <c r="T39" s="392" t="s">
        <v>871</v>
      </c>
      <c r="U39" s="393"/>
      <c r="V39" s="393"/>
      <c r="W39" s="393"/>
      <c r="X39" s="393"/>
      <c r="Y39" s="393"/>
      <c r="Z39" s="393"/>
      <c r="AA39" s="393"/>
      <c r="AB39" s="393"/>
      <c r="AC39" s="393"/>
      <c r="AD39" s="393"/>
      <c r="AE39" s="393"/>
    </row>
    <row r="40" ht="15.75" customHeight="1">
      <c r="A40" s="381" t="s">
        <v>872</v>
      </c>
      <c r="B40" s="382" t="s">
        <v>766</v>
      </c>
      <c r="C40" s="383"/>
      <c r="D40" s="384"/>
      <c r="E40" s="385"/>
      <c r="F40" s="386" t="s">
        <v>768</v>
      </c>
      <c r="G40" s="387" t="s">
        <v>769</v>
      </c>
      <c r="H40" s="387">
        <v>30.0</v>
      </c>
      <c r="I40" s="387">
        <v>30.0</v>
      </c>
      <c r="J40" s="387"/>
      <c r="K40" s="388" t="s">
        <v>873</v>
      </c>
      <c r="L40" s="389">
        <v>2.0</v>
      </c>
      <c r="M40" s="390">
        <v>1.0</v>
      </c>
      <c r="N40" s="390" t="s">
        <v>107</v>
      </c>
      <c r="O40" s="390" t="s">
        <v>107</v>
      </c>
      <c r="P40" s="390" t="s">
        <v>107</v>
      </c>
      <c r="Q40" s="391" t="s">
        <v>107</v>
      </c>
      <c r="R40" s="382" t="str">
        <f>"1 skills: "&amp;'Habilidades de Rol'!D97</f>
        <v>1 skills: </v>
      </c>
      <c r="S40" s="382" t="s">
        <v>874</v>
      </c>
      <c r="T40" s="392" t="s">
        <v>875</v>
      </c>
      <c r="U40" s="393"/>
      <c r="V40" s="393"/>
      <c r="W40" s="393"/>
      <c r="X40" s="393"/>
      <c r="Y40" s="393"/>
      <c r="Z40" s="393"/>
      <c r="AA40" s="393"/>
      <c r="AB40" s="393"/>
      <c r="AC40" s="393"/>
      <c r="AD40" s="393"/>
      <c r="AE40" s="393"/>
    </row>
    <row r="41" ht="15.75" customHeight="1">
      <c r="A41" s="381" t="s">
        <v>876</v>
      </c>
      <c r="B41" s="382" t="s">
        <v>766</v>
      </c>
      <c r="C41" s="383"/>
      <c r="D41" s="384"/>
      <c r="E41" s="385"/>
      <c r="F41" s="386" t="s">
        <v>794</v>
      </c>
      <c r="G41" s="387" t="s">
        <v>769</v>
      </c>
      <c r="H41" s="387">
        <v>30.0</v>
      </c>
      <c r="I41" s="387"/>
      <c r="J41" s="387"/>
      <c r="K41" s="388" t="s">
        <v>877</v>
      </c>
      <c r="L41" s="389" t="s">
        <v>107</v>
      </c>
      <c r="M41" s="390" t="s">
        <v>107</v>
      </c>
      <c r="N41" s="390">
        <v>2.0</v>
      </c>
      <c r="O41" s="390" t="s">
        <v>107</v>
      </c>
      <c r="P41" s="390">
        <v>1.0</v>
      </c>
      <c r="Q41" s="391" t="s">
        <v>107</v>
      </c>
      <c r="R41" s="382" t="str">
        <f>"1 skills: "&amp;'Habilidades de Rol'!D98</f>
        <v>1 skills: </v>
      </c>
      <c r="S41" s="382" t="s">
        <v>878</v>
      </c>
      <c r="T41" s="392" t="s">
        <v>794</v>
      </c>
      <c r="U41" s="393"/>
      <c r="V41" s="393"/>
      <c r="W41" s="393"/>
      <c r="X41" s="393"/>
      <c r="Y41" s="393"/>
      <c r="Z41" s="393"/>
      <c r="AA41" s="393"/>
      <c r="AB41" s="393"/>
      <c r="AC41" s="393"/>
      <c r="AD41" s="393"/>
      <c r="AE41" s="393"/>
    </row>
    <row r="42" ht="15.75" customHeight="1">
      <c r="A42" s="379" t="s">
        <v>879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380"/>
    </row>
    <row r="43" ht="15.75" customHeight="1">
      <c r="A43" s="381" t="s">
        <v>879</v>
      </c>
      <c r="B43" s="382" t="s">
        <v>880</v>
      </c>
      <c r="C43" s="383"/>
      <c r="D43" s="384" t="s">
        <v>767</v>
      </c>
      <c r="E43" s="385">
        <v>60.0</v>
      </c>
      <c r="F43" s="386" t="s">
        <v>814</v>
      </c>
      <c r="G43" s="387" t="s">
        <v>769</v>
      </c>
      <c r="H43" s="387">
        <v>30.0</v>
      </c>
      <c r="I43" s="387"/>
      <c r="J43" s="387"/>
      <c r="K43" s="388" t="s">
        <v>881</v>
      </c>
      <c r="L43" s="389" t="s">
        <v>107</v>
      </c>
      <c r="M43" s="390" t="s">
        <v>107</v>
      </c>
      <c r="N43" s="390" t="s">
        <v>107</v>
      </c>
      <c r="O43" s="390">
        <v>1.0</v>
      </c>
      <c r="P43" s="390" t="s">
        <v>107</v>
      </c>
      <c r="Q43" s="391">
        <v>2.0</v>
      </c>
      <c r="R43" s="382" t="str">
        <f>"1 skills: "&amp;'Habilidades de Rol'!D100</f>
        <v>1 skills: </v>
      </c>
      <c r="S43" s="382" t="s">
        <v>882</v>
      </c>
      <c r="T43" s="392" t="s">
        <v>883</v>
      </c>
      <c r="U43" s="393"/>
      <c r="V43" s="393"/>
      <c r="W43" s="393"/>
      <c r="X43" s="393"/>
      <c r="Y43" s="393"/>
      <c r="Z43" s="393"/>
      <c r="AA43" s="393"/>
      <c r="AB43" s="393"/>
      <c r="AC43" s="393"/>
      <c r="AD43" s="393"/>
      <c r="AE43" s="393"/>
    </row>
    <row r="44" ht="15.75" customHeight="1">
      <c r="A44" s="381" t="s">
        <v>879</v>
      </c>
      <c r="B44" s="382" t="s">
        <v>884</v>
      </c>
      <c r="C44" s="383"/>
      <c r="D44" s="384" t="s">
        <v>767</v>
      </c>
      <c r="E44" s="385"/>
      <c r="F44" s="386" t="s">
        <v>785</v>
      </c>
      <c r="G44" s="387"/>
      <c r="H44" s="387">
        <v>30.0</v>
      </c>
      <c r="I44" s="387"/>
      <c r="J44" s="387"/>
      <c r="K44" s="388"/>
      <c r="L44" s="389" t="s">
        <v>107</v>
      </c>
      <c r="M44" s="390">
        <v>2.0</v>
      </c>
      <c r="N44" s="390" t="s">
        <v>107</v>
      </c>
      <c r="O44" s="390">
        <v>1.0</v>
      </c>
      <c r="P44" s="390" t="s">
        <v>107</v>
      </c>
      <c r="Q44" s="391" t="s">
        <v>107</v>
      </c>
      <c r="R44" s="382" t="str">
        <f>"1 skills: "&amp;'Habilidades de Rol'!D101</f>
        <v>1 skills: </v>
      </c>
      <c r="S44" s="382" t="s">
        <v>885</v>
      </c>
      <c r="T44" s="392" t="s">
        <v>886</v>
      </c>
      <c r="U44" s="393"/>
      <c r="V44" s="393"/>
      <c r="W44" s="393"/>
      <c r="X44" s="393"/>
      <c r="Y44" s="393"/>
      <c r="Z44" s="393"/>
      <c r="AA44" s="393"/>
      <c r="AB44" s="393"/>
      <c r="AC44" s="393"/>
      <c r="AD44" s="393"/>
      <c r="AE44" s="393"/>
    </row>
    <row r="45" ht="15.75" customHeight="1">
      <c r="A45" s="381" t="s">
        <v>879</v>
      </c>
      <c r="B45" s="382" t="s">
        <v>887</v>
      </c>
      <c r="C45" s="383"/>
      <c r="D45" s="384" t="s">
        <v>767</v>
      </c>
      <c r="E45" s="385"/>
      <c r="F45" s="386" t="s">
        <v>785</v>
      </c>
      <c r="G45" s="387"/>
      <c r="H45" s="387">
        <v>30.0</v>
      </c>
      <c r="I45" s="387"/>
      <c r="J45" s="387"/>
      <c r="K45" s="388"/>
      <c r="L45" s="389" t="s">
        <v>107</v>
      </c>
      <c r="M45" s="390" t="s">
        <v>107</v>
      </c>
      <c r="N45" s="390" t="s">
        <v>107</v>
      </c>
      <c r="O45" s="390" t="s">
        <v>107</v>
      </c>
      <c r="P45" s="390">
        <v>1.0</v>
      </c>
      <c r="Q45" s="391">
        <v>2.0</v>
      </c>
      <c r="R45" s="382" t="str">
        <f>"1 skills: "&amp;'Habilidades de Rol'!D102</f>
        <v>1 skills: </v>
      </c>
      <c r="S45" s="382" t="s">
        <v>888</v>
      </c>
      <c r="T45" s="392" t="s">
        <v>820</v>
      </c>
      <c r="U45" s="393"/>
      <c r="V45" s="393"/>
      <c r="W45" s="393"/>
      <c r="X45" s="393"/>
      <c r="Y45" s="393"/>
      <c r="Z45" s="393"/>
      <c r="AA45" s="393"/>
      <c r="AB45" s="393"/>
      <c r="AC45" s="393"/>
      <c r="AD45" s="393"/>
      <c r="AE45" s="393"/>
    </row>
    <row r="46" ht="15.75" customHeight="1">
      <c r="A46" s="381" t="s">
        <v>879</v>
      </c>
      <c r="B46" s="382" t="s">
        <v>889</v>
      </c>
      <c r="C46" s="383"/>
      <c r="D46" s="384" t="s">
        <v>767</v>
      </c>
      <c r="E46" s="385"/>
      <c r="F46" s="386" t="s">
        <v>785</v>
      </c>
      <c r="G46" s="387"/>
      <c r="H46" s="387">
        <v>30.0</v>
      </c>
      <c r="I46" s="387"/>
      <c r="J46" s="387"/>
      <c r="K46" s="388"/>
      <c r="L46" s="389">
        <v>1.0</v>
      </c>
      <c r="M46" s="390" t="s">
        <v>107</v>
      </c>
      <c r="N46" s="390" t="s">
        <v>107</v>
      </c>
      <c r="O46" s="390" t="s">
        <v>107</v>
      </c>
      <c r="P46" s="390" t="s">
        <v>107</v>
      </c>
      <c r="Q46" s="391">
        <v>2.0</v>
      </c>
      <c r="R46" s="382" t="str">
        <f>"1 skills: "&amp;'Habilidades de Rol'!D103</f>
        <v>1 skills: </v>
      </c>
      <c r="S46" s="382" t="s">
        <v>890</v>
      </c>
      <c r="T46" s="392" t="s">
        <v>820</v>
      </c>
      <c r="U46" s="393"/>
      <c r="V46" s="393"/>
      <c r="W46" s="393"/>
      <c r="X46" s="393"/>
      <c r="Y46" s="393"/>
      <c r="Z46" s="393"/>
      <c r="AA46" s="393"/>
      <c r="AB46" s="393"/>
      <c r="AC46" s="393"/>
      <c r="AD46" s="393"/>
      <c r="AE46" s="393"/>
    </row>
    <row r="47" ht="15.75" customHeight="1">
      <c r="A47" s="379" t="s">
        <v>891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380"/>
    </row>
    <row r="48" ht="15.75" customHeight="1">
      <c r="A48" s="381" t="s">
        <v>891</v>
      </c>
      <c r="B48" s="382"/>
      <c r="C48" s="383"/>
      <c r="D48" s="384"/>
      <c r="E48" s="385"/>
      <c r="F48" s="386"/>
      <c r="G48" s="387"/>
      <c r="H48" s="387">
        <v>30.0</v>
      </c>
      <c r="I48" s="387"/>
      <c r="J48" s="387"/>
      <c r="K48" s="388"/>
      <c r="L48" s="389" t="s">
        <v>107</v>
      </c>
      <c r="M48" s="390" t="s">
        <v>107</v>
      </c>
      <c r="N48" s="390" t="s">
        <v>107</v>
      </c>
      <c r="O48" s="390" t="s">
        <v>107</v>
      </c>
      <c r="P48" s="390" t="s">
        <v>107</v>
      </c>
      <c r="Q48" s="391" t="s">
        <v>107</v>
      </c>
      <c r="R48" s="382" t="str">
        <f>"1 skills: "&amp;'Habilidades de Rol'!D105</f>
        <v>1 skills: </v>
      </c>
      <c r="S48" s="382"/>
      <c r="T48" s="392"/>
      <c r="U48" s="393"/>
      <c r="V48" s="393"/>
      <c r="W48" s="393"/>
      <c r="X48" s="393"/>
      <c r="Y48" s="393"/>
      <c r="Z48" s="393"/>
      <c r="AA48" s="393"/>
      <c r="AB48" s="393"/>
      <c r="AC48" s="393"/>
      <c r="AD48" s="393"/>
      <c r="AE48" s="393"/>
    </row>
    <row r="49" ht="15.75" customHeight="1">
      <c r="A49" s="381" t="s">
        <v>891</v>
      </c>
      <c r="B49" s="382" t="s">
        <v>892</v>
      </c>
      <c r="C49" s="383"/>
      <c r="D49" s="384"/>
      <c r="E49" s="385"/>
      <c r="F49" s="386" t="s">
        <v>785</v>
      </c>
      <c r="G49" s="387"/>
      <c r="H49" s="387">
        <v>30.0</v>
      </c>
      <c r="I49" s="387"/>
      <c r="J49" s="387"/>
      <c r="K49" s="388" t="s">
        <v>893</v>
      </c>
      <c r="L49" s="389" t="s">
        <v>107</v>
      </c>
      <c r="M49" s="390" t="s">
        <v>107</v>
      </c>
      <c r="N49" s="390">
        <v>1.0</v>
      </c>
      <c r="O49" s="390" t="s">
        <v>107</v>
      </c>
      <c r="P49" s="390" t="s">
        <v>107</v>
      </c>
      <c r="Q49" s="391">
        <v>2.0</v>
      </c>
      <c r="R49" s="382" t="str">
        <f>"1 skills: "&amp;'Habilidades de Rol'!D106</f>
        <v>1 skills: </v>
      </c>
      <c r="S49" s="382" t="s">
        <v>894</v>
      </c>
      <c r="T49" s="392" t="s">
        <v>895</v>
      </c>
      <c r="U49" s="393"/>
      <c r="V49" s="393"/>
      <c r="W49" s="393"/>
      <c r="X49" s="393"/>
      <c r="Y49" s="393"/>
      <c r="Z49" s="393"/>
      <c r="AA49" s="393"/>
      <c r="AB49" s="393"/>
      <c r="AC49" s="393"/>
      <c r="AD49" s="393"/>
      <c r="AE49" s="393"/>
    </row>
    <row r="50" ht="15.75" customHeight="1">
      <c r="A50" s="381" t="s">
        <v>891</v>
      </c>
      <c r="B50" s="382" t="s">
        <v>896</v>
      </c>
      <c r="C50" s="383"/>
      <c r="D50" s="384"/>
      <c r="E50" s="385">
        <v>60.0</v>
      </c>
      <c r="F50" s="386" t="s">
        <v>897</v>
      </c>
      <c r="G50" s="387" t="s">
        <v>769</v>
      </c>
      <c r="H50" s="387">
        <v>30.0</v>
      </c>
      <c r="I50" s="387"/>
      <c r="J50" s="387"/>
      <c r="K50" s="388" t="s">
        <v>898</v>
      </c>
      <c r="L50" s="389" t="s">
        <v>107</v>
      </c>
      <c r="M50" s="390" t="s">
        <v>107</v>
      </c>
      <c r="N50" s="390" t="s">
        <v>107</v>
      </c>
      <c r="O50" s="390">
        <f>+1</f>
        <v>1</v>
      </c>
      <c r="P50" s="390" t="s">
        <v>107</v>
      </c>
      <c r="Q50" s="391">
        <f>+2</f>
        <v>2</v>
      </c>
      <c r="R50" s="382" t="str">
        <f>"1 skills: "&amp;'Habilidades de Rol'!D107</f>
        <v>1 skills: </v>
      </c>
      <c r="S50" s="382" t="s">
        <v>899</v>
      </c>
      <c r="T50" s="392" t="s">
        <v>900</v>
      </c>
      <c r="U50" s="393"/>
      <c r="V50" s="393"/>
      <c r="W50" s="393"/>
      <c r="X50" s="393"/>
      <c r="Y50" s="393"/>
      <c r="Z50" s="393"/>
      <c r="AA50" s="393"/>
      <c r="AB50" s="393"/>
      <c r="AC50" s="393"/>
      <c r="AD50" s="393"/>
      <c r="AE50" s="393"/>
    </row>
    <row r="51" ht="15.75" customHeight="1">
      <c r="A51" s="379" t="s">
        <v>901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380"/>
    </row>
    <row r="52" ht="15.75" customHeight="1">
      <c r="A52" s="381" t="s">
        <v>901</v>
      </c>
      <c r="B52" s="382" t="s">
        <v>823</v>
      </c>
      <c r="C52" s="383"/>
      <c r="D52" s="384"/>
      <c r="E52" s="385"/>
      <c r="F52" s="386" t="s">
        <v>897</v>
      </c>
      <c r="G52" s="387" t="s">
        <v>769</v>
      </c>
      <c r="H52" s="387">
        <v>30.0</v>
      </c>
      <c r="I52" s="387">
        <v>30.0</v>
      </c>
      <c r="J52" s="387"/>
      <c r="K52" s="388" t="s">
        <v>902</v>
      </c>
      <c r="L52" s="389" t="s">
        <v>107</v>
      </c>
      <c r="M52" s="390" t="s">
        <v>107</v>
      </c>
      <c r="N52" s="390" t="s">
        <v>107</v>
      </c>
      <c r="O52" s="390" t="s">
        <v>107</v>
      </c>
      <c r="P52" s="390" t="s">
        <v>107</v>
      </c>
      <c r="Q52" s="391" t="s">
        <v>107</v>
      </c>
      <c r="R52" s="382" t="str">
        <f>"1 skills: "&amp;'Habilidades de Rol'!D109</f>
        <v>1 skills: </v>
      </c>
      <c r="S52" s="382" t="s">
        <v>903</v>
      </c>
      <c r="T52" s="392" t="s">
        <v>904</v>
      </c>
      <c r="U52" s="393"/>
      <c r="V52" s="393"/>
      <c r="W52" s="393"/>
      <c r="X52" s="393"/>
      <c r="Y52" s="393"/>
      <c r="Z52" s="393"/>
      <c r="AA52" s="393"/>
      <c r="AB52" s="393"/>
      <c r="AC52" s="393"/>
      <c r="AD52" s="393"/>
      <c r="AE52" s="393"/>
    </row>
    <row r="53" ht="15.75" customHeight="1">
      <c r="A53" s="381" t="s">
        <v>901</v>
      </c>
      <c r="B53" s="382" t="s">
        <v>905</v>
      </c>
      <c r="C53" s="383"/>
      <c r="D53" s="384"/>
      <c r="E53" s="385"/>
      <c r="F53" s="386"/>
      <c r="G53" s="387"/>
      <c r="H53" s="387">
        <v>30.0</v>
      </c>
      <c r="I53" s="387"/>
      <c r="J53" s="387"/>
      <c r="K53" s="388"/>
      <c r="L53" s="389" t="s">
        <v>107</v>
      </c>
      <c r="M53" s="390" t="s">
        <v>107</v>
      </c>
      <c r="N53" s="390" t="s">
        <v>107</v>
      </c>
      <c r="O53" s="390">
        <v>1.0</v>
      </c>
      <c r="P53" s="390" t="s">
        <v>107</v>
      </c>
      <c r="Q53" s="391">
        <v>2.0</v>
      </c>
      <c r="R53" s="382" t="str">
        <f>"2 skills: "&amp;'Habilidades de Rol'!D110</f>
        <v>2 skills: Juego de Manos, Sigilo, </v>
      </c>
      <c r="S53" s="382" t="s">
        <v>906</v>
      </c>
      <c r="T53" s="392" t="s">
        <v>904</v>
      </c>
      <c r="U53" s="393"/>
      <c r="V53" s="393"/>
      <c r="W53" s="393"/>
      <c r="X53" s="393"/>
      <c r="Y53" s="393"/>
      <c r="Z53" s="393"/>
      <c r="AA53" s="393"/>
      <c r="AB53" s="393"/>
      <c r="AC53" s="393"/>
      <c r="AD53" s="393"/>
      <c r="AE53" s="393"/>
    </row>
    <row r="54" ht="15.75" customHeight="1">
      <c r="A54" s="381" t="s">
        <v>901</v>
      </c>
      <c r="B54" s="382" t="s">
        <v>907</v>
      </c>
      <c r="C54" s="383"/>
      <c r="D54" s="384"/>
      <c r="E54" s="385"/>
      <c r="F54" s="386"/>
      <c r="G54" s="387"/>
      <c r="H54" s="387">
        <v>30.0</v>
      </c>
      <c r="I54" s="387"/>
      <c r="J54" s="387"/>
      <c r="K54" s="388"/>
      <c r="L54" s="389" t="s">
        <v>107</v>
      </c>
      <c r="M54" s="390" t="s">
        <v>107</v>
      </c>
      <c r="N54" s="390" t="s">
        <v>107</v>
      </c>
      <c r="O54" s="390" t="s">
        <v>107</v>
      </c>
      <c r="P54" s="390">
        <v>2.0</v>
      </c>
      <c r="Q54" s="391">
        <v>1.0</v>
      </c>
      <c r="R54" s="382" t="str">
        <f>"2 skills: "&amp;'Habilidades de Rol'!D111</f>
        <v>2 skills: Engaño, Persuasion, </v>
      </c>
      <c r="S54" s="382" t="s">
        <v>908</v>
      </c>
      <c r="T54" s="392" t="s">
        <v>904</v>
      </c>
      <c r="U54" s="393"/>
      <c r="V54" s="393"/>
      <c r="W54" s="393"/>
      <c r="X54" s="393"/>
      <c r="Y54" s="393"/>
      <c r="Z54" s="393"/>
      <c r="AA54" s="393"/>
      <c r="AB54" s="393"/>
      <c r="AC54" s="393"/>
      <c r="AD54" s="393"/>
      <c r="AE54" s="393"/>
    </row>
    <row r="55" ht="15.75" customHeight="1">
      <c r="A55" s="379" t="s">
        <v>909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380"/>
    </row>
    <row r="56" ht="15.75" customHeight="1">
      <c r="A56" s="381" t="s">
        <v>909</v>
      </c>
      <c r="B56" s="382" t="s">
        <v>766</v>
      </c>
      <c r="C56" s="383"/>
      <c r="D56" s="384" t="s">
        <v>767</v>
      </c>
      <c r="E56" s="385"/>
      <c r="F56" s="386" t="s">
        <v>814</v>
      </c>
      <c r="G56" s="387" t="s">
        <v>769</v>
      </c>
      <c r="H56" s="387">
        <v>30.0</v>
      </c>
      <c r="I56" s="387"/>
      <c r="J56" s="387"/>
      <c r="K56" s="388" t="s">
        <v>770</v>
      </c>
      <c r="L56" s="389">
        <f>+2</f>
        <v>2</v>
      </c>
      <c r="M56" s="390" t="s">
        <v>107</v>
      </c>
      <c r="N56" s="390" t="s">
        <v>107</v>
      </c>
      <c r="O56" s="390" t="s">
        <v>107</v>
      </c>
      <c r="P56" s="390" t="s">
        <v>107</v>
      </c>
      <c r="Q56" s="391">
        <f>+1</f>
        <v>1</v>
      </c>
      <c r="R56" s="382" t="str">
        <f>"1 skills: "&amp;'Habilidades de Rol'!D113</f>
        <v>1 skills: </v>
      </c>
      <c r="S56" s="382" t="s">
        <v>910</v>
      </c>
      <c r="T56" s="392" t="s">
        <v>911</v>
      </c>
      <c r="U56" s="393"/>
      <c r="V56" s="393"/>
      <c r="W56" s="393"/>
      <c r="X56" s="393"/>
      <c r="Y56" s="393"/>
      <c r="Z56" s="393"/>
      <c r="AA56" s="393"/>
      <c r="AB56" s="393"/>
      <c r="AC56" s="393"/>
      <c r="AD56" s="393"/>
      <c r="AE56" s="393"/>
    </row>
    <row r="57" ht="15.75" customHeight="1">
      <c r="A57" s="381" t="s">
        <v>909</v>
      </c>
      <c r="B57" s="382" t="s">
        <v>912</v>
      </c>
      <c r="C57" s="383"/>
      <c r="D57" s="384"/>
      <c r="E57" s="385"/>
      <c r="F57" s="386" t="s">
        <v>785</v>
      </c>
      <c r="G57" s="387"/>
      <c r="H57" s="387">
        <v>30.0</v>
      </c>
      <c r="I57" s="387"/>
      <c r="J57" s="387"/>
      <c r="K57" s="388"/>
      <c r="L57" s="389">
        <v>2.0</v>
      </c>
      <c r="M57" s="390" t="s">
        <v>107</v>
      </c>
      <c r="N57" s="390" t="s">
        <v>107</v>
      </c>
      <c r="O57" s="390" t="s">
        <v>107</v>
      </c>
      <c r="P57" s="390" t="s">
        <v>107</v>
      </c>
      <c r="Q57" s="391">
        <v>1.0</v>
      </c>
      <c r="R57" s="382" t="str">
        <f>"1 skills: "&amp;'Habilidades de Rol'!D114</f>
        <v>1 skills: </v>
      </c>
      <c r="S57" s="382" t="s">
        <v>913</v>
      </c>
      <c r="T57" s="392" t="s">
        <v>914</v>
      </c>
      <c r="U57" s="393"/>
      <c r="V57" s="393"/>
      <c r="W57" s="393"/>
      <c r="X57" s="393"/>
      <c r="Y57" s="393"/>
      <c r="Z57" s="393"/>
      <c r="AA57" s="393"/>
      <c r="AB57" s="393"/>
      <c r="AC57" s="393"/>
      <c r="AD57" s="393"/>
      <c r="AE57" s="393"/>
    </row>
    <row r="58" ht="15.75" customHeight="1">
      <c r="A58" s="381" t="s">
        <v>909</v>
      </c>
      <c r="B58" s="382" t="s">
        <v>915</v>
      </c>
      <c r="C58" s="383"/>
      <c r="D58" s="384"/>
      <c r="E58" s="385"/>
      <c r="F58" s="386" t="s">
        <v>785</v>
      </c>
      <c r="G58" s="387"/>
      <c r="H58" s="387">
        <v>30.0</v>
      </c>
      <c r="I58" s="387"/>
      <c r="J58" s="387">
        <v>30.0</v>
      </c>
      <c r="K58" s="388"/>
      <c r="L58" s="389">
        <v>2.0</v>
      </c>
      <c r="M58" s="390" t="s">
        <v>107</v>
      </c>
      <c r="N58" s="390" t="s">
        <v>107</v>
      </c>
      <c r="O58" s="390" t="s">
        <v>107</v>
      </c>
      <c r="P58" s="390" t="s">
        <v>107</v>
      </c>
      <c r="Q58" s="391">
        <v>1.0</v>
      </c>
      <c r="R58" s="382" t="str">
        <f>"1 skills: "&amp;'Habilidades de Rol'!D115</f>
        <v>1 skills: </v>
      </c>
      <c r="S58" s="382" t="s">
        <v>916</v>
      </c>
      <c r="T58" s="392" t="s">
        <v>914</v>
      </c>
      <c r="U58" s="393"/>
      <c r="V58" s="393"/>
      <c r="W58" s="393"/>
      <c r="X58" s="393"/>
      <c r="Y58" s="393"/>
      <c r="Z58" s="393"/>
      <c r="AA58" s="393"/>
      <c r="AB58" s="393"/>
      <c r="AC58" s="393"/>
      <c r="AD58" s="393"/>
      <c r="AE58" s="393"/>
    </row>
    <row r="59" ht="15.75" customHeight="1">
      <c r="A59" s="381" t="s">
        <v>909</v>
      </c>
      <c r="B59" s="382" t="s">
        <v>917</v>
      </c>
      <c r="C59" s="383"/>
      <c r="D59" s="384"/>
      <c r="E59" s="385">
        <v>60.0</v>
      </c>
      <c r="F59" s="386" t="s">
        <v>785</v>
      </c>
      <c r="G59" s="387" t="s">
        <v>774</v>
      </c>
      <c r="H59" s="387">
        <v>30.0</v>
      </c>
      <c r="I59" s="387"/>
      <c r="J59" s="387"/>
      <c r="K59" s="388"/>
      <c r="L59" s="389">
        <v>2.0</v>
      </c>
      <c r="M59" s="390" t="s">
        <v>107</v>
      </c>
      <c r="N59" s="390" t="s">
        <v>107</v>
      </c>
      <c r="O59" s="390" t="s">
        <v>107</v>
      </c>
      <c r="P59" s="390" t="s">
        <v>107</v>
      </c>
      <c r="Q59" s="391">
        <v>1.0</v>
      </c>
      <c r="R59" s="382" t="str">
        <f>"1 skills: "&amp;'Habilidades de Rol'!D116</f>
        <v>1 skills: </v>
      </c>
      <c r="S59" s="382" t="s">
        <v>918</v>
      </c>
      <c r="T59" s="392" t="s">
        <v>914</v>
      </c>
      <c r="U59" s="393"/>
      <c r="V59" s="393"/>
      <c r="W59" s="393"/>
      <c r="X59" s="393"/>
      <c r="Y59" s="393"/>
      <c r="Z59" s="393"/>
      <c r="AA59" s="393"/>
      <c r="AB59" s="393"/>
      <c r="AC59" s="393"/>
      <c r="AD59" s="393"/>
      <c r="AE59" s="393"/>
    </row>
    <row r="60" ht="15.75" customHeight="1">
      <c r="A60" s="381" t="s">
        <v>909</v>
      </c>
      <c r="B60" s="382" t="s">
        <v>919</v>
      </c>
      <c r="C60" s="383"/>
      <c r="D60" s="384"/>
      <c r="E60" s="385"/>
      <c r="F60" s="386" t="s">
        <v>785</v>
      </c>
      <c r="G60" s="387"/>
      <c r="H60" s="387">
        <v>30.0</v>
      </c>
      <c r="I60" s="387"/>
      <c r="J60" s="387"/>
      <c r="K60" s="388"/>
      <c r="L60" s="389">
        <v>2.0</v>
      </c>
      <c r="M60" s="390" t="s">
        <v>107</v>
      </c>
      <c r="N60" s="390" t="s">
        <v>107</v>
      </c>
      <c r="O60" s="390" t="s">
        <v>107</v>
      </c>
      <c r="P60" s="390" t="s">
        <v>107</v>
      </c>
      <c r="Q60" s="391">
        <v>1.0</v>
      </c>
      <c r="R60" s="382" t="str">
        <f>"1 skills: "&amp;'Habilidades de Rol'!D117</f>
        <v>1 skills: </v>
      </c>
      <c r="S60" s="382" t="s">
        <v>920</v>
      </c>
      <c r="T60" s="392" t="s">
        <v>914</v>
      </c>
      <c r="U60" s="393"/>
      <c r="V60" s="393"/>
      <c r="W60" s="393"/>
      <c r="X60" s="393"/>
      <c r="Y60" s="393"/>
      <c r="Z60" s="393"/>
      <c r="AA60" s="393"/>
      <c r="AB60" s="393"/>
      <c r="AC60" s="393"/>
      <c r="AD60" s="393"/>
      <c r="AE60" s="393"/>
    </row>
    <row r="61" ht="15.75" customHeight="1">
      <c r="A61" s="381" t="s">
        <v>909</v>
      </c>
      <c r="B61" s="382" t="s">
        <v>921</v>
      </c>
      <c r="C61" s="383"/>
      <c r="D61" s="384" t="s">
        <v>767</v>
      </c>
      <c r="E61" s="385">
        <v>60.0</v>
      </c>
      <c r="F61" s="386" t="s">
        <v>773</v>
      </c>
      <c r="G61" s="387" t="s">
        <v>769</v>
      </c>
      <c r="H61" s="387">
        <v>30.0</v>
      </c>
      <c r="I61" s="387"/>
      <c r="J61" s="387"/>
      <c r="K61" s="388" t="s">
        <v>922</v>
      </c>
      <c r="L61" s="389" t="s">
        <v>107</v>
      </c>
      <c r="M61" s="390" t="s">
        <v>107</v>
      </c>
      <c r="N61" s="390" t="s">
        <v>107</v>
      </c>
      <c r="O61" s="390">
        <v>1.0</v>
      </c>
      <c r="P61" s="390" t="s">
        <v>107</v>
      </c>
      <c r="Q61" s="391">
        <v>2.0</v>
      </c>
      <c r="R61" s="382" t="str">
        <f>"1 skills: "&amp;'Habilidades de Rol'!D118</f>
        <v>1 skills: </v>
      </c>
      <c r="S61" s="382" t="s">
        <v>923</v>
      </c>
      <c r="T61" s="392" t="s">
        <v>812</v>
      </c>
      <c r="U61" s="393"/>
      <c r="V61" s="393"/>
      <c r="W61" s="393"/>
      <c r="X61" s="393"/>
      <c r="Y61" s="393"/>
      <c r="Z61" s="393"/>
      <c r="AA61" s="393"/>
      <c r="AB61" s="393"/>
      <c r="AC61" s="393"/>
      <c r="AD61" s="393"/>
      <c r="AE61" s="393"/>
    </row>
    <row r="62" ht="15.75" customHeight="1">
      <c r="A62" s="379" t="s">
        <v>924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380"/>
    </row>
    <row r="63" ht="15.75" customHeight="1">
      <c r="A63" s="381" t="s">
        <v>924</v>
      </c>
      <c r="B63" s="382" t="s">
        <v>880</v>
      </c>
      <c r="C63" s="383"/>
      <c r="D63" s="384" t="s">
        <v>767</v>
      </c>
      <c r="E63" s="385"/>
      <c r="F63" s="386" t="s">
        <v>824</v>
      </c>
      <c r="G63" s="387" t="s">
        <v>769</v>
      </c>
      <c r="H63" s="387">
        <v>30.0</v>
      </c>
      <c r="I63" s="387"/>
      <c r="J63" s="387"/>
      <c r="K63" s="388" t="s">
        <v>786</v>
      </c>
      <c r="L63" s="389">
        <v>1.0</v>
      </c>
      <c r="M63" s="390">
        <v>1.0</v>
      </c>
      <c r="N63" s="390">
        <v>1.0</v>
      </c>
      <c r="O63" s="390">
        <v>1.0</v>
      </c>
      <c r="P63" s="390">
        <v>1.0</v>
      </c>
      <c r="Q63" s="391">
        <v>1.0</v>
      </c>
      <c r="R63" s="382" t="str">
        <f>"1 skills: "&amp;'Habilidades de Rol'!D120</f>
        <v>1 skills: </v>
      </c>
      <c r="S63" s="382"/>
      <c r="T63" s="392" t="s">
        <v>925</v>
      </c>
      <c r="U63" s="393"/>
      <c r="V63" s="393"/>
      <c r="W63" s="393"/>
      <c r="X63" s="393"/>
      <c r="Y63" s="393"/>
      <c r="Z63" s="393"/>
      <c r="AA63" s="393"/>
      <c r="AB63" s="393"/>
      <c r="AC63" s="393"/>
      <c r="AD63" s="393"/>
      <c r="AE63" s="393"/>
    </row>
    <row r="64" ht="15.75" customHeight="1">
      <c r="A64" s="381" t="s">
        <v>926</v>
      </c>
      <c r="B64" s="382" t="s">
        <v>926</v>
      </c>
      <c r="C64" s="383"/>
      <c r="D64" s="384"/>
      <c r="E64" s="385"/>
      <c r="F64" s="386"/>
      <c r="G64" s="387"/>
      <c r="H64" s="387">
        <v>30.0</v>
      </c>
      <c r="I64" s="387"/>
      <c r="J64" s="387"/>
      <c r="K64" s="388"/>
      <c r="L64" s="389"/>
      <c r="M64" s="390"/>
      <c r="N64" s="390"/>
      <c r="O64" s="390"/>
      <c r="P64" s="390"/>
      <c r="Q64" s="391"/>
      <c r="R64" s="382" t="str">
        <f>"1 skills: "&amp;'Habilidades de Rol'!D121</f>
        <v>1 skills: </v>
      </c>
      <c r="S64" s="382"/>
      <c r="T64" s="392"/>
      <c r="U64" s="393"/>
      <c r="V64" s="393"/>
      <c r="W64" s="393"/>
      <c r="X64" s="393"/>
      <c r="Y64" s="393"/>
      <c r="Z64" s="393"/>
      <c r="AA64" s="393"/>
      <c r="AB64" s="393"/>
      <c r="AC64" s="393"/>
      <c r="AD64" s="393"/>
      <c r="AE64" s="393"/>
    </row>
    <row r="65" ht="15.75" customHeight="1">
      <c r="A65" s="381" t="s">
        <v>927</v>
      </c>
      <c r="B65" s="382" t="s">
        <v>927</v>
      </c>
      <c r="C65" s="383"/>
      <c r="D65" s="384"/>
      <c r="E65" s="385"/>
      <c r="F65" s="386"/>
      <c r="G65" s="387"/>
      <c r="H65" s="387">
        <v>30.0</v>
      </c>
      <c r="I65" s="387"/>
      <c r="J65" s="387"/>
      <c r="K65" s="388"/>
      <c r="L65" s="389"/>
      <c r="M65" s="390"/>
      <c r="N65" s="390"/>
      <c r="O65" s="390"/>
      <c r="P65" s="390"/>
      <c r="Q65" s="391"/>
      <c r="R65" s="382" t="str">
        <f>"1 skills: "&amp;'Habilidades de Rol'!D122</f>
        <v>1 skills: </v>
      </c>
      <c r="S65" s="382"/>
      <c r="T65" s="392"/>
      <c r="U65" s="393"/>
      <c r="V65" s="393"/>
      <c r="W65" s="393"/>
      <c r="X65" s="393"/>
      <c r="Y65" s="393"/>
      <c r="Z65" s="393"/>
      <c r="AA65" s="393"/>
      <c r="AB65" s="393"/>
      <c r="AC65" s="393"/>
      <c r="AD65" s="393"/>
      <c r="AE65" s="393"/>
    </row>
    <row r="66" ht="15.75" customHeight="1">
      <c r="A66" s="381" t="s">
        <v>19</v>
      </c>
      <c r="B66" s="382" t="s">
        <v>19</v>
      </c>
      <c r="C66" s="383"/>
      <c r="D66" s="384"/>
      <c r="E66" s="385"/>
      <c r="F66" s="386"/>
      <c r="G66" s="387"/>
      <c r="H66" s="387">
        <v>30.0</v>
      </c>
      <c r="I66" s="387"/>
      <c r="J66" s="387"/>
      <c r="K66" s="388"/>
      <c r="L66" s="389"/>
      <c r="M66" s="390"/>
      <c r="N66" s="390"/>
      <c r="O66" s="390"/>
      <c r="P66" s="390"/>
      <c r="Q66" s="391"/>
      <c r="R66" s="382" t="str">
        <f>"1 skills: "&amp;'Habilidades de Rol'!D123</f>
        <v>1 skills: </v>
      </c>
      <c r="S66" s="382"/>
      <c r="T66" s="392"/>
      <c r="U66" s="393"/>
      <c r="V66" s="393"/>
      <c r="W66" s="393"/>
      <c r="X66" s="393"/>
      <c r="Y66" s="393"/>
      <c r="Z66" s="393"/>
      <c r="AA66" s="393"/>
      <c r="AB66" s="393"/>
      <c r="AC66" s="393"/>
      <c r="AD66" s="393"/>
      <c r="AE66" s="393"/>
    </row>
    <row r="67" ht="15.75" customHeight="1">
      <c r="A67" s="381" t="s">
        <v>928</v>
      </c>
      <c r="B67" s="382" t="s">
        <v>928</v>
      </c>
      <c r="C67" s="383"/>
      <c r="D67" s="384" t="s">
        <v>767</v>
      </c>
      <c r="E67" s="385"/>
      <c r="F67" s="386" t="s">
        <v>785</v>
      </c>
      <c r="G67" s="387"/>
      <c r="H67" s="387">
        <v>30.0</v>
      </c>
      <c r="I67" s="387">
        <v>30.0</v>
      </c>
      <c r="J67" s="387"/>
      <c r="K67" s="388"/>
      <c r="L67" s="389"/>
      <c r="M67" s="390"/>
      <c r="N67" s="390"/>
      <c r="O67" s="390"/>
      <c r="P67" s="390"/>
      <c r="Q67" s="391">
        <v>2.0</v>
      </c>
      <c r="R67" s="382" t="str">
        <f>"1 skills: "&amp;'Habilidades de Rol'!D124</f>
        <v>1 skills: </v>
      </c>
      <c r="S67" s="382" t="s">
        <v>929</v>
      </c>
      <c r="T67" s="392" t="s">
        <v>855</v>
      </c>
      <c r="U67" s="393"/>
      <c r="V67" s="393"/>
      <c r="W67" s="393"/>
      <c r="X67" s="393"/>
      <c r="Y67" s="393"/>
      <c r="Z67" s="393"/>
      <c r="AA67" s="393"/>
      <c r="AB67" s="393"/>
      <c r="AC67" s="393"/>
      <c r="AD67" s="393"/>
      <c r="AE67" s="393"/>
    </row>
    <row r="68" ht="15.75" customHeight="1">
      <c r="A68" s="381" t="s">
        <v>930</v>
      </c>
      <c r="B68" s="382" t="s">
        <v>930</v>
      </c>
      <c r="C68" s="383"/>
      <c r="D68" s="384"/>
      <c r="E68" s="385"/>
      <c r="F68" s="386"/>
      <c r="G68" s="387"/>
      <c r="H68" s="387">
        <v>30.0</v>
      </c>
      <c r="I68" s="387"/>
      <c r="J68" s="387"/>
      <c r="K68" s="388"/>
      <c r="L68" s="389"/>
      <c r="M68" s="390"/>
      <c r="N68" s="390"/>
      <c r="O68" s="390"/>
      <c r="P68" s="390"/>
      <c r="Q68" s="391"/>
      <c r="R68" s="382" t="str">
        <f>"1 skills: "&amp;'Habilidades de Rol'!D125</f>
        <v>1 skills: </v>
      </c>
      <c r="S68" s="382"/>
      <c r="T68" s="392"/>
      <c r="U68" s="393"/>
      <c r="V68" s="393"/>
      <c r="W68" s="393"/>
      <c r="X68" s="393"/>
      <c r="Y68" s="393"/>
      <c r="Z68" s="393"/>
      <c r="AA68" s="393"/>
      <c r="AB68" s="393"/>
      <c r="AC68" s="393"/>
      <c r="AD68" s="393"/>
      <c r="AE68" s="393"/>
    </row>
    <row r="69" ht="15.75" customHeight="1">
      <c r="A69" s="379" t="s">
        <v>931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380"/>
    </row>
    <row r="70" ht="15.75" customHeight="1">
      <c r="A70" s="381" t="s">
        <v>385</v>
      </c>
      <c r="B70" s="382" t="s">
        <v>932</v>
      </c>
      <c r="C70" s="383"/>
      <c r="D70" s="384" t="s">
        <v>767</v>
      </c>
      <c r="E70" s="385"/>
      <c r="F70" s="386" t="s">
        <v>785</v>
      </c>
      <c r="G70" s="387"/>
      <c r="H70" s="387">
        <v>30.0</v>
      </c>
      <c r="I70" s="387"/>
      <c r="J70" s="387"/>
      <c r="K70" s="388"/>
      <c r="L70" s="389" t="s">
        <v>107</v>
      </c>
      <c r="M70" s="390">
        <v>1.0</v>
      </c>
      <c r="N70" s="390">
        <v>2.0</v>
      </c>
      <c r="O70" s="390" t="s">
        <v>107</v>
      </c>
      <c r="P70" s="390" t="s">
        <v>107</v>
      </c>
      <c r="Q70" s="391" t="s">
        <v>107</v>
      </c>
      <c r="R70" s="382" t="str">
        <f>"1 skills: "&amp;'Habilidades de Rol'!D127</f>
        <v>1 skills: </v>
      </c>
      <c r="S70" s="382" t="s">
        <v>933</v>
      </c>
      <c r="T70" s="392" t="s">
        <v>934</v>
      </c>
      <c r="U70" s="393"/>
      <c r="V70" s="393"/>
      <c r="W70" s="393"/>
      <c r="X70" s="393"/>
      <c r="Y70" s="393"/>
      <c r="Z70" s="393"/>
      <c r="AA70" s="393"/>
      <c r="AB70" s="393"/>
      <c r="AC70" s="393"/>
      <c r="AD70" s="393"/>
      <c r="AE70" s="393"/>
    </row>
    <row r="71" ht="15.75" customHeight="1">
      <c r="A71" s="381" t="s">
        <v>385</v>
      </c>
      <c r="B71" s="382" t="s">
        <v>935</v>
      </c>
      <c r="C71" s="383"/>
      <c r="D71" s="384" t="s">
        <v>767</v>
      </c>
      <c r="E71" s="385"/>
      <c r="F71" s="386" t="s">
        <v>785</v>
      </c>
      <c r="G71" s="387"/>
      <c r="H71" s="387">
        <v>30.0</v>
      </c>
      <c r="I71" s="387"/>
      <c r="J71" s="387"/>
      <c r="K71" s="388"/>
      <c r="L71" s="389">
        <v>1.0</v>
      </c>
      <c r="M71" s="390" t="s">
        <v>107</v>
      </c>
      <c r="N71" s="390">
        <v>2.0</v>
      </c>
      <c r="O71" s="390" t="s">
        <v>107</v>
      </c>
      <c r="P71" s="390" t="s">
        <v>107</v>
      </c>
      <c r="Q71" s="391" t="s">
        <v>107</v>
      </c>
      <c r="R71" s="382" t="str">
        <f>"1 skills: "&amp;'Habilidades de Rol'!D128</f>
        <v>1 skills: </v>
      </c>
      <c r="S71" s="382" t="s">
        <v>936</v>
      </c>
      <c r="T71" s="392" t="s">
        <v>934</v>
      </c>
      <c r="U71" s="393"/>
      <c r="V71" s="393"/>
      <c r="W71" s="393"/>
      <c r="X71" s="393"/>
      <c r="Y71" s="393"/>
      <c r="Z71" s="393"/>
      <c r="AA71" s="393"/>
      <c r="AB71" s="393"/>
      <c r="AC71" s="393"/>
      <c r="AD71" s="393"/>
      <c r="AE71" s="393"/>
    </row>
    <row r="72" ht="15.75" customHeight="1">
      <c r="A72" s="381" t="s">
        <v>385</v>
      </c>
      <c r="B72" s="382" t="s">
        <v>937</v>
      </c>
      <c r="C72" s="383"/>
      <c r="D72" s="384" t="s">
        <v>767</v>
      </c>
      <c r="E72" s="385">
        <v>30.0</v>
      </c>
      <c r="F72" s="386" t="s">
        <v>785</v>
      </c>
      <c r="G72" s="387"/>
      <c r="H72" s="387">
        <v>30.0</v>
      </c>
      <c r="I72" s="387"/>
      <c r="J72" s="387"/>
      <c r="K72" s="388"/>
      <c r="L72" s="389" t="s">
        <v>107</v>
      </c>
      <c r="M72" s="390" t="s">
        <v>107</v>
      </c>
      <c r="N72" s="390">
        <v>2.0</v>
      </c>
      <c r="O72" s="390">
        <v>1.0</v>
      </c>
      <c r="P72" s="390" t="s">
        <v>107</v>
      </c>
      <c r="Q72" s="391" t="s">
        <v>107</v>
      </c>
      <c r="R72" s="382" t="str">
        <f>"1 skills: "&amp;'Habilidades de Rol'!D129</f>
        <v>1 skills: </v>
      </c>
      <c r="S72" s="382" t="s">
        <v>938</v>
      </c>
      <c r="T72" s="392" t="s">
        <v>934</v>
      </c>
      <c r="U72" s="393"/>
      <c r="V72" s="393"/>
      <c r="W72" s="393"/>
      <c r="X72" s="393"/>
      <c r="Y72" s="393"/>
      <c r="Z72" s="393"/>
      <c r="AA72" s="393"/>
      <c r="AB72" s="393"/>
      <c r="AC72" s="393"/>
      <c r="AD72" s="393"/>
      <c r="AE72" s="393"/>
    </row>
    <row r="73" ht="15.75" customHeight="1">
      <c r="A73" s="381" t="s">
        <v>385</v>
      </c>
      <c r="B73" s="382" t="s">
        <v>939</v>
      </c>
      <c r="C73" s="383"/>
      <c r="D73" s="384" t="s">
        <v>767</v>
      </c>
      <c r="E73" s="385"/>
      <c r="F73" s="386" t="s">
        <v>785</v>
      </c>
      <c r="G73" s="387"/>
      <c r="H73" s="387">
        <v>30.0</v>
      </c>
      <c r="I73" s="387">
        <v>30.0</v>
      </c>
      <c r="J73" s="387"/>
      <c r="K73" s="388"/>
      <c r="L73" s="389" t="s">
        <v>107</v>
      </c>
      <c r="M73" s="390" t="s">
        <v>107</v>
      </c>
      <c r="N73" s="390">
        <v>2.0</v>
      </c>
      <c r="O73" s="390" t="s">
        <v>107</v>
      </c>
      <c r="P73" s="390">
        <v>1.0</v>
      </c>
      <c r="Q73" s="391" t="s">
        <v>107</v>
      </c>
      <c r="R73" s="382" t="str">
        <f>"1 skills: "&amp;'Habilidades de Rol'!D130</f>
        <v>1 skills: </v>
      </c>
      <c r="S73" s="382" t="s">
        <v>940</v>
      </c>
      <c r="T73" s="392" t="s">
        <v>941</v>
      </c>
      <c r="U73" s="393"/>
      <c r="V73" s="393"/>
      <c r="W73" s="393"/>
      <c r="X73" s="393"/>
      <c r="Y73" s="393"/>
      <c r="Z73" s="393"/>
      <c r="AA73" s="393"/>
      <c r="AB73" s="393"/>
      <c r="AC73" s="393"/>
      <c r="AD73" s="393"/>
      <c r="AE73" s="393"/>
    </row>
    <row r="74" ht="15.75" customHeight="1">
      <c r="A74" s="381" t="s">
        <v>385</v>
      </c>
      <c r="B74" s="382" t="s">
        <v>942</v>
      </c>
      <c r="C74" s="383"/>
      <c r="D74" s="384"/>
      <c r="E74" s="385"/>
      <c r="F74" s="386" t="s">
        <v>768</v>
      </c>
      <c r="G74" s="387"/>
      <c r="H74" s="387">
        <v>30.0</v>
      </c>
      <c r="I74" s="387"/>
      <c r="J74" s="387"/>
      <c r="K74" s="388"/>
      <c r="L74" s="389" t="s">
        <v>107</v>
      </c>
      <c r="M74" s="390" t="s">
        <v>107</v>
      </c>
      <c r="N74" s="390" t="s">
        <v>107</v>
      </c>
      <c r="O74" s="390" t="s">
        <v>107</v>
      </c>
      <c r="P74" s="390">
        <v>1.0</v>
      </c>
      <c r="Q74" s="391">
        <v>2.0</v>
      </c>
      <c r="R74" s="382" t="str">
        <f>"1 skills: "&amp;'Habilidades de Rol'!D131</f>
        <v>1 skills: </v>
      </c>
      <c r="S74" s="382" t="s">
        <v>943</v>
      </c>
      <c r="T74" s="392" t="s">
        <v>850</v>
      </c>
      <c r="U74" s="393"/>
      <c r="V74" s="393"/>
      <c r="W74" s="393"/>
      <c r="X74" s="393"/>
      <c r="Y74" s="393"/>
      <c r="Z74" s="393"/>
      <c r="AA74" s="393"/>
      <c r="AB74" s="393"/>
      <c r="AC74" s="393"/>
      <c r="AD74" s="393"/>
      <c r="AE74" s="393"/>
    </row>
    <row r="75" ht="15.75" customHeight="1">
      <c r="A75" s="381" t="s">
        <v>385</v>
      </c>
      <c r="B75" s="382" t="s">
        <v>944</v>
      </c>
      <c r="C75" s="383"/>
      <c r="D75" s="384" t="s">
        <v>767</v>
      </c>
      <c r="E75" s="385"/>
      <c r="F75" s="386" t="s">
        <v>768</v>
      </c>
      <c r="G75" s="387"/>
      <c r="H75" s="387">
        <v>30.0</v>
      </c>
      <c r="I75" s="387"/>
      <c r="J75" s="387"/>
      <c r="K75" s="388"/>
      <c r="L75" s="389">
        <v>1.0</v>
      </c>
      <c r="M75" s="390" t="s">
        <v>107</v>
      </c>
      <c r="N75" s="390" t="s">
        <v>107</v>
      </c>
      <c r="O75" s="390" t="s">
        <v>107</v>
      </c>
      <c r="P75" s="390" t="s">
        <v>107</v>
      </c>
      <c r="Q75" s="391">
        <v>2.0</v>
      </c>
      <c r="R75" s="382" t="str">
        <f>"1 skills: "&amp;'Habilidades de Rol'!D132</f>
        <v>1 skills: </v>
      </c>
      <c r="S75" s="382" t="s">
        <v>945</v>
      </c>
      <c r="T75" s="392" t="s">
        <v>783</v>
      </c>
      <c r="U75" s="393"/>
      <c r="V75" s="393"/>
      <c r="W75" s="393"/>
      <c r="X75" s="393"/>
      <c r="Y75" s="393"/>
      <c r="Z75" s="393"/>
      <c r="AA75" s="393"/>
      <c r="AB75" s="393"/>
      <c r="AC75" s="393"/>
      <c r="AD75" s="393"/>
      <c r="AE75" s="393"/>
    </row>
    <row r="76" ht="15.75" customHeight="1">
      <c r="A76" s="379" t="s">
        <v>946</v>
      </c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380"/>
    </row>
    <row r="77" ht="15.75" customHeight="1">
      <c r="A77" s="381" t="s">
        <v>946</v>
      </c>
      <c r="B77" s="382" t="s">
        <v>766</v>
      </c>
      <c r="C77" s="383"/>
      <c r="D77" s="384" t="s">
        <v>767</v>
      </c>
      <c r="E77" s="385">
        <v>60.0</v>
      </c>
      <c r="F77" s="386" t="s">
        <v>773</v>
      </c>
      <c r="G77" s="387" t="s">
        <v>774</v>
      </c>
      <c r="H77" s="387">
        <v>30.0</v>
      </c>
      <c r="I77" s="387"/>
      <c r="J77" s="387"/>
      <c r="K77" s="388" t="s">
        <v>947</v>
      </c>
      <c r="L77" s="389" t="s">
        <v>107</v>
      </c>
      <c r="M77" s="390">
        <v>2.0</v>
      </c>
      <c r="N77" s="390">
        <v>1.0</v>
      </c>
      <c r="O77" s="390" t="s">
        <v>107</v>
      </c>
      <c r="P77" s="390" t="s">
        <v>107</v>
      </c>
      <c r="Q77" s="391" t="s">
        <v>107</v>
      </c>
      <c r="R77" s="382" t="str">
        <f>"1 skills: "&amp;'Habilidades de Rol'!D134</f>
        <v>1 skills: </v>
      </c>
      <c r="S77" s="382" t="s">
        <v>948</v>
      </c>
      <c r="T77" s="392" t="s">
        <v>776</v>
      </c>
      <c r="U77" s="393"/>
      <c r="V77" s="393"/>
      <c r="W77" s="393"/>
      <c r="X77" s="393"/>
      <c r="Y77" s="393"/>
      <c r="Z77" s="393"/>
      <c r="AA77" s="393"/>
      <c r="AB77" s="393"/>
      <c r="AC77" s="393"/>
      <c r="AD77" s="393"/>
      <c r="AE77" s="393"/>
    </row>
    <row r="78" ht="15.75" customHeight="1">
      <c r="A78" s="381" t="s">
        <v>946</v>
      </c>
      <c r="B78" s="382" t="s">
        <v>949</v>
      </c>
      <c r="C78" s="383"/>
      <c r="D78" s="384"/>
      <c r="E78" s="385"/>
      <c r="F78" s="386"/>
      <c r="G78" s="387"/>
      <c r="H78" s="387">
        <v>30.0</v>
      </c>
      <c r="I78" s="387"/>
      <c r="J78" s="387"/>
      <c r="K78" s="388"/>
      <c r="L78" s="389">
        <v>1.0</v>
      </c>
      <c r="M78" s="390" t="s">
        <v>107</v>
      </c>
      <c r="N78" s="390">
        <v>2.0</v>
      </c>
      <c r="O78" s="390" t="s">
        <v>107</v>
      </c>
      <c r="P78" s="390" t="s">
        <v>107</v>
      </c>
      <c r="Q78" s="391" t="s">
        <v>107</v>
      </c>
      <c r="R78" s="382" t="str">
        <f>"1 skills: "&amp;'Habilidades de Rol'!D135</f>
        <v>1 skills: </v>
      </c>
      <c r="S78" s="382" t="s">
        <v>950</v>
      </c>
      <c r="T78" s="392" t="s">
        <v>951</v>
      </c>
      <c r="U78" s="393"/>
      <c r="V78" s="393"/>
      <c r="W78" s="393"/>
      <c r="X78" s="393"/>
      <c r="Y78" s="393"/>
      <c r="Z78" s="393"/>
      <c r="AA78" s="393"/>
      <c r="AB78" s="393"/>
      <c r="AC78" s="393"/>
      <c r="AD78" s="393"/>
      <c r="AE78" s="393"/>
    </row>
    <row r="79" ht="15.75" customHeight="1">
      <c r="A79" s="381" t="s">
        <v>946</v>
      </c>
      <c r="B79" s="382" t="s">
        <v>952</v>
      </c>
      <c r="C79" s="383"/>
      <c r="D79" s="384"/>
      <c r="E79" s="385"/>
      <c r="F79" s="386"/>
      <c r="G79" s="387"/>
      <c r="H79" s="387">
        <v>30.0</v>
      </c>
      <c r="I79" s="387"/>
      <c r="J79" s="387"/>
      <c r="K79" s="388"/>
      <c r="L79" s="389" t="s">
        <v>107</v>
      </c>
      <c r="M79" s="390">
        <v>1.0</v>
      </c>
      <c r="N79" s="390">
        <v>2.0</v>
      </c>
      <c r="O79" s="390" t="s">
        <v>107</v>
      </c>
      <c r="P79" s="390" t="s">
        <v>107</v>
      </c>
      <c r="Q79" s="391" t="s">
        <v>107</v>
      </c>
      <c r="R79" s="382" t="str">
        <f>"1 skills: "&amp;'Habilidades de Rol'!D136</f>
        <v>1 skills: </v>
      </c>
      <c r="S79" s="382" t="s">
        <v>953</v>
      </c>
      <c r="T79" s="392" t="s">
        <v>951</v>
      </c>
      <c r="U79" s="393"/>
      <c r="V79" s="393"/>
      <c r="W79" s="393"/>
      <c r="X79" s="393"/>
      <c r="Y79" s="393"/>
      <c r="Z79" s="393"/>
      <c r="AA79" s="393"/>
      <c r="AB79" s="393"/>
      <c r="AC79" s="393"/>
      <c r="AD79" s="393"/>
      <c r="AE79" s="393"/>
    </row>
    <row r="80" ht="15.75" customHeight="1">
      <c r="A80" s="381" t="s">
        <v>954</v>
      </c>
      <c r="B80" s="382" t="s">
        <v>766</v>
      </c>
      <c r="C80" s="383"/>
      <c r="D80" s="384" t="s">
        <v>767</v>
      </c>
      <c r="E80" s="385">
        <v>60.0</v>
      </c>
      <c r="F80" s="386" t="s">
        <v>773</v>
      </c>
      <c r="G80" s="387" t="s">
        <v>769</v>
      </c>
      <c r="H80" s="387">
        <v>30.0</v>
      </c>
      <c r="I80" s="387"/>
      <c r="J80" s="387"/>
      <c r="K80" s="388" t="s">
        <v>947</v>
      </c>
      <c r="L80" s="389" t="s">
        <v>107</v>
      </c>
      <c r="M80" s="390" t="s">
        <v>107</v>
      </c>
      <c r="N80" s="390">
        <v>2.0</v>
      </c>
      <c r="O80" s="390">
        <v>1.0</v>
      </c>
      <c r="P80" s="390" t="s">
        <v>107</v>
      </c>
      <c r="Q80" s="391" t="s">
        <v>107</v>
      </c>
      <c r="R80" s="382" t="str">
        <f>"1 skills: "&amp;'Habilidades de Rol'!D137</f>
        <v>1 skills: </v>
      </c>
      <c r="S80" s="382" t="s">
        <v>955</v>
      </c>
      <c r="T80" s="392" t="s">
        <v>776</v>
      </c>
      <c r="U80" s="393"/>
      <c r="V80" s="393"/>
      <c r="W80" s="393"/>
      <c r="X80" s="393"/>
      <c r="Y80" s="393"/>
      <c r="Z80" s="393"/>
      <c r="AA80" s="393"/>
      <c r="AB80" s="393"/>
      <c r="AC80" s="393"/>
      <c r="AD80" s="393"/>
      <c r="AE80" s="393"/>
    </row>
    <row r="81" ht="15.75" customHeight="1">
      <c r="A81" s="381" t="s">
        <v>956</v>
      </c>
      <c r="B81" s="382" t="s">
        <v>766</v>
      </c>
      <c r="C81" s="383"/>
      <c r="D81" s="384"/>
      <c r="E81" s="385"/>
      <c r="F81" s="386" t="s">
        <v>768</v>
      </c>
      <c r="G81" s="387" t="s">
        <v>769</v>
      </c>
      <c r="H81" s="387">
        <v>30.0</v>
      </c>
      <c r="I81" s="387"/>
      <c r="J81" s="387"/>
      <c r="K81" s="388" t="s">
        <v>957</v>
      </c>
      <c r="L81" s="389" t="s">
        <v>107</v>
      </c>
      <c r="M81" s="390" t="s">
        <v>107</v>
      </c>
      <c r="N81" s="390">
        <v>1.0</v>
      </c>
      <c r="O81" s="390" t="s">
        <v>107</v>
      </c>
      <c r="P81" s="390" t="s">
        <v>107</v>
      </c>
      <c r="Q81" s="391">
        <v>2.0</v>
      </c>
      <c r="R81" s="382" t="str">
        <f>"1 skills: "&amp;'Habilidades de Rol'!D138</f>
        <v>1 skills: </v>
      </c>
      <c r="S81" s="382" t="s">
        <v>958</v>
      </c>
      <c r="T81" s="392" t="s">
        <v>959</v>
      </c>
      <c r="U81" s="393"/>
      <c r="V81" s="393"/>
      <c r="W81" s="393"/>
      <c r="X81" s="393"/>
      <c r="Y81" s="393"/>
      <c r="Z81" s="393"/>
      <c r="AA81" s="393"/>
      <c r="AB81" s="393"/>
      <c r="AC81" s="393"/>
      <c r="AD81" s="393"/>
      <c r="AE81" s="393"/>
    </row>
    <row r="82" ht="15.75" customHeight="1">
      <c r="A82" s="395"/>
      <c r="B82" s="396"/>
      <c r="C82" s="397"/>
      <c r="D82" s="398"/>
      <c r="E82" s="399"/>
      <c r="F82" s="396"/>
      <c r="G82" s="396"/>
      <c r="H82" s="396"/>
      <c r="I82" s="396"/>
      <c r="J82" s="396"/>
      <c r="K82" s="339"/>
      <c r="L82" s="400"/>
      <c r="M82" s="401"/>
      <c r="N82" s="401"/>
      <c r="O82" s="401"/>
      <c r="P82" s="401"/>
      <c r="Q82" s="402"/>
      <c r="R82" s="396"/>
      <c r="S82" s="396"/>
      <c r="T82" s="396"/>
    </row>
    <row r="83" ht="15.75" customHeight="1">
      <c r="A83" s="395"/>
      <c r="B83" s="396"/>
      <c r="C83" s="397"/>
      <c r="D83" s="398"/>
      <c r="E83" s="399"/>
      <c r="F83" s="396"/>
      <c r="G83" s="396"/>
      <c r="H83" s="396"/>
      <c r="I83" s="396"/>
      <c r="J83" s="396"/>
      <c r="K83" s="339"/>
      <c r="L83" s="400"/>
      <c r="M83" s="401"/>
      <c r="N83" s="401"/>
      <c r="O83" s="401"/>
      <c r="P83" s="401"/>
      <c r="Q83" s="402"/>
      <c r="R83" s="396"/>
      <c r="S83" s="396"/>
      <c r="T83" s="396"/>
    </row>
    <row r="84" ht="15.75" customHeight="1">
      <c r="A84" s="395"/>
      <c r="B84" s="396"/>
      <c r="C84" s="397"/>
      <c r="D84" s="398"/>
      <c r="E84" s="399"/>
      <c r="F84" s="396"/>
      <c r="G84" s="396"/>
      <c r="H84" s="396"/>
      <c r="I84" s="396"/>
      <c r="J84" s="396"/>
      <c r="K84" s="339"/>
      <c r="L84" s="400"/>
      <c r="M84" s="401"/>
      <c r="N84" s="401"/>
      <c r="O84" s="401"/>
      <c r="P84" s="401"/>
      <c r="Q84" s="402"/>
      <c r="R84" s="396"/>
      <c r="S84" s="396"/>
      <c r="T84" s="396"/>
    </row>
    <row r="85" ht="15.75" customHeight="1">
      <c r="A85" s="395"/>
      <c r="B85" s="396"/>
      <c r="C85" s="397"/>
      <c r="D85" s="398"/>
      <c r="E85" s="399"/>
      <c r="F85" s="396"/>
      <c r="G85" s="396"/>
      <c r="H85" s="396"/>
      <c r="I85" s="396"/>
      <c r="J85" s="396"/>
      <c r="K85" s="339"/>
      <c r="L85" s="400"/>
      <c r="M85" s="401"/>
      <c r="N85" s="401"/>
      <c r="O85" s="401"/>
      <c r="P85" s="401"/>
      <c r="Q85" s="402"/>
      <c r="R85" s="396"/>
      <c r="S85" s="396"/>
      <c r="T85" s="396"/>
    </row>
    <row r="86" ht="15.75" customHeight="1">
      <c r="A86" s="395"/>
      <c r="B86" s="396"/>
      <c r="C86" s="397"/>
      <c r="D86" s="398"/>
      <c r="E86" s="399"/>
      <c r="F86" s="396"/>
      <c r="G86" s="396"/>
      <c r="H86" s="396"/>
      <c r="I86" s="396"/>
      <c r="J86" s="396"/>
      <c r="K86" s="339"/>
      <c r="L86" s="400"/>
      <c r="M86" s="401"/>
      <c r="N86" s="401"/>
      <c r="O86" s="401"/>
      <c r="P86" s="401"/>
      <c r="Q86" s="402"/>
      <c r="R86" s="396"/>
      <c r="S86" s="396"/>
      <c r="T86" s="396"/>
    </row>
    <row r="87" ht="15.75" customHeight="1">
      <c r="A87" s="395"/>
      <c r="B87" s="396"/>
      <c r="C87" s="397"/>
      <c r="D87" s="398"/>
      <c r="E87" s="399"/>
      <c r="F87" s="396"/>
      <c r="G87" s="396"/>
      <c r="H87" s="396"/>
      <c r="I87" s="396"/>
      <c r="J87" s="396"/>
      <c r="K87" s="339"/>
      <c r="L87" s="400"/>
      <c r="M87" s="401"/>
      <c r="N87" s="401"/>
      <c r="O87" s="401"/>
      <c r="P87" s="401"/>
      <c r="Q87" s="402"/>
      <c r="R87" s="396"/>
      <c r="S87" s="396"/>
      <c r="T87" s="396"/>
    </row>
    <row r="88" ht="15.75" customHeight="1">
      <c r="A88" s="395"/>
      <c r="B88" s="396"/>
      <c r="C88" s="397"/>
      <c r="D88" s="398"/>
      <c r="E88" s="399"/>
      <c r="F88" s="396"/>
      <c r="G88" s="396"/>
      <c r="H88" s="396"/>
      <c r="I88" s="396"/>
      <c r="J88" s="396"/>
      <c r="K88" s="339"/>
      <c r="L88" s="400"/>
      <c r="M88" s="401"/>
      <c r="N88" s="401"/>
      <c r="O88" s="401"/>
      <c r="P88" s="401"/>
      <c r="Q88" s="402"/>
      <c r="R88" s="396"/>
      <c r="S88" s="396"/>
      <c r="T88" s="396"/>
    </row>
    <row r="89" ht="15.75" customHeight="1">
      <c r="A89" s="395"/>
      <c r="B89" s="396"/>
      <c r="C89" s="397"/>
      <c r="D89" s="398"/>
      <c r="E89" s="399"/>
      <c r="F89" s="396"/>
      <c r="G89" s="396"/>
      <c r="H89" s="396"/>
      <c r="I89" s="396"/>
      <c r="J89" s="396"/>
      <c r="K89" s="339"/>
      <c r="L89" s="400"/>
      <c r="M89" s="401"/>
      <c r="N89" s="401"/>
      <c r="O89" s="401"/>
      <c r="P89" s="401"/>
      <c r="Q89" s="402"/>
      <c r="R89" s="396"/>
      <c r="S89" s="396"/>
      <c r="T89" s="396"/>
    </row>
    <row r="90" ht="15.75" customHeight="1">
      <c r="A90" s="395"/>
      <c r="B90" s="396"/>
      <c r="C90" s="397"/>
      <c r="D90" s="398"/>
      <c r="E90" s="399"/>
      <c r="F90" s="396"/>
      <c r="G90" s="396"/>
      <c r="H90" s="396"/>
      <c r="I90" s="396"/>
      <c r="J90" s="396"/>
      <c r="K90" s="339"/>
      <c r="L90" s="400"/>
      <c r="M90" s="401"/>
      <c r="N90" s="401"/>
      <c r="O90" s="401"/>
      <c r="P90" s="401"/>
      <c r="Q90" s="402"/>
      <c r="R90" s="396"/>
      <c r="S90" s="396"/>
      <c r="T90" s="396"/>
    </row>
    <row r="91" ht="15.75" customHeight="1">
      <c r="A91" s="395"/>
      <c r="B91" s="396"/>
      <c r="C91" s="397"/>
      <c r="D91" s="398"/>
      <c r="E91" s="399"/>
      <c r="F91" s="396"/>
      <c r="G91" s="396"/>
      <c r="H91" s="396"/>
      <c r="I91" s="396"/>
      <c r="J91" s="396"/>
      <c r="K91" s="339"/>
      <c r="L91" s="400"/>
      <c r="M91" s="401"/>
      <c r="N91" s="401"/>
      <c r="O91" s="401"/>
      <c r="P91" s="401"/>
      <c r="Q91" s="402"/>
      <c r="R91" s="396"/>
      <c r="S91" s="396"/>
      <c r="T91" s="396"/>
    </row>
    <row r="92" ht="15.75" customHeight="1">
      <c r="A92" s="395"/>
      <c r="B92" s="396"/>
      <c r="C92" s="397"/>
      <c r="D92" s="398"/>
      <c r="E92" s="399"/>
      <c r="F92" s="396"/>
      <c r="G92" s="396"/>
      <c r="H92" s="396"/>
      <c r="I92" s="396"/>
      <c r="J92" s="396"/>
      <c r="K92" s="339"/>
      <c r="L92" s="400"/>
      <c r="M92" s="401"/>
      <c r="N92" s="401"/>
      <c r="O92" s="401"/>
      <c r="P92" s="401"/>
      <c r="Q92" s="402"/>
      <c r="R92" s="396"/>
      <c r="S92" s="396"/>
      <c r="T92" s="396"/>
    </row>
    <row r="93" ht="15.75" customHeight="1">
      <c r="A93" s="395"/>
      <c r="B93" s="396"/>
      <c r="C93" s="397"/>
      <c r="D93" s="398"/>
      <c r="E93" s="399"/>
      <c r="F93" s="396"/>
      <c r="G93" s="396"/>
      <c r="H93" s="396"/>
      <c r="I93" s="396"/>
      <c r="J93" s="396"/>
      <c r="K93" s="339"/>
      <c r="L93" s="400"/>
      <c r="M93" s="401"/>
      <c r="N93" s="401"/>
      <c r="O93" s="401"/>
      <c r="P93" s="401"/>
      <c r="Q93" s="402"/>
      <c r="R93" s="396"/>
      <c r="S93" s="396"/>
      <c r="T93" s="396"/>
    </row>
    <row r="94" ht="15.75" customHeight="1">
      <c r="A94" s="395"/>
      <c r="B94" s="396"/>
      <c r="C94" s="397"/>
      <c r="D94" s="398"/>
      <c r="E94" s="399"/>
      <c r="F94" s="396"/>
      <c r="G94" s="396"/>
      <c r="H94" s="396"/>
      <c r="I94" s="396"/>
      <c r="J94" s="396"/>
      <c r="K94" s="339"/>
      <c r="L94" s="400"/>
      <c r="M94" s="401"/>
      <c r="N94" s="401"/>
      <c r="O94" s="401"/>
      <c r="P94" s="401"/>
      <c r="Q94" s="402"/>
      <c r="R94" s="396"/>
      <c r="S94" s="396"/>
      <c r="T94" s="396"/>
    </row>
    <row r="95" ht="15.75" customHeight="1">
      <c r="A95" s="395"/>
      <c r="B95" s="396"/>
      <c r="C95" s="397"/>
      <c r="D95" s="398"/>
      <c r="E95" s="399"/>
      <c r="F95" s="396"/>
      <c r="G95" s="396"/>
      <c r="H95" s="396"/>
      <c r="I95" s="396"/>
      <c r="J95" s="396"/>
      <c r="K95" s="339"/>
      <c r="L95" s="400"/>
      <c r="M95" s="401"/>
      <c r="N95" s="401"/>
      <c r="O95" s="401"/>
      <c r="P95" s="401"/>
      <c r="Q95" s="402"/>
      <c r="R95" s="396"/>
      <c r="S95" s="396"/>
      <c r="T95" s="396"/>
    </row>
    <row r="96" ht="15.75" customHeight="1">
      <c r="A96" s="395"/>
      <c r="B96" s="396"/>
      <c r="C96" s="397"/>
      <c r="D96" s="398"/>
      <c r="E96" s="399"/>
      <c r="F96" s="396"/>
      <c r="G96" s="396"/>
      <c r="H96" s="396"/>
      <c r="I96" s="396"/>
      <c r="J96" s="396"/>
      <c r="K96" s="339"/>
      <c r="L96" s="400"/>
      <c r="M96" s="401"/>
      <c r="N96" s="401"/>
      <c r="O96" s="401"/>
      <c r="P96" s="401"/>
      <c r="Q96" s="402"/>
      <c r="R96" s="396"/>
      <c r="S96" s="396"/>
      <c r="T96" s="396"/>
    </row>
    <row r="97" ht="15.75" customHeight="1">
      <c r="A97" s="395"/>
      <c r="B97" s="396"/>
      <c r="C97" s="397"/>
      <c r="D97" s="398"/>
      <c r="E97" s="399"/>
      <c r="F97" s="396"/>
      <c r="G97" s="396"/>
      <c r="H97" s="396"/>
      <c r="I97" s="396"/>
      <c r="J97" s="396"/>
      <c r="K97" s="339"/>
      <c r="L97" s="400"/>
      <c r="M97" s="401"/>
      <c r="N97" s="401"/>
      <c r="O97" s="401"/>
      <c r="P97" s="401"/>
      <c r="Q97" s="402"/>
      <c r="R97" s="396"/>
      <c r="S97" s="396"/>
      <c r="T97" s="396"/>
    </row>
    <row r="98" ht="15.75" customHeight="1">
      <c r="A98" s="395"/>
      <c r="B98" s="396"/>
      <c r="C98" s="397"/>
      <c r="D98" s="398"/>
      <c r="E98" s="399"/>
      <c r="F98" s="396"/>
      <c r="G98" s="396"/>
      <c r="H98" s="396"/>
      <c r="I98" s="396"/>
      <c r="J98" s="396"/>
      <c r="K98" s="339"/>
      <c r="L98" s="400"/>
      <c r="M98" s="401"/>
      <c r="N98" s="401"/>
      <c r="O98" s="401"/>
      <c r="P98" s="401"/>
      <c r="Q98" s="402"/>
      <c r="R98" s="396"/>
      <c r="S98" s="396"/>
      <c r="T98" s="396"/>
    </row>
    <row r="99" ht="15.75" customHeight="1">
      <c r="A99" s="395"/>
      <c r="B99" s="396"/>
      <c r="C99" s="397"/>
      <c r="D99" s="398"/>
      <c r="E99" s="399"/>
      <c r="F99" s="396"/>
      <c r="G99" s="396"/>
      <c r="H99" s="396"/>
      <c r="I99" s="396"/>
      <c r="J99" s="396"/>
      <c r="K99" s="339"/>
      <c r="L99" s="400"/>
      <c r="M99" s="401"/>
      <c r="N99" s="401"/>
      <c r="O99" s="401"/>
      <c r="P99" s="401"/>
      <c r="Q99" s="402"/>
      <c r="R99" s="396"/>
      <c r="S99" s="396"/>
      <c r="T99" s="396"/>
    </row>
    <row r="100" ht="15.75" customHeight="1">
      <c r="A100" s="395"/>
      <c r="B100" s="396"/>
      <c r="C100" s="397"/>
      <c r="D100" s="398"/>
      <c r="E100" s="399"/>
      <c r="F100" s="396"/>
      <c r="G100" s="396"/>
      <c r="H100" s="396"/>
      <c r="I100" s="396"/>
      <c r="J100" s="396"/>
      <c r="K100" s="339"/>
      <c r="L100" s="400"/>
      <c r="M100" s="401"/>
      <c r="N100" s="401"/>
      <c r="O100" s="401"/>
      <c r="P100" s="401"/>
      <c r="Q100" s="402"/>
      <c r="R100" s="396"/>
      <c r="S100" s="396"/>
      <c r="T100" s="396"/>
    </row>
    <row r="101" ht="15.75" customHeight="1">
      <c r="A101" s="395"/>
      <c r="B101" s="396"/>
      <c r="C101" s="397"/>
      <c r="D101" s="398"/>
      <c r="E101" s="399"/>
      <c r="F101" s="396"/>
      <c r="G101" s="396"/>
      <c r="H101" s="396"/>
      <c r="I101" s="396"/>
      <c r="J101" s="396"/>
      <c r="K101" s="339"/>
      <c r="L101" s="400"/>
      <c r="M101" s="401"/>
      <c r="N101" s="401"/>
      <c r="O101" s="401"/>
      <c r="P101" s="401"/>
      <c r="Q101" s="402"/>
      <c r="R101" s="396"/>
      <c r="S101" s="396"/>
      <c r="T101" s="396"/>
    </row>
    <row r="102" ht="15.75" customHeight="1">
      <c r="A102" s="395"/>
      <c r="B102" s="396"/>
      <c r="C102" s="397"/>
      <c r="D102" s="398"/>
      <c r="E102" s="399"/>
      <c r="F102" s="396"/>
      <c r="G102" s="396"/>
      <c r="H102" s="396"/>
      <c r="I102" s="396"/>
      <c r="J102" s="396"/>
      <c r="K102" s="339"/>
      <c r="L102" s="400"/>
      <c r="M102" s="401"/>
      <c r="N102" s="401"/>
      <c r="O102" s="401"/>
      <c r="P102" s="401"/>
      <c r="Q102" s="402"/>
      <c r="R102" s="396"/>
      <c r="S102" s="396"/>
      <c r="T102" s="396"/>
    </row>
    <row r="103" ht="15.75" customHeight="1">
      <c r="A103" s="395"/>
      <c r="B103" s="396"/>
      <c r="C103" s="397"/>
      <c r="D103" s="398"/>
      <c r="E103" s="399"/>
      <c r="F103" s="396"/>
      <c r="G103" s="396"/>
      <c r="H103" s="396"/>
      <c r="I103" s="396"/>
      <c r="J103" s="396"/>
      <c r="K103" s="339"/>
      <c r="L103" s="400"/>
      <c r="M103" s="401"/>
      <c r="N103" s="401"/>
      <c r="O103" s="401"/>
      <c r="P103" s="401"/>
      <c r="Q103" s="402"/>
      <c r="R103" s="396"/>
      <c r="S103" s="396"/>
      <c r="T103" s="396"/>
    </row>
    <row r="104" ht="15.75" customHeight="1">
      <c r="A104" s="395"/>
      <c r="B104" s="396"/>
      <c r="C104" s="397"/>
      <c r="D104" s="398"/>
      <c r="E104" s="399"/>
      <c r="F104" s="396"/>
      <c r="G104" s="396"/>
      <c r="H104" s="396"/>
      <c r="I104" s="396"/>
      <c r="J104" s="396"/>
      <c r="K104" s="339"/>
      <c r="L104" s="400"/>
      <c r="M104" s="401"/>
      <c r="N104" s="401"/>
      <c r="O104" s="401"/>
      <c r="P104" s="401"/>
      <c r="Q104" s="402"/>
      <c r="R104" s="396"/>
      <c r="S104" s="396"/>
      <c r="T104" s="396"/>
    </row>
    <row r="105" ht="15.75" customHeight="1">
      <c r="A105" s="395"/>
      <c r="B105" s="396"/>
      <c r="C105" s="397"/>
      <c r="D105" s="398"/>
      <c r="E105" s="399"/>
      <c r="F105" s="396"/>
      <c r="G105" s="396"/>
      <c r="H105" s="396"/>
      <c r="I105" s="396"/>
      <c r="J105" s="396"/>
      <c r="K105" s="339"/>
      <c r="L105" s="400"/>
      <c r="M105" s="401"/>
      <c r="N105" s="401"/>
      <c r="O105" s="401"/>
      <c r="P105" s="401"/>
      <c r="Q105" s="402"/>
      <c r="R105" s="396"/>
      <c r="S105" s="396"/>
      <c r="T105" s="396"/>
    </row>
    <row r="106" ht="15.75" customHeight="1">
      <c r="A106" s="395"/>
      <c r="B106" s="396"/>
      <c r="C106" s="397"/>
      <c r="D106" s="398"/>
      <c r="E106" s="399"/>
      <c r="F106" s="396"/>
      <c r="G106" s="396"/>
      <c r="H106" s="396"/>
      <c r="I106" s="396"/>
      <c r="J106" s="396"/>
      <c r="K106" s="339"/>
      <c r="L106" s="400"/>
      <c r="M106" s="401"/>
      <c r="N106" s="401"/>
      <c r="O106" s="401"/>
      <c r="P106" s="401"/>
      <c r="Q106" s="402"/>
      <c r="R106" s="396"/>
      <c r="S106" s="396"/>
      <c r="T106" s="396"/>
    </row>
    <row r="107" ht="15.75" customHeight="1">
      <c r="A107" s="395"/>
      <c r="B107" s="396"/>
      <c r="C107" s="397"/>
      <c r="D107" s="398"/>
      <c r="E107" s="399"/>
      <c r="F107" s="396"/>
      <c r="G107" s="396"/>
      <c r="H107" s="396"/>
      <c r="I107" s="396"/>
      <c r="J107" s="396"/>
      <c r="K107" s="339"/>
      <c r="L107" s="400"/>
      <c r="M107" s="401"/>
      <c r="N107" s="401"/>
      <c r="O107" s="401"/>
      <c r="P107" s="401"/>
      <c r="Q107" s="402"/>
      <c r="R107" s="396"/>
      <c r="S107" s="396"/>
      <c r="T107" s="396"/>
    </row>
    <row r="108" ht="15.75" customHeight="1">
      <c r="A108" s="395"/>
      <c r="B108" s="396"/>
      <c r="C108" s="397"/>
      <c r="D108" s="398"/>
      <c r="E108" s="399"/>
      <c r="F108" s="396"/>
      <c r="G108" s="396"/>
      <c r="H108" s="396"/>
      <c r="I108" s="396"/>
      <c r="J108" s="396"/>
      <c r="K108" s="339"/>
      <c r="L108" s="400"/>
      <c r="M108" s="401"/>
      <c r="N108" s="401"/>
      <c r="O108" s="401"/>
      <c r="P108" s="401"/>
      <c r="Q108" s="402"/>
      <c r="R108" s="396"/>
      <c r="S108" s="396"/>
      <c r="T108" s="396"/>
    </row>
    <row r="109" ht="15.75" customHeight="1">
      <c r="A109" s="395"/>
      <c r="B109" s="396"/>
      <c r="C109" s="397"/>
      <c r="D109" s="398"/>
      <c r="E109" s="399"/>
      <c r="F109" s="396"/>
      <c r="G109" s="396"/>
      <c r="H109" s="396"/>
      <c r="I109" s="396"/>
      <c r="J109" s="396"/>
      <c r="K109" s="339"/>
      <c r="L109" s="400"/>
      <c r="M109" s="401"/>
      <c r="N109" s="401"/>
      <c r="O109" s="401"/>
      <c r="P109" s="401"/>
      <c r="Q109" s="402"/>
      <c r="R109" s="396"/>
      <c r="S109" s="396"/>
      <c r="T109" s="396"/>
    </row>
    <row r="110" ht="15.75" customHeight="1">
      <c r="A110" s="395"/>
      <c r="B110" s="396"/>
      <c r="C110" s="397"/>
      <c r="D110" s="398"/>
      <c r="E110" s="399"/>
      <c r="F110" s="396"/>
      <c r="G110" s="396"/>
      <c r="H110" s="396"/>
      <c r="I110" s="396"/>
      <c r="J110" s="396"/>
      <c r="K110" s="339"/>
      <c r="L110" s="400"/>
      <c r="M110" s="401"/>
      <c r="N110" s="401"/>
      <c r="O110" s="401"/>
      <c r="P110" s="401"/>
      <c r="Q110" s="402"/>
      <c r="R110" s="396"/>
      <c r="S110" s="396"/>
      <c r="T110" s="396"/>
    </row>
    <row r="111" ht="15.75" customHeight="1">
      <c r="A111" s="395"/>
      <c r="B111" s="396"/>
      <c r="C111" s="397"/>
      <c r="D111" s="398"/>
      <c r="E111" s="399"/>
      <c r="F111" s="396"/>
      <c r="G111" s="396"/>
      <c r="H111" s="396"/>
      <c r="I111" s="396"/>
      <c r="J111" s="396"/>
      <c r="K111" s="339"/>
      <c r="L111" s="400"/>
      <c r="M111" s="401"/>
      <c r="N111" s="401"/>
      <c r="O111" s="401"/>
      <c r="P111" s="401"/>
      <c r="Q111" s="402"/>
      <c r="R111" s="396"/>
      <c r="S111" s="396"/>
      <c r="T111" s="396"/>
    </row>
    <row r="112" ht="15.75" customHeight="1">
      <c r="A112" s="395"/>
      <c r="B112" s="396"/>
      <c r="C112" s="397"/>
      <c r="D112" s="398"/>
      <c r="E112" s="399"/>
      <c r="F112" s="396"/>
      <c r="G112" s="396"/>
      <c r="H112" s="396"/>
      <c r="I112" s="396"/>
      <c r="J112" s="396"/>
      <c r="K112" s="339"/>
      <c r="L112" s="400"/>
      <c r="M112" s="401"/>
      <c r="N112" s="401"/>
      <c r="O112" s="401"/>
      <c r="P112" s="401"/>
      <c r="Q112" s="402"/>
      <c r="R112" s="396"/>
      <c r="S112" s="396"/>
      <c r="T112" s="396"/>
    </row>
    <row r="113" ht="15.75" customHeight="1">
      <c r="A113" s="395"/>
      <c r="B113" s="396"/>
      <c r="C113" s="397"/>
      <c r="D113" s="398"/>
      <c r="E113" s="399"/>
      <c r="F113" s="396"/>
      <c r="G113" s="396"/>
      <c r="H113" s="396"/>
      <c r="I113" s="396"/>
      <c r="J113" s="396"/>
      <c r="K113" s="339"/>
      <c r="L113" s="400"/>
      <c r="M113" s="401"/>
      <c r="N113" s="401"/>
      <c r="O113" s="401"/>
      <c r="P113" s="401"/>
      <c r="Q113" s="402"/>
      <c r="R113" s="396"/>
      <c r="S113" s="396"/>
      <c r="T113" s="396"/>
    </row>
    <row r="114" ht="15.75" customHeight="1">
      <c r="A114" s="395"/>
      <c r="B114" s="396"/>
      <c r="C114" s="397"/>
      <c r="D114" s="398"/>
      <c r="E114" s="399"/>
      <c r="F114" s="396"/>
      <c r="G114" s="396"/>
      <c r="H114" s="396"/>
      <c r="I114" s="396"/>
      <c r="J114" s="396"/>
      <c r="K114" s="339"/>
      <c r="L114" s="400"/>
      <c r="M114" s="401"/>
      <c r="N114" s="401"/>
      <c r="O114" s="401"/>
      <c r="P114" s="401"/>
      <c r="Q114" s="402"/>
      <c r="R114" s="396"/>
      <c r="S114" s="396"/>
      <c r="T114" s="396"/>
    </row>
    <row r="115" ht="15.75" customHeight="1">
      <c r="A115" s="395"/>
      <c r="B115" s="396"/>
      <c r="C115" s="397"/>
      <c r="D115" s="398"/>
      <c r="E115" s="399"/>
      <c r="F115" s="396"/>
      <c r="G115" s="396"/>
      <c r="H115" s="396"/>
      <c r="I115" s="396"/>
      <c r="J115" s="396"/>
      <c r="K115" s="339"/>
      <c r="L115" s="400"/>
      <c r="M115" s="401"/>
      <c r="N115" s="401"/>
      <c r="O115" s="401"/>
      <c r="P115" s="401"/>
      <c r="Q115" s="402"/>
      <c r="R115" s="396"/>
      <c r="S115" s="396"/>
      <c r="T115" s="396"/>
    </row>
    <row r="116" ht="15.75" customHeight="1">
      <c r="A116" s="395"/>
      <c r="B116" s="396"/>
      <c r="C116" s="397"/>
      <c r="D116" s="398"/>
      <c r="E116" s="399"/>
      <c r="F116" s="396"/>
      <c r="G116" s="396"/>
      <c r="H116" s="396"/>
      <c r="I116" s="396"/>
      <c r="J116" s="396"/>
      <c r="K116" s="339"/>
      <c r="L116" s="400"/>
      <c r="M116" s="401"/>
      <c r="N116" s="401"/>
      <c r="O116" s="401"/>
      <c r="P116" s="401"/>
      <c r="Q116" s="402"/>
      <c r="R116" s="396"/>
      <c r="S116" s="396"/>
      <c r="T116" s="396"/>
    </row>
    <row r="117" ht="15.75" customHeight="1">
      <c r="A117" s="395"/>
      <c r="B117" s="396"/>
      <c r="C117" s="397"/>
      <c r="D117" s="398"/>
      <c r="E117" s="399"/>
      <c r="F117" s="396"/>
      <c r="G117" s="396"/>
      <c r="H117" s="396"/>
      <c r="I117" s="396"/>
      <c r="J117" s="396"/>
      <c r="K117" s="339"/>
      <c r="L117" s="400"/>
      <c r="M117" s="401"/>
      <c r="N117" s="401"/>
      <c r="O117" s="401"/>
      <c r="P117" s="401"/>
      <c r="Q117" s="402"/>
      <c r="R117" s="396"/>
      <c r="S117" s="396"/>
      <c r="T117" s="396"/>
    </row>
    <row r="118" ht="15.75" customHeight="1">
      <c r="A118" s="395"/>
      <c r="B118" s="396"/>
      <c r="C118" s="397"/>
      <c r="D118" s="398"/>
      <c r="E118" s="399"/>
      <c r="F118" s="396"/>
      <c r="G118" s="396"/>
      <c r="H118" s="396"/>
      <c r="I118" s="396"/>
      <c r="J118" s="396"/>
      <c r="K118" s="339"/>
      <c r="L118" s="400"/>
      <c r="M118" s="401"/>
      <c r="N118" s="401"/>
      <c r="O118" s="401"/>
      <c r="P118" s="401"/>
      <c r="Q118" s="402"/>
      <c r="R118" s="396"/>
      <c r="S118" s="396"/>
      <c r="T118" s="396"/>
    </row>
    <row r="119" ht="15.75" customHeight="1">
      <c r="A119" s="395"/>
      <c r="B119" s="396"/>
      <c r="C119" s="397"/>
      <c r="D119" s="398"/>
      <c r="E119" s="399"/>
      <c r="F119" s="396"/>
      <c r="G119" s="396"/>
      <c r="H119" s="396"/>
      <c r="I119" s="396"/>
      <c r="J119" s="396"/>
      <c r="K119" s="339"/>
      <c r="L119" s="400"/>
      <c r="M119" s="401"/>
      <c r="N119" s="401"/>
      <c r="O119" s="401"/>
      <c r="P119" s="401"/>
      <c r="Q119" s="402"/>
      <c r="R119" s="396"/>
      <c r="S119" s="396"/>
      <c r="T119" s="396"/>
    </row>
    <row r="120" ht="15.75" customHeight="1">
      <c r="A120" s="395"/>
      <c r="B120" s="396"/>
      <c r="C120" s="397"/>
      <c r="D120" s="398"/>
      <c r="E120" s="399"/>
      <c r="F120" s="396"/>
      <c r="G120" s="396"/>
      <c r="H120" s="396"/>
      <c r="I120" s="396"/>
      <c r="J120" s="396"/>
      <c r="K120" s="339"/>
      <c r="L120" s="400"/>
      <c r="M120" s="401"/>
      <c r="N120" s="401"/>
      <c r="O120" s="401"/>
      <c r="P120" s="401"/>
      <c r="Q120" s="402"/>
      <c r="R120" s="396"/>
      <c r="S120" s="396"/>
      <c r="T120" s="396"/>
    </row>
    <row r="121" ht="15.75" customHeight="1">
      <c r="A121" s="395"/>
      <c r="B121" s="396"/>
      <c r="C121" s="397"/>
      <c r="D121" s="398"/>
      <c r="E121" s="399"/>
      <c r="F121" s="396"/>
      <c r="G121" s="396"/>
      <c r="H121" s="396"/>
      <c r="I121" s="396"/>
      <c r="J121" s="396"/>
      <c r="K121" s="339"/>
      <c r="L121" s="400"/>
      <c r="M121" s="401"/>
      <c r="N121" s="401"/>
      <c r="O121" s="401"/>
      <c r="P121" s="401"/>
      <c r="Q121" s="402"/>
      <c r="R121" s="396"/>
      <c r="S121" s="396"/>
      <c r="T121" s="396"/>
    </row>
    <row r="122" ht="15.75" customHeight="1">
      <c r="A122" s="395"/>
      <c r="B122" s="396"/>
      <c r="C122" s="397"/>
      <c r="D122" s="398"/>
      <c r="E122" s="399"/>
      <c r="F122" s="396"/>
      <c r="G122" s="396"/>
      <c r="H122" s="396"/>
      <c r="I122" s="396"/>
      <c r="J122" s="396"/>
      <c r="K122" s="339"/>
      <c r="L122" s="400"/>
      <c r="M122" s="401"/>
      <c r="N122" s="401"/>
      <c r="O122" s="401"/>
      <c r="P122" s="401"/>
      <c r="Q122" s="402"/>
      <c r="R122" s="396"/>
      <c r="S122" s="396"/>
      <c r="T122" s="396"/>
    </row>
    <row r="123" ht="15.75" customHeight="1">
      <c r="A123" s="395"/>
      <c r="B123" s="396"/>
      <c r="C123" s="397"/>
      <c r="D123" s="398"/>
      <c r="E123" s="399"/>
      <c r="F123" s="396"/>
      <c r="G123" s="396"/>
      <c r="H123" s="396"/>
      <c r="I123" s="396"/>
      <c r="J123" s="396"/>
      <c r="K123" s="339"/>
      <c r="L123" s="400"/>
      <c r="M123" s="401"/>
      <c r="N123" s="401"/>
      <c r="O123" s="401"/>
      <c r="P123" s="401"/>
      <c r="Q123" s="402"/>
      <c r="R123" s="396"/>
      <c r="S123" s="396"/>
      <c r="T123" s="396"/>
    </row>
    <row r="124" ht="15.75" customHeight="1">
      <c r="A124" s="395"/>
      <c r="B124" s="396"/>
      <c r="C124" s="397"/>
      <c r="D124" s="398"/>
      <c r="E124" s="399"/>
      <c r="F124" s="396"/>
      <c r="G124" s="396"/>
      <c r="H124" s="396"/>
      <c r="I124" s="396"/>
      <c r="J124" s="396"/>
      <c r="K124" s="339"/>
      <c r="L124" s="400"/>
      <c r="M124" s="401"/>
      <c r="N124" s="401"/>
      <c r="O124" s="401"/>
      <c r="P124" s="401"/>
      <c r="Q124" s="402"/>
      <c r="R124" s="396"/>
      <c r="S124" s="396"/>
      <c r="T124" s="396"/>
    </row>
    <row r="125" ht="15.75" customHeight="1">
      <c r="A125" s="395"/>
      <c r="B125" s="396"/>
      <c r="C125" s="397"/>
      <c r="D125" s="398"/>
      <c r="E125" s="399"/>
      <c r="F125" s="396"/>
      <c r="G125" s="396"/>
      <c r="H125" s="396"/>
      <c r="I125" s="396"/>
      <c r="J125" s="396"/>
      <c r="K125" s="339"/>
      <c r="L125" s="400"/>
      <c r="M125" s="401"/>
      <c r="N125" s="401"/>
      <c r="O125" s="401"/>
      <c r="P125" s="401"/>
      <c r="Q125" s="402"/>
      <c r="R125" s="396"/>
      <c r="S125" s="396"/>
      <c r="T125" s="396"/>
    </row>
    <row r="126" ht="15.75" customHeight="1">
      <c r="A126" s="395"/>
      <c r="B126" s="396"/>
      <c r="C126" s="397"/>
      <c r="D126" s="398"/>
      <c r="E126" s="399"/>
      <c r="F126" s="396"/>
      <c r="G126" s="396"/>
      <c r="H126" s="396"/>
      <c r="I126" s="396"/>
      <c r="J126" s="396"/>
      <c r="K126" s="339"/>
      <c r="L126" s="400"/>
      <c r="M126" s="401"/>
      <c r="N126" s="401"/>
      <c r="O126" s="401"/>
      <c r="P126" s="401"/>
      <c r="Q126" s="402"/>
      <c r="R126" s="396"/>
      <c r="S126" s="396"/>
      <c r="T126" s="396"/>
    </row>
    <row r="127" ht="15.75" customHeight="1">
      <c r="A127" s="395"/>
      <c r="B127" s="396"/>
      <c r="C127" s="397"/>
      <c r="D127" s="398"/>
      <c r="E127" s="399"/>
      <c r="F127" s="396"/>
      <c r="G127" s="396"/>
      <c r="H127" s="396"/>
      <c r="I127" s="396"/>
      <c r="J127" s="396"/>
      <c r="K127" s="339"/>
      <c r="L127" s="400"/>
      <c r="M127" s="401"/>
      <c r="N127" s="401"/>
      <c r="O127" s="401"/>
      <c r="P127" s="401"/>
      <c r="Q127" s="402"/>
      <c r="R127" s="396"/>
      <c r="S127" s="396"/>
      <c r="T127" s="396"/>
    </row>
    <row r="128" ht="15.75" customHeight="1">
      <c r="A128" s="395"/>
      <c r="B128" s="396"/>
      <c r="C128" s="397"/>
      <c r="D128" s="398"/>
      <c r="E128" s="399"/>
      <c r="F128" s="396"/>
      <c r="G128" s="396"/>
      <c r="H128" s="396"/>
      <c r="I128" s="396"/>
      <c r="J128" s="396"/>
      <c r="K128" s="339"/>
      <c r="L128" s="400"/>
      <c r="M128" s="401"/>
      <c r="N128" s="401"/>
      <c r="O128" s="401"/>
      <c r="P128" s="401"/>
      <c r="Q128" s="402"/>
      <c r="R128" s="396"/>
      <c r="S128" s="396"/>
      <c r="T128" s="396"/>
    </row>
    <row r="129" ht="15.75" customHeight="1">
      <c r="A129" s="395"/>
      <c r="B129" s="396"/>
      <c r="C129" s="397"/>
      <c r="D129" s="398"/>
      <c r="E129" s="399"/>
      <c r="F129" s="396"/>
      <c r="G129" s="396"/>
      <c r="H129" s="396"/>
      <c r="I129" s="396"/>
      <c r="J129" s="396"/>
      <c r="K129" s="339"/>
      <c r="L129" s="400"/>
      <c r="M129" s="401"/>
      <c r="N129" s="401"/>
      <c r="O129" s="401"/>
      <c r="P129" s="401"/>
      <c r="Q129" s="402"/>
      <c r="R129" s="396"/>
      <c r="S129" s="396"/>
      <c r="T129" s="396"/>
    </row>
    <row r="130" ht="15.75" customHeight="1">
      <c r="A130" s="395"/>
      <c r="B130" s="396"/>
      <c r="C130" s="397"/>
      <c r="D130" s="398"/>
      <c r="E130" s="399"/>
      <c r="F130" s="396"/>
      <c r="G130" s="396"/>
      <c r="H130" s="396"/>
      <c r="I130" s="396"/>
      <c r="J130" s="396"/>
      <c r="K130" s="339"/>
      <c r="L130" s="400"/>
      <c r="M130" s="401"/>
      <c r="N130" s="401"/>
      <c r="O130" s="401"/>
      <c r="P130" s="401"/>
      <c r="Q130" s="402"/>
      <c r="R130" s="396"/>
      <c r="S130" s="396"/>
      <c r="T130" s="396"/>
    </row>
    <row r="131" ht="15.75" customHeight="1">
      <c r="A131" s="395"/>
      <c r="B131" s="396"/>
      <c r="C131" s="397"/>
      <c r="D131" s="398"/>
      <c r="E131" s="399"/>
      <c r="F131" s="396"/>
      <c r="G131" s="396"/>
      <c r="H131" s="396"/>
      <c r="I131" s="396"/>
      <c r="J131" s="396"/>
      <c r="K131" s="339"/>
      <c r="L131" s="400"/>
      <c r="M131" s="401"/>
      <c r="N131" s="401"/>
      <c r="O131" s="401"/>
      <c r="P131" s="401"/>
      <c r="Q131" s="402"/>
      <c r="R131" s="396"/>
      <c r="S131" s="396"/>
      <c r="T131" s="396"/>
    </row>
    <row r="132" ht="15.75" customHeight="1">
      <c r="A132" s="395"/>
      <c r="B132" s="396"/>
      <c r="C132" s="397"/>
      <c r="D132" s="398"/>
      <c r="E132" s="399"/>
      <c r="F132" s="396"/>
      <c r="G132" s="396"/>
      <c r="H132" s="396"/>
      <c r="I132" s="396"/>
      <c r="J132" s="396"/>
      <c r="K132" s="339"/>
      <c r="L132" s="400"/>
      <c r="M132" s="401"/>
      <c r="N132" s="401"/>
      <c r="O132" s="401"/>
      <c r="P132" s="401"/>
      <c r="Q132" s="402"/>
      <c r="R132" s="396"/>
      <c r="S132" s="396"/>
      <c r="T132" s="396"/>
    </row>
    <row r="133" ht="15.75" customHeight="1">
      <c r="A133" s="395"/>
      <c r="B133" s="396"/>
      <c r="C133" s="397"/>
      <c r="D133" s="398"/>
      <c r="E133" s="399"/>
      <c r="F133" s="396"/>
      <c r="G133" s="396"/>
      <c r="H133" s="396"/>
      <c r="I133" s="396"/>
      <c r="J133" s="396"/>
      <c r="K133" s="339"/>
      <c r="L133" s="400"/>
      <c r="M133" s="401"/>
      <c r="N133" s="401"/>
      <c r="O133" s="401"/>
      <c r="P133" s="401"/>
      <c r="Q133" s="402"/>
      <c r="R133" s="396"/>
      <c r="S133" s="396"/>
      <c r="T133" s="396"/>
    </row>
    <row r="134" ht="15.75" customHeight="1">
      <c r="A134" s="395"/>
      <c r="B134" s="396"/>
      <c r="C134" s="397"/>
      <c r="D134" s="398"/>
      <c r="E134" s="399"/>
      <c r="F134" s="396"/>
      <c r="G134" s="396"/>
      <c r="H134" s="396"/>
      <c r="I134" s="396"/>
      <c r="J134" s="396"/>
      <c r="K134" s="339"/>
      <c r="L134" s="400"/>
      <c r="M134" s="401"/>
      <c r="N134" s="401"/>
      <c r="O134" s="401"/>
      <c r="P134" s="401"/>
      <c r="Q134" s="402"/>
      <c r="R134" s="396"/>
      <c r="S134" s="396"/>
      <c r="T134" s="396"/>
    </row>
    <row r="135" ht="15.75" customHeight="1">
      <c r="A135" s="395"/>
      <c r="B135" s="396"/>
      <c r="C135" s="397"/>
      <c r="D135" s="398"/>
      <c r="E135" s="399"/>
      <c r="F135" s="396"/>
      <c r="G135" s="396"/>
      <c r="H135" s="396"/>
      <c r="I135" s="396"/>
      <c r="J135" s="396"/>
      <c r="K135" s="339"/>
      <c r="L135" s="400"/>
      <c r="M135" s="401"/>
      <c r="N135" s="401"/>
      <c r="O135" s="401"/>
      <c r="P135" s="401"/>
      <c r="Q135" s="402"/>
      <c r="R135" s="396"/>
      <c r="S135" s="396"/>
      <c r="T135" s="396"/>
    </row>
    <row r="136" ht="15.75" customHeight="1">
      <c r="A136" s="395"/>
      <c r="B136" s="396"/>
      <c r="C136" s="397"/>
      <c r="D136" s="398"/>
      <c r="E136" s="399"/>
      <c r="F136" s="396"/>
      <c r="G136" s="396"/>
      <c r="H136" s="396"/>
      <c r="I136" s="396"/>
      <c r="J136" s="396"/>
      <c r="K136" s="339"/>
      <c r="L136" s="400"/>
      <c r="M136" s="401"/>
      <c r="N136" s="401"/>
      <c r="O136" s="401"/>
      <c r="P136" s="401"/>
      <c r="Q136" s="402"/>
      <c r="R136" s="396"/>
      <c r="S136" s="396"/>
      <c r="T136" s="396"/>
    </row>
    <row r="137" ht="15.75" customHeight="1">
      <c r="A137" s="395"/>
      <c r="B137" s="396"/>
      <c r="C137" s="397"/>
      <c r="D137" s="398"/>
      <c r="E137" s="399"/>
      <c r="F137" s="396"/>
      <c r="G137" s="396"/>
      <c r="H137" s="396"/>
      <c r="I137" s="396"/>
      <c r="J137" s="396"/>
      <c r="K137" s="339"/>
      <c r="L137" s="400"/>
      <c r="M137" s="401"/>
      <c r="N137" s="401"/>
      <c r="O137" s="401"/>
      <c r="P137" s="401"/>
      <c r="Q137" s="402"/>
      <c r="R137" s="396"/>
      <c r="S137" s="396"/>
      <c r="T137" s="396"/>
    </row>
    <row r="138" ht="15.75" customHeight="1">
      <c r="A138" s="395"/>
      <c r="B138" s="396"/>
      <c r="C138" s="397"/>
      <c r="D138" s="398"/>
      <c r="E138" s="399"/>
      <c r="F138" s="396"/>
      <c r="G138" s="396"/>
      <c r="H138" s="396"/>
      <c r="I138" s="396"/>
      <c r="J138" s="396"/>
      <c r="K138" s="339"/>
      <c r="L138" s="400"/>
      <c r="M138" s="401"/>
      <c r="N138" s="401"/>
      <c r="O138" s="401"/>
      <c r="P138" s="401"/>
      <c r="Q138" s="402"/>
      <c r="R138" s="396"/>
      <c r="S138" s="396"/>
      <c r="T138" s="396"/>
    </row>
    <row r="139" ht="15.75" customHeight="1">
      <c r="A139" s="395"/>
      <c r="B139" s="396"/>
      <c r="C139" s="397"/>
      <c r="D139" s="398"/>
      <c r="E139" s="399"/>
      <c r="F139" s="396"/>
      <c r="G139" s="396"/>
      <c r="H139" s="396"/>
      <c r="I139" s="396"/>
      <c r="J139" s="396"/>
      <c r="K139" s="339"/>
      <c r="L139" s="400"/>
      <c r="M139" s="401"/>
      <c r="N139" s="401"/>
      <c r="O139" s="401"/>
      <c r="P139" s="401"/>
      <c r="Q139" s="402"/>
      <c r="R139" s="396"/>
      <c r="S139" s="396"/>
      <c r="T139" s="396"/>
    </row>
    <row r="140" ht="15.75" customHeight="1">
      <c r="A140" s="395"/>
      <c r="B140" s="396"/>
      <c r="C140" s="397"/>
      <c r="D140" s="398"/>
      <c r="E140" s="399"/>
      <c r="F140" s="396"/>
      <c r="G140" s="396"/>
      <c r="H140" s="396"/>
      <c r="I140" s="396"/>
      <c r="J140" s="396"/>
      <c r="K140" s="339"/>
      <c r="L140" s="400"/>
      <c r="M140" s="401"/>
      <c r="N140" s="401"/>
      <c r="O140" s="401"/>
      <c r="P140" s="401"/>
      <c r="Q140" s="402"/>
      <c r="R140" s="396"/>
      <c r="S140" s="396"/>
      <c r="T140" s="396"/>
    </row>
    <row r="141" ht="15.75" customHeight="1">
      <c r="A141" s="395"/>
      <c r="B141" s="396"/>
      <c r="C141" s="397"/>
      <c r="D141" s="398"/>
      <c r="E141" s="399"/>
      <c r="F141" s="396"/>
      <c r="G141" s="396"/>
      <c r="H141" s="396"/>
      <c r="I141" s="396"/>
      <c r="J141" s="396"/>
      <c r="K141" s="339"/>
      <c r="L141" s="400"/>
      <c r="M141" s="401"/>
      <c r="N141" s="401"/>
      <c r="O141" s="401"/>
      <c r="P141" s="401"/>
      <c r="Q141" s="402"/>
      <c r="R141" s="396"/>
      <c r="S141" s="396"/>
      <c r="T141" s="396"/>
    </row>
    <row r="142" ht="15.75" customHeight="1">
      <c r="A142" s="395"/>
      <c r="B142" s="396"/>
      <c r="C142" s="397"/>
      <c r="D142" s="398"/>
      <c r="E142" s="399"/>
      <c r="F142" s="396"/>
      <c r="G142" s="396"/>
      <c r="H142" s="396"/>
      <c r="I142" s="396"/>
      <c r="J142" s="396"/>
      <c r="K142" s="339"/>
      <c r="L142" s="400"/>
      <c r="M142" s="401"/>
      <c r="N142" s="401"/>
      <c r="O142" s="401"/>
      <c r="P142" s="401"/>
      <c r="Q142" s="402"/>
      <c r="R142" s="396"/>
      <c r="S142" s="396"/>
      <c r="T142" s="396"/>
    </row>
    <row r="143" ht="15.75" customHeight="1">
      <c r="A143" s="395"/>
      <c r="B143" s="396"/>
      <c r="C143" s="397"/>
      <c r="D143" s="398"/>
      <c r="E143" s="399"/>
      <c r="F143" s="396"/>
      <c r="G143" s="396"/>
      <c r="H143" s="396"/>
      <c r="I143" s="396"/>
      <c r="J143" s="396"/>
      <c r="K143" s="339"/>
      <c r="L143" s="400"/>
      <c r="M143" s="401"/>
      <c r="N143" s="401"/>
      <c r="O143" s="401"/>
      <c r="P143" s="401"/>
      <c r="Q143" s="402"/>
      <c r="R143" s="396"/>
      <c r="S143" s="396"/>
      <c r="T143" s="396"/>
    </row>
    <row r="144" ht="15.75" customHeight="1">
      <c r="A144" s="395"/>
      <c r="B144" s="396"/>
      <c r="C144" s="397"/>
      <c r="D144" s="398"/>
      <c r="E144" s="399"/>
      <c r="F144" s="396"/>
      <c r="G144" s="396"/>
      <c r="H144" s="396"/>
      <c r="I144" s="396"/>
      <c r="J144" s="396"/>
      <c r="K144" s="339"/>
      <c r="L144" s="400"/>
      <c r="M144" s="401"/>
      <c r="N144" s="401"/>
      <c r="O144" s="401"/>
      <c r="P144" s="401"/>
      <c r="Q144" s="402"/>
      <c r="R144" s="396"/>
      <c r="S144" s="396"/>
      <c r="T144" s="396"/>
    </row>
    <row r="145" ht="15.75" customHeight="1">
      <c r="A145" s="395"/>
      <c r="B145" s="396"/>
      <c r="C145" s="397"/>
      <c r="D145" s="398"/>
      <c r="E145" s="399"/>
      <c r="F145" s="396"/>
      <c r="G145" s="396"/>
      <c r="H145" s="396"/>
      <c r="I145" s="396"/>
      <c r="J145" s="396"/>
      <c r="K145" s="339"/>
      <c r="L145" s="400"/>
      <c r="M145" s="401"/>
      <c r="N145" s="401"/>
      <c r="O145" s="401"/>
      <c r="P145" s="401"/>
      <c r="Q145" s="402"/>
      <c r="R145" s="396"/>
      <c r="S145" s="396"/>
      <c r="T145" s="396"/>
    </row>
    <row r="146" ht="15.75" customHeight="1">
      <c r="A146" s="395"/>
      <c r="B146" s="396"/>
      <c r="C146" s="397"/>
      <c r="D146" s="398"/>
      <c r="E146" s="399"/>
      <c r="F146" s="396"/>
      <c r="G146" s="396"/>
      <c r="H146" s="396"/>
      <c r="I146" s="396"/>
      <c r="J146" s="396"/>
      <c r="K146" s="339"/>
      <c r="L146" s="400"/>
      <c r="M146" s="401"/>
      <c r="N146" s="401"/>
      <c r="O146" s="401"/>
      <c r="P146" s="401"/>
      <c r="Q146" s="402"/>
      <c r="R146" s="396"/>
      <c r="S146" s="396"/>
      <c r="T146" s="396"/>
    </row>
    <row r="147" ht="15.75" customHeight="1">
      <c r="A147" s="395"/>
      <c r="B147" s="396"/>
      <c r="C147" s="397"/>
      <c r="D147" s="398"/>
      <c r="E147" s="399"/>
      <c r="F147" s="396"/>
      <c r="G147" s="396"/>
      <c r="H147" s="396"/>
      <c r="I147" s="396"/>
      <c r="J147" s="396"/>
      <c r="K147" s="339"/>
      <c r="L147" s="400"/>
      <c r="M147" s="401"/>
      <c r="N147" s="401"/>
      <c r="O147" s="401"/>
      <c r="P147" s="401"/>
      <c r="Q147" s="402"/>
      <c r="R147" s="396"/>
      <c r="S147" s="396"/>
      <c r="T147" s="396"/>
    </row>
    <row r="148" ht="15.75" customHeight="1">
      <c r="A148" s="395"/>
      <c r="B148" s="396"/>
      <c r="C148" s="397"/>
      <c r="D148" s="398"/>
      <c r="E148" s="399"/>
      <c r="F148" s="396"/>
      <c r="G148" s="396"/>
      <c r="H148" s="396"/>
      <c r="I148" s="396"/>
      <c r="J148" s="396"/>
      <c r="K148" s="339"/>
      <c r="L148" s="400"/>
      <c r="M148" s="401"/>
      <c r="N148" s="401"/>
      <c r="O148" s="401"/>
      <c r="P148" s="401"/>
      <c r="Q148" s="402"/>
      <c r="R148" s="396"/>
      <c r="S148" s="396"/>
      <c r="T148" s="396"/>
    </row>
    <row r="149" ht="15.75" customHeight="1">
      <c r="A149" s="395"/>
      <c r="B149" s="396"/>
      <c r="C149" s="397"/>
      <c r="D149" s="398"/>
      <c r="E149" s="399"/>
      <c r="F149" s="396"/>
      <c r="G149" s="396"/>
      <c r="H149" s="396"/>
      <c r="I149" s="396"/>
      <c r="J149" s="396"/>
      <c r="K149" s="339"/>
      <c r="L149" s="400"/>
      <c r="M149" s="401"/>
      <c r="N149" s="401"/>
      <c r="O149" s="401"/>
      <c r="P149" s="401"/>
      <c r="Q149" s="402"/>
      <c r="R149" s="396"/>
      <c r="S149" s="396"/>
      <c r="T149" s="396"/>
    </row>
    <row r="150" ht="15.75" customHeight="1">
      <c r="A150" s="395"/>
      <c r="B150" s="396"/>
      <c r="C150" s="397"/>
      <c r="D150" s="398"/>
      <c r="E150" s="399"/>
      <c r="F150" s="396"/>
      <c r="G150" s="396"/>
      <c r="H150" s="396"/>
      <c r="I150" s="396"/>
      <c r="J150" s="396"/>
      <c r="K150" s="339"/>
      <c r="L150" s="400"/>
      <c r="M150" s="401"/>
      <c r="N150" s="401"/>
      <c r="O150" s="401"/>
      <c r="P150" s="401"/>
      <c r="Q150" s="402"/>
      <c r="R150" s="396"/>
      <c r="S150" s="396"/>
      <c r="T150" s="396"/>
    </row>
    <row r="151" ht="15.75" customHeight="1">
      <c r="A151" s="395"/>
      <c r="B151" s="396"/>
      <c r="C151" s="397"/>
      <c r="D151" s="398"/>
      <c r="E151" s="399"/>
      <c r="F151" s="396"/>
      <c r="G151" s="396"/>
      <c r="H151" s="396"/>
      <c r="I151" s="396"/>
      <c r="J151" s="396"/>
      <c r="K151" s="339"/>
      <c r="L151" s="400"/>
      <c r="M151" s="401"/>
      <c r="N151" s="401"/>
      <c r="O151" s="401"/>
      <c r="P151" s="401"/>
      <c r="Q151" s="402"/>
      <c r="R151" s="396"/>
      <c r="S151" s="396"/>
      <c r="T151" s="396"/>
    </row>
    <row r="152" ht="15.75" customHeight="1">
      <c r="A152" s="395"/>
      <c r="B152" s="396"/>
      <c r="C152" s="397"/>
      <c r="D152" s="398"/>
      <c r="E152" s="399"/>
      <c r="F152" s="396"/>
      <c r="G152" s="396"/>
      <c r="H152" s="396"/>
      <c r="I152" s="396"/>
      <c r="J152" s="396"/>
      <c r="K152" s="339"/>
      <c r="L152" s="400"/>
      <c r="M152" s="401"/>
      <c r="N152" s="401"/>
      <c r="O152" s="401"/>
      <c r="P152" s="401"/>
      <c r="Q152" s="402"/>
      <c r="R152" s="396"/>
      <c r="S152" s="396"/>
      <c r="T152" s="396"/>
    </row>
    <row r="153" ht="15.75" customHeight="1">
      <c r="A153" s="395"/>
      <c r="B153" s="396"/>
      <c r="C153" s="397"/>
      <c r="D153" s="398"/>
      <c r="E153" s="399"/>
      <c r="F153" s="396"/>
      <c r="G153" s="396"/>
      <c r="H153" s="396"/>
      <c r="I153" s="396"/>
      <c r="J153" s="396"/>
      <c r="K153" s="339"/>
      <c r="L153" s="400"/>
      <c r="M153" s="401"/>
      <c r="N153" s="401"/>
      <c r="O153" s="401"/>
      <c r="P153" s="401"/>
      <c r="Q153" s="402"/>
      <c r="R153" s="396"/>
      <c r="S153" s="396"/>
      <c r="T153" s="396"/>
    </row>
    <row r="154" ht="15.75" customHeight="1">
      <c r="A154" s="395"/>
      <c r="B154" s="396"/>
      <c r="C154" s="397"/>
      <c r="D154" s="398"/>
      <c r="E154" s="399"/>
      <c r="F154" s="396"/>
      <c r="G154" s="396"/>
      <c r="H154" s="396"/>
      <c r="I154" s="396"/>
      <c r="J154" s="396"/>
      <c r="K154" s="339"/>
      <c r="L154" s="400"/>
      <c r="M154" s="401"/>
      <c r="N154" s="401"/>
      <c r="O154" s="401"/>
      <c r="P154" s="401"/>
      <c r="Q154" s="402"/>
      <c r="R154" s="396"/>
      <c r="S154" s="396"/>
      <c r="T154" s="396"/>
    </row>
    <row r="155" ht="15.75" customHeight="1">
      <c r="A155" s="395"/>
      <c r="B155" s="396"/>
      <c r="C155" s="397"/>
      <c r="D155" s="398"/>
      <c r="E155" s="399"/>
      <c r="F155" s="396"/>
      <c r="G155" s="396"/>
      <c r="H155" s="396"/>
      <c r="I155" s="396"/>
      <c r="J155" s="396"/>
      <c r="K155" s="339"/>
      <c r="L155" s="400"/>
      <c r="M155" s="401"/>
      <c r="N155" s="401"/>
      <c r="O155" s="401"/>
      <c r="P155" s="401"/>
      <c r="Q155" s="402"/>
      <c r="R155" s="396"/>
      <c r="S155" s="396"/>
      <c r="T155" s="396"/>
    </row>
    <row r="156" ht="15.75" customHeight="1">
      <c r="A156" s="395"/>
      <c r="B156" s="396"/>
      <c r="C156" s="397"/>
      <c r="D156" s="398"/>
      <c r="E156" s="399"/>
      <c r="F156" s="396"/>
      <c r="G156" s="396"/>
      <c r="H156" s="396"/>
      <c r="I156" s="396"/>
      <c r="J156" s="396"/>
      <c r="K156" s="339"/>
      <c r="L156" s="400"/>
      <c r="M156" s="401"/>
      <c r="N156" s="401"/>
      <c r="O156" s="401"/>
      <c r="P156" s="401"/>
      <c r="Q156" s="402"/>
      <c r="R156" s="396"/>
      <c r="S156" s="396"/>
      <c r="T156" s="396"/>
    </row>
    <row r="157" ht="15.75" customHeight="1">
      <c r="A157" s="395"/>
      <c r="B157" s="396"/>
      <c r="C157" s="397"/>
      <c r="D157" s="398"/>
      <c r="E157" s="399"/>
      <c r="F157" s="396"/>
      <c r="G157" s="396"/>
      <c r="H157" s="396"/>
      <c r="I157" s="396"/>
      <c r="J157" s="396"/>
      <c r="K157" s="339"/>
      <c r="L157" s="400"/>
      <c r="M157" s="401"/>
      <c r="N157" s="401"/>
      <c r="O157" s="401"/>
      <c r="P157" s="401"/>
      <c r="Q157" s="402"/>
      <c r="R157" s="396"/>
      <c r="S157" s="396"/>
      <c r="T157" s="396"/>
    </row>
    <row r="158" ht="15.75" customHeight="1">
      <c r="A158" s="395"/>
      <c r="B158" s="396"/>
      <c r="C158" s="397"/>
      <c r="D158" s="398"/>
      <c r="E158" s="399"/>
      <c r="F158" s="396"/>
      <c r="G158" s="396"/>
      <c r="H158" s="396"/>
      <c r="I158" s="396"/>
      <c r="J158" s="396"/>
      <c r="K158" s="339"/>
      <c r="L158" s="400"/>
      <c r="M158" s="401"/>
      <c r="N158" s="401"/>
      <c r="O158" s="401"/>
      <c r="P158" s="401"/>
      <c r="Q158" s="402"/>
      <c r="R158" s="396"/>
      <c r="S158" s="396"/>
      <c r="T158" s="396"/>
    </row>
    <row r="159" ht="15.75" customHeight="1">
      <c r="A159" s="395"/>
      <c r="B159" s="396"/>
      <c r="C159" s="397"/>
      <c r="D159" s="398"/>
      <c r="E159" s="399"/>
      <c r="F159" s="396"/>
      <c r="G159" s="396"/>
      <c r="H159" s="396"/>
      <c r="I159" s="396"/>
      <c r="J159" s="396"/>
      <c r="K159" s="339"/>
      <c r="L159" s="400"/>
      <c r="M159" s="401"/>
      <c r="N159" s="401"/>
      <c r="O159" s="401"/>
      <c r="P159" s="401"/>
      <c r="Q159" s="402"/>
      <c r="R159" s="396"/>
      <c r="S159" s="396"/>
      <c r="T159" s="396"/>
    </row>
    <row r="160" ht="15.75" customHeight="1">
      <c r="A160" s="395"/>
      <c r="B160" s="396"/>
      <c r="C160" s="397"/>
      <c r="D160" s="398"/>
      <c r="E160" s="399"/>
      <c r="F160" s="396"/>
      <c r="G160" s="396"/>
      <c r="H160" s="396"/>
      <c r="I160" s="396"/>
      <c r="J160" s="396"/>
      <c r="K160" s="339"/>
      <c r="L160" s="400"/>
      <c r="M160" s="401"/>
      <c r="N160" s="401"/>
      <c r="O160" s="401"/>
      <c r="P160" s="401"/>
      <c r="Q160" s="402"/>
      <c r="R160" s="396"/>
      <c r="S160" s="396"/>
      <c r="T160" s="396"/>
    </row>
    <row r="161" ht="15.75" customHeight="1">
      <c r="A161" s="395"/>
      <c r="B161" s="396"/>
      <c r="C161" s="397"/>
      <c r="D161" s="398"/>
      <c r="E161" s="399"/>
      <c r="F161" s="396"/>
      <c r="G161" s="396"/>
      <c r="H161" s="396"/>
      <c r="I161" s="396"/>
      <c r="J161" s="396"/>
      <c r="K161" s="339"/>
      <c r="L161" s="400"/>
      <c r="M161" s="401"/>
      <c r="N161" s="401"/>
      <c r="O161" s="401"/>
      <c r="P161" s="401"/>
      <c r="Q161" s="402"/>
      <c r="R161" s="396"/>
      <c r="S161" s="396"/>
      <c r="T161" s="396"/>
    </row>
    <row r="162" ht="15.75" customHeight="1">
      <c r="A162" s="395"/>
      <c r="B162" s="396"/>
      <c r="C162" s="397"/>
      <c r="D162" s="398"/>
      <c r="E162" s="399"/>
      <c r="F162" s="396"/>
      <c r="G162" s="396"/>
      <c r="H162" s="396"/>
      <c r="I162" s="396"/>
      <c r="J162" s="396"/>
      <c r="K162" s="339"/>
      <c r="L162" s="400"/>
      <c r="M162" s="401"/>
      <c r="N162" s="401"/>
      <c r="O162" s="401"/>
      <c r="P162" s="401"/>
      <c r="Q162" s="402"/>
      <c r="R162" s="396"/>
      <c r="S162" s="396"/>
      <c r="T162" s="396"/>
    </row>
    <row r="163" ht="15.75" customHeight="1">
      <c r="A163" s="395"/>
      <c r="B163" s="396"/>
      <c r="C163" s="397"/>
      <c r="D163" s="398"/>
      <c r="E163" s="399"/>
      <c r="F163" s="396"/>
      <c r="G163" s="396"/>
      <c r="H163" s="396"/>
      <c r="I163" s="396"/>
      <c r="J163" s="396"/>
      <c r="K163" s="339"/>
      <c r="L163" s="400"/>
      <c r="M163" s="401"/>
      <c r="N163" s="401"/>
      <c r="O163" s="401"/>
      <c r="P163" s="401"/>
      <c r="Q163" s="402"/>
      <c r="R163" s="396"/>
      <c r="S163" s="396"/>
      <c r="T163" s="396"/>
    </row>
    <row r="164" ht="15.75" customHeight="1">
      <c r="A164" s="395"/>
      <c r="B164" s="396"/>
      <c r="C164" s="397"/>
      <c r="D164" s="398"/>
      <c r="E164" s="399"/>
      <c r="F164" s="396"/>
      <c r="G164" s="396"/>
      <c r="H164" s="396"/>
      <c r="I164" s="396"/>
      <c r="J164" s="396"/>
      <c r="K164" s="339"/>
      <c r="L164" s="400"/>
      <c r="M164" s="401"/>
      <c r="N164" s="401"/>
      <c r="O164" s="401"/>
      <c r="P164" s="401"/>
      <c r="Q164" s="402"/>
      <c r="R164" s="396"/>
      <c r="S164" s="396"/>
      <c r="T164" s="396"/>
    </row>
    <row r="165" ht="15.75" customHeight="1">
      <c r="A165" s="395"/>
      <c r="B165" s="396"/>
      <c r="C165" s="397"/>
      <c r="D165" s="398"/>
      <c r="E165" s="399"/>
      <c r="F165" s="396"/>
      <c r="G165" s="396"/>
      <c r="H165" s="396"/>
      <c r="I165" s="396"/>
      <c r="J165" s="396"/>
      <c r="K165" s="339"/>
      <c r="L165" s="400"/>
      <c r="M165" s="401"/>
      <c r="N165" s="401"/>
      <c r="O165" s="401"/>
      <c r="P165" s="401"/>
      <c r="Q165" s="402"/>
      <c r="R165" s="396"/>
      <c r="S165" s="396"/>
      <c r="T165" s="396"/>
    </row>
    <row r="166" ht="15.75" customHeight="1">
      <c r="A166" s="395"/>
      <c r="B166" s="396"/>
      <c r="C166" s="397"/>
      <c r="D166" s="398"/>
      <c r="E166" s="399"/>
      <c r="F166" s="396"/>
      <c r="G166" s="396"/>
      <c r="H166" s="396"/>
      <c r="I166" s="396"/>
      <c r="J166" s="396"/>
      <c r="K166" s="339"/>
      <c r="L166" s="400"/>
      <c r="M166" s="401"/>
      <c r="N166" s="401"/>
      <c r="O166" s="401"/>
      <c r="P166" s="401"/>
      <c r="Q166" s="402"/>
      <c r="R166" s="396"/>
      <c r="S166" s="396"/>
      <c r="T166" s="396"/>
    </row>
    <row r="167" ht="15.75" customHeight="1">
      <c r="A167" s="395"/>
      <c r="B167" s="396"/>
      <c r="C167" s="397"/>
      <c r="D167" s="398"/>
      <c r="E167" s="399"/>
      <c r="F167" s="396"/>
      <c r="G167" s="396"/>
      <c r="H167" s="396"/>
      <c r="I167" s="396"/>
      <c r="J167" s="396"/>
      <c r="K167" s="339"/>
      <c r="L167" s="400"/>
      <c r="M167" s="401"/>
      <c r="N167" s="401"/>
      <c r="O167" s="401"/>
      <c r="P167" s="401"/>
      <c r="Q167" s="402"/>
      <c r="R167" s="396"/>
      <c r="S167" s="396"/>
      <c r="T167" s="396"/>
    </row>
    <row r="168" ht="15.75" customHeight="1">
      <c r="A168" s="395"/>
      <c r="B168" s="396"/>
      <c r="C168" s="397"/>
      <c r="D168" s="398"/>
      <c r="E168" s="399"/>
      <c r="F168" s="396"/>
      <c r="G168" s="396"/>
      <c r="H168" s="396"/>
      <c r="I168" s="396"/>
      <c r="J168" s="396"/>
      <c r="K168" s="339"/>
      <c r="L168" s="400"/>
      <c r="M168" s="401"/>
      <c r="N168" s="401"/>
      <c r="O168" s="401"/>
      <c r="P168" s="401"/>
      <c r="Q168" s="402"/>
      <c r="R168" s="396"/>
      <c r="S168" s="396"/>
      <c r="T168" s="396"/>
    </row>
    <row r="169" ht="15.75" customHeight="1">
      <c r="A169" s="395"/>
      <c r="B169" s="396"/>
      <c r="C169" s="397"/>
      <c r="D169" s="398"/>
      <c r="E169" s="399"/>
      <c r="F169" s="396"/>
      <c r="G169" s="396"/>
      <c r="H169" s="396"/>
      <c r="I169" s="396"/>
      <c r="J169" s="396"/>
      <c r="K169" s="339"/>
      <c r="L169" s="400"/>
      <c r="M169" s="401"/>
      <c r="N169" s="401"/>
      <c r="O169" s="401"/>
      <c r="P169" s="401"/>
      <c r="Q169" s="402"/>
      <c r="R169" s="396"/>
      <c r="S169" s="396"/>
      <c r="T169" s="396"/>
    </row>
    <row r="170" ht="15.75" customHeight="1">
      <c r="A170" s="395"/>
      <c r="B170" s="396"/>
      <c r="C170" s="397"/>
      <c r="D170" s="398"/>
      <c r="E170" s="399"/>
      <c r="F170" s="396"/>
      <c r="G170" s="396"/>
      <c r="H170" s="396"/>
      <c r="I170" s="396"/>
      <c r="J170" s="396"/>
      <c r="K170" s="339"/>
      <c r="L170" s="400"/>
      <c r="M170" s="401"/>
      <c r="N170" s="401"/>
      <c r="O170" s="401"/>
      <c r="P170" s="401"/>
      <c r="Q170" s="402"/>
      <c r="R170" s="396"/>
      <c r="S170" s="396"/>
      <c r="T170" s="396"/>
    </row>
    <row r="171" ht="15.75" customHeight="1">
      <c r="A171" s="395"/>
      <c r="B171" s="396"/>
      <c r="C171" s="397"/>
      <c r="D171" s="398"/>
      <c r="E171" s="399"/>
      <c r="F171" s="396"/>
      <c r="G171" s="396"/>
      <c r="H171" s="396"/>
      <c r="I171" s="396"/>
      <c r="J171" s="396"/>
      <c r="K171" s="339"/>
      <c r="L171" s="400"/>
      <c r="M171" s="401"/>
      <c r="N171" s="401"/>
      <c r="O171" s="401"/>
      <c r="P171" s="401"/>
      <c r="Q171" s="402"/>
      <c r="R171" s="396"/>
      <c r="S171" s="396"/>
      <c r="T171" s="396"/>
    </row>
    <row r="172" ht="15.75" customHeight="1">
      <c r="A172" s="395"/>
      <c r="B172" s="396"/>
      <c r="C172" s="397"/>
      <c r="D172" s="398"/>
      <c r="E172" s="399"/>
      <c r="F172" s="396"/>
      <c r="G172" s="396"/>
      <c r="H172" s="396"/>
      <c r="I172" s="396"/>
      <c r="J172" s="396"/>
      <c r="K172" s="339"/>
      <c r="L172" s="400"/>
      <c r="M172" s="401"/>
      <c r="N172" s="401"/>
      <c r="O172" s="401"/>
      <c r="P172" s="401"/>
      <c r="Q172" s="402"/>
      <c r="R172" s="396"/>
      <c r="S172" s="396"/>
      <c r="T172" s="396"/>
    </row>
    <row r="173" ht="15.75" customHeight="1">
      <c r="A173" s="395"/>
      <c r="B173" s="396"/>
      <c r="C173" s="397"/>
      <c r="D173" s="398"/>
      <c r="E173" s="399"/>
      <c r="F173" s="396"/>
      <c r="G173" s="396"/>
      <c r="H173" s="396"/>
      <c r="I173" s="396"/>
      <c r="J173" s="396"/>
      <c r="K173" s="339"/>
      <c r="L173" s="400"/>
      <c r="M173" s="401"/>
      <c r="N173" s="401"/>
      <c r="O173" s="401"/>
      <c r="P173" s="401"/>
      <c r="Q173" s="402"/>
      <c r="R173" s="396"/>
      <c r="S173" s="396"/>
      <c r="T173" s="396"/>
    </row>
    <row r="174" ht="15.75" customHeight="1">
      <c r="A174" s="395"/>
      <c r="B174" s="396"/>
      <c r="C174" s="397"/>
      <c r="D174" s="398"/>
      <c r="E174" s="399"/>
      <c r="F174" s="396"/>
      <c r="G174" s="396"/>
      <c r="H174" s="396"/>
      <c r="I174" s="396"/>
      <c r="J174" s="396"/>
      <c r="K174" s="339"/>
      <c r="L174" s="400"/>
      <c r="M174" s="401"/>
      <c r="N174" s="401"/>
      <c r="O174" s="401"/>
      <c r="P174" s="401"/>
      <c r="Q174" s="402"/>
      <c r="R174" s="396"/>
      <c r="S174" s="396"/>
      <c r="T174" s="396"/>
    </row>
    <row r="175" ht="15.75" customHeight="1">
      <c r="A175" s="395"/>
      <c r="B175" s="396"/>
      <c r="C175" s="397"/>
      <c r="D175" s="398"/>
      <c r="E175" s="399"/>
      <c r="F175" s="396"/>
      <c r="G175" s="396"/>
      <c r="H175" s="396"/>
      <c r="I175" s="396"/>
      <c r="J175" s="396"/>
      <c r="K175" s="339"/>
      <c r="L175" s="400"/>
      <c r="M175" s="401"/>
      <c r="N175" s="401"/>
      <c r="O175" s="401"/>
      <c r="P175" s="401"/>
      <c r="Q175" s="402"/>
      <c r="R175" s="396"/>
      <c r="S175" s="396"/>
      <c r="T175" s="396"/>
    </row>
    <row r="176" ht="15.75" customHeight="1">
      <c r="A176" s="395"/>
      <c r="B176" s="396"/>
      <c r="C176" s="397"/>
      <c r="D176" s="398"/>
      <c r="E176" s="399"/>
      <c r="F176" s="396"/>
      <c r="G176" s="396"/>
      <c r="H176" s="396"/>
      <c r="I176" s="396"/>
      <c r="J176" s="396"/>
      <c r="K176" s="339"/>
      <c r="L176" s="400"/>
      <c r="M176" s="401"/>
      <c r="N176" s="401"/>
      <c r="O176" s="401"/>
      <c r="P176" s="401"/>
      <c r="Q176" s="402"/>
      <c r="R176" s="396"/>
      <c r="S176" s="396"/>
      <c r="T176" s="396"/>
    </row>
    <row r="177" ht="15.75" customHeight="1">
      <c r="A177" s="395"/>
      <c r="B177" s="396"/>
      <c r="C177" s="397"/>
      <c r="D177" s="398"/>
      <c r="E177" s="399"/>
      <c r="F177" s="396"/>
      <c r="G177" s="396"/>
      <c r="H177" s="396"/>
      <c r="I177" s="396"/>
      <c r="J177" s="396"/>
      <c r="K177" s="339"/>
      <c r="L177" s="400"/>
      <c r="M177" s="401"/>
      <c r="N177" s="401"/>
      <c r="O177" s="401"/>
      <c r="P177" s="401"/>
      <c r="Q177" s="402"/>
      <c r="R177" s="396"/>
      <c r="S177" s="396"/>
      <c r="T177" s="396"/>
    </row>
    <row r="178" ht="15.75" customHeight="1">
      <c r="A178" s="395"/>
      <c r="B178" s="396"/>
      <c r="C178" s="397"/>
      <c r="D178" s="398"/>
      <c r="E178" s="399"/>
      <c r="F178" s="396"/>
      <c r="G178" s="396"/>
      <c r="H178" s="396"/>
      <c r="I178" s="396"/>
      <c r="J178" s="396"/>
      <c r="K178" s="339"/>
      <c r="L178" s="400"/>
      <c r="M178" s="401"/>
      <c r="N178" s="401"/>
      <c r="O178" s="401"/>
      <c r="P178" s="401"/>
      <c r="Q178" s="402"/>
      <c r="R178" s="396"/>
      <c r="S178" s="396"/>
      <c r="T178" s="396"/>
    </row>
    <row r="179" ht="15.75" customHeight="1">
      <c r="A179" s="395"/>
      <c r="B179" s="396"/>
      <c r="C179" s="397"/>
      <c r="D179" s="398"/>
      <c r="E179" s="399"/>
      <c r="F179" s="396"/>
      <c r="G179" s="396"/>
      <c r="H179" s="396"/>
      <c r="I179" s="396"/>
      <c r="J179" s="396"/>
      <c r="K179" s="339"/>
      <c r="L179" s="400"/>
      <c r="M179" s="401"/>
      <c r="N179" s="401"/>
      <c r="O179" s="401"/>
      <c r="P179" s="401"/>
      <c r="Q179" s="402"/>
      <c r="R179" s="396"/>
      <c r="S179" s="396"/>
      <c r="T179" s="396"/>
    </row>
    <row r="180" ht="15.75" customHeight="1">
      <c r="A180" s="395"/>
      <c r="B180" s="396"/>
      <c r="C180" s="397"/>
      <c r="D180" s="398"/>
      <c r="E180" s="399"/>
      <c r="F180" s="396"/>
      <c r="G180" s="396"/>
      <c r="H180" s="396"/>
      <c r="I180" s="396"/>
      <c r="J180" s="396"/>
      <c r="K180" s="339"/>
      <c r="L180" s="400"/>
      <c r="M180" s="401"/>
      <c r="N180" s="401"/>
      <c r="O180" s="401"/>
      <c r="P180" s="401"/>
      <c r="Q180" s="402"/>
      <c r="R180" s="396"/>
      <c r="S180" s="396"/>
      <c r="T180" s="396"/>
    </row>
    <row r="181" ht="15.75" customHeight="1">
      <c r="A181" s="395"/>
      <c r="B181" s="396"/>
      <c r="C181" s="397"/>
      <c r="D181" s="398"/>
      <c r="E181" s="399"/>
      <c r="F181" s="396"/>
      <c r="G181" s="396"/>
      <c r="H181" s="396"/>
      <c r="I181" s="396"/>
      <c r="J181" s="396"/>
      <c r="K181" s="339"/>
      <c r="L181" s="400"/>
      <c r="M181" s="401"/>
      <c r="N181" s="401"/>
      <c r="O181" s="401"/>
      <c r="P181" s="401"/>
      <c r="Q181" s="402"/>
      <c r="R181" s="396"/>
      <c r="S181" s="396"/>
      <c r="T181" s="396"/>
    </row>
    <row r="182" ht="15.75" customHeight="1">
      <c r="A182" s="395"/>
      <c r="B182" s="396"/>
      <c r="C182" s="397"/>
      <c r="D182" s="398"/>
      <c r="E182" s="399"/>
      <c r="F182" s="396"/>
      <c r="G182" s="396"/>
      <c r="H182" s="396"/>
      <c r="I182" s="396"/>
      <c r="J182" s="396"/>
      <c r="K182" s="339"/>
      <c r="L182" s="400"/>
      <c r="M182" s="401"/>
      <c r="N182" s="401"/>
      <c r="O182" s="401"/>
      <c r="P182" s="401"/>
      <c r="Q182" s="402"/>
      <c r="R182" s="396"/>
      <c r="S182" s="396"/>
      <c r="T182" s="396"/>
    </row>
    <row r="183" ht="15.75" customHeight="1">
      <c r="A183" s="395"/>
      <c r="B183" s="396"/>
      <c r="C183" s="397"/>
      <c r="D183" s="398"/>
      <c r="E183" s="399"/>
      <c r="F183" s="396"/>
      <c r="G183" s="396"/>
      <c r="H183" s="396"/>
      <c r="I183" s="396"/>
      <c r="J183" s="396"/>
      <c r="K183" s="339"/>
      <c r="L183" s="400"/>
      <c r="M183" s="401"/>
      <c r="N183" s="401"/>
      <c r="O183" s="401"/>
      <c r="P183" s="401"/>
      <c r="Q183" s="402"/>
      <c r="R183" s="396"/>
      <c r="S183" s="396"/>
      <c r="T183" s="396"/>
    </row>
    <row r="184" ht="15.75" customHeight="1">
      <c r="A184" s="395"/>
      <c r="B184" s="396"/>
      <c r="C184" s="397"/>
      <c r="D184" s="398"/>
      <c r="E184" s="399"/>
      <c r="F184" s="396"/>
      <c r="G184" s="396"/>
      <c r="H184" s="396"/>
      <c r="I184" s="396"/>
      <c r="J184" s="396"/>
      <c r="K184" s="339"/>
      <c r="L184" s="400"/>
      <c r="M184" s="401"/>
      <c r="N184" s="401"/>
      <c r="O184" s="401"/>
      <c r="P184" s="401"/>
      <c r="Q184" s="402"/>
      <c r="R184" s="396"/>
      <c r="S184" s="396"/>
      <c r="T184" s="396"/>
    </row>
    <row r="185" ht="15.75" customHeight="1">
      <c r="A185" s="395"/>
      <c r="B185" s="396"/>
      <c r="C185" s="397"/>
      <c r="D185" s="398"/>
      <c r="E185" s="399"/>
      <c r="F185" s="396"/>
      <c r="G185" s="396"/>
      <c r="H185" s="396"/>
      <c r="I185" s="396"/>
      <c r="J185" s="396"/>
      <c r="K185" s="339"/>
      <c r="L185" s="400"/>
      <c r="M185" s="401"/>
      <c r="N185" s="401"/>
      <c r="O185" s="401"/>
      <c r="P185" s="401"/>
      <c r="Q185" s="402"/>
      <c r="R185" s="396"/>
      <c r="S185" s="396"/>
      <c r="T185" s="396"/>
    </row>
    <row r="186" ht="15.75" customHeight="1">
      <c r="A186" s="395"/>
      <c r="B186" s="396"/>
      <c r="C186" s="397"/>
      <c r="D186" s="398"/>
      <c r="E186" s="399"/>
      <c r="F186" s="396"/>
      <c r="G186" s="396"/>
      <c r="H186" s="396"/>
      <c r="I186" s="396"/>
      <c r="J186" s="396"/>
      <c r="K186" s="339"/>
      <c r="L186" s="400"/>
      <c r="M186" s="401"/>
      <c r="N186" s="401"/>
      <c r="O186" s="401"/>
      <c r="P186" s="401"/>
      <c r="Q186" s="402"/>
      <c r="R186" s="396"/>
      <c r="S186" s="396"/>
      <c r="T186" s="396"/>
    </row>
    <row r="187" ht="15.75" customHeight="1">
      <c r="A187" s="395"/>
      <c r="B187" s="396"/>
      <c r="C187" s="397"/>
      <c r="D187" s="398"/>
      <c r="E187" s="399"/>
      <c r="F187" s="396"/>
      <c r="G187" s="396"/>
      <c r="H187" s="396"/>
      <c r="I187" s="396"/>
      <c r="J187" s="396"/>
      <c r="K187" s="339"/>
      <c r="L187" s="400"/>
      <c r="M187" s="401"/>
      <c r="N187" s="401"/>
      <c r="O187" s="401"/>
      <c r="P187" s="401"/>
      <c r="Q187" s="402"/>
      <c r="R187" s="396"/>
      <c r="S187" s="396"/>
      <c r="T187" s="396"/>
    </row>
    <row r="188" ht="15.75" customHeight="1">
      <c r="A188" s="395"/>
      <c r="B188" s="396"/>
      <c r="C188" s="397"/>
      <c r="D188" s="398"/>
      <c r="E188" s="399"/>
      <c r="F188" s="396"/>
      <c r="G188" s="396"/>
      <c r="H188" s="396"/>
      <c r="I188" s="396"/>
      <c r="J188" s="396"/>
      <c r="K188" s="339"/>
      <c r="L188" s="400"/>
      <c r="M188" s="401"/>
      <c r="N188" s="401"/>
      <c r="O188" s="401"/>
      <c r="P188" s="401"/>
      <c r="Q188" s="402"/>
      <c r="R188" s="396"/>
      <c r="S188" s="396"/>
      <c r="T188" s="396"/>
    </row>
    <row r="189" ht="15.75" customHeight="1">
      <c r="A189" s="395"/>
      <c r="B189" s="396"/>
      <c r="C189" s="397"/>
      <c r="D189" s="398"/>
      <c r="E189" s="399"/>
      <c r="F189" s="396"/>
      <c r="G189" s="396"/>
      <c r="H189" s="396"/>
      <c r="I189" s="396"/>
      <c r="J189" s="396"/>
      <c r="K189" s="339"/>
      <c r="L189" s="400"/>
      <c r="M189" s="401"/>
      <c r="N189" s="401"/>
      <c r="O189" s="401"/>
      <c r="P189" s="401"/>
      <c r="Q189" s="402"/>
      <c r="R189" s="396"/>
      <c r="S189" s="396"/>
      <c r="T189" s="396"/>
    </row>
    <row r="190" ht="15.75" customHeight="1">
      <c r="A190" s="395"/>
      <c r="B190" s="396"/>
      <c r="C190" s="397"/>
      <c r="D190" s="398"/>
      <c r="E190" s="399"/>
      <c r="F190" s="396"/>
      <c r="G190" s="396"/>
      <c r="H190" s="396"/>
      <c r="I190" s="396"/>
      <c r="J190" s="396"/>
      <c r="K190" s="339"/>
      <c r="L190" s="400"/>
      <c r="M190" s="401"/>
      <c r="N190" s="401"/>
      <c r="O190" s="401"/>
      <c r="P190" s="401"/>
      <c r="Q190" s="402"/>
      <c r="R190" s="396"/>
      <c r="S190" s="396"/>
      <c r="T190" s="396"/>
    </row>
    <row r="191" ht="15.75" customHeight="1">
      <c r="A191" s="395"/>
      <c r="B191" s="396"/>
      <c r="C191" s="397"/>
      <c r="D191" s="398"/>
      <c r="E191" s="399"/>
      <c r="F191" s="396"/>
      <c r="G191" s="396"/>
      <c r="H191" s="396"/>
      <c r="I191" s="396"/>
      <c r="J191" s="396"/>
      <c r="K191" s="339"/>
      <c r="L191" s="400"/>
      <c r="M191" s="401"/>
      <c r="N191" s="401"/>
      <c r="O191" s="401"/>
      <c r="P191" s="401"/>
      <c r="Q191" s="402"/>
      <c r="R191" s="396"/>
      <c r="S191" s="396"/>
      <c r="T191" s="396"/>
    </row>
    <row r="192" ht="15.75" customHeight="1">
      <c r="A192" s="395"/>
      <c r="B192" s="396"/>
      <c r="C192" s="397"/>
      <c r="D192" s="398"/>
      <c r="E192" s="399"/>
      <c r="F192" s="396"/>
      <c r="G192" s="396"/>
      <c r="H192" s="396"/>
      <c r="I192" s="396"/>
      <c r="J192" s="396"/>
      <c r="K192" s="339"/>
      <c r="L192" s="400"/>
      <c r="M192" s="401"/>
      <c r="N192" s="401"/>
      <c r="O192" s="401"/>
      <c r="P192" s="401"/>
      <c r="Q192" s="402"/>
      <c r="R192" s="396"/>
      <c r="S192" s="396"/>
      <c r="T192" s="396"/>
    </row>
    <row r="193" ht="15.75" customHeight="1">
      <c r="A193" s="395"/>
      <c r="B193" s="396"/>
      <c r="C193" s="397"/>
      <c r="D193" s="398"/>
      <c r="E193" s="399"/>
      <c r="F193" s="396"/>
      <c r="G193" s="396"/>
      <c r="H193" s="396"/>
      <c r="I193" s="396"/>
      <c r="J193" s="396"/>
      <c r="K193" s="339"/>
      <c r="L193" s="400"/>
      <c r="M193" s="401"/>
      <c r="N193" s="401"/>
      <c r="O193" s="401"/>
      <c r="P193" s="401"/>
      <c r="Q193" s="402"/>
      <c r="R193" s="396"/>
      <c r="S193" s="396"/>
      <c r="T193" s="396"/>
    </row>
    <row r="194" ht="15.75" customHeight="1">
      <c r="A194" s="395"/>
      <c r="B194" s="396"/>
      <c r="C194" s="397"/>
      <c r="D194" s="398"/>
      <c r="E194" s="399"/>
      <c r="F194" s="396"/>
      <c r="G194" s="396"/>
      <c r="H194" s="396"/>
      <c r="I194" s="396"/>
      <c r="J194" s="396"/>
      <c r="K194" s="339"/>
      <c r="L194" s="400"/>
      <c r="M194" s="401"/>
      <c r="N194" s="401"/>
      <c r="O194" s="401"/>
      <c r="P194" s="401"/>
      <c r="Q194" s="402"/>
      <c r="R194" s="396"/>
      <c r="S194" s="396"/>
      <c r="T194" s="396"/>
    </row>
    <row r="195" ht="15.75" customHeight="1">
      <c r="A195" s="395"/>
      <c r="B195" s="396"/>
      <c r="C195" s="397"/>
      <c r="D195" s="398"/>
      <c r="E195" s="399"/>
      <c r="F195" s="396"/>
      <c r="G195" s="396"/>
      <c r="H195" s="396"/>
      <c r="I195" s="396"/>
      <c r="J195" s="396"/>
      <c r="K195" s="339"/>
      <c r="L195" s="400"/>
      <c r="M195" s="401"/>
      <c r="N195" s="401"/>
      <c r="O195" s="401"/>
      <c r="P195" s="401"/>
      <c r="Q195" s="402"/>
      <c r="R195" s="396"/>
      <c r="S195" s="396"/>
      <c r="T195" s="396"/>
    </row>
    <row r="196" ht="15.75" customHeight="1">
      <c r="A196" s="395"/>
      <c r="B196" s="396"/>
      <c r="C196" s="397"/>
      <c r="D196" s="398"/>
      <c r="E196" s="399"/>
      <c r="F196" s="396"/>
      <c r="G196" s="396"/>
      <c r="H196" s="396"/>
      <c r="I196" s="396"/>
      <c r="J196" s="396"/>
      <c r="K196" s="339"/>
      <c r="L196" s="400"/>
      <c r="M196" s="401"/>
      <c r="N196" s="401"/>
      <c r="O196" s="401"/>
      <c r="P196" s="401"/>
      <c r="Q196" s="402"/>
      <c r="R196" s="396"/>
      <c r="S196" s="396"/>
      <c r="T196" s="396"/>
    </row>
    <row r="197" ht="15.75" customHeight="1">
      <c r="A197" s="395"/>
      <c r="B197" s="396"/>
      <c r="C197" s="397"/>
      <c r="D197" s="398"/>
      <c r="E197" s="399"/>
      <c r="F197" s="396"/>
      <c r="G197" s="396"/>
      <c r="H197" s="396"/>
      <c r="I197" s="396"/>
      <c r="J197" s="396"/>
      <c r="K197" s="339"/>
      <c r="L197" s="400"/>
      <c r="M197" s="401"/>
      <c r="N197" s="401"/>
      <c r="O197" s="401"/>
      <c r="P197" s="401"/>
      <c r="Q197" s="402"/>
      <c r="R197" s="396"/>
      <c r="S197" s="396"/>
      <c r="T197" s="396"/>
    </row>
    <row r="198" ht="15.75" customHeight="1">
      <c r="A198" s="395"/>
      <c r="B198" s="396"/>
      <c r="C198" s="397"/>
      <c r="D198" s="398"/>
      <c r="E198" s="399"/>
      <c r="F198" s="396"/>
      <c r="G198" s="396"/>
      <c r="H198" s="396"/>
      <c r="I198" s="396"/>
      <c r="J198" s="396"/>
      <c r="K198" s="339"/>
      <c r="L198" s="400"/>
      <c r="M198" s="401"/>
      <c r="N198" s="401"/>
      <c r="O198" s="401"/>
      <c r="P198" s="401"/>
      <c r="Q198" s="402"/>
      <c r="R198" s="396"/>
      <c r="S198" s="396"/>
      <c r="T198" s="396"/>
    </row>
    <row r="199" ht="15.75" customHeight="1">
      <c r="A199" s="395"/>
      <c r="B199" s="396"/>
      <c r="C199" s="397"/>
      <c r="D199" s="398"/>
      <c r="E199" s="399"/>
      <c r="F199" s="396"/>
      <c r="G199" s="396"/>
      <c r="H199" s="396"/>
      <c r="I199" s="396"/>
      <c r="J199" s="396"/>
      <c r="K199" s="339"/>
      <c r="L199" s="400"/>
      <c r="M199" s="401"/>
      <c r="N199" s="401"/>
      <c r="O199" s="401"/>
      <c r="P199" s="401"/>
      <c r="Q199" s="402"/>
      <c r="R199" s="396"/>
      <c r="S199" s="396"/>
      <c r="T199" s="396"/>
    </row>
    <row r="200" ht="15.75" customHeight="1">
      <c r="A200" s="395"/>
      <c r="B200" s="396"/>
      <c r="C200" s="397"/>
      <c r="D200" s="398"/>
      <c r="E200" s="399"/>
      <c r="F200" s="396"/>
      <c r="G200" s="396"/>
      <c r="H200" s="396"/>
      <c r="I200" s="396"/>
      <c r="J200" s="396"/>
      <c r="K200" s="339"/>
      <c r="L200" s="400"/>
      <c r="M200" s="401"/>
      <c r="N200" s="401"/>
      <c r="O200" s="401"/>
      <c r="P200" s="401"/>
      <c r="Q200" s="402"/>
      <c r="R200" s="396"/>
      <c r="S200" s="396"/>
      <c r="T200" s="396"/>
    </row>
    <row r="201" ht="15.75" customHeight="1">
      <c r="A201" s="395"/>
      <c r="B201" s="396"/>
      <c r="C201" s="397"/>
      <c r="D201" s="398"/>
      <c r="E201" s="399"/>
      <c r="F201" s="396"/>
      <c r="G201" s="396"/>
      <c r="H201" s="396"/>
      <c r="I201" s="396"/>
      <c r="J201" s="396"/>
      <c r="K201" s="339"/>
      <c r="L201" s="400"/>
      <c r="M201" s="401"/>
      <c r="N201" s="401"/>
      <c r="O201" s="401"/>
      <c r="P201" s="401"/>
      <c r="Q201" s="402"/>
      <c r="R201" s="396"/>
      <c r="S201" s="396"/>
      <c r="T201" s="396"/>
    </row>
    <row r="202" ht="15.75" customHeight="1">
      <c r="A202" s="395"/>
      <c r="B202" s="396"/>
      <c r="C202" s="397"/>
      <c r="D202" s="398"/>
      <c r="E202" s="399"/>
      <c r="F202" s="396"/>
      <c r="G202" s="396"/>
      <c r="H202" s="396"/>
      <c r="I202" s="396"/>
      <c r="J202" s="396"/>
      <c r="K202" s="339"/>
      <c r="L202" s="400"/>
      <c r="M202" s="401"/>
      <c r="N202" s="401"/>
      <c r="O202" s="401"/>
      <c r="P202" s="401"/>
      <c r="Q202" s="402"/>
      <c r="R202" s="396"/>
      <c r="S202" s="396"/>
      <c r="T202" s="396"/>
    </row>
    <row r="203" ht="15.75" customHeight="1">
      <c r="A203" s="395"/>
      <c r="B203" s="396"/>
      <c r="C203" s="397"/>
      <c r="D203" s="398"/>
      <c r="E203" s="399"/>
      <c r="F203" s="396"/>
      <c r="G203" s="396"/>
      <c r="H203" s="396"/>
      <c r="I203" s="396"/>
      <c r="J203" s="396"/>
      <c r="K203" s="339"/>
      <c r="L203" s="400"/>
      <c r="M203" s="401"/>
      <c r="N203" s="401"/>
      <c r="O203" s="401"/>
      <c r="P203" s="401"/>
      <c r="Q203" s="402"/>
      <c r="R203" s="396"/>
      <c r="S203" s="396"/>
      <c r="T203" s="396"/>
    </row>
    <row r="204" ht="15.75" customHeight="1">
      <c r="A204" s="395"/>
      <c r="B204" s="396"/>
      <c r="C204" s="397"/>
      <c r="D204" s="398"/>
      <c r="E204" s="399"/>
      <c r="F204" s="396"/>
      <c r="G204" s="396"/>
      <c r="H204" s="396"/>
      <c r="I204" s="396"/>
      <c r="J204" s="396"/>
      <c r="K204" s="339"/>
      <c r="L204" s="400"/>
      <c r="M204" s="401"/>
      <c r="N204" s="401"/>
      <c r="O204" s="401"/>
      <c r="P204" s="401"/>
      <c r="Q204" s="402"/>
      <c r="R204" s="396"/>
      <c r="S204" s="396"/>
      <c r="T204" s="396"/>
    </row>
    <row r="205" ht="15.75" customHeight="1">
      <c r="A205" s="395"/>
      <c r="B205" s="396"/>
      <c r="C205" s="397"/>
      <c r="D205" s="398"/>
      <c r="E205" s="399"/>
      <c r="F205" s="396"/>
      <c r="G205" s="396"/>
      <c r="H205" s="396"/>
      <c r="I205" s="396"/>
      <c r="J205" s="396"/>
      <c r="K205" s="339"/>
      <c r="L205" s="400"/>
      <c r="M205" s="401"/>
      <c r="N205" s="401"/>
      <c r="O205" s="401"/>
      <c r="P205" s="401"/>
      <c r="Q205" s="402"/>
      <c r="R205" s="396"/>
      <c r="S205" s="396"/>
      <c r="T205" s="396"/>
    </row>
    <row r="206" ht="15.75" customHeight="1">
      <c r="A206" s="395"/>
      <c r="B206" s="396"/>
      <c r="C206" s="397"/>
      <c r="D206" s="398"/>
      <c r="E206" s="399"/>
      <c r="F206" s="396"/>
      <c r="G206" s="396"/>
      <c r="H206" s="396"/>
      <c r="I206" s="396"/>
      <c r="J206" s="396"/>
      <c r="K206" s="339"/>
      <c r="L206" s="400"/>
      <c r="M206" s="401"/>
      <c r="N206" s="401"/>
      <c r="O206" s="401"/>
      <c r="P206" s="401"/>
      <c r="Q206" s="402"/>
      <c r="R206" s="396"/>
      <c r="S206" s="396"/>
      <c r="T206" s="396"/>
    </row>
    <row r="207" ht="15.75" customHeight="1">
      <c r="A207" s="395"/>
      <c r="B207" s="396"/>
      <c r="C207" s="397"/>
      <c r="D207" s="398"/>
      <c r="E207" s="399"/>
      <c r="F207" s="396"/>
      <c r="G207" s="396"/>
      <c r="H207" s="396"/>
      <c r="I207" s="396"/>
      <c r="J207" s="396"/>
      <c r="K207" s="339"/>
      <c r="L207" s="400"/>
      <c r="M207" s="401"/>
      <c r="N207" s="401"/>
      <c r="O207" s="401"/>
      <c r="P207" s="401"/>
      <c r="Q207" s="402"/>
      <c r="R207" s="396"/>
      <c r="S207" s="396"/>
      <c r="T207" s="396"/>
    </row>
    <row r="208" ht="15.75" customHeight="1">
      <c r="A208" s="395"/>
      <c r="B208" s="396"/>
      <c r="C208" s="397"/>
      <c r="D208" s="398"/>
      <c r="E208" s="399"/>
      <c r="F208" s="396"/>
      <c r="G208" s="396"/>
      <c r="H208" s="396"/>
      <c r="I208" s="396"/>
      <c r="J208" s="396"/>
      <c r="K208" s="339"/>
      <c r="L208" s="400"/>
      <c r="M208" s="401"/>
      <c r="N208" s="401"/>
      <c r="O208" s="401"/>
      <c r="P208" s="401"/>
      <c r="Q208" s="402"/>
      <c r="R208" s="396"/>
      <c r="S208" s="396"/>
      <c r="T208" s="396"/>
    </row>
    <row r="209" ht="15.75" customHeight="1">
      <c r="A209" s="395"/>
      <c r="B209" s="396"/>
      <c r="C209" s="397"/>
      <c r="D209" s="398"/>
      <c r="E209" s="399"/>
      <c r="F209" s="396"/>
      <c r="G209" s="396"/>
      <c r="H209" s="396"/>
      <c r="I209" s="396"/>
      <c r="J209" s="396"/>
      <c r="K209" s="339"/>
      <c r="L209" s="400"/>
      <c r="M209" s="401"/>
      <c r="N209" s="401"/>
      <c r="O209" s="401"/>
      <c r="P209" s="401"/>
      <c r="Q209" s="402"/>
      <c r="R209" s="396"/>
      <c r="S209" s="396"/>
      <c r="T209" s="396"/>
    </row>
    <row r="210" ht="15.75" customHeight="1">
      <c r="A210" s="395"/>
      <c r="B210" s="396"/>
      <c r="C210" s="397"/>
      <c r="D210" s="398"/>
      <c r="E210" s="399"/>
      <c r="F210" s="396"/>
      <c r="G210" s="396"/>
      <c r="H210" s="396"/>
      <c r="I210" s="396"/>
      <c r="J210" s="396"/>
      <c r="K210" s="339"/>
      <c r="L210" s="400"/>
      <c r="M210" s="401"/>
      <c r="N210" s="401"/>
      <c r="O210" s="401"/>
      <c r="P210" s="401"/>
      <c r="Q210" s="402"/>
      <c r="R210" s="396"/>
      <c r="S210" s="396"/>
      <c r="T210" s="396"/>
    </row>
    <row r="211" ht="15.75" customHeight="1">
      <c r="A211" s="395"/>
      <c r="B211" s="396"/>
      <c r="C211" s="397"/>
      <c r="D211" s="398"/>
      <c r="E211" s="399"/>
      <c r="F211" s="396"/>
      <c r="G211" s="396"/>
      <c r="H211" s="396"/>
      <c r="I211" s="396"/>
      <c r="J211" s="396"/>
      <c r="K211" s="339"/>
      <c r="L211" s="400"/>
      <c r="M211" s="401"/>
      <c r="N211" s="401"/>
      <c r="O211" s="401"/>
      <c r="P211" s="401"/>
      <c r="Q211" s="402"/>
      <c r="R211" s="396"/>
      <c r="S211" s="396"/>
      <c r="T211" s="396"/>
    </row>
    <row r="212" ht="15.75" customHeight="1">
      <c r="A212" s="395"/>
      <c r="B212" s="396"/>
      <c r="C212" s="397"/>
      <c r="D212" s="398"/>
      <c r="E212" s="399"/>
      <c r="F212" s="396"/>
      <c r="G212" s="396"/>
      <c r="H212" s="396"/>
      <c r="I212" s="396"/>
      <c r="J212" s="396"/>
      <c r="K212" s="339"/>
      <c r="L212" s="400"/>
      <c r="M212" s="401"/>
      <c r="N212" s="401"/>
      <c r="O212" s="401"/>
      <c r="P212" s="401"/>
      <c r="Q212" s="402"/>
      <c r="R212" s="396"/>
      <c r="S212" s="396"/>
      <c r="T212" s="396"/>
    </row>
    <row r="213" ht="15.75" customHeight="1">
      <c r="A213" s="395"/>
      <c r="B213" s="396"/>
      <c r="C213" s="397"/>
      <c r="D213" s="398"/>
      <c r="E213" s="399"/>
      <c r="F213" s="396"/>
      <c r="G213" s="396"/>
      <c r="H213" s="396"/>
      <c r="I213" s="396"/>
      <c r="J213" s="396"/>
      <c r="K213" s="339"/>
      <c r="L213" s="400"/>
      <c r="M213" s="401"/>
      <c r="N213" s="401"/>
      <c r="O213" s="401"/>
      <c r="P213" s="401"/>
      <c r="Q213" s="402"/>
      <c r="R213" s="396"/>
      <c r="S213" s="396"/>
      <c r="T213" s="396"/>
    </row>
    <row r="214" ht="15.75" customHeight="1">
      <c r="A214" s="395"/>
      <c r="B214" s="396"/>
      <c r="C214" s="397"/>
      <c r="D214" s="398"/>
      <c r="E214" s="399"/>
      <c r="F214" s="396"/>
      <c r="G214" s="396"/>
      <c r="H214" s="396"/>
      <c r="I214" s="396"/>
      <c r="J214" s="396"/>
      <c r="K214" s="339"/>
      <c r="L214" s="400"/>
      <c r="M214" s="401"/>
      <c r="N214" s="401"/>
      <c r="O214" s="401"/>
      <c r="P214" s="401"/>
      <c r="Q214" s="402"/>
      <c r="R214" s="396"/>
      <c r="S214" s="396"/>
      <c r="T214" s="396"/>
    </row>
    <row r="215" ht="15.75" customHeight="1">
      <c r="A215" s="395"/>
      <c r="B215" s="396"/>
      <c r="C215" s="397"/>
      <c r="D215" s="398"/>
      <c r="E215" s="399"/>
      <c r="F215" s="396"/>
      <c r="G215" s="396"/>
      <c r="H215" s="396"/>
      <c r="I215" s="396"/>
      <c r="J215" s="396"/>
      <c r="K215" s="339"/>
      <c r="L215" s="400"/>
      <c r="M215" s="401"/>
      <c r="N215" s="401"/>
      <c r="O215" s="401"/>
      <c r="P215" s="401"/>
      <c r="Q215" s="402"/>
      <c r="R215" s="396"/>
      <c r="S215" s="396"/>
      <c r="T215" s="396"/>
    </row>
    <row r="216" ht="15.75" customHeight="1">
      <c r="A216" s="395"/>
      <c r="B216" s="396"/>
      <c r="C216" s="397"/>
      <c r="D216" s="398"/>
      <c r="E216" s="399"/>
      <c r="F216" s="396"/>
      <c r="G216" s="396"/>
      <c r="H216" s="396"/>
      <c r="I216" s="396"/>
      <c r="J216" s="396"/>
      <c r="K216" s="339"/>
      <c r="L216" s="400"/>
      <c r="M216" s="401"/>
      <c r="N216" s="401"/>
      <c r="O216" s="401"/>
      <c r="P216" s="401"/>
      <c r="Q216" s="402"/>
      <c r="R216" s="396"/>
      <c r="S216" s="396"/>
      <c r="T216" s="396"/>
    </row>
    <row r="217" ht="15.75" customHeight="1">
      <c r="A217" s="395"/>
      <c r="B217" s="396"/>
      <c r="C217" s="397"/>
      <c r="D217" s="398"/>
      <c r="E217" s="399"/>
      <c r="F217" s="396"/>
      <c r="G217" s="396"/>
      <c r="H217" s="396"/>
      <c r="I217" s="396"/>
      <c r="J217" s="396"/>
      <c r="K217" s="339"/>
      <c r="L217" s="400"/>
      <c r="M217" s="401"/>
      <c r="N217" s="401"/>
      <c r="O217" s="401"/>
      <c r="P217" s="401"/>
      <c r="Q217" s="402"/>
      <c r="R217" s="396"/>
      <c r="S217" s="396"/>
      <c r="T217" s="396"/>
    </row>
    <row r="218" ht="15.75" customHeight="1">
      <c r="A218" s="395"/>
      <c r="B218" s="396"/>
      <c r="C218" s="397"/>
      <c r="D218" s="398"/>
      <c r="E218" s="399"/>
      <c r="F218" s="396"/>
      <c r="G218" s="396"/>
      <c r="H218" s="396"/>
      <c r="I218" s="396"/>
      <c r="J218" s="396"/>
      <c r="K218" s="339"/>
      <c r="L218" s="400"/>
      <c r="M218" s="401"/>
      <c r="N218" s="401"/>
      <c r="O218" s="401"/>
      <c r="P218" s="401"/>
      <c r="Q218" s="402"/>
      <c r="R218" s="396"/>
      <c r="S218" s="396"/>
      <c r="T218" s="396"/>
    </row>
    <row r="219" ht="15.75" customHeight="1">
      <c r="A219" s="395"/>
      <c r="B219" s="396"/>
      <c r="C219" s="397"/>
      <c r="D219" s="398"/>
      <c r="E219" s="399"/>
      <c r="F219" s="396"/>
      <c r="G219" s="396"/>
      <c r="H219" s="396"/>
      <c r="I219" s="396"/>
      <c r="J219" s="396"/>
      <c r="K219" s="339"/>
      <c r="L219" s="400"/>
      <c r="M219" s="401"/>
      <c r="N219" s="401"/>
      <c r="O219" s="401"/>
      <c r="P219" s="401"/>
      <c r="Q219" s="402"/>
      <c r="R219" s="396"/>
      <c r="S219" s="396"/>
      <c r="T219" s="396"/>
    </row>
    <row r="220" ht="15.75" customHeight="1">
      <c r="A220" s="395"/>
      <c r="B220" s="396"/>
      <c r="C220" s="397"/>
      <c r="D220" s="398"/>
      <c r="E220" s="399"/>
      <c r="F220" s="396"/>
      <c r="G220" s="396"/>
      <c r="H220" s="396"/>
      <c r="I220" s="396"/>
      <c r="J220" s="396"/>
      <c r="K220" s="339"/>
      <c r="L220" s="400"/>
      <c r="M220" s="401"/>
      <c r="N220" s="401"/>
      <c r="O220" s="401"/>
      <c r="P220" s="401"/>
      <c r="Q220" s="402"/>
      <c r="R220" s="396"/>
      <c r="S220" s="396"/>
      <c r="T220" s="396"/>
    </row>
    <row r="221" ht="15.75" customHeight="1">
      <c r="A221" s="395"/>
      <c r="B221" s="396"/>
      <c r="C221" s="397"/>
      <c r="D221" s="398"/>
      <c r="E221" s="399"/>
      <c r="F221" s="396"/>
      <c r="G221" s="396"/>
      <c r="H221" s="396"/>
      <c r="I221" s="396"/>
      <c r="J221" s="396"/>
      <c r="K221" s="339"/>
      <c r="L221" s="400"/>
      <c r="M221" s="401"/>
      <c r="N221" s="401"/>
      <c r="O221" s="401"/>
      <c r="P221" s="401"/>
      <c r="Q221" s="402"/>
      <c r="R221" s="396"/>
      <c r="S221" s="396"/>
      <c r="T221" s="396"/>
    </row>
    <row r="222" ht="15.75" customHeight="1">
      <c r="A222" s="395"/>
      <c r="B222" s="396"/>
      <c r="C222" s="397"/>
      <c r="D222" s="398"/>
      <c r="E222" s="399"/>
      <c r="F222" s="396"/>
      <c r="G222" s="396"/>
      <c r="H222" s="396"/>
      <c r="I222" s="396"/>
      <c r="J222" s="396"/>
      <c r="K222" s="339"/>
      <c r="L222" s="400"/>
      <c r="M222" s="401"/>
      <c r="N222" s="401"/>
      <c r="O222" s="401"/>
      <c r="P222" s="401"/>
      <c r="Q222" s="402"/>
      <c r="R222" s="396"/>
      <c r="S222" s="396"/>
      <c r="T222" s="396"/>
    </row>
    <row r="223" ht="15.75" customHeight="1">
      <c r="A223" s="395"/>
      <c r="B223" s="396"/>
      <c r="C223" s="397"/>
      <c r="D223" s="398"/>
      <c r="E223" s="399"/>
      <c r="F223" s="396"/>
      <c r="G223" s="396"/>
      <c r="H223" s="396"/>
      <c r="I223" s="396"/>
      <c r="J223" s="396"/>
      <c r="K223" s="339"/>
      <c r="L223" s="400"/>
      <c r="M223" s="401"/>
      <c r="N223" s="401"/>
      <c r="O223" s="401"/>
      <c r="P223" s="401"/>
      <c r="Q223" s="402"/>
      <c r="R223" s="396"/>
      <c r="S223" s="396"/>
      <c r="T223" s="396"/>
    </row>
    <row r="224" ht="15.75" customHeight="1">
      <c r="A224" s="395"/>
      <c r="B224" s="396"/>
      <c r="C224" s="397"/>
      <c r="D224" s="398"/>
      <c r="E224" s="399"/>
      <c r="F224" s="396"/>
      <c r="G224" s="396"/>
      <c r="H224" s="396"/>
      <c r="I224" s="396"/>
      <c r="J224" s="396"/>
      <c r="K224" s="339"/>
      <c r="L224" s="400"/>
      <c r="M224" s="401"/>
      <c r="N224" s="401"/>
      <c r="O224" s="401"/>
      <c r="P224" s="401"/>
      <c r="Q224" s="402"/>
      <c r="R224" s="396"/>
      <c r="S224" s="396"/>
      <c r="T224" s="396"/>
    </row>
    <row r="225" ht="15.75" customHeight="1">
      <c r="A225" s="395"/>
      <c r="B225" s="396"/>
      <c r="C225" s="397"/>
      <c r="D225" s="398"/>
      <c r="E225" s="399"/>
      <c r="F225" s="396"/>
      <c r="G225" s="396"/>
      <c r="H225" s="396"/>
      <c r="I225" s="396"/>
      <c r="J225" s="396"/>
      <c r="K225" s="339"/>
      <c r="L225" s="400"/>
      <c r="M225" s="401"/>
      <c r="N225" s="401"/>
      <c r="O225" s="401"/>
      <c r="P225" s="401"/>
      <c r="Q225" s="402"/>
      <c r="R225" s="396"/>
      <c r="S225" s="396"/>
      <c r="T225" s="396"/>
    </row>
    <row r="226" ht="15.75" customHeight="1">
      <c r="A226" s="395"/>
      <c r="B226" s="396"/>
      <c r="C226" s="397"/>
      <c r="D226" s="398"/>
      <c r="E226" s="399"/>
      <c r="F226" s="396"/>
      <c r="G226" s="396"/>
      <c r="H226" s="396"/>
      <c r="I226" s="396"/>
      <c r="J226" s="396"/>
      <c r="K226" s="339"/>
      <c r="L226" s="400"/>
      <c r="M226" s="401"/>
      <c r="N226" s="401"/>
      <c r="O226" s="401"/>
      <c r="P226" s="401"/>
      <c r="Q226" s="402"/>
      <c r="R226" s="396"/>
      <c r="S226" s="396"/>
      <c r="T226" s="396"/>
    </row>
    <row r="227" ht="15.75" customHeight="1">
      <c r="A227" s="395"/>
      <c r="B227" s="396"/>
      <c r="C227" s="397"/>
      <c r="D227" s="398"/>
      <c r="E227" s="399"/>
      <c r="F227" s="396"/>
      <c r="G227" s="396"/>
      <c r="H227" s="396"/>
      <c r="I227" s="396"/>
      <c r="J227" s="396"/>
      <c r="K227" s="339"/>
      <c r="L227" s="400"/>
      <c r="M227" s="401"/>
      <c r="N227" s="401"/>
      <c r="O227" s="401"/>
      <c r="P227" s="401"/>
      <c r="Q227" s="402"/>
      <c r="R227" s="396"/>
      <c r="S227" s="396"/>
      <c r="T227" s="396"/>
    </row>
    <row r="228" ht="15.75" customHeight="1">
      <c r="A228" s="395"/>
      <c r="B228" s="396"/>
      <c r="C228" s="397"/>
      <c r="D228" s="398"/>
      <c r="E228" s="399"/>
      <c r="F228" s="396"/>
      <c r="G228" s="396"/>
      <c r="H228" s="396"/>
      <c r="I228" s="396"/>
      <c r="J228" s="396"/>
      <c r="K228" s="339"/>
      <c r="L228" s="400"/>
      <c r="M228" s="401"/>
      <c r="N228" s="401"/>
      <c r="O228" s="401"/>
      <c r="P228" s="401"/>
      <c r="Q228" s="402"/>
      <c r="R228" s="396"/>
      <c r="S228" s="396"/>
      <c r="T228" s="396"/>
    </row>
    <row r="229" ht="15.75" customHeight="1">
      <c r="A229" s="395"/>
      <c r="B229" s="396"/>
      <c r="C229" s="397"/>
      <c r="D229" s="398"/>
      <c r="E229" s="399"/>
      <c r="F229" s="396"/>
      <c r="G229" s="396"/>
      <c r="H229" s="396"/>
      <c r="I229" s="396"/>
      <c r="J229" s="396"/>
      <c r="K229" s="339"/>
      <c r="L229" s="400"/>
      <c r="M229" s="401"/>
      <c r="N229" s="401"/>
      <c r="O229" s="401"/>
      <c r="P229" s="401"/>
      <c r="Q229" s="402"/>
      <c r="R229" s="396"/>
      <c r="S229" s="396"/>
      <c r="T229" s="396"/>
    </row>
    <row r="230" ht="15.75" customHeight="1">
      <c r="A230" s="395"/>
      <c r="B230" s="396"/>
      <c r="C230" s="397"/>
      <c r="D230" s="398"/>
      <c r="E230" s="399"/>
      <c r="F230" s="396"/>
      <c r="G230" s="396"/>
      <c r="H230" s="396"/>
      <c r="I230" s="396"/>
      <c r="J230" s="396"/>
      <c r="K230" s="339"/>
      <c r="L230" s="400"/>
      <c r="M230" s="401"/>
      <c r="N230" s="401"/>
      <c r="O230" s="401"/>
      <c r="P230" s="401"/>
      <c r="Q230" s="402"/>
      <c r="R230" s="396"/>
      <c r="S230" s="396"/>
      <c r="T230" s="396"/>
    </row>
    <row r="231" ht="15.75" customHeight="1">
      <c r="A231" s="395"/>
      <c r="B231" s="396"/>
      <c r="C231" s="397"/>
      <c r="D231" s="398"/>
      <c r="E231" s="399"/>
      <c r="F231" s="396"/>
      <c r="G231" s="396"/>
      <c r="H231" s="396"/>
      <c r="I231" s="396"/>
      <c r="J231" s="396"/>
      <c r="K231" s="339"/>
      <c r="L231" s="400"/>
      <c r="M231" s="401"/>
      <c r="N231" s="401"/>
      <c r="O231" s="401"/>
      <c r="P231" s="401"/>
      <c r="Q231" s="402"/>
      <c r="R231" s="396"/>
      <c r="S231" s="396"/>
      <c r="T231" s="396"/>
    </row>
    <row r="232" ht="15.75" customHeight="1">
      <c r="A232" s="395"/>
      <c r="B232" s="396"/>
      <c r="C232" s="397"/>
      <c r="D232" s="398"/>
      <c r="E232" s="399"/>
      <c r="F232" s="396"/>
      <c r="G232" s="396"/>
      <c r="H232" s="396"/>
      <c r="I232" s="396"/>
      <c r="J232" s="396"/>
      <c r="K232" s="339"/>
      <c r="L232" s="400"/>
      <c r="M232" s="401"/>
      <c r="N232" s="401"/>
      <c r="O232" s="401"/>
      <c r="P232" s="401"/>
      <c r="Q232" s="402"/>
      <c r="R232" s="396"/>
      <c r="S232" s="396"/>
      <c r="T232" s="396"/>
    </row>
    <row r="233" ht="15.75" customHeight="1">
      <c r="A233" s="395"/>
      <c r="B233" s="396"/>
      <c r="C233" s="397"/>
      <c r="D233" s="398"/>
      <c r="E233" s="399"/>
      <c r="F233" s="396"/>
      <c r="G233" s="396"/>
      <c r="H233" s="396"/>
      <c r="I233" s="396"/>
      <c r="J233" s="396"/>
      <c r="K233" s="339"/>
      <c r="L233" s="400"/>
      <c r="M233" s="401"/>
      <c r="N233" s="401"/>
      <c r="O233" s="401"/>
      <c r="P233" s="401"/>
      <c r="Q233" s="402"/>
      <c r="R233" s="396"/>
      <c r="S233" s="396"/>
      <c r="T233" s="396"/>
    </row>
    <row r="234" ht="15.75" customHeight="1">
      <c r="A234" s="395"/>
      <c r="B234" s="396"/>
      <c r="C234" s="397"/>
      <c r="D234" s="398"/>
      <c r="E234" s="399"/>
      <c r="F234" s="396"/>
      <c r="G234" s="396"/>
      <c r="H234" s="396"/>
      <c r="I234" s="396"/>
      <c r="J234" s="396"/>
      <c r="K234" s="339"/>
      <c r="L234" s="400"/>
      <c r="M234" s="401"/>
      <c r="N234" s="401"/>
      <c r="O234" s="401"/>
      <c r="P234" s="401"/>
      <c r="Q234" s="402"/>
      <c r="R234" s="396"/>
      <c r="S234" s="396"/>
      <c r="T234" s="396"/>
    </row>
    <row r="235" ht="15.75" customHeight="1">
      <c r="A235" s="395"/>
      <c r="B235" s="396"/>
      <c r="C235" s="397"/>
      <c r="D235" s="398"/>
      <c r="E235" s="399"/>
      <c r="F235" s="396"/>
      <c r="G235" s="396"/>
      <c r="H235" s="396"/>
      <c r="I235" s="396"/>
      <c r="J235" s="396"/>
      <c r="K235" s="339"/>
      <c r="L235" s="400"/>
      <c r="M235" s="401"/>
      <c r="N235" s="401"/>
      <c r="O235" s="401"/>
      <c r="P235" s="401"/>
      <c r="Q235" s="402"/>
      <c r="R235" s="396"/>
      <c r="S235" s="396"/>
      <c r="T235" s="396"/>
    </row>
    <row r="236" ht="15.75" customHeight="1">
      <c r="A236" s="395"/>
      <c r="B236" s="396"/>
      <c r="C236" s="397"/>
      <c r="D236" s="398"/>
      <c r="E236" s="399"/>
      <c r="F236" s="396"/>
      <c r="G236" s="396"/>
      <c r="H236" s="396"/>
      <c r="I236" s="396"/>
      <c r="J236" s="396"/>
      <c r="K236" s="339"/>
      <c r="L236" s="400"/>
      <c r="M236" s="401"/>
      <c r="N236" s="401"/>
      <c r="O236" s="401"/>
      <c r="P236" s="401"/>
      <c r="Q236" s="402"/>
      <c r="R236" s="396"/>
      <c r="S236" s="396"/>
      <c r="T236" s="396"/>
    </row>
    <row r="237" ht="15.75" customHeight="1">
      <c r="A237" s="395"/>
      <c r="B237" s="396"/>
      <c r="C237" s="397"/>
      <c r="D237" s="398"/>
      <c r="E237" s="399"/>
      <c r="F237" s="396"/>
      <c r="G237" s="396"/>
      <c r="H237" s="396"/>
      <c r="I237" s="396"/>
      <c r="J237" s="396"/>
      <c r="K237" s="339"/>
      <c r="L237" s="400"/>
      <c r="M237" s="401"/>
      <c r="N237" s="401"/>
      <c r="O237" s="401"/>
      <c r="P237" s="401"/>
      <c r="Q237" s="402"/>
      <c r="R237" s="396"/>
      <c r="S237" s="396"/>
      <c r="T237" s="396"/>
    </row>
    <row r="238" ht="15.75" customHeight="1">
      <c r="A238" s="395"/>
      <c r="B238" s="396"/>
      <c r="C238" s="397"/>
      <c r="D238" s="398"/>
      <c r="E238" s="399"/>
      <c r="F238" s="396"/>
      <c r="G238" s="396"/>
      <c r="H238" s="396"/>
      <c r="I238" s="396"/>
      <c r="J238" s="396"/>
      <c r="K238" s="339"/>
      <c r="L238" s="400"/>
      <c r="M238" s="401"/>
      <c r="N238" s="401"/>
      <c r="O238" s="401"/>
      <c r="P238" s="401"/>
      <c r="Q238" s="402"/>
      <c r="R238" s="396"/>
      <c r="S238" s="396"/>
      <c r="T238" s="396"/>
    </row>
    <row r="239" ht="15.75" customHeight="1">
      <c r="A239" s="395"/>
      <c r="B239" s="396"/>
      <c r="C239" s="397"/>
      <c r="D239" s="398"/>
      <c r="E239" s="399"/>
      <c r="F239" s="396"/>
      <c r="G239" s="396"/>
      <c r="H239" s="396"/>
      <c r="I239" s="396"/>
      <c r="J239" s="396"/>
      <c r="K239" s="339"/>
      <c r="L239" s="400"/>
      <c r="M239" s="401"/>
      <c r="N239" s="401"/>
      <c r="O239" s="401"/>
      <c r="P239" s="401"/>
      <c r="Q239" s="402"/>
      <c r="R239" s="396"/>
      <c r="S239" s="396"/>
      <c r="T239" s="396"/>
    </row>
    <row r="240" ht="15.75" customHeight="1">
      <c r="A240" s="395"/>
      <c r="B240" s="396"/>
      <c r="C240" s="397"/>
      <c r="D240" s="398"/>
      <c r="E240" s="399"/>
      <c r="F240" s="396"/>
      <c r="G240" s="396"/>
      <c r="H240" s="396"/>
      <c r="I240" s="396"/>
      <c r="J240" s="396"/>
      <c r="K240" s="339"/>
      <c r="L240" s="400"/>
      <c r="M240" s="401"/>
      <c r="N240" s="401"/>
      <c r="O240" s="401"/>
      <c r="P240" s="401"/>
      <c r="Q240" s="402"/>
      <c r="R240" s="396"/>
      <c r="S240" s="396"/>
      <c r="T240" s="396"/>
    </row>
    <row r="241" ht="15.75" customHeight="1">
      <c r="A241" s="395"/>
      <c r="B241" s="396"/>
      <c r="C241" s="397"/>
      <c r="D241" s="398"/>
      <c r="E241" s="399"/>
      <c r="F241" s="396"/>
      <c r="G241" s="396"/>
      <c r="H241" s="396"/>
      <c r="I241" s="396"/>
      <c r="J241" s="396"/>
      <c r="K241" s="339"/>
      <c r="L241" s="400"/>
      <c r="M241" s="401"/>
      <c r="N241" s="401"/>
      <c r="O241" s="401"/>
      <c r="P241" s="401"/>
      <c r="Q241" s="402"/>
      <c r="R241" s="396"/>
      <c r="S241" s="396"/>
      <c r="T241" s="396"/>
    </row>
    <row r="242" ht="15.75" customHeight="1">
      <c r="A242" s="395"/>
      <c r="B242" s="396"/>
      <c r="C242" s="397"/>
      <c r="D242" s="398"/>
      <c r="E242" s="399"/>
      <c r="F242" s="396"/>
      <c r="G242" s="396"/>
      <c r="H242" s="396"/>
      <c r="I242" s="396"/>
      <c r="J242" s="396"/>
      <c r="K242" s="339"/>
      <c r="L242" s="400"/>
      <c r="M242" s="401"/>
      <c r="N242" s="401"/>
      <c r="O242" s="401"/>
      <c r="P242" s="401"/>
      <c r="Q242" s="402"/>
      <c r="R242" s="396"/>
      <c r="S242" s="396"/>
      <c r="T242" s="396"/>
    </row>
    <row r="243" ht="15.75" customHeight="1">
      <c r="A243" s="395"/>
      <c r="B243" s="396"/>
      <c r="C243" s="397"/>
      <c r="D243" s="398"/>
      <c r="E243" s="399"/>
      <c r="F243" s="396"/>
      <c r="G243" s="396"/>
      <c r="H243" s="396"/>
      <c r="I243" s="396"/>
      <c r="J243" s="396"/>
      <c r="K243" s="339"/>
      <c r="L243" s="400"/>
      <c r="M243" s="401"/>
      <c r="N243" s="401"/>
      <c r="O243" s="401"/>
      <c r="P243" s="401"/>
      <c r="Q243" s="402"/>
      <c r="R243" s="396"/>
      <c r="S243" s="396"/>
      <c r="T243" s="396"/>
    </row>
    <row r="244" ht="15.75" customHeight="1">
      <c r="A244" s="395"/>
      <c r="B244" s="396"/>
      <c r="C244" s="397"/>
      <c r="D244" s="398"/>
      <c r="E244" s="399"/>
      <c r="F244" s="396"/>
      <c r="G244" s="396"/>
      <c r="H244" s="396"/>
      <c r="I244" s="396"/>
      <c r="J244" s="396"/>
      <c r="K244" s="339"/>
      <c r="L244" s="400"/>
      <c r="M244" s="401"/>
      <c r="N244" s="401"/>
      <c r="O244" s="401"/>
      <c r="P244" s="401"/>
      <c r="Q244" s="402"/>
      <c r="R244" s="396"/>
      <c r="S244" s="396"/>
      <c r="T244" s="396"/>
    </row>
    <row r="245" ht="15.75" customHeight="1">
      <c r="A245" s="395"/>
      <c r="B245" s="396"/>
      <c r="C245" s="397"/>
      <c r="D245" s="398"/>
      <c r="E245" s="399"/>
      <c r="F245" s="396"/>
      <c r="G245" s="396"/>
      <c r="H245" s="396"/>
      <c r="I245" s="396"/>
      <c r="J245" s="396"/>
      <c r="K245" s="339"/>
      <c r="L245" s="400"/>
      <c r="M245" s="401"/>
      <c r="N245" s="401"/>
      <c r="O245" s="401"/>
      <c r="P245" s="401"/>
      <c r="Q245" s="402"/>
      <c r="R245" s="396"/>
      <c r="S245" s="396"/>
      <c r="T245" s="396"/>
    </row>
    <row r="246" ht="15.75" customHeight="1">
      <c r="A246" s="395"/>
      <c r="B246" s="396"/>
      <c r="C246" s="397"/>
      <c r="D246" s="398"/>
      <c r="E246" s="399"/>
      <c r="F246" s="396"/>
      <c r="G246" s="396"/>
      <c r="H246" s="396"/>
      <c r="I246" s="396"/>
      <c r="J246" s="396"/>
      <c r="K246" s="339"/>
      <c r="L246" s="400"/>
      <c r="M246" s="401"/>
      <c r="N246" s="401"/>
      <c r="O246" s="401"/>
      <c r="P246" s="401"/>
      <c r="Q246" s="402"/>
      <c r="R246" s="396"/>
      <c r="S246" s="396"/>
      <c r="T246" s="396"/>
    </row>
    <row r="247" ht="15.75" customHeight="1">
      <c r="A247" s="395"/>
      <c r="B247" s="396"/>
      <c r="C247" s="397"/>
      <c r="D247" s="398"/>
      <c r="E247" s="399"/>
      <c r="F247" s="396"/>
      <c r="G247" s="396"/>
      <c r="H247" s="396"/>
      <c r="I247" s="396"/>
      <c r="J247" s="396"/>
      <c r="K247" s="339"/>
      <c r="L247" s="400"/>
      <c r="M247" s="401"/>
      <c r="N247" s="401"/>
      <c r="O247" s="401"/>
      <c r="P247" s="401"/>
      <c r="Q247" s="402"/>
      <c r="R247" s="396"/>
      <c r="S247" s="396"/>
      <c r="T247" s="396"/>
    </row>
    <row r="248" ht="15.75" customHeight="1">
      <c r="A248" s="395"/>
      <c r="B248" s="396"/>
      <c r="C248" s="397"/>
      <c r="D248" s="398"/>
      <c r="E248" s="399"/>
      <c r="F248" s="396"/>
      <c r="G248" s="396"/>
      <c r="H248" s="396"/>
      <c r="I248" s="396"/>
      <c r="J248" s="396"/>
      <c r="K248" s="339"/>
      <c r="L248" s="400"/>
      <c r="M248" s="401"/>
      <c r="N248" s="401"/>
      <c r="O248" s="401"/>
      <c r="P248" s="401"/>
      <c r="Q248" s="402"/>
      <c r="R248" s="396"/>
      <c r="S248" s="396"/>
      <c r="T248" s="396"/>
    </row>
    <row r="249" ht="15.75" customHeight="1">
      <c r="A249" s="395"/>
      <c r="B249" s="396"/>
      <c r="C249" s="397"/>
      <c r="D249" s="398"/>
      <c r="E249" s="399"/>
      <c r="F249" s="396"/>
      <c r="G249" s="396"/>
      <c r="H249" s="396"/>
      <c r="I249" s="396"/>
      <c r="J249" s="396"/>
      <c r="K249" s="339"/>
      <c r="L249" s="400"/>
      <c r="M249" s="401"/>
      <c r="N249" s="401"/>
      <c r="O249" s="401"/>
      <c r="P249" s="401"/>
      <c r="Q249" s="402"/>
      <c r="R249" s="396"/>
      <c r="S249" s="396"/>
      <c r="T249" s="396"/>
    </row>
    <row r="250" ht="15.75" customHeight="1">
      <c r="A250" s="395"/>
      <c r="B250" s="396"/>
      <c r="C250" s="397"/>
      <c r="D250" s="398"/>
      <c r="E250" s="399"/>
      <c r="F250" s="396"/>
      <c r="G250" s="396"/>
      <c r="H250" s="396"/>
      <c r="I250" s="396"/>
      <c r="J250" s="396"/>
      <c r="K250" s="339"/>
      <c r="L250" s="400"/>
      <c r="M250" s="401"/>
      <c r="N250" s="401"/>
      <c r="O250" s="401"/>
      <c r="P250" s="401"/>
      <c r="Q250" s="402"/>
      <c r="R250" s="396"/>
      <c r="S250" s="396"/>
      <c r="T250" s="396"/>
    </row>
    <row r="251" ht="15.75" customHeight="1">
      <c r="A251" s="395"/>
      <c r="B251" s="396"/>
      <c r="C251" s="397"/>
      <c r="D251" s="398"/>
      <c r="E251" s="399"/>
      <c r="F251" s="396"/>
      <c r="G251" s="396"/>
      <c r="H251" s="396"/>
      <c r="I251" s="396"/>
      <c r="J251" s="396"/>
      <c r="K251" s="339"/>
      <c r="L251" s="400"/>
      <c r="M251" s="401"/>
      <c r="N251" s="401"/>
      <c r="O251" s="401"/>
      <c r="P251" s="401"/>
      <c r="Q251" s="402"/>
      <c r="R251" s="396"/>
      <c r="S251" s="396"/>
      <c r="T251" s="396"/>
    </row>
    <row r="252" ht="15.75" customHeight="1">
      <c r="A252" s="395"/>
      <c r="B252" s="396"/>
      <c r="C252" s="397"/>
      <c r="D252" s="398"/>
      <c r="E252" s="399"/>
      <c r="F252" s="396"/>
      <c r="G252" s="396"/>
      <c r="H252" s="396"/>
      <c r="I252" s="396"/>
      <c r="J252" s="396"/>
      <c r="K252" s="339"/>
      <c r="L252" s="400"/>
      <c r="M252" s="401"/>
      <c r="N252" s="401"/>
      <c r="O252" s="401"/>
      <c r="P252" s="401"/>
      <c r="Q252" s="402"/>
      <c r="R252" s="396"/>
      <c r="S252" s="396"/>
      <c r="T252" s="396"/>
    </row>
    <row r="253" ht="15.75" customHeight="1">
      <c r="A253" s="395"/>
      <c r="B253" s="396"/>
      <c r="C253" s="397"/>
      <c r="D253" s="398"/>
      <c r="E253" s="399"/>
      <c r="F253" s="396"/>
      <c r="G253" s="396"/>
      <c r="H253" s="396"/>
      <c r="I253" s="396"/>
      <c r="J253" s="396"/>
      <c r="K253" s="339"/>
      <c r="L253" s="400"/>
      <c r="M253" s="401"/>
      <c r="N253" s="401"/>
      <c r="O253" s="401"/>
      <c r="P253" s="401"/>
      <c r="Q253" s="402"/>
      <c r="R253" s="396"/>
      <c r="S253" s="396"/>
      <c r="T253" s="396"/>
    </row>
    <row r="254" ht="15.75" customHeight="1">
      <c r="A254" s="395"/>
      <c r="B254" s="396"/>
      <c r="C254" s="397"/>
      <c r="D254" s="398"/>
      <c r="E254" s="399"/>
      <c r="F254" s="396"/>
      <c r="G254" s="396"/>
      <c r="H254" s="396"/>
      <c r="I254" s="396"/>
      <c r="J254" s="396"/>
      <c r="K254" s="339"/>
      <c r="L254" s="400"/>
      <c r="M254" s="401"/>
      <c r="N254" s="401"/>
      <c r="O254" s="401"/>
      <c r="P254" s="401"/>
      <c r="Q254" s="402"/>
      <c r="R254" s="396"/>
      <c r="S254" s="396"/>
      <c r="T254" s="396"/>
    </row>
    <row r="255" ht="15.75" customHeight="1">
      <c r="A255" s="395"/>
      <c r="B255" s="396"/>
      <c r="C255" s="397"/>
      <c r="D255" s="398"/>
      <c r="E255" s="399"/>
      <c r="F255" s="396"/>
      <c r="G255" s="396"/>
      <c r="H255" s="396"/>
      <c r="I255" s="396"/>
      <c r="J255" s="396"/>
      <c r="K255" s="339"/>
      <c r="L255" s="400"/>
      <c r="M255" s="401"/>
      <c r="N255" s="401"/>
      <c r="O255" s="401"/>
      <c r="P255" s="401"/>
      <c r="Q255" s="402"/>
      <c r="R255" s="396"/>
      <c r="S255" s="396"/>
      <c r="T255" s="396"/>
    </row>
    <row r="256" ht="15.75" customHeight="1">
      <c r="A256" s="395"/>
      <c r="B256" s="396"/>
      <c r="C256" s="397"/>
      <c r="D256" s="398"/>
      <c r="E256" s="399"/>
      <c r="F256" s="396"/>
      <c r="G256" s="396"/>
      <c r="H256" s="396"/>
      <c r="I256" s="396"/>
      <c r="J256" s="396"/>
      <c r="K256" s="339"/>
      <c r="L256" s="400"/>
      <c r="M256" s="401"/>
      <c r="N256" s="401"/>
      <c r="O256" s="401"/>
      <c r="P256" s="401"/>
      <c r="Q256" s="402"/>
      <c r="R256" s="396"/>
      <c r="S256" s="396"/>
      <c r="T256" s="396"/>
    </row>
    <row r="257" ht="15.75" customHeight="1">
      <c r="A257" s="395"/>
      <c r="B257" s="396"/>
      <c r="C257" s="397"/>
      <c r="D257" s="398"/>
      <c r="E257" s="399"/>
      <c r="F257" s="396"/>
      <c r="G257" s="396"/>
      <c r="H257" s="396"/>
      <c r="I257" s="396"/>
      <c r="J257" s="396"/>
      <c r="K257" s="339"/>
      <c r="L257" s="400"/>
      <c r="M257" s="401"/>
      <c r="N257" s="401"/>
      <c r="O257" s="401"/>
      <c r="P257" s="401"/>
      <c r="Q257" s="402"/>
      <c r="R257" s="396"/>
      <c r="S257" s="396"/>
      <c r="T257" s="396"/>
    </row>
    <row r="258" ht="15.75" customHeight="1">
      <c r="A258" s="395"/>
      <c r="B258" s="396"/>
      <c r="C258" s="397"/>
      <c r="D258" s="398"/>
      <c r="E258" s="399"/>
      <c r="F258" s="396"/>
      <c r="G258" s="396"/>
      <c r="H258" s="396"/>
      <c r="I258" s="396"/>
      <c r="J258" s="396"/>
      <c r="K258" s="339"/>
      <c r="L258" s="400"/>
      <c r="M258" s="401"/>
      <c r="N258" s="401"/>
      <c r="O258" s="401"/>
      <c r="P258" s="401"/>
      <c r="Q258" s="402"/>
      <c r="R258" s="396"/>
      <c r="S258" s="396"/>
      <c r="T258" s="396"/>
    </row>
    <row r="259" ht="15.75" customHeight="1">
      <c r="A259" s="395"/>
      <c r="B259" s="396"/>
      <c r="C259" s="397"/>
      <c r="D259" s="398"/>
      <c r="E259" s="399"/>
      <c r="F259" s="396"/>
      <c r="G259" s="396"/>
      <c r="H259" s="396"/>
      <c r="I259" s="396"/>
      <c r="J259" s="396"/>
      <c r="K259" s="339"/>
      <c r="L259" s="400"/>
      <c r="M259" s="401"/>
      <c r="N259" s="401"/>
      <c r="O259" s="401"/>
      <c r="P259" s="401"/>
      <c r="Q259" s="402"/>
      <c r="R259" s="396"/>
      <c r="S259" s="396"/>
      <c r="T259" s="396"/>
    </row>
    <row r="260" ht="15.75" customHeight="1">
      <c r="A260" s="395"/>
      <c r="B260" s="396"/>
      <c r="C260" s="397"/>
      <c r="D260" s="398"/>
      <c r="E260" s="399"/>
      <c r="F260" s="396"/>
      <c r="G260" s="396"/>
      <c r="H260" s="396"/>
      <c r="I260" s="396"/>
      <c r="J260" s="396"/>
      <c r="K260" s="339"/>
      <c r="L260" s="400"/>
      <c r="M260" s="401"/>
      <c r="N260" s="401"/>
      <c r="O260" s="401"/>
      <c r="P260" s="401"/>
      <c r="Q260" s="402"/>
      <c r="R260" s="396"/>
      <c r="S260" s="396"/>
      <c r="T260" s="396"/>
    </row>
    <row r="261" ht="15.75" customHeight="1">
      <c r="A261" s="395"/>
      <c r="B261" s="396"/>
      <c r="C261" s="397"/>
      <c r="D261" s="398"/>
      <c r="E261" s="399"/>
      <c r="F261" s="396"/>
      <c r="G261" s="396"/>
      <c r="H261" s="396"/>
      <c r="I261" s="396"/>
      <c r="J261" s="396"/>
      <c r="K261" s="339"/>
      <c r="L261" s="400"/>
      <c r="M261" s="401"/>
      <c r="N261" s="401"/>
      <c r="O261" s="401"/>
      <c r="P261" s="401"/>
      <c r="Q261" s="402"/>
      <c r="R261" s="396"/>
      <c r="S261" s="396"/>
      <c r="T261" s="396"/>
    </row>
    <row r="262" ht="15.75" customHeight="1">
      <c r="A262" s="395"/>
      <c r="B262" s="396"/>
      <c r="C262" s="397"/>
      <c r="D262" s="398"/>
      <c r="E262" s="399"/>
      <c r="F262" s="396"/>
      <c r="G262" s="396"/>
      <c r="H262" s="396"/>
      <c r="I262" s="396"/>
      <c r="J262" s="396"/>
      <c r="K262" s="339"/>
      <c r="L262" s="400"/>
      <c r="M262" s="401"/>
      <c r="N262" s="401"/>
      <c r="O262" s="401"/>
      <c r="P262" s="401"/>
      <c r="Q262" s="402"/>
      <c r="R262" s="396"/>
      <c r="S262" s="396"/>
      <c r="T262" s="396"/>
    </row>
    <row r="263" ht="15.75" customHeight="1">
      <c r="A263" s="395"/>
      <c r="B263" s="396"/>
      <c r="C263" s="397"/>
      <c r="D263" s="398"/>
      <c r="E263" s="399"/>
      <c r="F263" s="396"/>
      <c r="G263" s="396"/>
      <c r="H263" s="396"/>
      <c r="I263" s="396"/>
      <c r="J263" s="396"/>
      <c r="K263" s="339"/>
      <c r="L263" s="400"/>
      <c r="M263" s="401"/>
      <c r="N263" s="401"/>
      <c r="O263" s="401"/>
      <c r="P263" s="401"/>
      <c r="Q263" s="402"/>
      <c r="R263" s="396"/>
      <c r="S263" s="396"/>
      <c r="T263" s="396"/>
    </row>
    <row r="264" ht="15.75" customHeight="1">
      <c r="A264" s="395"/>
      <c r="B264" s="396"/>
      <c r="C264" s="397"/>
      <c r="D264" s="398"/>
      <c r="E264" s="399"/>
      <c r="F264" s="396"/>
      <c r="G264" s="396"/>
      <c r="H264" s="396"/>
      <c r="I264" s="396"/>
      <c r="J264" s="396"/>
      <c r="K264" s="339"/>
      <c r="L264" s="400"/>
      <c r="M264" s="401"/>
      <c r="N264" s="401"/>
      <c r="O264" s="401"/>
      <c r="P264" s="401"/>
      <c r="Q264" s="402"/>
      <c r="R264" s="396"/>
      <c r="S264" s="396"/>
      <c r="T264" s="396"/>
    </row>
    <row r="265" ht="15.75" customHeight="1">
      <c r="A265" s="395"/>
      <c r="B265" s="396"/>
      <c r="C265" s="397"/>
      <c r="D265" s="398"/>
      <c r="E265" s="399"/>
      <c r="F265" s="396"/>
      <c r="G265" s="396"/>
      <c r="H265" s="396"/>
      <c r="I265" s="396"/>
      <c r="J265" s="396"/>
      <c r="K265" s="339"/>
      <c r="L265" s="400"/>
      <c r="M265" s="401"/>
      <c r="N265" s="401"/>
      <c r="O265" s="401"/>
      <c r="P265" s="401"/>
      <c r="Q265" s="402"/>
      <c r="R265" s="396"/>
      <c r="S265" s="396"/>
      <c r="T265" s="396"/>
    </row>
    <row r="266" ht="15.75" customHeight="1">
      <c r="A266" s="395"/>
      <c r="B266" s="396"/>
      <c r="C266" s="397"/>
      <c r="D266" s="398"/>
      <c r="E266" s="399"/>
      <c r="F266" s="396"/>
      <c r="G266" s="396"/>
      <c r="H266" s="396"/>
      <c r="I266" s="396"/>
      <c r="J266" s="396"/>
      <c r="K266" s="339"/>
      <c r="L266" s="400"/>
      <c r="M266" s="401"/>
      <c r="N266" s="401"/>
      <c r="O266" s="401"/>
      <c r="P266" s="401"/>
      <c r="Q266" s="402"/>
      <c r="R266" s="396"/>
      <c r="S266" s="396"/>
      <c r="T266" s="396"/>
    </row>
    <row r="267" ht="15.75" customHeight="1">
      <c r="A267" s="395"/>
      <c r="B267" s="396"/>
      <c r="C267" s="397"/>
      <c r="D267" s="398"/>
      <c r="E267" s="399"/>
      <c r="F267" s="396"/>
      <c r="G267" s="396"/>
      <c r="H267" s="396"/>
      <c r="I267" s="396"/>
      <c r="J267" s="396"/>
      <c r="K267" s="339"/>
      <c r="L267" s="400"/>
      <c r="M267" s="401"/>
      <c r="N267" s="401"/>
      <c r="O267" s="401"/>
      <c r="P267" s="401"/>
      <c r="Q267" s="402"/>
      <c r="R267" s="396"/>
      <c r="S267" s="396"/>
      <c r="T267" s="396"/>
    </row>
    <row r="268" ht="15.75" customHeight="1">
      <c r="A268" s="395"/>
      <c r="B268" s="396"/>
      <c r="C268" s="397"/>
      <c r="D268" s="398"/>
      <c r="E268" s="399"/>
      <c r="F268" s="396"/>
      <c r="G268" s="396"/>
      <c r="H268" s="396"/>
      <c r="I268" s="396"/>
      <c r="J268" s="396"/>
      <c r="K268" s="339"/>
      <c r="L268" s="400"/>
      <c r="M268" s="401"/>
      <c r="N268" s="401"/>
      <c r="O268" s="401"/>
      <c r="P268" s="401"/>
      <c r="Q268" s="402"/>
      <c r="R268" s="396"/>
      <c r="S268" s="396"/>
      <c r="T268" s="396"/>
    </row>
    <row r="269" ht="15.75" customHeight="1">
      <c r="A269" s="395"/>
      <c r="B269" s="396"/>
      <c r="C269" s="397"/>
      <c r="D269" s="398"/>
      <c r="E269" s="399"/>
      <c r="F269" s="396"/>
      <c r="G269" s="396"/>
      <c r="H269" s="396"/>
      <c r="I269" s="396"/>
      <c r="J269" s="396"/>
      <c r="K269" s="339"/>
      <c r="L269" s="400"/>
      <c r="M269" s="401"/>
      <c r="N269" s="401"/>
      <c r="O269" s="401"/>
      <c r="P269" s="401"/>
      <c r="Q269" s="402"/>
      <c r="R269" s="396"/>
      <c r="S269" s="396"/>
      <c r="T269" s="396"/>
    </row>
    <row r="270" ht="15.75" customHeight="1">
      <c r="A270" s="395"/>
      <c r="B270" s="396"/>
      <c r="C270" s="397"/>
      <c r="D270" s="398"/>
      <c r="E270" s="399"/>
      <c r="F270" s="396"/>
      <c r="G270" s="396"/>
      <c r="H270" s="396"/>
      <c r="I270" s="396"/>
      <c r="J270" s="396"/>
      <c r="K270" s="339"/>
      <c r="L270" s="400"/>
      <c r="M270" s="401"/>
      <c r="N270" s="401"/>
      <c r="O270" s="401"/>
      <c r="P270" s="401"/>
      <c r="Q270" s="402"/>
      <c r="R270" s="396"/>
      <c r="S270" s="396"/>
      <c r="T270" s="396"/>
    </row>
    <row r="271" ht="15.75" customHeight="1">
      <c r="A271" s="395"/>
      <c r="B271" s="396"/>
      <c r="C271" s="397"/>
      <c r="D271" s="398"/>
      <c r="E271" s="399"/>
      <c r="F271" s="396"/>
      <c r="G271" s="396"/>
      <c r="H271" s="396"/>
      <c r="I271" s="396"/>
      <c r="J271" s="396"/>
      <c r="K271" s="339"/>
      <c r="L271" s="400"/>
      <c r="M271" s="401"/>
      <c r="N271" s="401"/>
      <c r="O271" s="401"/>
      <c r="P271" s="401"/>
      <c r="Q271" s="402"/>
      <c r="R271" s="396"/>
      <c r="S271" s="396"/>
      <c r="T271" s="396"/>
    </row>
    <row r="272" ht="15.75" customHeight="1">
      <c r="A272" s="395"/>
      <c r="B272" s="396"/>
      <c r="C272" s="397"/>
      <c r="D272" s="398"/>
      <c r="E272" s="399"/>
      <c r="F272" s="396"/>
      <c r="G272" s="396"/>
      <c r="H272" s="396"/>
      <c r="I272" s="396"/>
      <c r="J272" s="396"/>
      <c r="K272" s="339"/>
      <c r="L272" s="400"/>
      <c r="M272" s="401"/>
      <c r="N272" s="401"/>
      <c r="O272" s="401"/>
      <c r="P272" s="401"/>
      <c r="Q272" s="402"/>
      <c r="R272" s="396"/>
      <c r="S272" s="396"/>
      <c r="T272" s="396"/>
    </row>
    <row r="273" ht="15.75" customHeight="1">
      <c r="A273" s="395"/>
      <c r="B273" s="396"/>
      <c r="C273" s="397"/>
      <c r="D273" s="398"/>
      <c r="E273" s="399"/>
      <c r="F273" s="396"/>
      <c r="G273" s="396"/>
      <c r="H273" s="396"/>
      <c r="I273" s="396"/>
      <c r="J273" s="396"/>
      <c r="K273" s="339"/>
      <c r="L273" s="400"/>
      <c r="M273" s="401"/>
      <c r="N273" s="401"/>
      <c r="O273" s="401"/>
      <c r="P273" s="401"/>
      <c r="Q273" s="402"/>
      <c r="R273" s="396"/>
      <c r="S273" s="396"/>
      <c r="T273" s="396"/>
    </row>
    <row r="274" ht="15.75" customHeight="1">
      <c r="A274" s="395"/>
      <c r="B274" s="396"/>
      <c r="C274" s="397"/>
      <c r="D274" s="398"/>
      <c r="E274" s="399"/>
      <c r="F274" s="396"/>
      <c r="G274" s="396"/>
      <c r="H274" s="396"/>
      <c r="I274" s="396"/>
      <c r="J274" s="396"/>
      <c r="K274" s="339"/>
      <c r="L274" s="400"/>
      <c r="M274" s="401"/>
      <c r="N274" s="401"/>
      <c r="O274" s="401"/>
      <c r="P274" s="401"/>
      <c r="Q274" s="402"/>
      <c r="R274" s="396"/>
      <c r="S274" s="396"/>
      <c r="T274" s="396"/>
    </row>
    <row r="275" ht="15.75" customHeight="1">
      <c r="A275" s="395"/>
      <c r="B275" s="396"/>
      <c r="C275" s="397"/>
      <c r="D275" s="398"/>
      <c r="E275" s="399"/>
      <c r="F275" s="396"/>
      <c r="G275" s="396"/>
      <c r="H275" s="396"/>
      <c r="I275" s="396"/>
      <c r="J275" s="396"/>
      <c r="K275" s="339"/>
      <c r="L275" s="400"/>
      <c r="M275" s="401"/>
      <c r="N275" s="401"/>
      <c r="O275" s="401"/>
      <c r="P275" s="401"/>
      <c r="Q275" s="402"/>
      <c r="R275" s="396"/>
      <c r="S275" s="396"/>
      <c r="T275" s="396"/>
    </row>
    <row r="276" ht="15.75" customHeight="1">
      <c r="A276" s="395"/>
      <c r="B276" s="396"/>
      <c r="C276" s="397"/>
      <c r="D276" s="398"/>
      <c r="E276" s="399"/>
      <c r="F276" s="396"/>
      <c r="G276" s="396"/>
      <c r="H276" s="396"/>
      <c r="I276" s="396"/>
      <c r="J276" s="396"/>
      <c r="K276" s="339"/>
      <c r="L276" s="400"/>
      <c r="M276" s="401"/>
      <c r="N276" s="401"/>
      <c r="O276" s="401"/>
      <c r="P276" s="401"/>
      <c r="Q276" s="402"/>
      <c r="R276" s="396"/>
      <c r="S276" s="396"/>
      <c r="T276" s="396"/>
    </row>
    <row r="277" ht="15.75" customHeight="1">
      <c r="A277" s="395"/>
      <c r="B277" s="396"/>
      <c r="C277" s="397"/>
      <c r="D277" s="398"/>
      <c r="E277" s="399"/>
      <c r="F277" s="396"/>
      <c r="G277" s="396"/>
      <c r="H277" s="396"/>
      <c r="I277" s="396"/>
      <c r="J277" s="396"/>
      <c r="K277" s="339"/>
      <c r="L277" s="400"/>
      <c r="M277" s="401"/>
      <c r="N277" s="401"/>
      <c r="O277" s="401"/>
      <c r="P277" s="401"/>
      <c r="Q277" s="402"/>
      <c r="R277" s="396"/>
      <c r="S277" s="396"/>
      <c r="T277" s="396"/>
    </row>
    <row r="278" ht="15.75" customHeight="1">
      <c r="A278" s="395"/>
      <c r="B278" s="396"/>
      <c r="C278" s="397"/>
      <c r="D278" s="398"/>
      <c r="E278" s="399"/>
      <c r="F278" s="396"/>
      <c r="G278" s="396"/>
      <c r="H278" s="396"/>
      <c r="I278" s="396"/>
      <c r="J278" s="396"/>
      <c r="K278" s="339"/>
      <c r="L278" s="400"/>
      <c r="M278" s="401"/>
      <c r="N278" s="401"/>
      <c r="O278" s="401"/>
      <c r="P278" s="401"/>
      <c r="Q278" s="402"/>
      <c r="R278" s="396"/>
      <c r="S278" s="396"/>
      <c r="T278" s="396"/>
    </row>
    <row r="279" ht="15.75" customHeight="1">
      <c r="A279" s="395"/>
      <c r="B279" s="396"/>
      <c r="C279" s="397"/>
      <c r="D279" s="398"/>
      <c r="E279" s="399"/>
      <c r="F279" s="396"/>
      <c r="G279" s="396"/>
      <c r="H279" s="396"/>
      <c r="I279" s="396"/>
      <c r="J279" s="396"/>
      <c r="K279" s="339"/>
      <c r="L279" s="400"/>
      <c r="M279" s="401"/>
      <c r="N279" s="401"/>
      <c r="O279" s="401"/>
      <c r="P279" s="401"/>
      <c r="Q279" s="402"/>
      <c r="R279" s="396"/>
      <c r="S279" s="396"/>
      <c r="T279" s="396"/>
    </row>
    <row r="280" ht="15.75" customHeight="1">
      <c r="A280" s="395"/>
      <c r="B280" s="396"/>
      <c r="C280" s="397"/>
      <c r="D280" s="398"/>
      <c r="E280" s="399"/>
      <c r="F280" s="396"/>
      <c r="G280" s="396"/>
      <c r="H280" s="396"/>
      <c r="I280" s="396"/>
      <c r="J280" s="396"/>
      <c r="K280" s="339"/>
      <c r="L280" s="400"/>
      <c r="M280" s="401"/>
      <c r="N280" s="401"/>
      <c r="O280" s="401"/>
      <c r="P280" s="401"/>
      <c r="Q280" s="402"/>
      <c r="R280" s="396"/>
      <c r="S280" s="396"/>
      <c r="T280" s="396"/>
    </row>
    <row r="281" ht="15.75" customHeight="1">
      <c r="A281" s="395"/>
      <c r="B281" s="396"/>
      <c r="C281" s="397"/>
      <c r="D281" s="398"/>
      <c r="E281" s="399"/>
      <c r="F281" s="396"/>
      <c r="G281" s="396"/>
      <c r="H281" s="396"/>
      <c r="I281" s="396"/>
      <c r="J281" s="396"/>
      <c r="K281" s="339"/>
      <c r="L281" s="400"/>
      <c r="M281" s="401"/>
      <c r="N281" s="401"/>
      <c r="O281" s="401"/>
      <c r="P281" s="401"/>
      <c r="Q281" s="402"/>
      <c r="R281" s="396"/>
      <c r="S281" s="396"/>
      <c r="T281" s="396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81"/>
  <mergeCells count="17">
    <mergeCell ref="A2:T2"/>
    <mergeCell ref="A5:T5"/>
    <mergeCell ref="A8:T8"/>
    <mergeCell ref="A11:T11"/>
    <mergeCell ref="A13:T13"/>
    <mergeCell ref="A18:T18"/>
    <mergeCell ref="A22:T22"/>
    <mergeCell ref="A62:T62"/>
    <mergeCell ref="A69:T69"/>
    <mergeCell ref="A76:T76"/>
    <mergeCell ref="A27:T27"/>
    <mergeCell ref="A34:T34"/>
    <mergeCell ref="A38:T38"/>
    <mergeCell ref="A42:T42"/>
    <mergeCell ref="A47:T47"/>
    <mergeCell ref="A51:T51"/>
    <mergeCell ref="A55:T55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5.88"/>
    <col customWidth="1" min="2" max="2" width="4.63"/>
    <col customWidth="1" min="3" max="3" width="12.63"/>
    <col customWidth="1" min="4" max="16" width="6.38"/>
    <col customWidth="1" min="17" max="17" width="1.63"/>
    <col customWidth="1" min="18" max="29" width="6.38"/>
    <col customWidth="1" min="30" max="30" width="1.0"/>
    <col customWidth="1" min="31" max="37" width="8.25"/>
    <col customWidth="1" min="38" max="38" width="1.63"/>
    <col customWidth="1" min="39" max="101" width="8.25"/>
  </cols>
  <sheetData>
    <row r="1" ht="15.75" customHeight="1">
      <c r="A1" s="403"/>
      <c r="C1" s="404"/>
      <c r="D1" s="404" t="s">
        <v>960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380"/>
      <c r="Q1" s="405"/>
      <c r="R1" s="404" t="s">
        <v>82</v>
      </c>
      <c r="S1" s="55"/>
      <c r="T1" s="55"/>
      <c r="U1" s="55"/>
      <c r="V1" s="55"/>
      <c r="W1" s="55"/>
      <c r="X1" s="55"/>
      <c r="Y1" s="55"/>
      <c r="Z1" s="55"/>
      <c r="AA1" s="55"/>
      <c r="AB1" s="55"/>
      <c r="AC1" s="380"/>
      <c r="AD1" s="405"/>
      <c r="AE1" s="404" t="s">
        <v>961</v>
      </c>
      <c r="AF1" s="55"/>
      <c r="AG1" s="55"/>
      <c r="AH1" s="55"/>
      <c r="AI1" s="55"/>
      <c r="AJ1" s="55"/>
      <c r="AK1" s="380"/>
      <c r="AL1" s="405"/>
      <c r="AM1" s="406"/>
      <c r="AN1" s="406"/>
      <c r="AO1" s="406"/>
      <c r="AP1" s="406"/>
      <c r="AQ1" s="406"/>
      <c r="AR1" s="406"/>
      <c r="AS1" s="406"/>
      <c r="AT1" s="406"/>
      <c r="AU1" s="406"/>
      <c r="AV1" s="406"/>
      <c r="AW1" s="406"/>
      <c r="AX1" s="406"/>
      <c r="AY1" s="406"/>
      <c r="AZ1" s="406"/>
      <c r="BA1" s="406"/>
      <c r="BB1" s="406"/>
      <c r="BC1" s="406"/>
      <c r="BD1" s="406"/>
      <c r="BE1" s="406"/>
      <c r="BF1" s="406"/>
      <c r="BG1" s="406"/>
      <c r="BH1" s="406"/>
      <c r="BI1" s="406"/>
      <c r="BJ1" s="406"/>
      <c r="BK1" s="406"/>
      <c r="BL1" s="406"/>
      <c r="BM1" s="406"/>
      <c r="BN1" s="406"/>
      <c r="BO1" s="406"/>
      <c r="BP1" s="406"/>
      <c r="BQ1" s="406"/>
      <c r="BR1" s="406"/>
      <c r="BS1" s="406"/>
      <c r="BT1" s="406"/>
      <c r="BU1" s="406"/>
      <c r="BV1" s="406"/>
      <c r="BW1" s="406"/>
      <c r="BX1" s="406"/>
      <c r="BY1" s="406"/>
      <c r="BZ1" s="406"/>
      <c r="CA1" s="406"/>
      <c r="CB1" s="406"/>
      <c r="CC1" s="406"/>
      <c r="CD1" s="406"/>
      <c r="CE1" s="406"/>
      <c r="CF1" s="406"/>
      <c r="CG1" s="406"/>
      <c r="CH1" s="406"/>
      <c r="CI1" s="406"/>
      <c r="CJ1" s="406"/>
      <c r="CK1" s="406"/>
      <c r="CL1" s="406"/>
      <c r="CM1" s="406"/>
      <c r="CN1" s="406"/>
      <c r="CO1" s="406"/>
      <c r="CP1" s="406"/>
      <c r="CQ1" s="406"/>
      <c r="CR1" s="406"/>
      <c r="CS1" s="406"/>
      <c r="CT1" s="406"/>
      <c r="CU1" s="406"/>
      <c r="CV1" s="406"/>
      <c r="CW1" s="406"/>
    </row>
    <row r="2" ht="51.75" customHeight="1">
      <c r="A2" s="403" t="s">
        <v>962</v>
      </c>
      <c r="B2" s="407"/>
      <c r="C2" s="403" t="s">
        <v>963</v>
      </c>
      <c r="D2" s="408" t="str">
        <f>A37</f>
        <v>Acolito</v>
      </c>
      <c r="E2" s="408" t="str">
        <f>A38</f>
        <v>Charalatan</v>
      </c>
      <c r="F2" s="408" t="str">
        <f>A39</f>
        <v>Criminal</v>
      </c>
      <c r="G2" s="408" t="str">
        <f>A40</f>
        <v>Artista</v>
      </c>
      <c r="H2" s="408" t="str">
        <f>A41</f>
        <v>Heroe del pueblo</v>
      </c>
      <c r="I2" s="408" t="str">
        <f>A42</f>
        <v>Artista Gremial</v>
      </c>
      <c r="J2" s="408" t="str">
        <f>A43</f>
        <v>Hermitaño</v>
      </c>
      <c r="K2" s="408" t="str">
        <f>A44</f>
        <v>Noble</v>
      </c>
      <c r="L2" s="408" t="str">
        <f>A45</f>
        <v>Fujitivo</v>
      </c>
      <c r="M2" s="408" t="str">
        <f>A46</f>
        <v>Sabio</v>
      </c>
      <c r="N2" s="408" t="str">
        <f>A47</f>
        <v>Marinero</v>
      </c>
      <c r="O2" s="408" t="str">
        <f>A48</f>
        <v>Soldado</v>
      </c>
      <c r="P2" s="408" t="str">
        <f>A49</f>
        <v>Huerfano</v>
      </c>
      <c r="Q2" s="409"/>
      <c r="R2" s="410" t="str">
        <f>A23</f>
        <v>BÁRBARO</v>
      </c>
      <c r="S2" s="410" t="str">
        <f>A24</f>
        <v>BARDO</v>
      </c>
      <c r="T2" s="410" t="str">
        <f>A25</f>
        <v>ARTIFICIERO</v>
      </c>
      <c r="U2" s="410" t="str">
        <f>A26</f>
        <v>DRUIDA</v>
      </c>
      <c r="V2" s="410" t="str">
        <f>A27</f>
        <v>GUERRERO</v>
      </c>
      <c r="W2" s="410" t="str">
        <f>A28</f>
        <v>CHAMÁN</v>
      </c>
      <c r="X2" s="410" t="str">
        <f>A29</f>
        <v>PALADIN</v>
      </c>
      <c r="Y2" s="410" t="str">
        <f>A30</f>
        <v>CAZADOR</v>
      </c>
      <c r="Z2" s="410" t="str">
        <f>A31</f>
        <v>PÍCARO</v>
      </c>
      <c r="AA2" s="410" t="str">
        <f>A32</f>
        <v>HECHICERO</v>
      </c>
      <c r="AB2" s="410" t="str">
        <f>A33</f>
        <v>BRUJO</v>
      </c>
      <c r="AC2" s="410" t="str">
        <f>A34</f>
        <v>MAGO</v>
      </c>
      <c r="AD2" s="411"/>
      <c r="AE2" s="412" t="str">
        <f>A52</f>
        <v>EGOS</v>
      </c>
      <c r="AF2" s="413" t="str">
        <f>A53</f>
        <v>EROS</v>
      </c>
      <c r="AG2" s="413" t="str">
        <f>A54</f>
        <v>CHRONOS</v>
      </c>
      <c r="AH2" s="413" t="str">
        <f>A55</f>
        <v>SOFIA</v>
      </c>
      <c r="AI2" s="413" t="str">
        <f>A56</f>
        <v>ENVIDIA</v>
      </c>
      <c r="AJ2" s="413" t="str">
        <f>A57</f>
        <v>VIDA</v>
      </c>
      <c r="AK2" s="413" t="str">
        <f>A58</f>
        <v>MUERTE</v>
      </c>
      <c r="AL2" s="409"/>
      <c r="AM2" s="119" t="str">
        <f>$A60</f>
        <v>Hombres Lagarto</v>
      </c>
      <c r="AN2" s="119" t="str">
        <f>$A61</f>
        <v>Hombres Lagarto</v>
      </c>
      <c r="AO2" s="119" t="str">
        <f>$A63</f>
        <v>Hombres Pájaro</v>
      </c>
      <c r="AP2" s="119" t="str">
        <f>$A64</f>
        <v>Hombres Pájaro</v>
      </c>
      <c r="AQ2" s="119" t="str">
        <f>$A66</f>
        <v>Hombres Gato</v>
      </c>
      <c r="AR2" s="119" t="str">
        <f>$A67</f>
        <v>Hombres Gato</v>
      </c>
      <c r="AS2" s="119" t="str">
        <f>$A69</f>
        <v>Minotauros</v>
      </c>
      <c r="AT2" s="119" t="str">
        <f>$A71</f>
        <v>Sagas</v>
      </c>
      <c r="AU2" s="119" t="str">
        <f>$A72</f>
        <v>Sagas</v>
      </c>
      <c r="AV2" s="119" t="str">
        <f>$A73</f>
        <v>Sagas</v>
      </c>
      <c r="AW2" s="119" t="str">
        <f>$A74</f>
        <v>Sagas</v>
      </c>
      <c r="AX2" s="119" t="str">
        <f>$A76</f>
        <v>Orc</v>
      </c>
      <c r="AY2" s="119" t="str">
        <f>$A77</f>
        <v>Half-Orc</v>
      </c>
      <c r="AZ2" s="119" t="str">
        <f>$A78</f>
        <v>Orc</v>
      </c>
      <c r="BA2" s="119" t="str">
        <f>$A80</f>
        <v>Medianos</v>
      </c>
      <c r="BB2" s="119" t="str">
        <f>$A81</f>
        <v>Dwarf</v>
      </c>
      <c r="BC2" s="119" t="str">
        <f>$A82</f>
        <v>Dwarf</v>
      </c>
      <c r="BD2" s="119" t="str">
        <f>$A83</f>
        <v>Dwarf</v>
      </c>
      <c r="BE2" s="119" t="str">
        <f>$A85</f>
        <v>Elf</v>
      </c>
      <c r="BF2" s="119" t="str">
        <f>$A86</f>
        <v>Elf</v>
      </c>
      <c r="BG2" s="119" t="str">
        <f>$A87</f>
        <v>Elf</v>
      </c>
      <c r="BH2" s="119" t="str">
        <f>$A88</f>
        <v>Elf</v>
      </c>
      <c r="BI2" s="119" t="str">
        <f>$A89</f>
        <v>Half-Elf</v>
      </c>
      <c r="BJ2" s="119" t="str">
        <f>$A90</f>
        <v>Half-Elf</v>
      </c>
      <c r="BK2" s="119" t="str">
        <f>$A92</f>
        <v>Gnome</v>
      </c>
      <c r="BL2" s="119" t="str">
        <f>$A93</f>
        <v>Gnome</v>
      </c>
      <c r="BM2" s="119" t="str">
        <f>$A94</f>
        <v>Gnome</v>
      </c>
      <c r="BN2" s="119" t="str">
        <f>$A96</f>
        <v>Yokai</v>
      </c>
      <c r="BO2" s="119" t="str">
        <f>$A97</f>
        <v>Locathah</v>
      </c>
      <c r="BP2" s="119" t="str">
        <f>$A98</f>
        <v>Loxodon</v>
      </c>
      <c r="BQ2" s="119" t="str">
        <f>$A100</f>
        <v>Tiefling</v>
      </c>
      <c r="BR2" s="119" t="str">
        <f>$A101</f>
        <v>Tiefling</v>
      </c>
      <c r="BS2" s="119" t="str">
        <f>$A102</f>
        <v>Tiefling</v>
      </c>
      <c r="BT2" s="119" t="str">
        <f>$A103</f>
        <v>Tiefling</v>
      </c>
      <c r="BU2" s="119" t="str">
        <f>$A105</f>
        <v>No Muertos</v>
      </c>
      <c r="BV2" s="119" t="str">
        <f>$A106</f>
        <v>No Muertos</v>
      </c>
      <c r="BW2" s="119" t="str">
        <f>$A107</f>
        <v>No Muertos</v>
      </c>
      <c r="BX2" s="119" t="str">
        <f>$A109</f>
        <v>Nagas</v>
      </c>
      <c r="BY2" s="119" t="str">
        <f>$A110</f>
        <v>Nagas</v>
      </c>
      <c r="BZ2" s="119" t="str">
        <f>$A111</f>
        <v>Nagas</v>
      </c>
      <c r="CA2" s="119" t="str">
        <f>$A113</f>
        <v>Dracónidos</v>
      </c>
      <c r="CB2" s="119" t="str">
        <f>$A114</f>
        <v>Dracónidos</v>
      </c>
      <c r="CC2" s="119" t="str">
        <f>$A115</f>
        <v>Dracónidos</v>
      </c>
      <c r="CD2" s="119" t="str">
        <f>$A116</f>
        <v>Dracónidos</v>
      </c>
      <c r="CE2" s="119" t="str">
        <f>$A117</f>
        <v>Dracónidos</v>
      </c>
      <c r="CF2" s="119" t="str">
        <f>$A118</f>
        <v>Dracónidos</v>
      </c>
      <c r="CG2" s="119" t="str">
        <f>$A120</f>
        <v>Human</v>
      </c>
      <c r="CH2" s="119" t="str">
        <f>$A121</f>
        <v>Aegroum</v>
      </c>
      <c r="CI2" s="119" t="str">
        <f>$A122</f>
        <v>Ascaria</v>
      </c>
      <c r="CJ2" s="119" t="str">
        <f>$A123</f>
        <v>Bastrea</v>
      </c>
      <c r="CK2" s="119" t="str">
        <f>$A124</f>
        <v>Bastrea - Semi-Elfo</v>
      </c>
      <c r="CL2" s="119" t="str">
        <f>$A125</f>
        <v>Perdidos</v>
      </c>
      <c r="CM2" s="119" t="str">
        <f>$A127</f>
        <v>Elemental</v>
      </c>
      <c r="CN2" s="119" t="str">
        <f>$A128</f>
        <v>Elemental</v>
      </c>
      <c r="CO2" s="119" t="str">
        <f>$A129</f>
        <v>Elemental</v>
      </c>
      <c r="CP2" s="119" t="str">
        <f>$A130</f>
        <v>Elemental</v>
      </c>
      <c r="CQ2" s="119" t="str">
        <f>$A131</f>
        <v>Elemental</v>
      </c>
      <c r="CR2" s="119" t="str">
        <f>$A132</f>
        <v>Elemental</v>
      </c>
      <c r="CS2" s="119" t="str">
        <f>$A134</f>
        <v>Goblin</v>
      </c>
      <c r="CT2" s="119" t="str">
        <f>$A135</f>
        <v>Goblin</v>
      </c>
      <c r="CU2" s="119" t="str">
        <f>$A136</f>
        <v>Goblin</v>
      </c>
      <c r="CV2" s="119" t="str">
        <f>$A137</f>
        <v>Hobgoblin</v>
      </c>
      <c r="CW2" s="119" t="str">
        <f>$A138</f>
        <v>Verdan</v>
      </c>
    </row>
    <row r="3" ht="1.5" customHeight="1">
      <c r="A3" s="407"/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414"/>
      <c r="U3" s="407"/>
      <c r="V3" s="407"/>
      <c r="W3" s="407"/>
      <c r="X3" s="407"/>
      <c r="Y3" s="407"/>
      <c r="Z3" s="407"/>
      <c r="AA3" s="407"/>
      <c r="AB3" s="407"/>
      <c r="AC3" s="407"/>
      <c r="AD3" s="407"/>
      <c r="AE3" s="407"/>
      <c r="AF3" s="407"/>
      <c r="AG3" s="407"/>
      <c r="AH3" s="407"/>
      <c r="AI3" s="407"/>
      <c r="AJ3" s="407"/>
      <c r="AK3" s="407"/>
      <c r="AL3" s="407"/>
      <c r="AM3" s="407"/>
      <c r="AN3" s="407"/>
      <c r="AO3" s="407"/>
      <c r="AP3" s="407"/>
      <c r="AQ3" s="407"/>
      <c r="AR3" s="407"/>
      <c r="AS3" s="407"/>
      <c r="AT3" s="407"/>
      <c r="AU3" s="407"/>
      <c r="AV3" s="407"/>
      <c r="AW3" s="407"/>
      <c r="AX3" s="407"/>
      <c r="AY3" s="407"/>
      <c r="AZ3" s="407"/>
      <c r="BA3" s="407"/>
      <c r="BB3" s="407"/>
      <c r="BC3" s="407"/>
      <c r="BD3" s="407"/>
      <c r="BE3" s="407"/>
      <c r="BF3" s="407"/>
      <c r="BG3" s="407"/>
      <c r="BH3" s="407"/>
      <c r="BI3" s="407"/>
      <c r="BJ3" s="407"/>
      <c r="BK3" s="407"/>
      <c r="BL3" s="407"/>
      <c r="BM3" s="407"/>
      <c r="BN3" s="407"/>
      <c r="BO3" s="407"/>
      <c r="BP3" s="407"/>
      <c r="BQ3" s="407"/>
      <c r="BR3" s="407"/>
      <c r="BS3" s="407"/>
      <c r="BT3" s="407"/>
      <c r="BU3" s="407"/>
      <c r="BV3" s="407"/>
      <c r="BW3" s="407"/>
      <c r="BX3" s="407"/>
      <c r="BY3" s="407"/>
      <c r="BZ3" s="407"/>
      <c r="CA3" s="407"/>
      <c r="CB3" s="407"/>
      <c r="CC3" s="407"/>
      <c r="CD3" s="407"/>
      <c r="CE3" s="407"/>
      <c r="CF3" s="407"/>
      <c r="CG3" s="407"/>
      <c r="CH3" s="407"/>
      <c r="CI3" s="407"/>
      <c r="CJ3" s="407"/>
      <c r="CK3" s="407"/>
      <c r="CL3" s="407"/>
      <c r="CM3" s="407"/>
      <c r="CN3" s="407"/>
      <c r="CO3" s="407"/>
      <c r="CP3" s="407"/>
      <c r="CQ3" s="407"/>
      <c r="CR3" s="407"/>
      <c r="CS3" s="407"/>
      <c r="CT3" s="407"/>
      <c r="CU3" s="407"/>
      <c r="CV3" s="407"/>
      <c r="CW3" s="407"/>
    </row>
    <row r="4" ht="15.75" customHeight="1">
      <c r="A4" s="415" t="s">
        <v>964</v>
      </c>
      <c r="B4" s="416"/>
      <c r="C4" s="415" t="s">
        <v>965</v>
      </c>
      <c r="D4" s="417"/>
      <c r="E4" s="417"/>
      <c r="F4" s="417"/>
      <c r="G4" s="417" t="s">
        <v>966</v>
      </c>
      <c r="H4" s="417"/>
      <c r="I4" s="417"/>
      <c r="J4" s="417"/>
      <c r="K4" s="417"/>
      <c r="L4" s="417"/>
      <c r="M4" s="417"/>
      <c r="N4" s="417"/>
      <c r="O4" s="417"/>
      <c r="P4" s="417"/>
      <c r="Q4" s="418"/>
      <c r="R4" s="417"/>
      <c r="S4" s="417" t="s">
        <v>966</v>
      </c>
      <c r="T4" s="417"/>
      <c r="U4" s="417"/>
      <c r="V4" s="417" t="s">
        <v>966</v>
      </c>
      <c r="W4" s="417" t="s">
        <v>966</v>
      </c>
      <c r="X4" s="417"/>
      <c r="Y4" s="417"/>
      <c r="Z4" s="417" t="s">
        <v>966</v>
      </c>
      <c r="AA4" s="417"/>
      <c r="AB4" s="417"/>
      <c r="AC4" s="417"/>
      <c r="AD4" s="418"/>
      <c r="AE4" s="419"/>
      <c r="AF4" s="419"/>
      <c r="AG4" s="419"/>
      <c r="AH4" s="419"/>
      <c r="AI4" s="419"/>
      <c r="AJ4" s="419"/>
      <c r="AK4" s="419"/>
      <c r="AL4" s="418"/>
      <c r="AM4" s="417"/>
      <c r="AN4" s="417"/>
      <c r="AO4" s="417"/>
      <c r="AP4" s="417"/>
      <c r="AQ4" s="417"/>
      <c r="AR4" s="417"/>
      <c r="AS4" s="417"/>
      <c r="AT4" s="417"/>
      <c r="AU4" s="417"/>
      <c r="AV4" s="417"/>
      <c r="AW4" s="417"/>
      <c r="AX4" s="417"/>
      <c r="AY4" s="417"/>
      <c r="AZ4" s="417"/>
      <c r="BA4" s="417"/>
      <c r="BB4" s="417"/>
      <c r="BC4" s="417"/>
      <c r="BD4" s="417"/>
      <c r="BE4" s="417"/>
      <c r="BF4" s="417"/>
      <c r="BG4" s="417"/>
      <c r="BH4" s="417"/>
      <c r="BI4" s="417"/>
      <c r="BJ4" s="417"/>
      <c r="BK4" s="417"/>
      <c r="BL4" s="417"/>
      <c r="BM4" s="417"/>
      <c r="BN4" s="417"/>
      <c r="BO4" s="417"/>
      <c r="BP4" s="417"/>
      <c r="BQ4" s="417"/>
      <c r="BR4" s="417"/>
      <c r="BS4" s="417"/>
      <c r="BT4" s="417"/>
      <c r="BU4" s="417"/>
      <c r="BV4" s="417"/>
      <c r="BW4" s="417"/>
      <c r="BX4" s="417"/>
      <c r="BY4" s="417"/>
      <c r="BZ4" s="417"/>
      <c r="CA4" s="417"/>
      <c r="CB4" s="417"/>
      <c r="CC4" s="417"/>
      <c r="CD4" s="417"/>
      <c r="CE4" s="417"/>
      <c r="CF4" s="417"/>
      <c r="CG4" s="417"/>
      <c r="CH4" s="417"/>
      <c r="CI4" s="417"/>
      <c r="CJ4" s="417"/>
      <c r="CK4" s="417"/>
      <c r="CL4" s="417"/>
      <c r="CM4" s="417"/>
      <c r="CN4" s="417"/>
      <c r="CO4" s="417"/>
      <c r="CP4" s="417"/>
      <c r="CQ4" s="417"/>
      <c r="CR4" s="417"/>
      <c r="CS4" s="417"/>
      <c r="CT4" s="417"/>
      <c r="CU4" s="417"/>
      <c r="CV4" s="417"/>
      <c r="CW4" s="417"/>
    </row>
    <row r="5" ht="15.75" customHeight="1">
      <c r="A5" s="415" t="s">
        <v>967</v>
      </c>
      <c r="B5" s="416"/>
      <c r="C5" s="415" t="s">
        <v>968</v>
      </c>
      <c r="D5" s="417"/>
      <c r="E5" s="417"/>
      <c r="F5" s="417"/>
      <c r="G5" s="417"/>
      <c r="H5" s="417" t="s">
        <v>966</v>
      </c>
      <c r="I5" s="417"/>
      <c r="J5" s="417"/>
      <c r="K5" s="417"/>
      <c r="L5" s="417"/>
      <c r="M5" s="417"/>
      <c r="N5" s="417"/>
      <c r="O5" s="417"/>
      <c r="P5" s="417"/>
      <c r="Q5" s="418"/>
      <c r="R5" s="417" t="s">
        <v>966</v>
      </c>
      <c r="S5" s="417" t="s">
        <v>966</v>
      </c>
      <c r="T5" s="417"/>
      <c r="U5" s="417" t="s">
        <v>966</v>
      </c>
      <c r="V5" s="417" t="s">
        <v>966</v>
      </c>
      <c r="W5" s="417"/>
      <c r="X5" s="417"/>
      <c r="Y5" s="417" t="s">
        <v>966</v>
      </c>
      <c r="Z5" s="417"/>
      <c r="AA5" s="417"/>
      <c r="AB5" s="417"/>
      <c r="AC5" s="417"/>
      <c r="AD5" s="418"/>
      <c r="AE5" s="419"/>
      <c r="AF5" s="419"/>
      <c r="AG5" s="419"/>
      <c r="AH5" s="419"/>
      <c r="AI5" s="419"/>
      <c r="AJ5" s="419"/>
      <c r="AK5" s="419"/>
      <c r="AL5" s="418"/>
      <c r="AM5" s="417" t="s">
        <v>966</v>
      </c>
      <c r="AN5" s="417" t="s">
        <v>966</v>
      </c>
      <c r="AO5" s="417"/>
      <c r="AP5" s="417"/>
      <c r="AQ5" s="417"/>
      <c r="AR5" s="417"/>
      <c r="AS5" s="417"/>
      <c r="AT5" s="417"/>
      <c r="AU5" s="417"/>
      <c r="AV5" s="417"/>
      <c r="AW5" s="417"/>
      <c r="AX5" s="417"/>
      <c r="AY5" s="417"/>
      <c r="AZ5" s="417"/>
      <c r="BA5" s="417"/>
      <c r="BB5" s="417"/>
      <c r="BC5" s="417"/>
      <c r="BD5" s="417"/>
      <c r="BE5" s="417"/>
      <c r="BF5" s="417"/>
      <c r="BG5" s="417"/>
      <c r="BH5" s="417"/>
      <c r="BI5" s="417"/>
      <c r="BJ5" s="417"/>
      <c r="BK5" s="417"/>
      <c r="BL5" s="417"/>
      <c r="BM5" s="417"/>
      <c r="BN5" s="417"/>
      <c r="BO5" s="417"/>
      <c r="BP5" s="417"/>
      <c r="BQ5" s="417"/>
      <c r="BR5" s="417"/>
      <c r="BS5" s="417"/>
      <c r="BT5" s="417"/>
      <c r="BU5" s="417"/>
      <c r="BV5" s="417"/>
      <c r="BW5" s="417"/>
      <c r="BX5" s="417"/>
      <c r="BY5" s="417"/>
      <c r="BZ5" s="417"/>
      <c r="CA5" s="417"/>
      <c r="CB5" s="417"/>
      <c r="CC5" s="417"/>
      <c r="CD5" s="417"/>
      <c r="CE5" s="417"/>
      <c r="CF5" s="417"/>
      <c r="CG5" s="417"/>
      <c r="CH5" s="417"/>
      <c r="CI5" s="417"/>
      <c r="CJ5" s="417"/>
      <c r="CK5" s="417"/>
      <c r="CL5" s="417"/>
      <c r="CM5" s="417"/>
      <c r="CN5" s="417"/>
      <c r="CO5" s="417"/>
      <c r="CP5" s="417"/>
      <c r="CQ5" s="417"/>
      <c r="CR5" s="417"/>
      <c r="CS5" s="417"/>
      <c r="CT5" s="417"/>
      <c r="CU5" s="417"/>
      <c r="CV5" s="417"/>
      <c r="CW5" s="417"/>
    </row>
    <row r="6" ht="15.75" customHeight="1">
      <c r="A6" s="415" t="s">
        <v>969</v>
      </c>
      <c r="B6" s="416"/>
      <c r="C6" s="415" t="s">
        <v>970</v>
      </c>
      <c r="D6" s="417"/>
      <c r="E6" s="417"/>
      <c r="F6" s="417"/>
      <c r="G6" s="417"/>
      <c r="H6" s="417"/>
      <c r="I6" s="417"/>
      <c r="J6" s="417"/>
      <c r="K6" s="417"/>
      <c r="L6" s="417"/>
      <c r="M6" s="417" t="s">
        <v>966</v>
      </c>
      <c r="N6" s="417"/>
      <c r="O6" s="417"/>
      <c r="P6" s="417"/>
      <c r="Q6" s="418"/>
      <c r="R6" s="417"/>
      <c r="S6" s="417" t="s">
        <v>966</v>
      </c>
      <c r="T6" s="417" t="s">
        <v>966</v>
      </c>
      <c r="U6" s="417" t="s">
        <v>966</v>
      </c>
      <c r="V6" s="417"/>
      <c r="W6" s="417"/>
      <c r="X6" s="417"/>
      <c r="Y6" s="417"/>
      <c r="Z6" s="417"/>
      <c r="AA6" s="417" t="s">
        <v>966</v>
      </c>
      <c r="AB6" s="417" t="s">
        <v>966</v>
      </c>
      <c r="AC6" s="417" t="s">
        <v>966</v>
      </c>
      <c r="AD6" s="418"/>
      <c r="AE6" s="419"/>
      <c r="AF6" s="419"/>
      <c r="AG6" s="419"/>
      <c r="AH6" s="419"/>
      <c r="AI6" s="419"/>
      <c r="AJ6" s="419"/>
      <c r="AK6" s="419"/>
      <c r="AL6" s="418"/>
      <c r="AM6" s="417"/>
      <c r="AN6" s="417"/>
      <c r="AO6" s="417"/>
      <c r="AP6" s="417"/>
      <c r="AQ6" s="417"/>
      <c r="AR6" s="417"/>
      <c r="AS6" s="417"/>
      <c r="AT6" s="417"/>
      <c r="AU6" s="417"/>
      <c r="AV6" s="417"/>
      <c r="AW6" s="417"/>
      <c r="AX6" s="417"/>
      <c r="AY6" s="417"/>
      <c r="AZ6" s="417"/>
      <c r="BA6" s="417"/>
      <c r="BB6" s="417"/>
      <c r="BC6" s="417"/>
      <c r="BD6" s="417"/>
      <c r="BE6" s="417"/>
      <c r="BF6" s="417"/>
      <c r="BG6" s="417"/>
      <c r="BH6" s="417"/>
      <c r="BI6" s="417"/>
      <c r="BJ6" s="417"/>
      <c r="BK6" s="417"/>
      <c r="BL6" s="417"/>
      <c r="BM6" s="417"/>
      <c r="BN6" s="417"/>
      <c r="BO6" s="417"/>
      <c r="BP6" s="417"/>
      <c r="BQ6" s="417"/>
      <c r="BR6" s="417"/>
      <c r="BS6" s="417"/>
      <c r="BT6" s="417"/>
      <c r="BU6" s="417"/>
      <c r="BV6" s="417"/>
      <c r="BW6" s="417"/>
      <c r="BX6" s="417"/>
      <c r="BY6" s="417"/>
      <c r="BZ6" s="417"/>
      <c r="CA6" s="417"/>
      <c r="CB6" s="417"/>
      <c r="CC6" s="417"/>
      <c r="CD6" s="417"/>
      <c r="CE6" s="417"/>
      <c r="CF6" s="417"/>
      <c r="CG6" s="417"/>
      <c r="CH6" s="417"/>
      <c r="CI6" s="417"/>
      <c r="CJ6" s="417"/>
      <c r="CK6" s="417"/>
      <c r="CL6" s="417"/>
      <c r="CM6" s="417"/>
      <c r="CN6" s="417"/>
      <c r="CO6" s="417"/>
      <c r="CP6" s="417"/>
      <c r="CQ6" s="417"/>
      <c r="CR6" s="417"/>
      <c r="CS6" s="417"/>
      <c r="CT6" s="417"/>
      <c r="CU6" s="417"/>
      <c r="CV6" s="417"/>
      <c r="CW6" s="417"/>
    </row>
    <row r="7" ht="15.75" customHeight="1">
      <c r="A7" s="415" t="s">
        <v>971</v>
      </c>
      <c r="B7" s="416"/>
      <c r="C7" s="415" t="s">
        <v>972</v>
      </c>
      <c r="D7" s="417"/>
      <c r="E7" s="417"/>
      <c r="F7" s="417"/>
      <c r="G7" s="417"/>
      <c r="H7" s="417"/>
      <c r="I7" s="417"/>
      <c r="J7" s="417"/>
      <c r="K7" s="417"/>
      <c r="L7" s="417" t="s">
        <v>966</v>
      </c>
      <c r="M7" s="417"/>
      <c r="N7" s="417" t="s">
        <v>966</v>
      </c>
      <c r="O7" s="417" t="s">
        <v>966</v>
      </c>
      <c r="P7" s="417"/>
      <c r="Q7" s="418"/>
      <c r="R7" s="417" t="s">
        <v>966</v>
      </c>
      <c r="S7" s="417" t="s">
        <v>966</v>
      </c>
      <c r="T7" s="417" t="s">
        <v>966</v>
      </c>
      <c r="U7" s="417"/>
      <c r="V7" s="417" t="s">
        <v>966</v>
      </c>
      <c r="W7" s="417" t="s">
        <v>966</v>
      </c>
      <c r="X7" s="417" t="s">
        <v>966</v>
      </c>
      <c r="Y7" s="417" t="s">
        <v>966</v>
      </c>
      <c r="Z7" s="417" t="s">
        <v>966</v>
      </c>
      <c r="AA7" s="417"/>
      <c r="AB7" s="417"/>
      <c r="AC7" s="417"/>
      <c r="AD7" s="418"/>
      <c r="AE7" s="419"/>
      <c r="AF7" s="419"/>
      <c r="AG7" s="419"/>
      <c r="AH7" s="419"/>
      <c r="AI7" s="419"/>
      <c r="AJ7" s="419"/>
      <c r="AK7" s="419"/>
      <c r="AL7" s="418"/>
      <c r="AM7" s="417"/>
      <c r="AN7" s="417"/>
      <c r="AO7" s="417"/>
      <c r="AP7" s="417"/>
      <c r="AQ7" s="417"/>
      <c r="AR7" s="417"/>
      <c r="AS7" s="417"/>
      <c r="AT7" s="417"/>
      <c r="AU7" s="417"/>
      <c r="AV7" s="417"/>
      <c r="AW7" s="417"/>
      <c r="AX7" s="417"/>
      <c r="AY7" s="417"/>
      <c r="AZ7" s="417"/>
      <c r="BA7" s="417"/>
      <c r="BB7" s="417"/>
      <c r="BC7" s="417"/>
      <c r="BD7" s="417"/>
      <c r="BE7" s="417"/>
      <c r="BF7" s="417"/>
      <c r="BG7" s="417"/>
      <c r="BH7" s="417"/>
      <c r="BI7" s="417"/>
      <c r="BJ7" s="417"/>
      <c r="BK7" s="417"/>
      <c r="BL7" s="417"/>
      <c r="BM7" s="417"/>
      <c r="BN7" s="417"/>
      <c r="BO7" s="417"/>
      <c r="BP7" s="417"/>
      <c r="BQ7" s="417"/>
      <c r="BR7" s="417"/>
      <c r="BS7" s="417"/>
      <c r="BT7" s="417"/>
      <c r="BU7" s="417"/>
      <c r="BV7" s="417"/>
      <c r="BW7" s="417"/>
      <c r="BX7" s="417"/>
      <c r="BY7" s="417"/>
      <c r="BZ7" s="417"/>
      <c r="CA7" s="417"/>
      <c r="CB7" s="417"/>
      <c r="CC7" s="417"/>
      <c r="CD7" s="417"/>
      <c r="CE7" s="417"/>
      <c r="CF7" s="417"/>
      <c r="CG7" s="417"/>
      <c r="CH7" s="417"/>
      <c r="CI7" s="417"/>
      <c r="CJ7" s="417"/>
      <c r="CK7" s="417"/>
      <c r="CL7" s="417"/>
      <c r="CM7" s="417"/>
      <c r="CN7" s="417"/>
      <c r="CO7" s="417"/>
      <c r="CP7" s="417"/>
      <c r="CQ7" s="417"/>
      <c r="CR7" s="417"/>
      <c r="CS7" s="417"/>
      <c r="CT7" s="417"/>
      <c r="CU7" s="417"/>
      <c r="CV7" s="417"/>
      <c r="CW7" s="417"/>
    </row>
    <row r="8" ht="15.75" customHeight="1">
      <c r="A8" s="415" t="s">
        <v>973</v>
      </c>
      <c r="B8" s="416"/>
      <c r="C8" s="415" t="s">
        <v>974</v>
      </c>
      <c r="D8" s="417"/>
      <c r="E8" s="417" t="s">
        <v>966</v>
      </c>
      <c r="F8" s="417" t="s">
        <v>966</v>
      </c>
      <c r="G8" s="417"/>
      <c r="H8" s="417"/>
      <c r="I8" s="417"/>
      <c r="J8" s="417"/>
      <c r="K8" s="417"/>
      <c r="L8" s="417"/>
      <c r="M8" s="417"/>
      <c r="N8" s="417"/>
      <c r="O8" s="417"/>
      <c r="P8" s="417"/>
      <c r="Q8" s="418"/>
      <c r="R8" s="417"/>
      <c r="S8" s="417" t="s">
        <v>966</v>
      </c>
      <c r="T8" s="417"/>
      <c r="U8" s="417"/>
      <c r="V8" s="417"/>
      <c r="W8" s="417"/>
      <c r="X8" s="417"/>
      <c r="Y8" s="417"/>
      <c r="Z8" s="417" t="s">
        <v>966</v>
      </c>
      <c r="AA8" s="417" t="s">
        <v>966</v>
      </c>
      <c r="AB8" s="417" t="s">
        <v>966</v>
      </c>
      <c r="AC8" s="417"/>
      <c r="AD8" s="418"/>
      <c r="AE8" s="419"/>
      <c r="AF8" s="419"/>
      <c r="AG8" s="419"/>
      <c r="AH8" s="419"/>
      <c r="AI8" s="419"/>
      <c r="AJ8" s="419"/>
      <c r="AK8" s="419"/>
      <c r="AL8" s="418"/>
      <c r="AM8" s="417"/>
      <c r="AN8" s="417"/>
      <c r="AO8" s="417"/>
      <c r="AP8" s="417"/>
      <c r="AQ8" s="417"/>
      <c r="AR8" s="417"/>
      <c r="AS8" s="417"/>
      <c r="AT8" s="417"/>
      <c r="AU8" s="417"/>
      <c r="AV8" s="417"/>
      <c r="AW8" s="417"/>
      <c r="AX8" s="417"/>
      <c r="AY8" s="417"/>
      <c r="AZ8" s="417"/>
      <c r="BA8" s="417"/>
      <c r="BB8" s="417"/>
      <c r="BC8" s="417"/>
      <c r="BD8" s="417"/>
      <c r="BE8" s="417"/>
      <c r="BF8" s="417"/>
      <c r="BG8" s="417"/>
      <c r="BH8" s="417"/>
      <c r="BI8" s="417"/>
      <c r="BJ8" s="417"/>
      <c r="BK8" s="417"/>
      <c r="BL8" s="417"/>
      <c r="BM8" s="417"/>
      <c r="BN8" s="417"/>
      <c r="BO8" s="417"/>
      <c r="BP8" s="417"/>
      <c r="BQ8" s="417"/>
      <c r="BR8" s="417"/>
      <c r="BS8" s="417"/>
      <c r="BT8" s="417"/>
      <c r="BU8" s="417"/>
      <c r="BV8" s="417"/>
      <c r="BW8" s="417"/>
      <c r="BX8" s="417"/>
      <c r="BY8" s="417"/>
      <c r="BZ8" s="417" t="s">
        <v>966</v>
      </c>
      <c r="CA8" s="417"/>
      <c r="CB8" s="417"/>
      <c r="CC8" s="417"/>
      <c r="CD8" s="417"/>
      <c r="CE8" s="417"/>
      <c r="CF8" s="417"/>
      <c r="CG8" s="417"/>
      <c r="CH8" s="417"/>
      <c r="CI8" s="417"/>
      <c r="CJ8" s="417"/>
      <c r="CK8" s="417"/>
      <c r="CL8" s="417"/>
      <c r="CM8" s="417"/>
      <c r="CN8" s="417"/>
      <c r="CO8" s="417"/>
      <c r="CP8" s="417"/>
      <c r="CQ8" s="417"/>
      <c r="CR8" s="417"/>
      <c r="CS8" s="417"/>
      <c r="CT8" s="417"/>
      <c r="CU8" s="417"/>
      <c r="CV8" s="417"/>
      <c r="CW8" s="417"/>
    </row>
    <row r="9" ht="15.75" customHeight="1">
      <c r="A9" s="415" t="s">
        <v>975</v>
      </c>
      <c r="B9" s="416"/>
      <c r="C9" s="415" t="s">
        <v>970</v>
      </c>
      <c r="D9" s="417"/>
      <c r="E9" s="417"/>
      <c r="F9" s="417"/>
      <c r="G9" s="417"/>
      <c r="H9" s="417"/>
      <c r="I9" s="417"/>
      <c r="J9" s="417"/>
      <c r="K9" s="417" t="s">
        <v>966</v>
      </c>
      <c r="L9" s="417"/>
      <c r="M9" s="417" t="s">
        <v>966</v>
      </c>
      <c r="N9" s="417"/>
      <c r="O9" s="417"/>
      <c r="P9" s="417"/>
      <c r="Q9" s="418"/>
      <c r="R9" s="417"/>
      <c r="S9" s="417" t="s">
        <v>966</v>
      </c>
      <c r="T9" s="417" t="s">
        <v>966</v>
      </c>
      <c r="U9" s="417"/>
      <c r="V9" s="417" t="s">
        <v>966</v>
      </c>
      <c r="W9" s="417" t="s">
        <v>966</v>
      </c>
      <c r="X9" s="417"/>
      <c r="Y9" s="417"/>
      <c r="Z9" s="417"/>
      <c r="AA9" s="417"/>
      <c r="AB9" s="417" t="s">
        <v>966</v>
      </c>
      <c r="AC9" s="417" t="s">
        <v>966</v>
      </c>
      <c r="AD9" s="418"/>
      <c r="AE9" s="419"/>
      <c r="AF9" s="419"/>
      <c r="AG9" s="419"/>
      <c r="AH9" s="419"/>
      <c r="AI9" s="419"/>
      <c r="AJ9" s="419"/>
      <c r="AK9" s="419"/>
      <c r="AL9" s="418"/>
      <c r="AM9" s="417"/>
      <c r="AN9" s="417"/>
      <c r="AO9" s="417"/>
      <c r="AP9" s="417"/>
      <c r="AQ9" s="417"/>
      <c r="AR9" s="417"/>
      <c r="AS9" s="417"/>
      <c r="AT9" s="417"/>
      <c r="AU9" s="417"/>
      <c r="AV9" s="417"/>
      <c r="AW9" s="417"/>
      <c r="AX9" s="417"/>
      <c r="AY9" s="417"/>
      <c r="AZ9" s="417"/>
      <c r="BA9" s="417"/>
      <c r="BB9" s="417"/>
      <c r="BC9" s="417"/>
      <c r="BD9" s="417"/>
      <c r="BE9" s="417"/>
      <c r="BF9" s="417"/>
      <c r="BG9" s="417"/>
      <c r="BH9" s="417"/>
      <c r="BI9" s="417"/>
      <c r="BJ9" s="417"/>
      <c r="BK9" s="417"/>
      <c r="BL9" s="417"/>
      <c r="BM9" s="417"/>
      <c r="BN9" s="417"/>
      <c r="BO9" s="417"/>
      <c r="BP9" s="417"/>
      <c r="BQ9" s="417"/>
      <c r="BR9" s="417"/>
      <c r="BS9" s="417"/>
      <c r="BT9" s="417"/>
      <c r="BU9" s="417"/>
      <c r="BV9" s="417"/>
      <c r="BW9" s="417"/>
      <c r="BX9" s="417"/>
      <c r="BY9" s="417"/>
      <c r="BZ9" s="417"/>
      <c r="CA9" s="417"/>
      <c r="CB9" s="417"/>
      <c r="CC9" s="417"/>
      <c r="CD9" s="417"/>
      <c r="CE9" s="417"/>
      <c r="CF9" s="417"/>
      <c r="CG9" s="417"/>
      <c r="CH9" s="417"/>
      <c r="CI9" s="417"/>
      <c r="CJ9" s="417"/>
      <c r="CK9" s="417"/>
      <c r="CL9" s="417"/>
      <c r="CM9" s="417"/>
      <c r="CN9" s="417"/>
      <c r="CO9" s="417"/>
      <c r="CP9" s="417"/>
      <c r="CQ9" s="417"/>
      <c r="CR9" s="417"/>
      <c r="CS9" s="417"/>
      <c r="CT9" s="417"/>
      <c r="CU9" s="417"/>
      <c r="CV9" s="417"/>
      <c r="CW9" s="417"/>
    </row>
    <row r="10" ht="15.75" customHeight="1">
      <c r="A10" s="415" t="s">
        <v>976</v>
      </c>
      <c r="B10" s="416"/>
      <c r="C10" s="415" t="s">
        <v>968</v>
      </c>
      <c r="D10" s="417" t="s">
        <v>966</v>
      </c>
      <c r="E10" s="417"/>
      <c r="F10" s="417"/>
      <c r="G10" s="417"/>
      <c r="H10" s="417"/>
      <c r="I10" s="417" t="s">
        <v>966</v>
      </c>
      <c r="J10" s="417"/>
      <c r="K10" s="417"/>
      <c r="L10" s="417"/>
      <c r="M10" s="417"/>
      <c r="N10" s="417"/>
      <c r="O10" s="417"/>
      <c r="P10" s="417"/>
      <c r="Q10" s="418"/>
      <c r="R10" s="417"/>
      <c r="S10" s="417" t="s">
        <v>966</v>
      </c>
      <c r="T10" s="417" t="s">
        <v>966</v>
      </c>
      <c r="U10" s="417" t="s">
        <v>966</v>
      </c>
      <c r="V10" s="417" t="s">
        <v>966</v>
      </c>
      <c r="W10" s="417" t="s">
        <v>966</v>
      </c>
      <c r="X10" s="417" t="s">
        <v>966</v>
      </c>
      <c r="Y10" s="417" t="s">
        <v>966</v>
      </c>
      <c r="Z10" s="417" t="s">
        <v>966</v>
      </c>
      <c r="AA10" s="417" t="s">
        <v>966</v>
      </c>
      <c r="AB10" s="417"/>
      <c r="AC10" s="417" t="s">
        <v>966</v>
      </c>
      <c r="AD10" s="418"/>
      <c r="AE10" s="419"/>
      <c r="AF10" s="419"/>
      <c r="AG10" s="419"/>
      <c r="AH10" s="419"/>
      <c r="AI10" s="419"/>
      <c r="AJ10" s="419"/>
      <c r="AK10" s="419"/>
      <c r="AL10" s="418"/>
      <c r="AM10" s="417"/>
      <c r="AN10" s="417"/>
      <c r="AO10" s="417"/>
      <c r="AP10" s="417"/>
      <c r="AQ10" s="417"/>
      <c r="AR10" s="417"/>
      <c r="AS10" s="417"/>
      <c r="AT10" s="417"/>
      <c r="AU10" s="417"/>
      <c r="AV10" s="417"/>
      <c r="AW10" s="417"/>
      <c r="AX10" s="417"/>
      <c r="AY10" s="417"/>
      <c r="AZ10" s="417"/>
      <c r="BA10" s="417"/>
      <c r="BB10" s="417"/>
      <c r="BC10" s="417"/>
      <c r="BD10" s="417"/>
      <c r="BE10" s="417"/>
      <c r="BF10" s="417"/>
      <c r="BG10" s="417"/>
      <c r="BH10" s="417"/>
      <c r="BI10" s="417"/>
      <c r="BJ10" s="417"/>
      <c r="BK10" s="417"/>
      <c r="BL10" s="417"/>
      <c r="BM10" s="417"/>
      <c r="BN10" s="417"/>
      <c r="BO10" s="417"/>
      <c r="BP10" s="417"/>
      <c r="BQ10" s="417"/>
      <c r="BR10" s="417"/>
      <c r="BS10" s="417"/>
      <c r="BT10" s="417"/>
      <c r="BU10" s="417"/>
      <c r="BV10" s="417"/>
      <c r="BW10" s="417"/>
      <c r="BX10" s="417"/>
      <c r="BY10" s="417"/>
      <c r="BZ10" s="417"/>
      <c r="CA10" s="417"/>
      <c r="CB10" s="417"/>
      <c r="CC10" s="417"/>
      <c r="CD10" s="417"/>
      <c r="CE10" s="417"/>
      <c r="CF10" s="417"/>
      <c r="CG10" s="417"/>
      <c r="CH10" s="417"/>
      <c r="CI10" s="417"/>
      <c r="CJ10" s="417"/>
      <c r="CK10" s="417"/>
      <c r="CL10" s="417"/>
      <c r="CM10" s="417"/>
      <c r="CN10" s="417"/>
      <c r="CO10" s="417"/>
      <c r="CP10" s="417"/>
      <c r="CQ10" s="417"/>
      <c r="CR10" s="417"/>
      <c r="CS10" s="417"/>
      <c r="CT10" s="417"/>
      <c r="CU10" s="417"/>
      <c r="CV10" s="417"/>
      <c r="CW10" s="417"/>
    </row>
    <row r="11" ht="15.75" customHeight="1">
      <c r="A11" s="415" t="s">
        <v>977</v>
      </c>
      <c r="B11" s="416"/>
      <c r="C11" s="415" t="s">
        <v>974</v>
      </c>
      <c r="D11" s="417"/>
      <c r="E11" s="417"/>
      <c r="F11" s="417"/>
      <c r="G11" s="417"/>
      <c r="H11" s="417"/>
      <c r="I11" s="417"/>
      <c r="J11" s="417"/>
      <c r="K11" s="417"/>
      <c r="L11" s="417"/>
      <c r="M11" s="417"/>
      <c r="N11" s="417"/>
      <c r="O11" s="417" t="s">
        <v>966</v>
      </c>
      <c r="P11" s="417"/>
      <c r="Q11" s="418"/>
      <c r="R11" s="417" t="s">
        <v>966</v>
      </c>
      <c r="S11" s="417" t="s">
        <v>966</v>
      </c>
      <c r="T11" s="417"/>
      <c r="U11" s="417"/>
      <c r="V11" s="417" t="s">
        <v>966</v>
      </c>
      <c r="W11" s="417"/>
      <c r="X11" s="417" t="s">
        <v>966</v>
      </c>
      <c r="Y11" s="417"/>
      <c r="Z11" s="417" t="s">
        <v>966</v>
      </c>
      <c r="AA11" s="417" t="s">
        <v>966</v>
      </c>
      <c r="AB11" s="417" t="s">
        <v>966</v>
      </c>
      <c r="AC11" s="417"/>
      <c r="AD11" s="418"/>
      <c r="AE11" s="419"/>
      <c r="AF11" s="419"/>
      <c r="AG11" s="419"/>
      <c r="AH11" s="419"/>
      <c r="AI11" s="419"/>
      <c r="AJ11" s="419"/>
      <c r="AK11" s="419"/>
      <c r="AL11" s="418"/>
      <c r="AM11" s="417"/>
      <c r="AN11" s="417"/>
      <c r="AO11" s="417"/>
      <c r="AP11" s="417"/>
      <c r="AQ11" s="417"/>
      <c r="AR11" s="417"/>
      <c r="AS11" s="417"/>
      <c r="AT11" s="417"/>
      <c r="AU11" s="417"/>
      <c r="AV11" s="417"/>
      <c r="AW11" s="417"/>
      <c r="AX11" s="417"/>
      <c r="AY11" s="417" t="s">
        <v>966</v>
      </c>
      <c r="AZ11" s="417"/>
      <c r="BA11" s="417"/>
      <c r="BB11" s="417"/>
      <c r="BC11" s="417"/>
      <c r="BD11" s="417"/>
      <c r="BE11" s="417"/>
      <c r="BF11" s="417"/>
      <c r="BG11" s="417"/>
      <c r="BH11" s="417"/>
      <c r="BI11" s="417"/>
      <c r="BJ11" s="417"/>
      <c r="BK11" s="417"/>
      <c r="BL11" s="417"/>
      <c r="BM11" s="417"/>
      <c r="BN11" s="417"/>
      <c r="BO11" s="417"/>
      <c r="BP11" s="417"/>
      <c r="BQ11" s="417"/>
      <c r="BR11" s="417"/>
      <c r="BS11" s="417"/>
      <c r="BT11" s="417"/>
      <c r="BU11" s="417"/>
      <c r="BV11" s="417"/>
      <c r="BW11" s="417"/>
      <c r="BX11" s="417"/>
      <c r="BY11" s="417"/>
      <c r="BZ11" s="417"/>
      <c r="CA11" s="417"/>
      <c r="CB11" s="417"/>
      <c r="CC11" s="417"/>
      <c r="CD11" s="417"/>
      <c r="CE11" s="417"/>
      <c r="CF11" s="417"/>
      <c r="CG11" s="417"/>
      <c r="CH11" s="417"/>
      <c r="CI11" s="417"/>
      <c r="CJ11" s="417"/>
      <c r="CK11" s="417"/>
      <c r="CL11" s="417"/>
      <c r="CM11" s="417"/>
      <c r="CN11" s="417"/>
      <c r="CO11" s="417"/>
      <c r="CP11" s="417"/>
      <c r="CQ11" s="417"/>
      <c r="CR11" s="417"/>
      <c r="CS11" s="417"/>
      <c r="CT11" s="417"/>
      <c r="CU11" s="417"/>
      <c r="CV11" s="417"/>
      <c r="CW11" s="417"/>
    </row>
    <row r="12" ht="15.75" customHeight="1">
      <c r="A12" s="415" t="s">
        <v>978</v>
      </c>
      <c r="B12" s="416"/>
      <c r="C12" s="415" t="s">
        <v>970</v>
      </c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8"/>
      <c r="R12" s="417"/>
      <c r="S12" s="417" t="s">
        <v>966</v>
      </c>
      <c r="T12" s="417" t="s">
        <v>966</v>
      </c>
      <c r="U12" s="417"/>
      <c r="V12" s="417"/>
      <c r="W12" s="417"/>
      <c r="X12" s="417"/>
      <c r="Y12" s="417" t="s">
        <v>966</v>
      </c>
      <c r="Z12" s="417" t="s">
        <v>966</v>
      </c>
      <c r="AA12" s="417"/>
      <c r="AB12" s="417" t="s">
        <v>966</v>
      </c>
      <c r="AC12" s="417" t="s">
        <v>966</v>
      </c>
      <c r="AD12" s="418"/>
      <c r="AE12" s="419"/>
      <c r="AF12" s="419"/>
      <c r="AG12" s="419"/>
      <c r="AH12" s="419"/>
      <c r="AI12" s="419"/>
      <c r="AJ12" s="419"/>
      <c r="AK12" s="419"/>
      <c r="AL12" s="418"/>
      <c r="AM12" s="417"/>
      <c r="AN12" s="417"/>
      <c r="AO12" s="417"/>
      <c r="AP12" s="417"/>
      <c r="AQ12" s="417"/>
      <c r="AR12" s="417"/>
      <c r="AS12" s="417"/>
      <c r="AT12" s="417"/>
      <c r="AU12" s="417"/>
      <c r="AV12" s="417"/>
      <c r="AW12" s="417"/>
      <c r="AX12" s="417"/>
      <c r="AY12" s="417"/>
      <c r="AZ12" s="417"/>
      <c r="BA12" s="417"/>
      <c r="BB12" s="417"/>
      <c r="BC12" s="417"/>
      <c r="BD12" s="417"/>
      <c r="BE12" s="417"/>
      <c r="BF12" s="417"/>
      <c r="BG12" s="417"/>
      <c r="BH12" s="417"/>
      <c r="BI12" s="417"/>
      <c r="BJ12" s="417"/>
      <c r="BK12" s="417"/>
      <c r="BL12" s="417"/>
      <c r="BM12" s="417"/>
      <c r="BN12" s="417"/>
      <c r="BO12" s="417"/>
      <c r="BP12" s="417"/>
      <c r="BQ12" s="417"/>
      <c r="BR12" s="417"/>
      <c r="BS12" s="417"/>
      <c r="BT12" s="417"/>
      <c r="BU12" s="417"/>
      <c r="BV12" s="417"/>
      <c r="BW12" s="417"/>
      <c r="BX12" s="417"/>
      <c r="BY12" s="417"/>
      <c r="BZ12" s="417"/>
      <c r="CA12" s="417"/>
      <c r="CB12" s="417"/>
      <c r="CC12" s="417"/>
      <c r="CD12" s="417"/>
      <c r="CE12" s="417"/>
      <c r="CF12" s="417"/>
      <c r="CG12" s="417"/>
      <c r="CH12" s="417"/>
      <c r="CI12" s="417"/>
      <c r="CJ12" s="417"/>
      <c r="CK12" s="417"/>
      <c r="CL12" s="417"/>
      <c r="CM12" s="417"/>
      <c r="CN12" s="417"/>
      <c r="CO12" s="417"/>
      <c r="CP12" s="417"/>
      <c r="CQ12" s="417"/>
      <c r="CR12" s="417"/>
      <c r="CS12" s="417"/>
      <c r="CT12" s="417"/>
      <c r="CU12" s="417"/>
      <c r="CV12" s="417"/>
      <c r="CW12" s="417"/>
    </row>
    <row r="13" ht="15.75" customHeight="1">
      <c r="A13" s="415" t="s">
        <v>979</v>
      </c>
      <c r="B13" s="416"/>
      <c r="C13" s="415" t="s">
        <v>968</v>
      </c>
      <c r="D13" s="417"/>
      <c r="E13" s="417"/>
      <c r="F13" s="417"/>
      <c r="G13" s="417"/>
      <c r="H13" s="417"/>
      <c r="I13" s="417"/>
      <c r="J13" s="417" t="s">
        <v>966</v>
      </c>
      <c r="K13" s="417"/>
      <c r="L13" s="417"/>
      <c r="M13" s="417"/>
      <c r="N13" s="417"/>
      <c r="O13" s="417"/>
      <c r="P13" s="417"/>
      <c r="Q13" s="418"/>
      <c r="R13" s="417"/>
      <c r="S13" s="417" t="s">
        <v>966</v>
      </c>
      <c r="T13" s="417" t="s">
        <v>966</v>
      </c>
      <c r="U13" s="417" t="s">
        <v>966</v>
      </c>
      <c r="V13" s="417"/>
      <c r="W13" s="417"/>
      <c r="X13" s="417" t="s">
        <v>966</v>
      </c>
      <c r="Y13" s="417"/>
      <c r="Z13" s="417"/>
      <c r="AA13" s="417"/>
      <c r="AB13" s="417"/>
      <c r="AC13" s="417" t="s">
        <v>966</v>
      </c>
      <c r="AD13" s="418"/>
      <c r="AE13" s="419"/>
      <c r="AF13" s="419"/>
      <c r="AG13" s="419"/>
      <c r="AH13" s="419"/>
      <c r="AI13" s="419"/>
      <c r="AJ13" s="419"/>
      <c r="AK13" s="419"/>
      <c r="AL13" s="418"/>
      <c r="AM13" s="417"/>
      <c r="AN13" s="417"/>
      <c r="AO13" s="417"/>
      <c r="AP13" s="417"/>
      <c r="AQ13" s="417"/>
      <c r="AR13" s="417"/>
      <c r="AS13" s="417"/>
      <c r="AT13" s="417"/>
      <c r="AU13" s="417"/>
      <c r="AV13" s="417"/>
      <c r="AW13" s="417"/>
      <c r="AX13" s="417"/>
      <c r="AY13" s="417"/>
      <c r="AZ13" s="417"/>
      <c r="BA13" s="417"/>
      <c r="BB13" s="417"/>
      <c r="BC13" s="417"/>
      <c r="BD13" s="417"/>
      <c r="BE13" s="417"/>
      <c r="BF13" s="417"/>
      <c r="BG13" s="417"/>
      <c r="BH13" s="417"/>
      <c r="BI13" s="417"/>
      <c r="BJ13" s="417"/>
      <c r="BK13" s="417"/>
      <c r="BL13" s="417"/>
      <c r="BM13" s="417"/>
      <c r="BN13" s="417"/>
      <c r="BO13" s="417"/>
      <c r="BP13" s="417"/>
      <c r="BQ13" s="417"/>
      <c r="BR13" s="417"/>
      <c r="BS13" s="417"/>
      <c r="BT13" s="417"/>
      <c r="BU13" s="417"/>
      <c r="BV13" s="417"/>
      <c r="BW13" s="417"/>
      <c r="BX13" s="417"/>
      <c r="BY13" s="417"/>
      <c r="BZ13" s="417"/>
      <c r="CA13" s="417"/>
      <c r="CB13" s="417"/>
      <c r="CC13" s="417"/>
      <c r="CD13" s="417"/>
      <c r="CE13" s="417"/>
      <c r="CF13" s="417"/>
      <c r="CG13" s="417"/>
      <c r="CH13" s="417"/>
      <c r="CI13" s="417"/>
      <c r="CJ13" s="417"/>
      <c r="CK13" s="417"/>
      <c r="CL13" s="417"/>
      <c r="CM13" s="417"/>
      <c r="CN13" s="417"/>
      <c r="CO13" s="417"/>
      <c r="CP13" s="417"/>
      <c r="CQ13" s="417"/>
      <c r="CR13" s="417"/>
      <c r="CS13" s="417"/>
      <c r="CT13" s="417"/>
      <c r="CU13" s="417"/>
      <c r="CV13" s="417"/>
      <c r="CW13" s="417"/>
    </row>
    <row r="14" ht="15.75" customHeight="1">
      <c r="A14" s="415" t="s">
        <v>980</v>
      </c>
      <c r="B14" s="416"/>
      <c r="C14" s="415" t="s">
        <v>970</v>
      </c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417"/>
      <c r="O14" s="417"/>
      <c r="P14" s="417"/>
      <c r="Q14" s="418"/>
      <c r="R14" s="417" t="s">
        <v>966</v>
      </c>
      <c r="S14" s="417" t="s">
        <v>966</v>
      </c>
      <c r="T14" s="417" t="s">
        <v>966</v>
      </c>
      <c r="U14" s="417" t="s">
        <v>966</v>
      </c>
      <c r="V14" s="417"/>
      <c r="W14" s="417"/>
      <c r="X14" s="417"/>
      <c r="Y14" s="417" t="s">
        <v>966</v>
      </c>
      <c r="Z14" s="417"/>
      <c r="AA14" s="417"/>
      <c r="AB14" s="417" t="s">
        <v>966</v>
      </c>
      <c r="AC14" s="417"/>
      <c r="AD14" s="418"/>
      <c r="AE14" s="419"/>
      <c r="AF14" s="419"/>
      <c r="AG14" s="419"/>
      <c r="AH14" s="419"/>
      <c r="AI14" s="419"/>
      <c r="AJ14" s="419"/>
      <c r="AK14" s="419"/>
      <c r="AL14" s="418"/>
      <c r="AM14" s="417" t="s">
        <v>966</v>
      </c>
      <c r="AN14" s="417" t="s">
        <v>966</v>
      </c>
      <c r="AO14" s="417"/>
      <c r="AP14" s="417"/>
      <c r="AQ14" s="417"/>
      <c r="AR14" s="417"/>
      <c r="AS14" s="417"/>
      <c r="AT14" s="417"/>
      <c r="AU14" s="417"/>
      <c r="AV14" s="417"/>
      <c r="AW14" s="417"/>
      <c r="AX14" s="417"/>
      <c r="AY14" s="417"/>
      <c r="AZ14" s="417"/>
      <c r="BA14" s="417"/>
      <c r="BB14" s="417"/>
      <c r="BC14" s="417"/>
      <c r="BD14" s="417"/>
      <c r="BE14" s="417"/>
      <c r="BF14" s="417"/>
      <c r="BG14" s="417"/>
      <c r="BH14" s="417"/>
      <c r="BI14" s="417"/>
      <c r="BJ14" s="417"/>
      <c r="BK14" s="417"/>
      <c r="BL14" s="417"/>
      <c r="BM14" s="417"/>
      <c r="BN14" s="417"/>
      <c r="BO14" s="417"/>
      <c r="BP14" s="417"/>
      <c r="BQ14" s="417"/>
      <c r="BR14" s="417"/>
      <c r="BS14" s="417"/>
      <c r="BT14" s="417"/>
      <c r="BU14" s="417"/>
      <c r="BV14" s="417"/>
      <c r="BW14" s="417"/>
      <c r="BX14" s="417"/>
      <c r="BY14" s="417"/>
      <c r="BZ14" s="417"/>
      <c r="CA14" s="417"/>
      <c r="CB14" s="417"/>
      <c r="CC14" s="417"/>
      <c r="CD14" s="417"/>
      <c r="CE14" s="417"/>
      <c r="CF14" s="417"/>
      <c r="CG14" s="417"/>
      <c r="CH14" s="417"/>
      <c r="CI14" s="417"/>
      <c r="CJ14" s="417"/>
      <c r="CK14" s="417"/>
      <c r="CL14" s="417"/>
      <c r="CM14" s="417"/>
      <c r="CN14" s="417"/>
      <c r="CO14" s="417"/>
      <c r="CP14" s="417"/>
      <c r="CQ14" s="417"/>
      <c r="CR14" s="417"/>
      <c r="CS14" s="417"/>
      <c r="CT14" s="417"/>
      <c r="CU14" s="417"/>
      <c r="CV14" s="417"/>
      <c r="CW14" s="417"/>
    </row>
    <row r="15" ht="15.75" customHeight="1">
      <c r="A15" s="415" t="s">
        <v>981</v>
      </c>
      <c r="B15" s="416"/>
      <c r="C15" s="415" t="s">
        <v>968</v>
      </c>
      <c r="D15" s="417"/>
      <c r="E15" s="417"/>
      <c r="F15" s="417"/>
      <c r="G15" s="417"/>
      <c r="H15" s="417"/>
      <c r="I15" s="417"/>
      <c r="J15" s="417"/>
      <c r="K15" s="417"/>
      <c r="L15" s="417"/>
      <c r="M15" s="417"/>
      <c r="N15" s="417" t="s">
        <v>966</v>
      </c>
      <c r="O15" s="417"/>
      <c r="P15" s="417"/>
      <c r="Q15" s="418"/>
      <c r="R15" s="417" t="s">
        <v>966</v>
      </c>
      <c r="S15" s="417" t="s">
        <v>966</v>
      </c>
      <c r="T15" s="417" t="s">
        <v>966</v>
      </c>
      <c r="U15" s="417" t="s">
        <v>966</v>
      </c>
      <c r="V15" s="417" t="s">
        <v>966</v>
      </c>
      <c r="W15" s="417"/>
      <c r="X15" s="417"/>
      <c r="Y15" s="417" t="s">
        <v>966</v>
      </c>
      <c r="Z15" s="417" t="s">
        <v>966</v>
      </c>
      <c r="AA15" s="417"/>
      <c r="AB15" s="417"/>
      <c r="AC15" s="417"/>
      <c r="AD15" s="418"/>
      <c r="AE15" s="419"/>
      <c r="AF15" s="419"/>
      <c r="AG15" s="419"/>
      <c r="AH15" s="419"/>
      <c r="AI15" s="419"/>
      <c r="AJ15" s="419"/>
      <c r="AK15" s="419"/>
      <c r="AL15" s="418"/>
      <c r="AM15" s="417" t="s">
        <v>966</v>
      </c>
      <c r="AN15" s="417" t="s">
        <v>966</v>
      </c>
      <c r="AO15" s="417"/>
      <c r="AP15" s="417"/>
      <c r="AQ15" s="417" t="s">
        <v>966</v>
      </c>
      <c r="AR15" s="417"/>
      <c r="AS15" s="417"/>
      <c r="AT15" s="417"/>
      <c r="AU15" s="417"/>
      <c r="AV15" s="417"/>
      <c r="AW15" s="417"/>
      <c r="AX15" s="417" t="s">
        <v>966</v>
      </c>
      <c r="AY15" s="417"/>
      <c r="AZ15" s="417"/>
      <c r="BA15" s="417"/>
      <c r="BB15" s="417"/>
      <c r="BC15" s="417"/>
      <c r="BD15" s="417"/>
      <c r="BE15" s="417"/>
      <c r="BF15" s="417"/>
      <c r="BG15" s="417"/>
      <c r="BH15" s="417"/>
      <c r="BI15" s="417"/>
      <c r="BJ15" s="417"/>
      <c r="BK15" s="417"/>
      <c r="BL15" s="417"/>
      <c r="BM15" s="417"/>
      <c r="BN15" s="417"/>
      <c r="BO15" s="417"/>
      <c r="BP15" s="417"/>
      <c r="BQ15" s="417"/>
      <c r="BR15" s="417"/>
      <c r="BS15" s="417"/>
      <c r="BT15" s="417"/>
      <c r="BU15" s="417"/>
      <c r="BV15" s="417"/>
      <c r="BW15" s="417"/>
      <c r="BX15" s="417"/>
      <c r="BY15" s="417"/>
      <c r="BZ15" s="417"/>
      <c r="CA15" s="417"/>
      <c r="CB15" s="417"/>
      <c r="CC15" s="417"/>
      <c r="CD15" s="417"/>
      <c r="CE15" s="417"/>
      <c r="CF15" s="417"/>
      <c r="CG15" s="417"/>
      <c r="CH15" s="417"/>
      <c r="CI15" s="417"/>
      <c r="CJ15" s="417"/>
      <c r="CK15" s="417"/>
      <c r="CL15" s="417"/>
      <c r="CM15" s="417"/>
      <c r="CN15" s="417"/>
      <c r="CO15" s="417"/>
      <c r="CP15" s="417"/>
      <c r="CQ15" s="417"/>
      <c r="CR15" s="417"/>
      <c r="CS15" s="417"/>
      <c r="CT15" s="417"/>
      <c r="CU15" s="417"/>
      <c r="CV15" s="417"/>
      <c r="CW15" s="417"/>
    </row>
    <row r="16" ht="15.75" customHeight="1">
      <c r="A16" s="415" t="s">
        <v>982</v>
      </c>
      <c r="B16" s="416"/>
      <c r="C16" s="415" t="s">
        <v>974</v>
      </c>
      <c r="D16" s="417"/>
      <c r="E16" s="417"/>
      <c r="F16" s="417"/>
      <c r="G16" s="417" t="s">
        <v>966</v>
      </c>
      <c r="H16" s="417"/>
      <c r="I16" s="417"/>
      <c r="J16" s="417"/>
      <c r="K16" s="417"/>
      <c r="L16" s="417"/>
      <c r="M16" s="417"/>
      <c r="N16" s="417"/>
      <c r="O16" s="417"/>
      <c r="P16" s="417"/>
      <c r="Q16" s="418"/>
      <c r="R16" s="417"/>
      <c r="S16" s="417" t="s">
        <v>966</v>
      </c>
      <c r="T16" s="417"/>
      <c r="U16" s="417"/>
      <c r="V16" s="417"/>
      <c r="W16" s="417"/>
      <c r="X16" s="417"/>
      <c r="Y16" s="417"/>
      <c r="Z16" s="417" t="s">
        <v>966</v>
      </c>
      <c r="AA16" s="417"/>
      <c r="AB16" s="417"/>
      <c r="AC16" s="417"/>
      <c r="AD16" s="418"/>
      <c r="AE16" s="419"/>
      <c r="AF16" s="419"/>
      <c r="AG16" s="419"/>
      <c r="AH16" s="419"/>
      <c r="AI16" s="419"/>
      <c r="AJ16" s="419"/>
      <c r="AK16" s="419"/>
      <c r="AL16" s="418"/>
      <c r="AM16" s="417"/>
      <c r="AN16" s="417"/>
      <c r="AO16" s="417"/>
      <c r="AP16" s="417"/>
      <c r="AQ16" s="417"/>
      <c r="AR16" s="417"/>
      <c r="AS16" s="417"/>
      <c r="AT16" s="417"/>
      <c r="AU16" s="417"/>
      <c r="AV16" s="417"/>
      <c r="AW16" s="417" t="s">
        <v>966</v>
      </c>
      <c r="AX16" s="417"/>
      <c r="AY16" s="417"/>
      <c r="AZ16" s="417"/>
      <c r="BA16" s="417"/>
      <c r="BB16" s="417"/>
      <c r="BC16" s="417"/>
      <c r="BD16" s="417"/>
      <c r="BE16" s="417"/>
      <c r="BF16" s="417"/>
      <c r="BG16" s="417"/>
      <c r="BH16" s="417"/>
      <c r="BI16" s="417"/>
      <c r="BJ16" s="417"/>
      <c r="BK16" s="417"/>
      <c r="BL16" s="417"/>
      <c r="BM16" s="417"/>
      <c r="BN16" s="417"/>
      <c r="BO16" s="417"/>
      <c r="BP16" s="417"/>
      <c r="BQ16" s="417"/>
      <c r="BR16" s="417"/>
      <c r="BS16" s="417"/>
      <c r="BT16" s="417"/>
      <c r="BU16" s="417"/>
      <c r="BV16" s="417"/>
      <c r="BW16" s="417"/>
      <c r="BX16" s="417"/>
      <c r="BY16" s="417"/>
      <c r="BZ16" s="417"/>
      <c r="CA16" s="417"/>
      <c r="CB16" s="417"/>
      <c r="CC16" s="417"/>
      <c r="CD16" s="417"/>
      <c r="CE16" s="417"/>
      <c r="CF16" s="417"/>
      <c r="CG16" s="417"/>
      <c r="CH16" s="417"/>
      <c r="CI16" s="417"/>
      <c r="CJ16" s="417"/>
      <c r="CK16" s="417"/>
      <c r="CL16" s="417"/>
      <c r="CM16" s="417"/>
      <c r="CN16" s="417"/>
      <c r="CO16" s="417"/>
      <c r="CP16" s="417"/>
      <c r="CQ16" s="417"/>
      <c r="CR16" s="417"/>
      <c r="CS16" s="417"/>
      <c r="CT16" s="417"/>
      <c r="CU16" s="417"/>
      <c r="CV16" s="417"/>
      <c r="CW16" s="417"/>
    </row>
    <row r="17" ht="15.75" customHeight="1">
      <c r="A17" s="415" t="s">
        <v>983</v>
      </c>
      <c r="B17" s="416"/>
      <c r="C17" s="415" t="s">
        <v>974</v>
      </c>
      <c r="D17" s="417"/>
      <c r="E17" s="417"/>
      <c r="F17" s="417"/>
      <c r="G17" s="417"/>
      <c r="H17" s="417"/>
      <c r="I17" s="417" t="s">
        <v>966</v>
      </c>
      <c r="J17" s="417"/>
      <c r="K17" s="417" t="s">
        <v>966</v>
      </c>
      <c r="L17" s="417"/>
      <c r="M17" s="417"/>
      <c r="N17" s="417"/>
      <c r="O17" s="417"/>
      <c r="P17" s="417"/>
      <c r="Q17" s="418"/>
      <c r="R17" s="417"/>
      <c r="S17" s="417" t="s">
        <v>966</v>
      </c>
      <c r="T17" s="417"/>
      <c r="U17" s="417"/>
      <c r="V17" s="417"/>
      <c r="W17" s="417"/>
      <c r="X17" s="417" t="s">
        <v>966</v>
      </c>
      <c r="Y17" s="417"/>
      <c r="Z17" s="417" t="s">
        <v>966</v>
      </c>
      <c r="AA17" s="417" t="s">
        <v>966</v>
      </c>
      <c r="AB17" s="417"/>
      <c r="AC17" s="417"/>
      <c r="AD17" s="418"/>
      <c r="AE17" s="419"/>
      <c r="AF17" s="419"/>
      <c r="AG17" s="419"/>
      <c r="AH17" s="419"/>
      <c r="AI17" s="419"/>
      <c r="AJ17" s="419"/>
      <c r="AK17" s="419"/>
      <c r="AL17" s="418"/>
      <c r="AM17" s="417"/>
      <c r="AN17" s="417"/>
      <c r="AO17" s="417"/>
      <c r="AP17" s="417"/>
      <c r="AQ17" s="417"/>
      <c r="AR17" s="417"/>
      <c r="AS17" s="417"/>
      <c r="AT17" s="417"/>
      <c r="AU17" s="417"/>
      <c r="AV17" s="417"/>
      <c r="AW17" s="417" t="s">
        <v>966</v>
      </c>
      <c r="AX17" s="417"/>
      <c r="AY17" s="417"/>
      <c r="AZ17" s="417"/>
      <c r="BA17" s="417"/>
      <c r="BB17" s="417"/>
      <c r="BC17" s="417"/>
      <c r="BD17" s="417"/>
      <c r="BE17" s="417"/>
      <c r="BF17" s="417"/>
      <c r="BG17" s="417"/>
      <c r="BH17" s="417"/>
      <c r="BI17" s="417"/>
      <c r="BJ17" s="417"/>
      <c r="BK17" s="417"/>
      <c r="BL17" s="417"/>
      <c r="BM17" s="417"/>
      <c r="BN17" s="417"/>
      <c r="BO17" s="417"/>
      <c r="BP17" s="417"/>
      <c r="BQ17" s="417"/>
      <c r="BR17" s="417"/>
      <c r="BS17" s="417"/>
      <c r="BT17" s="417"/>
      <c r="BU17" s="417"/>
      <c r="BV17" s="417"/>
      <c r="BW17" s="417"/>
      <c r="BX17" s="417"/>
      <c r="BY17" s="417"/>
      <c r="BZ17" s="417" t="s">
        <v>966</v>
      </c>
      <c r="CA17" s="417"/>
      <c r="CB17" s="417"/>
      <c r="CC17" s="417"/>
      <c r="CD17" s="417"/>
      <c r="CE17" s="417"/>
      <c r="CF17" s="417"/>
      <c r="CG17" s="417"/>
      <c r="CH17" s="417"/>
      <c r="CI17" s="417"/>
      <c r="CJ17" s="417"/>
      <c r="CK17" s="417"/>
      <c r="CL17" s="417"/>
      <c r="CM17" s="417"/>
      <c r="CN17" s="417"/>
      <c r="CO17" s="417"/>
      <c r="CP17" s="417"/>
      <c r="CQ17" s="417"/>
      <c r="CR17" s="417"/>
      <c r="CS17" s="417"/>
      <c r="CT17" s="417"/>
      <c r="CU17" s="417"/>
      <c r="CV17" s="417"/>
      <c r="CW17" s="417"/>
    </row>
    <row r="18" ht="15.75" customHeight="1">
      <c r="A18" s="415" t="s">
        <v>984</v>
      </c>
      <c r="B18" s="416"/>
      <c r="C18" s="415" t="s">
        <v>970</v>
      </c>
      <c r="D18" s="417" t="s">
        <v>966</v>
      </c>
      <c r="E18" s="417"/>
      <c r="F18" s="417"/>
      <c r="G18" s="417"/>
      <c r="H18" s="417"/>
      <c r="I18" s="417"/>
      <c r="J18" s="417" t="s">
        <v>966</v>
      </c>
      <c r="K18" s="417"/>
      <c r="L18" s="417"/>
      <c r="M18" s="417"/>
      <c r="N18" s="417"/>
      <c r="O18" s="417"/>
      <c r="P18" s="417"/>
      <c r="Q18" s="418"/>
      <c r="R18" s="417"/>
      <c r="S18" s="417" t="s">
        <v>966</v>
      </c>
      <c r="T18" s="417"/>
      <c r="U18" s="417" t="s">
        <v>966</v>
      </c>
      <c r="V18" s="417"/>
      <c r="W18" s="417" t="s">
        <v>966</v>
      </c>
      <c r="X18" s="417" t="s">
        <v>966</v>
      </c>
      <c r="Y18" s="417"/>
      <c r="Z18" s="417"/>
      <c r="AA18" s="417" t="s">
        <v>966</v>
      </c>
      <c r="AB18" s="417" t="s">
        <v>966</v>
      </c>
      <c r="AC18" s="417" t="s">
        <v>966</v>
      </c>
      <c r="AD18" s="418"/>
      <c r="AE18" s="419"/>
      <c r="AF18" s="419"/>
      <c r="AG18" s="419"/>
      <c r="AH18" s="419"/>
      <c r="AI18" s="419"/>
      <c r="AJ18" s="419"/>
      <c r="AK18" s="419"/>
      <c r="AL18" s="418"/>
      <c r="AM18" s="417"/>
      <c r="AN18" s="417"/>
      <c r="AO18" s="417"/>
      <c r="AP18" s="417"/>
      <c r="AQ18" s="417"/>
      <c r="AR18" s="417"/>
      <c r="AS18" s="417"/>
      <c r="AT18" s="417"/>
      <c r="AU18" s="417"/>
      <c r="AV18" s="417"/>
      <c r="AW18" s="417"/>
      <c r="AX18" s="417"/>
      <c r="AY18" s="417"/>
      <c r="AZ18" s="417"/>
      <c r="BA18" s="417"/>
      <c r="BB18" s="417"/>
      <c r="BC18" s="417"/>
      <c r="BD18" s="417"/>
      <c r="BE18" s="417"/>
      <c r="BF18" s="417"/>
      <c r="BG18" s="417"/>
      <c r="BH18" s="417"/>
      <c r="BI18" s="417"/>
      <c r="BJ18" s="417"/>
      <c r="BK18" s="417"/>
      <c r="BL18" s="417"/>
      <c r="BM18" s="417"/>
      <c r="BN18" s="417"/>
      <c r="BO18" s="417"/>
      <c r="BP18" s="417"/>
      <c r="BQ18" s="417"/>
      <c r="BR18" s="417"/>
      <c r="BS18" s="417"/>
      <c r="BT18" s="417"/>
      <c r="BU18" s="417"/>
      <c r="BV18" s="417"/>
      <c r="BW18" s="417"/>
      <c r="BX18" s="417"/>
      <c r="BY18" s="417"/>
      <c r="BZ18" s="417"/>
      <c r="CA18" s="417"/>
      <c r="CB18" s="417"/>
      <c r="CC18" s="417"/>
      <c r="CD18" s="417"/>
      <c r="CE18" s="417"/>
      <c r="CF18" s="417"/>
      <c r="CG18" s="417"/>
      <c r="CH18" s="417"/>
      <c r="CI18" s="417"/>
      <c r="CJ18" s="417"/>
      <c r="CK18" s="417"/>
      <c r="CL18" s="417"/>
      <c r="CM18" s="417"/>
      <c r="CN18" s="417"/>
      <c r="CO18" s="417"/>
      <c r="CP18" s="417"/>
      <c r="CQ18" s="417"/>
      <c r="CR18" s="417"/>
      <c r="CS18" s="417"/>
      <c r="CT18" s="417"/>
      <c r="CU18" s="417"/>
      <c r="CV18" s="417"/>
      <c r="CW18" s="417"/>
    </row>
    <row r="19" ht="15.75" customHeight="1">
      <c r="A19" s="415" t="s">
        <v>985</v>
      </c>
      <c r="B19" s="416"/>
      <c r="C19" s="415" t="s">
        <v>965</v>
      </c>
      <c r="D19" s="417"/>
      <c r="E19" s="417" t="s">
        <v>966</v>
      </c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 t="s">
        <v>966</v>
      </c>
      <c r="Q19" s="418"/>
      <c r="R19" s="417"/>
      <c r="S19" s="417" t="s">
        <v>966</v>
      </c>
      <c r="T19" s="417" t="s">
        <v>966</v>
      </c>
      <c r="U19" s="417"/>
      <c r="V19" s="417"/>
      <c r="W19" s="417"/>
      <c r="X19" s="417"/>
      <c r="Y19" s="417"/>
      <c r="Z19" s="417" t="s">
        <v>966</v>
      </c>
      <c r="AA19" s="417"/>
      <c r="AB19" s="417"/>
      <c r="AC19" s="417"/>
      <c r="AD19" s="418"/>
      <c r="AE19" s="419"/>
      <c r="AF19" s="419"/>
      <c r="AG19" s="419"/>
      <c r="AH19" s="419"/>
      <c r="AI19" s="419"/>
      <c r="AJ19" s="419"/>
      <c r="AK19" s="419"/>
      <c r="AL19" s="418"/>
      <c r="AM19" s="417"/>
      <c r="AN19" s="417"/>
      <c r="AO19" s="417"/>
      <c r="AP19" s="417"/>
      <c r="AQ19" s="417"/>
      <c r="AR19" s="417"/>
      <c r="AS19" s="417"/>
      <c r="AT19" s="417"/>
      <c r="AU19" s="417"/>
      <c r="AV19" s="417"/>
      <c r="AW19" s="417"/>
      <c r="AX19" s="417"/>
      <c r="AY19" s="417"/>
      <c r="AZ19" s="417"/>
      <c r="BA19" s="417"/>
      <c r="BB19" s="417"/>
      <c r="BC19" s="417"/>
      <c r="BD19" s="417"/>
      <c r="BE19" s="417"/>
      <c r="BF19" s="417"/>
      <c r="BG19" s="417"/>
      <c r="BH19" s="417"/>
      <c r="BI19" s="417"/>
      <c r="BJ19" s="417"/>
      <c r="BK19" s="417"/>
      <c r="BL19" s="417"/>
      <c r="BM19" s="417"/>
      <c r="BN19" s="417"/>
      <c r="BO19" s="417"/>
      <c r="BP19" s="417"/>
      <c r="BQ19" s="417"/>
      <c r="BR19" s="417"/>
      <c r="BS19" s="417"/>
      <c r="BT19" s="417"/>
      <c r="BU19" s="417"/>
      <c r="BV19" s="417"/>
      <c r="BW19" s="417"/>
      <c r="BX19" s="417"/>
      <c r="BY19" s="417" t="s">
        <v>966</v>
      </c>
      <c r="BZ19" s="417"/>
      <c r="CA19" s="417"/>
      <c r="CB19" s="417"/>
      <c r="CC19" s="417"/>
      <c r="CD19" s="417"/>
      <c r="CE19" s="417"/>
      <c r="CF19" s="417"/>
      <c r="CG19" s="417"/>
      <c r="CH19" s="417"/>
      <c r="CI19" s="417"/>
      <c r="CJ19" s="417"/>
      <c r="CK19" s="417"/>
      <c r="CL19" s="417"/>
      <c r="CM19" s="417"/>
      <c r="CN19" s="417"/>
      <c r="CO19" s="417"/>
      <c r="CP19" s="417"/>
      <c r="CQ19" s="417"/>
      <c r="CR19" s="417"/>
      <c r="CS19" s="417"/>
      <c r="CT19" s="417"/>
      <c r="CU19" s="417"/>
      <c r="CV19" s="417"/>
      <c r="CW19" s="417"/>
    </row>
    <row r="20" ht="15.75" customHeight="1">
      <c r="A20" s="415" t="s">
        <v>986</v>
      </c>
      <c r="B20" s="416"/>
      <c r="C20" s="415" t="s">
        <v>965</v>
      </c>
      <c r="D20" s="417"/>
      <c r="E20" s="417"/>
      <c r="F20" s="417" t="s">
        <v>966</v>
      </c>
      <c r="G20" s="417"/>
      <c r="H20" s="417"/>
      <c r="I20" s="417"/>
      <c r="J20" s="417"/>
      <c r="K20" s="417"/>
      <c r="L20" s="417"/>
      <c r="M20" s="417"/>
      <c r="N20" s="417"/>
      <c r="O20" s="417"/>
      <c r="P20" s="417" t="s">
        <v>966</v>
      </c>
      <c r="Q20" s="418"/>
      <c r="R20" s="417"/>
      <c r="S20" s="417" t="s">
        <v>966</v>
      </c>
      <c r="T20" s="417"/>
      <c r="U20" s="417"/>
      <c r="V20" s="417"/>
      <c r="W20" s="417" t="s">
        <v>966</v>
      </c>
      <c r="X20" s="417"/>
      <c r="Y20" s="417" t="s">
        <v>966</v>
      </c>
      <c r="Z20" s="417" t="s">
        <v>966</v>
      </c>
      <c r="AA20" s="417"/>
      <c r="AB20" s="417"/>
      <c r="AC20" s="420"/>
      <c r="AD20" s="418"/>
      <c r="AE20" s="419"/>
      <c r="AF20" s="419"/>
      <c r="AG20" s="419"/>
      <c r="AH20" s="419"/>
      <c r="AI20" s="419"/>
      <c r="AJ20" s="419"/>
      <c r="AK20" s="419"/>
      <c r="AL20" s="418"/>
      <c r="AM20" s="417" t="s">
        <v>966</v>
      </c>
      <c r="AN20" s="417" t="s">
        <v>966</v>
      </c>
      <c r="AO20" s="417"/>
      <c r="AP20" s="417"/>
      <c r="AQ20" s="417" t="s">
        <v>966</v>
      </c>
      <c r="AR20" s="417"/>
      <c r="AS20" s="417"/>
      <c r="AT20" s="417"/>
      <c r="AU20" s="417"/>
      <c r="AV20" s="417"/>
      <c r="AW20" s="417"/>
      <c r="AX20" s="417"/>
      <c r="AY20" s="417"/>
      <c r="AZ20" s="417"/>
      <c r="BA20" s="417"/>
      <c r="BB20" s="417"/>
      <c r="BC20" s="417"/>
      <c r="BD20" s="417"/>
      <c r="BE20" s="417"/>
      <c r="BF20" s="417"/>
      <c r="BG20" s="417"/>
      <c r="BH20" s="417"/>
      <c r="BI20" s="417"/>
      <c r="BJ20" s="417"/>
      <c r="BK20" s="417"/>
      <c r="BL20" s="417"/>
      <c r="BM20" s="417"/>
      <c r="BN20" s="417"/>
      <c r="BO20" s="417"/>
      <c r="BP20" s="417"/>
      <c r="BQ20" s="417"/>
      <c r="BR20" s="417"/>
      <c r="BS20" s="417"/>
      <c r="BT20" s="417"/>
      <c r="BU20" s="417"/>
      <c r="BV20" s="417"/>
      <c r="BW20" s="417"/>
      <c r="BX20" s="417"/>
      <c r="BY20" s="417" t="s">
        <v>966</v>
      </c>
      <c r="BZ20" s="417"/>
      <c r="CA20" s="417"/>
      <c r="CB20" s="417"/>
      <c r="CC20" s="417"/>
      <c r="CD20" s="417"/>
      <c r="CE20" s="417"/>
      <c r="CF20" s="417"/>
      <c r="CG20" s="417"/>
      <c r="CH20" s="417"/>
      <c r="CI20" s="417"/>
      <c r="CJ20" s="417"/>
      <c r="CK20" s="417"/>
      <c r="CL20" s="417"/>
      <c r="CM20" s="417"/>
      <c r="CN20" s="417"/>
      <c r="CO20" s="417"/>
      <c r="CP20" s="417"/>
      <c r="CQ20" s="417"/>
      <c r="CR20" s="417"/>
      <c r="CS20" s="417"/>
      <c r="CT20" s="417"/>
      <c r="CU20" s="417"/>
      <c r="CV20" s="417"/>
      <c r="CW20" s="417"/>
    </row>
    <row r="21" ht="15.75" customHeight="1">
      <c r="A21" s="415" t="s">
        <v>987</v>
      </c>
      <c r="B21" s="416"/>
      <c r="C21" s="415" t="s">
        <v>968</v>
      </c>
      <c r="D21" s="417"/>
      <c r="E21" s="417"/>
      <c r="F21" s="417"/>
      <c r="G21" s="417"/>
      <c r="H21" s="417" t="s">
        <v>966</v>
      </c>
      <c r="I21" s="417"/>
      <c r="J21" s="417"/>
      <c r="K21" s="417"/>
      <c r="L21" s="417" t="s">
        <v>966</v>
      </c>
      <c r="M21" s="417"/>
      <c r="N21" s="417"/>
      <c r="O21" s="417"/>
      <c r="P21" s="417"/>
      <c r="Q21" s="418"/>
      <c r="R21" s="417" t="s">
        <v>966</v>
      </c>
      <c r="S21" s="417" t="s">
        <v>966</v>
      </c>
      <c r="T21" s="417"/>
      <c r="U21" s="417" t="s">
        <v>966</v>
      </c>
      <c r="V21" s="417" t="s">
        <v>966</v>
      </c>
      <c r="W21" s="417"/>
      <c r="X21" s="417"/>
      <c r="Y21" s="417" t="s">
        <v>966</v>
      </c>
      <c r="Z21" s="417"/>
      <c r="AA21" s="417"/>
      <c r="AB21" s="421"/>
      <c r="AC21" s="422"/>
      <c r="AD21" s="418"/>
      <c r="AE21" s="419"/>
      <c r="AF21" s="419"/>
      <c r="AG21" s="419"/>
      <c r="AH21" s="419"/>
      <c r="AI21" s="419"/>
      <c r="AJ21" s="419"/>
      <c r="AK21" s="419"/>
      <c r="AL21" s="418"/>
      <c r="AM21" s="417" t="s">
        <v>966</v>
      </c>
      <c r="AN21" s="417" t="s">
        <v>966</v>
      </c>
      <c r="AO21" s="417"/>
      <c r="AP21" s="417"/>
      <c r="AQ21" s="417"/>
      <c r="AR21" s="417"/>
      <c r="AS21" s="417"/>
      <c r="AT21" s="417"/>
      <c r="AU21" s="417"/>
      <c r="AV21" s="417"/>
      <c r="AW21" s="417"/>
      <c r="AX21" s="417"/>
      <c r="AY21" s="417"/>
      <c r="AZ21" s="417"/>
      <c r="BA21" s="417"/>
      <c r="BB21" s="417"/>
      <c r="BC21" s="417"/>
      <c r="BD21" s="417"/>
      <c r="BE21" s="417"/>
      <c r="BF21" s="417"/>
      <c r="BG21" s="417"/>
      <c r="BH21" s="417"/>
      <c r="BI21" s="417"/>
      <c r="BJ21" s="417"/>
      <c r="BK21" s="417"/>
      <c r="BL21" s="417"/>
      <c r="BM21" s="417"/>
      <c r="BN21" s="417"/>
      <c r="BO21" s="417"/>
      <c r="BP21" s="417"/>
      <c r="BQ21" s="417"/>
      <c r="BR21" s="417"/>
      <c r="BS21" s="417"/>
      <c r="BT21" s="417"/>
      <c r="BU21" s="417"/>
      <c r="BV21" s="417"/>
      <c r="BW21" s="417"/>
      <c r="BX21" s="417"/>
      <c r="BY21" s="417"/>
      <c r="BZ21" s="417"/>
      <c r="CA21" s="417"/>
      <c r="CB21" s="417"/>
      <c r="CC21" s="417"/>
      <c r="CD21" s="417"/>
      <c r="CE21" s="417"/>
      <c r="CF21" s="417"/>
      <c r="CG21" s="417"/>
      <c r="CH21" s="417"/>
      <c r="CI21" s="417"/>
      <c r="CJ21" s="417"/>
      <c r="CK21" s="417"/>
      <c r="CL21" s="417"/>
      <c r="CM21" s="417"/>
      <c r="CN21" s="417"/>
      <c r="CO21" s="417"/>
      <c r="CP21" s="417"/>
      <c r="CQ21" s="417"/>
      <c r="CR21" s="417"/>
      <c r="CS21" s="417"/>
      <c r="CT21" s="417"/>
      <c r="CU21" s="417"/>
      <c r="CV21" s="417"/>
      <c r="CW21" s="417"/>
    </row>
    <row r="22" ht="15.75" customHeight="1">
      <c r="T22" s="423"/>
    </row>
    <row r="23" ht="15.75" customHeight="1">
      <c r="A23" s="424" t="s">
        <v>142</v>
      </c>
      <c r="D23" s="425" t="str">
        <f>IF(R4="X",$A$4&amp;", ","")&amp;IF(R5="X",$A$5&amp;", ","")&amp;IF(R6="X",$A$6&amp;", ","")&amp;IF(R7="X",$A$7&amp;", ","")&amp;IF(R8="X",$A$8&amp;", ","")&amp;IF(R9="X",$A$9&amp;", ","")&amp;IF(R10="X",$A$10&amp;", ","")&amp;IF(R11="X",$A$11&amp;", ","")&amp;IF(R12="X",$A12&amp;", ","")&amp;IF(R13="X",$A13&amp;", ","")&amp;IF(R14="X",$A14&amp;", ","")&amp;IF(R15="X",$A15&amp;", ","")&amp;IF(R16="X",$A16&amp;", ","")&amp;IF(R17="X",$A17&amp;", ","")&amp;IF(R18="X",$A18&amp;", ","")&amp;IF(R19="X",$A19&amp;", ","")&amp;IF(R20="X",$A20&amp;", ","")&amp;IF(R21="X",$A21&amp;", ","")</f>
        <v>Trato con animales, Atletismo, Intimidacion, Naturaleza, Percepcion, Supervivencia, </v>
      </c>
      <c r="AM23" s="425"/>
      <c r="AN23" s="425"/>
      <c r="AO23" s="425"/>
      <c r="AP23" s="425"/>
      <c r="AQ23" s="425"/>
      <c r="AR23" s="425"/>
      <c r="AS23" s="425"/>
      <c r="AT23" s="425"/>
      <c r="AU23" s="425"/>
      <c r="AV23" s="425"/>
      <c r="AW23" s="425"/>
      <c r="AX23" s="425"/>
      <c r="AY23" s="425"/>
      <c r="AZ23" s="425"/>
      <c r="BA23" s="425"/>
      <c r="BB23" s="425"/>
      <c r="BC23" s="425"/>
      <c r="BD23" s="425"/>
      <c r="BE23" s="425"/>
      <c r="BF23" s="425"/>
      <c r="BG23" s="425"/>
      <c r="BH23" s="425"/>
      <c r="BI23" s="425"/>
      <c r="BJ23" s="425"/>
      <c r="BK23" s="425"/>
      <c r="BL23" s="425"/>
      <c r="BM23" s="425"/>
      <c r="BN23" s="425"/>
      <c r="BO23" s="425"/>
      <c r="BP23" s="425"/>
      <c r="BQ23" s="425"/>
      <c r="BR23" s="425"/>
      <c r="BS23" s="425"/>
      <c r="BT23" s="425"/>
      <c r="BU23" s="425"/>
      <c r="BV23" s="425"/>
      <c r="BW23" s="425"/>
      <c r="BX23" s="425"/>
      <c r="BY23" s="425"/>
      <c r="BZ23" s="425"/>
      <c r="CA23" s="425"/>
      <c r="CB23" s="425"/>
      <c r="CC23" s="425"/>
      <c r="CD23" s="425"/>
      <c r="CE23" s="425"/>
      <c r="CF23" s="425"/>
      <c r="CG23" s="425"/>
      <c r="CH23" s="425"/>
      <c r="CI23" s="425"/>
      <c r="CJ23" s="425"/>
      <c r="CK23" s="425"/>
      <c r="CL23" s="425"/>
      <c r="CM23" s="425"/>
      <c r="CN23" s="425"/>
      <c r="CO23" s="425"/>
      <c r="CP23" s="425"/>
      <c r="CQ23" s="425"/>
      <c r="CR23" s="425"/>
      <c r="CS23" s="425"/>
      <c r="CT23" s="425"/>
      <c r="CU23" s="425"/>
      <c r="CV23" s="425"/>
      <c r="CW23" s="425"/>
    </row>
    <row r="24" ht="15.75" customHeight="1">
      <c r="A24" s="426" t="s">
        <v>139</v>
      </c>
      <c r="D24" s="427" t="str">
        <f>IF(S4="X",$A$4&amp;", ","")&amp;IF(S5="X",$A$5&amp;", ","")&amp;IF(S6="X",$A$6&amp;", ","")&amp;IF(S7="X",$A$7&amp;", ","")&amp;IF(S8="X",$A$8&amp;", ","")&amp;IF(S9="X",$A$9&amp;", ","")&amp;IF(S10="X",$A$10&amp;", ","")&amp;IF(S11="X",$A$11&amp;", ","")&amp;IF(S12="X",$A12&amp;", ","")&amp;IF(S13="X",$A13&amp;", ","")&amp;IF(S14="X",$A14&amp;", ","")&amp;IF(S15="X",$A15&amp;", ","")&amp;IF(S16="X",$A16&amp;", ","")&amp;IF(S17="X",$A17&amp;", ","")&amp;IF(S18="X",$A18&amp;", ","")&amp;IF(S19="X",$A19&amp;", ","")&amp;IF(S20="X",$A20&amp;", ","")&amp;IF(S21="X",$A21&amp;", ","")</f>
        <v>Acrobacias, Trato con animales, Arcano, Atletismo, Engaño, Historia, Perspicacia, Intimidacion, Investigacion, Medicina, Naturaleza, Percepcion, Interpretacion, Persuasion, Religion, Juego de Manos, Sigilo, Supervivencia, </v>
      </c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  <c r="BF24" s="427"/>
      <c r="BG24" s="427"/>
      <c r="BH24" s="427"/>
      <c r="BI24" s="427"/>
      <c r="BJ24" s="427"/>
      <c r="BK24" s="427"/>
      <c r="BL24" s="427"/>
      <c r="BM24" s="427"/>
      <c r="BN24" s="427"/>
      <c r="BO24" s="427"/>
      <c r="BP24" s="427"/>
      <c r="BQ24" s="427"/>
      <c r="BR24" s="427"/>
      <c r="BS24" s="427"/>
      <c r="BT24" s="427"/>
      <c r="BU24" s="427"/>
      <c r="BV24" s="427"/>
      <c r="BW24" s="427"/>
      <c r="BX24" s="427"/>
      <c r="BY24" s="427"/>
      <c r="BZ24" s="427"/>
      <c r="CA24" s="427"/>
      <c r="CB24" s="427"/>
      <c r="CC24" s="427"/>
      <c r="CD24" s="427"/>
      <c r="CE24" s="427"/>
      <c r="CF24" s="427"/>
      <c r="CG24" s="427"/>
      <c r="CH24" s="427"/>
      <c r="CI24" s="427"/>
      <c r="CJ24" s="427"/>
      <c r="CK24" s="427"/>
      <c r="CL24" s="427"/>
      <c r="CM24" s="427"/>
      <c r="CN24" s="427"/>
      <c r="CO24" s="427"/>
      <c r="CP24" s="427"/>
      <c r="CQ24" s="427"/>
      <c r="CR24" s="427"/>
      <c r="CS24" s="427"/>
      <c r="CT24" s="427"/>
      <c r="CU24" s="427"/>
      <c r="CV24" s="427"/>
      <c r="CW24" s="427"/>
    </row>
    <row r="25" ht="15.75" customHeight="1">
      <c r="A25" s="428" t="s">
        <v>145</v>
      </c>
      <c r="D25" s="429" t="str">
        <f>IF(T4="X",$A$4&amp;", ","")&amp;IF(T5="X",$A$5&amp;", ","")&amp;IF(T6="X",$A$6&amp;", ","")&amp;IF(T7="X",$A$7&amp;", ","")&amp;IF(T8="X",$A$8&amp;", ","")&amp;IF(T9="X",$A$9&amp;", ","")&amp;IF(T10="X",$A$10&amp;", ","")&amp;IF(T11="X",$A$11&amp;", ","")&amp;IF(T12="X",$A12&amp;", ","")&amp;IF(T13="X",$A13&amp;", ","")&amp;IF(T14="X",$A14&amp;", ","")&amp;IF(T15="X",$A15&amp;", ","")&amp;IF(T16="X",$A16&amp;", ","")&amp;IF(T17="X",$A17&amp;", ","")&amp;IF(T18="X",$A18&amp;", ","")&amp;IF(T19="X",$A19&amp;", ","")&amp;IF(T20="X",$A20&amp;", ","")&amp;IF(T21="X",$A21&amp;", ","")</f>
        <v>Arcano, Atletismo, Historia, Perspicacia, Investigacion, Medicina, Naturaleza, Percepcion, Juego de Manos, </v>
      </c>
      <c r="AM25" s="429"/>
      <c r="AN25" s="429"/>
      <c r="AO25" s="429"/>
      <c r="AP25" s="429"/>
      <c r="AQ25" s="429"/>
      <c r="AR25" s="429"/>
      <c r="AS25" s="429"/>
      <c r="AT25" s="429"/>
      <c r="AU25" s="429"/>
      <c r="AV25" s="429"/>
      <c r="AW25" s="429"/>
      <c r="AX25" s="429"/>
      <c r="AY25" s="429"/>
      <c r="AZ25" s="429"/>
      <c r="BA25" s="429"/>
      <c r="BB25" s="429"/>
      <c r="BC25" s="429"/>
      <c r="BD25" s="429"/>
      <c r="BE25" s="429"/>
      <c r="BF25" s="429"/>
      <c r="BG25" s="429"/>
      <c r="BH25" s="429"/>
      <c r="BI25" s="429"/>
      <c r="BJ25" s="429"/>
      <c r="BK25" s="429"/>
      <c r="BL25" s="429"/>
      <c r="BM25" s="429"/>
      <c r="BN25" s="429"/>
      <c r="BO25" s="429"/>
      <c r="BP25" s="429"/>
      <c r="BQ25" s="429"/>
      <c r="BR25" s="429"/>
      <c r="BS25" s="429"/>
      <c r="BT25" s="429"/>
      <c r="BU25" s="429"/>
      <c r="BV25" s="429"/>
      <c r="BW25" s="429"/>
      <c r="BX25" s="429"/>
      <c r="BY25" s="429"/>
      <c r="BZ25" s="429"/>
      <c r="CA25" s="429"/>
      <c r="CB25" s="429"/>
      <c r="CC25" s="429"/>
      <c r="CD25" s="429"/>
      <c r="CE25" s="429"/>
      <c r="CF25" s="429"/>
      <c r="CG25" s="429"/>
      <c r="CH25" s="429"/>
      <c r="CI25" s="429"/>
      <c r="CJ25" s="429"/>
      <c r="CK25" s="429"/>
      <c r="CL25" s="429"/>
      <c r="CM25" s="429"/>
      <c r="CN25" s="429"/>
      <c r="CO25" s="429"/>
      <c r="CP25" s="429"/>
      <c r="CQ25" s="429"/>
      <c r="CR25" s="429"/>
      <c r="CS25" s="429"/>
      <c r="CT25" s="429"/>
      <c r="CU25" s="429"/>
      <c r="CV25" s="429"/>
      <c r="CW25" s="429"/>
    </row>
    <row r="26" ht="15.75" customHeight="1">
      <c r="A26" s="430" t="s">
        <v>148</v>
      </c>
      <c r="D26" s="431" t="str">
        <f>IF(U4="X",$A$4&amp;", ","")&amp;IF(U5="X",$A$5&amp;", ","")&amp;IF(U6="X",$A$6&amp;", ","")&amp;IF(U7="X",$A$7&amp;", ","")&amp;IF(U8="X",$A$8&amp;", ","")&amp;IF(U9="X",$A$9&amp;", ","")&amp;IF(U10="X",$A$10&amp;", ","")&amp;IF(U11="X",$A$11&amp;", ","")&amp;IF(U12="X",$A12&amp;", ","")&amp;IF(U13="X",$A13&amp;", ","")&amp;IF(U14="X",$A14&amp;", ","")&amp;IF(U15="X",$A15&amp;", ","")&amp;IF(U16="X",$A16&amp;", ","")&amp;IF(U17="X",$A17&amp;", ","")&amp;IF(U18="X",$A18&amp;", ","")&amp;IF(U19="X",$A19&amp;", ","")&amp;IF(U20="X",$A20&amp;", ","")&amp;IF(U21="X",$A21&amp;", ","")</f>
        <v>Trato con animales, Arcano, Perspicacia, Medicina, Naturaleza, Percepcion, Religion, Supervivencia, </v>
      </c>
      <c r="AM26" s="431"/>
      <c r="AN26" s="431"/>
      <c r="AO26" s="431"/>
      <c r="AP26" s="431"/>
      <c r="AQ26" s="431"/>
      <c r="AR26" s="431"/>
      <c r="AS26" s="431"/>
      <c r="AT26" s="431"/>
      <c r="AU26" s="431"/>
      <c r="AV26" s="431"/>
      <c r="AW26" s="431"/>
      <c r="AX26" s="431"/>
      <c r="AY26" s="431"/>
      <c r="AZ26" s="431"/>
      <c r="BA26" s="431"/>
      <c r="BB26" s="431"/>
      <c r="BC26" s="431"/>
      <c r="BD26" s="431"/>
      <c r="BE26" s="431"/>
      <c r="BF26" s="431"/>
      <c r="BG26" s="431"/>
      <c r="BH26" s="431"/>
      <c r="BI26" s="431"/>
      <c r="BJ26" s="431"/>
      <c r="BK26" s="431"/>
      <c r="BL26" s="431"/>
      <c r="BM26" s="431"/>
      <c r="BN26" s="431"/>
      <c r="BO26" s="431"/>
      <c r="BP26" s="431"/>
      <c r="BQ26" s="431"/>
      <c r="BR26" s="431"/>
      <c r="BS26" s="431"/>
      <c r="BT26" s="431"/>
      <c r="BU26" s="431"/>
      <c r="BV26" s="431"/>
      <c r="BW26" s="431"/>
      <c r="BX26" s="431"/>
      <c r="BY26" s="431"/>
      <c r="BZ26" s="431"/>
      <c r="CA26" s="431"/>
      <c r="CB26" s="431"/>
      <c r="CC26" s="431"/>
      <c r="CD26" s="431"/>
      <c r="CE26" s="431"/>
      <c r="CF26" s="431"/>
      <c r="CG26" s="431"/>
      <c r="CH26" s="431"/>
      <c r="CI26" s="431"/>
      <c r="CJ26" s="431"/>
      <c r="CK26" s="431"/>
      <c r="CL26" s="431"/>
      <c r="CM26" s="431"/>
      <c r="CN26" s="431"/>
      <c r="CO26" s="431"/>
      <c r="CP26" s="431"/>
      <c r="CQ26" s="431"/>
      <c r="CR26" s="431"/>
      <c r="CS26" s="431"/>
      <c r="CT26" s="431"/>
      <c r="CU26" s="431"/>
      <c r="CV26" s="431"/>
      <c r="CW26" s="431"/>
    </row>
    <row r="27" ht="15.75" customHeight="1">
      <c r="A27" s="432" t="s">
        <v>115</v>
      </c>
      <c r="D27" s="433" t="str">
        <f>IF(V4="X",$A$4&amp;", ","")&amp;IF(V5="X",$A$5&amp;", ","")&amp;IF(V6="X",$A$6&amp;", ","")&amp;IF(V7="X",$A$7&amp;", ","")&amp;IF(V8="X",$A$8&amp;", ","")&amp;IF(V9="X",$A$9&amp;", ","")&amp;IF(V10="X",$A$10&amp;", ","")&amp;IF(V11="X",$A$11&amp;", ","")&amp;IF(V12="X",$A12&amp;", ","")&amp;IF(V13="X",$A13&amp;", ","")&amp;IF(V14="X",$A14&amp;", ","")&amp;IF(V15="X",$A15&amp;", ","")&amp;IF(V16="X",$A16&amp;", ","")&amp;IF(V17="X",$A17&amp;", ","")&amp;IF(V18="X",$A18&amp;", ","")&amp;IF(V19="X",$A19&amp;", ","")&amp;IF(V20="X",$A20&amp;", ","")&amp;IF(V21="X",$A21&amp;", ","")</f>
        <v>Acrobacias, Trato con animales, Atletismo, Historia, Perspicacia, Intimidacion, Percepcion, Supervivencia, </v>
      </c>
      <c r="AM27" s="433"/>
      <c r="AN27" s="433"/>
      <c r="AO27" s="433"/>
      <c r="AP27" s="433"/>
      <c r="AQ27" s="433"/>
      <c r="AR27" s="433"/>
      <c r="AS27" s="433"/>
      <c r="AT27" s="433"/>
      <c r="AU27" s="433"/>
      <c r="AV27" s="433"/>
      <c r="AW27" s="433"/>
      <c r="AX27" s="433"/>
      <c r="AY27" s="433"/>
      <c r="AZ27" s="433"/>
      <c r="BA27" s="433"/>
      <c r="BB27" s="433"/>
      <c r="BC27" s="433"/>
      <c r="BD27" s="433"/>
      <c r="BE27" s="433"/>
      <c r="BF27" s="433"/>
      <c r="BG27" s="433"/>
      <c r="BH27" s="433"/>
      <c r="BI27" s="433"/>
      <c r="BJ27" s="433"/>
      <c r="BK27" s="433"/>
      <c r="BL27" s="433"/>
      <c r="BM27" s="433"/>
      <c r="BN27" s="433"/>
      <c r="BO27" s="433"/>
      <c r="BP27" s="433"/>
      <c r="BQ27" s="433"/>
      <c r="BR27" s="433"/>
      <c r="BS27" s="433"/>
      <c r="BT27" s="433"/>
      <c r="BU27" s="433"/>
      <c r="BV27" s="433"/>
      <c r="BW27" s="433"/>
      <c r="BX27" s="433"/>
      <c r="BY27" s="433"/>
      <c r="BZ27" s="433"/>
      <c r="CA27" s="433"/>
      <c r="CB27" s="433"/>
      <c r="CC27" s="433"/>
      <c r="CD27" s="433"/>
      <c r="CE27" s="433"/>
      <c r="CF27" s="433"/>
      <c r="CG27" s="433"/>
      <c r="CH27" s="433"/>
      <c r="CI27" s="433"/>
      <c r="CJ27" s="433"/>
      <c r="CK27" s="433"/>
      <c r="CL27" s="433"/>
      <c r="CM27" s="433"/>
      <c r="CN27" s="433"/>
      <c r="CO27" s="433"/>
      <c r="CP27" s="433"/>
      <c r="CQ27" s="433"/>
      <c r="CR27" s="433"/>
      <c r="CS27" s="433"/>
      <c r="CT27" s="433"/>
      <c r="CU27" s="433"/>
      <c r="CV27" s="433"/>
      <c r="CW27" s="433"/>
    </row>
    <row r="28" ht="15.75" customHeight="1">
      <c r="A28" s="434" t="s">
        <v>155</v>
      </c>
      <c r="D28" s="435" t="str">
        <f>IF(W4="X",$A$4&amp;", ","")&amp;IF(W5="X",$A$5&amp;", ","")&amp;IF(W6="X",$A$6&amp;", ","")&amp;IF(W7="X",$A$7&amp;", ","")&amp;IF(W8="X",$A$8&amp;", ","")&amp;IF(W9="X",$A$9&amp;", ","")&amp;IF(W10="X",$A$10&amp;", ","")&amp;IF(W11="X",$A$11&amp;", ","")&amp;IF(W12="X",$A12&amp;", ","")&amp;IF(W13="X",$A13&amp;", ","")&amp;IF(W14="X",$A14&amp;", ","")&amp;IF(W15="X",$A15&amp;", ","")&amp;IF(W16="X",$A16&amp;", ","")&amp;IF(W17="X",$A17&amp;", ","")&amp;IF(W18="X",$A18&amp;", ","")&amp;IF(W19="X",$A19&amp;", ","")&amp;IF(W20="X",$A20&amp;", ","")&amp;IF(W21="X",$A21&amp;", ","")</f>
        <v>Acrobacias, Atletismo, Historia, Perspicacia, Religion, Sigilo, </v>
      </c>
      <c r="AM28" s="435"/>
      <c r="AN28" s="435"/>
      <c r="AO28" s="435"/>
      <c r="AP28" s="435"/>
      <c r="AQ28" s="435"/>
      <c r="AR28" s="435"/>
      <c r="AS28" s="435"/>
      <c r="AT28" s="435"/>
      <c r="AU28" s="435"/>
      <c r="AV28" s="435"/>
      <c r="AW28" s="435"/>
      <c r="AX28" s="435"/>
      <c r="AY28" s="435"/>
      <c r="AZ28" s="435"/>
      <c r="BA28" s="435"/>
      <c r="BB28" s="435"/>
      <c r="BC28" s="435"/>
      <c r="BD28" s="435"/>
      <c r="BE28" s="435"/>
      <c r="BF28" s="435"/>
      <c r="BG28" s="435"/>
      <c r="BH28" s="435"/>
      <c r="BI28" s="435"/>
      <c r="BJ28" s="435"/>
      <c r="BK28" s="435"/>
      <c r="BL28" s="435"/>
      <c r="BM28" s="435"/>
      <c r="BN28" s="435"/>
      <c r="BO28" s="435"/>
      <c r="BP28" s="435"/>
      <c r="BQ28" s="435"/>
      <c r="BR28" s="435"/>
      <c r="BS28" s="435"/>
      <c r="BT28" s="435"/>
      <c r="BU28" s="435"/>
      <c r="BV28" s="435"/>
      <c r="BW28" s="435"/>
      <c r="BX28" s="435"/>
      <c r="BY28" s="435"/>
      <c r="BZ28" s="435"/>
      <c r="CA28" s="435"/>
      <c r="CB28" s="435"/>
      <c r="CC28" s="435"/>
      <c r="CD28" s="435"/>
      <c r="CE28" s="435"/>
      <c r="CF28" s="435"/>
      <c r="CG28" s="435"/>
      <c r="CH28" s="435"/>
      <c r="CI28" s="435"/>
      <c r="CJ28" s="435"/>
      <c r="CK28" s="435"/>
      <c r="CL28" s="435"/>
      <c r="CM28" s="435"/>
      <c r="CN28" s="435"/>
      <c r="CO28" s="435"/>
      <c r="CP28" s="435"/>
      <c r="CQ28" s="435"/>
      <c r="CR28" s="435"/>
      <c r="CS28" s="435"/>
      <c r="CT28" s="435"/>
      <c r="CU28" s="435"/>
      <c r="CV28" s="435"/>
      <c r="CW28" s="435"/>
    </row>
    <row r="29" ht="15.75" customHeight="1">
      <c r="A29" s="436" t="s">
        <v>93</v>
      </c>
      <c r="D29" s="437" t="str">
        <f>IF(X4="X",$A$4&amp;", ","")&amp;IF(X5="X",$A$5&amp;", ","")&amp;IF(X6="X",$A$6&amp;", ","")&amp;IF(X7="X",$A$7&amp;", ","")&amp;IF(X8="X",$A$8&amp;", ","")&amp;IF(X9="X",$A$9&amp;", ","")&amp;IF(X10="X",$A$10&amp;", ","")&amp;IF(X11="X",$A$11&amp;", ","")&amp;IF(X12="X",$A12&amp;", ","")&amp;IF(X13="X",$A13&amp;", ","")&amp;IF(X14="X",$A14&amp;", ","")&amp;IF(X15="X",$A15&amp;", ","")&amp;IF(X16="X",$A16&amp;", ","")&amp;IF(X17="X",$A17&amp;", ","")&amp;IF(X18="X",$A18&amp;", ","")&amp;IF(X19="X",$A19&amp;", ","")&amp;IF(X20="X",$A20&amp;", ","")&amp;IF(X21="X",$A21&amp;", ","")</f>
        <v>Atletismo, Perspicacia, Intimidacion, Medicina, Persuasion, Religion, </v>
      </c>
      <c r="AM29" s="437"/>
      <c r="AN29" s="437"/>
      <c r="AO29" s="437"/>
      <c r="AP29" s="437"/>
      <c r="AQ29" s="437"/>
      <c r="AR29" s="437"/>
      <c r="AS29" s="437"/>
      <c r="AT29" s="437"/>
      <c r="AU29" s="437"/>
      <c r="AV29" s="437"/>
      <c r="AW29" s="437"/>
      <c r="AX29" s="437"/>
      <c r="AY29" s="437"/>
      <c r="AZ29" s="437"/>
      <c r="BA29" s="437"/>
      <c r="BB29" s="437"/>
      <c r="BC29" s="437"/>
      <c r="BD29" s="437"/>
      <c r="BE29" s="437"/>
      <c r="BF29" s="437"/>
      <c r="BG29" s="437"/>
      <c r="BH29" s="437"/>
      <c r="BI29" s="437"/>
      <c r="BJ29" s="437"/>
      <c r="BK29" s="437"/>
      <c r="BL29" s="437"/>
      <c r="BM29" s="437"/>
      <c r="BN29" s="437"/>
      <c r="BO29" s="437"/>
      <c r="BP29" s="437"/>
      <c r="BQ29" s="437"/>
      <c r="BR29" s="437"/>
      <c r="BS29" s="437"/>
      <c r="BT29" s="437"/>
      <c r="BU29" s="437"/>
      <c r="BV29" s="437"/>
      <c r="BW29" s="437"/>
      <c r="BX29" s="437"/>
      <c r="BY29" s="437"/>
      <c r="BZ29" s="437"/>
      <c r="CA29" s="437"/>
      <c r="CB29" s="437"/>
      <c r="CC29" s="437"/>
      <c r="CD29" s="437"/>
      <c r="CE29" s="437"/>
      <c r="CF29" s="437"/>
      <c r="CG29" s="437"/>
      <c r="CH29" s="437"/>
      <c r="CI29" s="437"/>
      <c r="CJ29" s="437"/>
      <c r="CK29" s="437"/>
      <c r="CL29" s="437"/>
      <c r="CM29" s="437"/>
      <c r="CN29" s="437"/>
      <c r="CO29" s="437"/>
      <c r="CP29" s="437"/>
      <c r="CQ29" s="437"/>
      <c r="CR29" s="437"/>
      <c r="CS29" s="437"/>
      <c r="CT29" s="437"/>
      <c r="CU29" s="437"/>
      <c r="CV29" s="437"/>
      <c r="CW29" s="437"/>
    </row>
    <row r="30" ht="15.75" customHeight="1">
      <c r="A30" s="438" t="s">
        <v>152</v>
      </c>
      <c r="D30" s="439" t="str">
        <f>IF(Y4="X",$A$4&amp;", ","")&amp;IF(Y5="X",$A$5&amp;", ","")&amp;IF(Y6="X",$A$6&amp;", ","")&amp;IF(Y7="X",$A$7&amp;", ","")&amp;IF(Y8="X",$A$8&amp;", ","")&amp;IF(Y9="X",$A$9&amp;", ","")&amp;IF(Y10="X",$A$10&amp;", ","")&amp;IF(Y11="X",$A$11&amp;", ","")&amp;IF(Y12="X",$A12&amp;", ","")&amp;IF(Y13="X",$A13&amp;", ","")&amp;IF(Y14="X",$A14&amp;", ","")&amp;IF(Y15="X",$A15&amp;", ","")&amp;IF(Y16="X",$A16&amp;", ","")&amp;IF(Y17="X",$A17&amp;", ","")&amp;IF(Y18="X",$A18&amp;", ","")&amp;IF(Y19="X",$A19&amp;", ","")&amp;IF(Y20="X",$A20&amp;", ","")&amp;IF(Y21="X",$A21&amp;", ","")</f>
        <v>Trato con animales, Atletismo, Perspicacia, Investigacion, Naturaleza, Percepcion, Sigilo, Supervivencia, </v>
      </c>
      <c r="AM30" s="439"/>
      <c r="AN30" s="439"/>
      <c r="AO30" s="439"/>
      <c r="AP30" s="439"/>
      <c r="AQ30" s="439"/>
      <c r="AR30" s="439"/>
      <c r="AS30" s="439"/>
      <c r="AT30" s="439"/>
      <c r="AU30" s="439"/>
      <c r="AV30" s="439"/>
      <c r="AW30" s="439"/>
      <c r="AX30" s="439"/>
      <c r="AY30" s="439"/>
      <c r="AZ30" s="439"/>
      <c r="BA30" s="439"/>
      <c r="BB30" s="439"/>
      <c r="BC30" s="439"/>
      <c r="BD30" s="439"/>
      <c r="BE30" s="439"/>
      <c r="BF30" s="439"/>
      <c r="BG30" s="439"/>
      <c r="BH30" s="439"/>
      <c r="BI30" s="439"/>
      <c r="BJ30" s="439"/>
      <c r="BK30" s="439"/>
      <c r="BL30" s="439"/>
      <c r="BM30" s="439"/>
      <c r="BN30" s="439"/>
      <c r="BO30" s="439"/>
      <c r="BP30" s="439"/>
      <c r="BQ30" s="439"/>
      <c r="BR30" s="439"/>
      <c r="BS30" s="439"/>
      <c r="BT30" s="439"/>
      <c r="BU30" s="439"/>
      <c r="BV30" s="439"/>
      <c r="BW30" s="439"/>
      <c r="BX30" s="439"/>
      <c r="BY30" s="439"/>
      <c r="BZ30" s="439"/>
      <c r="CA30" s="439"/>
      <c r="CB30" s="439"/>
      <c r="CC30" s="439"/>
      <c r="CD30" s="439"/>
      <c r="CE30" s="439"/>
      <c r="CF30" s="439"/>
      <c r="CG30" s="439"/>
      <c r="CH30" s="439"/>
      <c r="CI30" s="439"/>
      <c r="CJ30" s="439"/>
      <c r="CK30" s="439"/>
      <c r="CL30" s="439"/>
      <c r="CM30" s="439"/>
      <c r="CN30" s="439"/>
      <c r="CO30" s="439"/>
      <c r="CP30" s="439"/>
      <c r="CQ30" s="439"/>
      <c r="CR30" s="439"/>
      <c r="CS30" s="439"/>
      <c r="CT30" s="439"/>
      <c r="CU30" s="439"/>
      <c r="CV30" s="439"/>
      <c r="CW30" s="439"/>
    </row>
    <row r="31" ht="15.75" customHeight="1">
      <c r="A31" s="440" t="s">
        <v>136</v>
      </c>
      <c r="D31" s="441" t="str">
        <f>IF(Z4="X",$A$4&amp;", ","")&amp;IF(Z5="X",$A$5&amp;", ","")&amp;IF(Z6="X",$A$6&amp;", ","")&amp;IF(Z7="X",$A$7&amp;", ","")&amp;IF(Z8="X",$A$8&amp;", ","")&amp;IF(Z9="X",$A$9&amp;", ","")&amp;IF(Z10="X",$A$10&amp;", ","")&amp;IF(Z11="X",$A$11&amp;", ","")&amp;IF(Z12="X",$A12&amp;", ","")&amp;IF(Z13="X",$A13&amp;", ","")&amp;IF(Z14="X",$A14&amp;", ","")&amp;IF(Z15="X",$A15&amp;", ","")&amp;IF(Z16="X",$A16&amp;", ","")&amp;IF(Z17="X",$A17&amp;", ","")&amp;IF(Z18="X",$A18&amp;", ","")&amp;IF(Z19="X",$A19&amp;", ","")&amp;IF(Z20="X",$A20&amp;", ","")&amp;IF(Z21="X",$A21&amp;", ","")</f>
        <v>Acrobacias, Atletismo, Engaño, Perspicacia, Intimidacion, Investigacion, Percepcion, Interpretacion, Persuasion, Juego de Manos, Sigilo, </v>
      </c>
      <c r="AM31" s="441"/>
      <c r="AN31" s="441"/>
      <c r="AO31" s="441"/>
      <c r="AP31" s="441"/>
      <c r="AQ31" s="441"/>
      <c r="AR31" s="441"/>
      <c r="AS31" s="441"/>
      <c r="AT31" s="441"/>
      <c r="AU31" s="441"/>
      <c r="AV31" s="441"/>
      <c r="AW31" s="441"/>
      <c r="AX31" s="441"/>
      <c r="AY31" s="441"/>
      <c r="AZ31" s="441"/>
      <c r="BA31" s="441"/>
      <c r="BB31" s="441"/>
      <c r="BC31" s="441"/>
      <c r="BD31" s="441"/>
      <c r="BE31" s="441"/>
      <c r="BF31" s="441"/>
      <c r="BG31" s="441"/>
      <c r="BH31" s="441"/>
      <c r="BI31" s="441"/>
      <c r="BJ31" s="441"/>
      <c r="BK31" s="441"/>
      <c r="BL31" s="441"/>
      <c r="BM31" s="441"/>
      <c r="BN31" s="441"/>
      <c r="BO31" s="441"/>
      <c r="BP31" s="441"/>
      <c r="BQ31" s="441"/>
      <c r="BR31" s="441"/>
      <c r="BS31" s="441"/>
      <c r="BT31" s="441"/>
      <c r="BU31" s="441"/>
      <c r="BV31" s="441"/>
      <c r="BW31" s="441"/>
      <c r="BX31" s="441"/>
      <c r="BY31" s="441"/>
      <c r="BZ31" s="441"/>
      <c r="CA31" s="441"/>
      <c r="CB31" s="441"/>
      <c r="CC31" s="441"/>
      <c r="CD31" s="441"/>
      <c r="CE31" s="441"/>
      <c r="CF31" s="441"/>
      <c r="CG31" s="441"/>
      <c r="CH31" s="441"/>
      <c r="CI31" s="441"/>
      <c r="CJ31" s="441"/>
      <c r="CK31" s="441"/>
      <c r="CL31" s="441"/>
      <c r="CM31" s="441"/>
      <c r="CN31" s="441"/>
      <c r="CO31" s="441"/>
      <c r="CP31" s="441"/>
      <c r="CQ31" s="441"/>
      <c r="CR31" s="441"/>
      <c r="CS31" s="441"/>
      <c r="CT31" s="441"/>
      <c r="CU31" s="441"/>
      <c r="CV31" s="441"/>
      <c r="CW31" s="441"/>
    </row>
    <row r="32" ht="15.75" customHeight="1">
      <c r="A32" s="442" t="s">
        <v>126</v>
      </c>
      <c r="D32" s="443" t="str">
        <f>IF(AA4="X",$A$4&amp;", ","")&amp;IF(AA5="X",$A$5&amp;", ","")&amp;IF(AA6="X",$A$6&amp;", ","")&amp;IF(AA7="X",$A$7&amp;", ","")&amp;IF(AA8="X",$A$8&amp;", ","")&amp;IF(AA9="X",$A$9&amp;", ","")&amp;IF(AA10="X",$A$10&amp;", ","")&amp;IF(AA11="X",$A$11&amp;", ","")&amp;IF(AA12="X",$A12&amp;", ","")&amp;IF(AA13="X",$A13&amp;", ","")&amp;IF(AA14="X",$A14&amp;", ","")&amp;IF(AA15="X",$A15&amp;", ","")&amp;IF(AA16="X",$A16&amp;", ","")&amp;IF(AA17="X",$A17&amp;", ","")&amp;IF(AA18="X",$A18&amp;", ","")&amp;IF(AA19="X",$A19&amp;", ","")&amp;IF(AA20="X",$A20&amp;", ","")&amp;IF(AA21="X",$A21&amp;", ","")</f>
        <v>Arcano, Engaño, Perspicacia, Intimidacion, Persuasion, Religion, </v>
      </c>
      <c r="AM32" s="443"/>
      <c r="AN32" s="443"/>
      <c r="AO32" s="443"/>
      <c r="AP32" s="443"/>
      <c r="AQ32" s="443"/>
      <c r="AR32" s="443"/>
      <c r="AS32" s="443"/>
      <c r="AT32" s="443"/>
      <c r="AU32" s="443"/>
      <c r="AV32" s="443"/>
      <c r="AW32" s="443"/>
      <c r="AX32" s="443"/>
      <c r="AY32" s="443"/>
      <c r="AZ32" s="443"/>
      <c r="BA32" s="443"/>
      <c r="BB32" s="443"/>
      <c r="BC32" s="443"/>
      <c r="BD32" s="443"/>
      <c r="BE32" s="443"/>
      <c r="BF32" s="443"/>
      <c r="BG32" s="443"/>
      <c r="BH32" s="443"/>
      <c r="BI32" s="443"/>
      <c r="BJ32" s="443"/>
      <c r="BK32" s="443"/>
      <c r="BL32" s="443"/>
      <c r="BM32" s="443"/>
      <c r="BN32" s="443"/>
      <c r="BO32" s="443"/>
      <c r="BP32" s="443"/>
      <c r="BQ32" s="443"/>
      <c r="BR32" s="443"/>
      <c r="BS32" s="443"/>
      <c r="BT32" s="443"/>
      <c r="BU32" s="443"/>
      <c r="BV32" s="443"/>
      <c r="BW32" s="443"/>
      <c r="BX32" s="443"/>
      <c r="BY32" s="443"/>
      <c r="BZ32" s="443"/>
      <c r="CA32" s="443"/>
      <c r="CB32" s="443"/>
      <c r="CC32" s="443"/>
      <c r="CD32" s="443"/>
      <c r="CE32" s="443"/>
      <c r="CF32" s="443"/>
      <c r="CG32" s="443"/>
      <c r="CH32" s="443"/>
      <c r="CI32" s="443"/>
      <c r="CJ32" s="443"/>
      <c r="CK32" s="443"/>
      <c r="CL32" s="443"/>
      <c r="CM32" s="443"/>
      <c r="CN32" s="443"/>
      <c r="CO32" s="443"/>
      <c r="CP32" s="443"/>
      <c r="CQ32" s="443"/>
      <c r="CR32" s="443"/>
      <c r="CS32" s="443"/>
      <c r="CT32" s="443"/>
      <c r="CU32" s="443"/>
      <c r="CV32" s="443"/>
      <c r="CW32" s="443"/>
    </row>
    <row r="33" ht="15.75" customHeight="1">
      <c r="A33" s="424" t="s">
        <v>130</v>
      </c>
      <c r="D33" s="425" t="str">
        <f>IF(AB4="X",$A$4&amp;", ","")&amp;IF(AB5="X",$A$5&amp;", ","")&amp;IF(AB6="X",$A$6&amp;", ","")&amp;IF(AB7="X",$A$7&amp;", ","")&amp;IF(AB8="X",$A$8&amp;", ","")&amp;IF(AB9="X",$A$9&amp;", ","")&amp;IF(AB10="X",$A$10&amp;", ","")&amp;IF(AB11="X",$A$11&amp;", ","")&amp;IF(AB12="X",$A12&amp;", ","")&amp;IF(AB13="X",$A13&amp;", ","")&amp;IF(AB14="X",$A14&amp;", ","")&amp;IF(AB15="X",$A15&amp;", ","")&amp;IF(AB16="X",$A16&amp;", ","")&amp;IF(AB17="X",$A17&amp;", ","")&amp;IF(AB18="X",$A18&amp;", ","")&amp;IF(AB19="X",$A19&amp;", ","")&amp;IF(AB20="X",$A20&amp;", ","")&amp;IF(AB21="X",$A21&amp;", ","")</f>
        <v>Arcano, Engaño, Historia, Intimidacion, Investigacion, Naturaleza, Religion, </v>
      </c>
      <c r="AM33" s="425"/>
      <c r="AN33" s="425"/>
      <c r="AO33" s="425"/>
      <c r="AP33" s="425"/>
      <c r="AQ33" s="425"/>
      <c r="AR33" s="425"/>
      <c r="AS33" s="425"/>
      <c r="AT33" s="425"/>
      <c r="AU33" s="425"/>
      <c r="AV33" s="425"/>
      <c r="AW33" s="425"/>
      <c r="AX33" s="425"/>
      <c r="AY33" s="425"/>
      <c r="AZ33" s="425"/>
      <c r="BA33" s="425"/>
      <c r="BB33" s="425"/>
      <c r="BC33" s="425"/>
      <c r="BD33" s="425"/>
      <c r="BE33" s="425"/>
      <c r="BF33" s="425"/>
      <c r="BG33" s="425"/>
      <c r="BH33" s="425"/>
      <c r="BI33" s="425"/>
      <c r="BJ33" s="425"/>
      <c r="BK33" s="425"/>
      <c r="BL33" s="425"/>
      <c r="BM33" s="425"/>
      <c r="BN33" s="425"/>
      <c r="BO33" s="425"/>
      <c r="BP33" s="425"/>
      <c r="BQ33" s="425"/>
      <c r="BR33" s="425"/>
      <c r="BS33" s="425"/>
      <c r="BT33" s="425"/>
      <c r="BU33" s="425"/>
      <c r="BV33" s="425"/>
      <c r="BW33" s="425"/>
      <c r="BX33" s="425"/>
      <c r="BY33" s="425"/>
      <c r="BZ33" s="425"/>
      <c r="CA33" s="425"/>
      <c r="CB33" s="425"/>
      <c r="CC33" s="425"/>
      <c r="CD33" s="425"/>
      <c r="CE33" s="425"/>
      <c r="CF33" s="425"/>
      <c r="CG33" s="425"/>
      <c r="CH33" s="425"/>
      <c r="CI33" s="425"/>
      <c r="CJ33" s="425"/>
      <c r="CK33" s="425"/>
      <c r="CL33" s="425"/>
      <c r="CM33" s="425"/>
      <c r="CN33" s="425"/>
      <c r="CO33" s="425"/>
      <c r="CP33" s="425"/>
      <c r="CQ33" s="425"/>
      <c r="CR33" s="425"/>
      <c r="CS33" s="425"/>
      <c r="CT33" s="425"/>
      <c r="CU33" s="425"/>
      <c r="CV33" s="425"/>
      <c r="CW33" s="425"/>
    </row>
    <row r="34" ht="15.75" customHeight="1">
      <c r="A34" s="444" t="s">
        <v>121</v>
      </c>
      <c r="D34" s="445" t="str">
        <f>IF(AC4="X",$A$4&amp;", ","")&amp;IF(AC5="X",$A$5&amp;", ","")&amp;IF(AC6="X",$A$6&amp;", ","")&amp;IF(AC7="X",$A$7&amp;", ","")&amp;IF(AC8="X",$A$8&amp;", ","")&amp;IF(AC9="X",$A$9&amp;", ","")&amp;IF(AC10="X",$A$10&amp;", ","")&amp;IF(AC11="X",$A$11&amp;", ","")&amp;IF(AC12="X",$A12&amp;", ","")&amp;IF(AC13="X",$A13&amp;", ","")&amp;IF(AC14="X",$A14&amp;", ","")&amp;IF(AC15="X",$A15&amp;", ","")&amp;IF(AC16="X",$A16&amp;", ","")&amp;IF(AC17="X",$A17&amp;", ","")&amp;IF(AC18="X",$A18&amp;", ","")&amp;IF(AC19="X",$A19&amp;", ","")&amp;IF(AC20="X",$A20&amp;", ","")&amp;IF(AC21="X",$A21&amp;", ","")</f>
        <v>Arcano, Historia, Perspicacia, Investigacion, Medicina, Religion, </v>
      </c>
      <c r="AM34" s="445"/>
      <c r="AN34" s="445"/>
      <c r="AO34" s="445"/>
      <c r="AP34" s="445"/>
      <c r="AQ34" s="445"/>
      <c r="AR34" s="445"/>
      <c r="AS34" s="445"/>
      <c r="AT34" s="445"/>
      <c r="AU34" s="445"/>
      <c r="AV34" s="445"/>
      <c r="AW34" s="445"/>
      <c r="AX34" s="445"/>
      <c r="AY34" s="445"/>
      <c r="AZ34" s="445"/>
      <c r="BA34" s="445"/>
      <c r="BB34" s="445"/>
      <c r="BC34" s="445"/>
      <c r="BD34" s="445"/>
      <c r="BE34" s="445"/>
      <c r="BF34" s="445"/>
      <c r="BG34" s="445"/>
      <c r="BH34" s="445"/>
      <c r="BI34" s="445"/>
      <c r="BJ34" s="445"/>
      <c r="BK34" s="445"/>
      <c r="BL34" s="445"/>
      <c r="BM34" s="445"/>
      <c r="BN34" s="445"/>
      <c r="BO34" s="445"/>
      <c r="BP34" s="445"/>
      <c r="BQ34" s="445"/>
      <c r="BR34" s="445"/>
      <c r="BS34" s="445"/>
      <c r="BT34" s="445"/>
      <c r="BU34" s="445"/>
      <c r="BV34" s="445"/>
      <c r="BW34" s="445"/>
      <c r="BX34" s="445"/>
      <c r="BY34" s="445"/>
      <c r="BZ34" s="445"/>
      <c r="CA34" s="445"/>
      <c r="CB34" s="445"/>
      <c r="CC34" s="445"/>
      <c r="CD34" s="445"/>
      <c r="CE34" s="445"/>
      <c r="CF34" s="445"/>
      <c r="CG34" s="445"/>
      <c r="CH34" s="445"/>
      <c r="CI34" s="445"/>
      <c r="CJ34" s="445"/>
      <c r="CK34" s="445"/>
      <c r="CL34" s="445"/>
      <c r="CM34" s="445"/>
      <c r="CN34" s="445"/>
      <c r="CO34" s="445"/>
      <c r="CP34" s="445"/>
      <c r="CQ34" s="445"/>
      <c r="CR34" s="445"/>
      <c r="CS34" s="445"/>
      <c r="CT34" s="445"/>
      <c r="CU34" s="445"/>
      <c r="CV34" s="445"/>
      <c r="CW34" s="445"/>
    </row>
    <row r="35" ht="15.75" customHeight="1"/>
    <row r="36" ht="15.75" customHeight="1">
      <c r="T36" s="423"/>
    </row>
    <row r="37" ht="15.75" customHeight="1">
      <c r="A37" s="424" t="s">
        <v>988</v>
      </c>
      <c r="D37" s="425" t="str">
        <f>IF(D4="X",$A$4&amp;", ","")&amp;IF(D5="X",$A$5&amp;", ","")&amp;IF(D6="X",$A$6&amp;", ","")&amp;IF(D7="X",$A$7&amp;", ","")&amp;IF(D8="X",$A$8&amp;", ","")&amp;IF(D9="X",$A$9&amp;", ","")&amp;IF(D10="X",$A$10&amp;", ","")&amp;IF(D11="X",$A$11&amp;", ","")&amp;IF(D12="X",$A12&amp;", ","")&amp;IF(D13="X",$A13&amp;", ","")&amp;IF(D14="X",$A14&amp;", ","")&amp;IF(D15="X",$A15&amp;", ","")&amp;IF(D16="X",$A16&amp;", ","")&amp;IF(D17="X",$A17&amp;", ","")&amp;IF(D18="X",$A18&amp;", ","")&amp;IF(D19="X",$A19&amp;", ","")&amp;IF(D20="X",$A20&amp;", ","")&amp;IF(D21="X",$A21&amp;", ","")</f>
        <v>Perspicacia, Religion, </v>
      </c>
      <c r="AM37" s="425"/>
      <c r="AN37" s="425"/>
      <c r="AO37" s="425"/>
      <c r="AP37" s="425"/>
      <c r="AQ37" s="425"/>
      <c r="AR37" s="425"/>
      <c r="AS37" s="425"/>
      <c r="AT37" s="425"/>
      <c r="AU37" s="425"/>
      <c r="AV37" s="425"/>
      <c r="AW37" s="425"/>
      <c r="AX37" s="425"/>
      <c r="AY37" s="425"/>
      <c r="AZ37" s="425"/>
      <c r="BA37" s="425"/>
      <c r="BB37" s="425"/>
      <c r="BC37" s="425"/>
      <c r="BD37" s="425"/>
      <c r="BE37" s="425"/>
      <c r="BF37" s="425"/>
      <c r="BG37" s="425"/>
      <c r="BH37" s="425"/>
      <c r="BI37" s="425"/>
      <c r="BJ37" s="425"/>
      <c r="BK37" s="425"/>
      <c r="BL37" s="425"/>
      <c r="BM37" s="425"/>
      <c r="BN37" s="425"/>
      <c r="BO37" s="425"/>
      <c r="BP37" s="425"/>
      <c r="BQ37" s="425"/>
      <c r="BR37" s="425"/>
      <c r="BS37" s="425"/>
      <c r="BT37" s="425"/>
      <c r="BU37" s="425"/>
      <c r="BV37" s="425"/>
      <c r="BW37" s="425"/>
      <c r="BX37" s="425"/>
      <c r="BY37" s="425"/>
      <c r="BZ37" s="425"/>
      <c r="CA37" s="425"/>
      <c r="CB37" s="425"/>
      <c r="CC37" s="425"/>
      <c r="CD37" s="425"/>
      <c r="CE37" s="425"/>
      <c r="CF37" s="425"/>
      <c r="CG37" s="425"/>
      <c r="CH37" s="425"/>
      <c r="CI37" s="425"/>
      <c r="CJ37" s="425"/>
      <c r="CK37" s="425"/>
      <c r="CL37" s="425"/>
      <c r="CM37" s="425"/>
      <c r="CN37" s="425"/>
      <c r="CO37" s="425"/>
      <c r="CP37" s="425"/>
      <c r="CQ37" s="425"/>
      <c r="CR37" s="425"/>
      <c r="CS37" s="425"/>
      <c r="CT37" s="425"/>
      <c r="CU37" s="425"/>
      <c r="CV37" s="425"/>
      <c r="CW37" s="425"/>
    </row>
    <row r="38" ht="15.75" customHeight="1">
      <c r="A38" s="426" t="s">
        <v>989</v>
      </c>
      <c r="D38" s="427" t="str">
        <f>IF(E4="X",$A$4&amp;", ","")&amp;IF(E5="X",$A$5&amp;", ","")&amp;IF(E6="X",$A$6&amp;", ","")&amp;IF(E7="X",$A$7&amp;", ","")&amp;IF(E8="X",$A$8&amp;", ","")&amp;IF(E9="X",$A$9&amp;", ","")&amp;IF(E10="X",$A$10&amp;", ","")&amp;IF(E11="X",$A$11&amp;", ","")&amp;IF(E12="X",$A12&amp;", ","")&amp;IF(E13="X",$A13&amp;", ","")&amp;IF(E14="X",$A14&amp;", ","")&amp;IF(E15="X",$A15&amp;", ","")&amp;IF(E16="X",$A16&amp;", ","")&amp;IF(E17="X",$A17&amp;", ","")&amp;IF(E18="X",$A18&amp;", ","")&amp;IF(E19="X",$A19&amp;", ","")&amp;IF(E20="X",$A20&amp;", ","")&amp;IF(E21="X",$A21&amp;", ","")</f>
        <v>Engaño, Juego de Manos, </v>
      </c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  <c r="BF38" s="427"/>
      <c r="BG38" s="427"/>
      <c r="BH38" s="427"/>
      <c r="BI38" s="427"/>
      <c r="BJ38" s="427"/>
      <c r="BK38" s="427"/>
      <c r="BL38" s="427"/>
      <c r="BM38" s="427"/>
      <c r="BN38" s="427"/>
      <c r="BO38" s="427"/>
      <c r="BP38" s="427"/>
      <c r="BQ38" s="427"/>
      <c r="BR38" s="427"/>
      <c r="BS38" s="427"/>
      <c r="BT38" s="427"/>
      <c r="BU38" s="427"/>
      <c r="BV38" s="427"/>
      <c r="BW38" s="427"/>
      <c r="BX38" s="427"/>
      <c r="BY38" s="427"/>
      <c r="BZ38" s="427"/>
      <c r="CA38" s="427"/>
      <c r="CB38" s="427"/>
      <c r="CC38" s="427"/>
      <c r="CD38" s="427"/>
      <c r="CE38" s="427"/>
      <c r="CF38" s="427"/>
      <c r="CG38" s="427"/>
      <c r="CH38" s="427"/>
      <c r="CI38" s="427"/>
      <c r="CJ38" s="427"/>
      <c r="CK38" s="427"/>
      <c r="CL38" s="427"/>
      <c r="CM38" s="427"/>
      <c r="CN38" s="427"/>
      <c r="CO38" s="427"/>
      <c r="CP38" s="427"/>
      <c r="CQ38" s="427"/>
      <c r="CR38" s="427"/>
      <c r="CS38" s="427"/>
      <c r="CT38" s="427"/>
      <c r="CU38" s="427"/>
      <c r="CV38" s="427"/>
      <c r="CW38" s="427"/>
    </row>
    <row r="39" ht="15.75" customHeight="1">
      <c r="A39" s="428" t="s">
        <v>990</v>
      </c>
      <c r="D39" s="429" t="str">
        <f>IF(F4="X",$A$4&amp;", ","")&amp;IF(F5="X",$A$5&amp;", ","")&amp;IF(F6="X",$A$6&amp;", ","")&amp;IF(F7="X",$A$7&amp;", ","")&amp;IF(F8="X",$A$8&amp;", ","")&amp;IF(F9="X",$A$9&amp;", ","")&amp;IF(F10="X",$A$10&amp;", ","")&amp;IF(F11="X",$A$11&amp;", ","")&amp;IF(F12="X",$A12&amp;", ","")&amp;IF(F13="X",$A13&amp;", ","")&amp;IF(F14="X",$A14&amp;", ","")&amp;IF(F15="X",$A15&amp;", ","")&amp;IF(F16="X",$A16&amp;", ","")&amp;IF(F17="X",$A17&amp;", ","")&amp;IF(F18="X",$A18&amp;", ","")&amp;IF(F19="X",$A19&amp;", ","")&amp;IF(F20="X",$A20&amp;", ","")&amp;IF(F21="X",$A21&amp;", ","")</f>
        <v>Engaño, Sigilo, </v>
      </c>
      <c r="AM39" s="429"/>
      <c r="AN39" s="429"/>
      <c r="AO39" s="429"/>
      <c r="AP39" s="429"/>
      <c r="AQ39" s="429"/>
      <c r="AR39" s="429"/>
      <c r="AS39" s="429"/>
      <c r="AT39" s="429"/>
      <c r="AU39" s="429"/>
      <c r="AV39" s="429"/>
      <c r="AW39" s="429"/>
      <c r="AX39" s="429"/>
      <c r="AY39" s="429"/>
      <c r="AZ39" s="429"/>
      <c r="BA39" s="429"/>
      <c r="BB39" s="429"/>
      <c r="BC39" s="429"/>
      <c r="BD39" s="429"/>
      <c r="BE39" s="429"/>
      <c r="BF39" s="429"/>
      <c r="BG39" s="429"/>
      <c r="BH39" s="429"/>
      <c r="BI39" s="429"/>
      <c r="BJ39" s="429"/>
      <c r="BK39" s="429"/>
      <c r="BL39" s="429"/>
      <c r="BM39" s="429"/>
      <c r="BN39" s="429"/>
      <c r="BO39" s="429"/>
      <c r="BP39" s="429"/>
      <c r="BQ39" s="429"/>
      <c r="BR39" s="429"/>
      <c r="BS39" s="429"/>
      <c r="BT39" s="429"/>
      <c r="BU39" s="429"/>
      <c r="BV39" s="429"/>
      <c r="BW39" s="429"/>
      <c r="BX39" s="429"/>
      <c r="BY39" s="429"/>
      <c r="BZ39" s="429"/>
      <c r="CA39" s="429"/>
      <c r="CB39" s="429"/>
      <c r="CC39" s="429"/>
      <c r="CD39" s="429"/>
      <c r="CE39" s="429"/>
      <c r="CF39" s="429"/>
      <c r="CG39" s="429"/>
      <c r="CH39" s="429"/>
      <c r="CI39" s="429"/>
      <c r="CJ39" s="429"/>
      <c r="CK39" s="429"/>
      <c r="CL39" s="429"/>
      <c r="CM39" s="429"/>
      <c r="CN39" s="429"/>
      <c r="CO39" s="429"/>
      <c r="CP39" s="429"/>
      <c r="CQ39" s="429"/>
      <c r="CR39" s="429"/>
      <c r="CS39" s="429"/>
      <c r="CT39" s="429"/>
      <c r="CU39" s="429"/>
      <c r="CV39" s="429"/>
      <c r="CW39" s="429"/>
    </row>
    <row r="40" ht="15.75" customHeight="1">
      <c r="A40" s="430" t="s">
        <v>991</v>
      </c>
      <c r="D40" s="431" t="str">
        <f>IF(G4="X",$A$4&amp;", ","")&amp;IF(G5="X",$A$5&amp;", ","")&amp;IF(G6="X",$A$6&amp;", ","")&amp;IF(G7="X",$A$7&amp;", ","")&amp;IF(G8="X",$A$8&amp;", ","")&amp;IF(G9="X",$A$9&amp;", ","")&amp;IF(G10="X",$A$10&amp;", ","")&amp;IF(G11="X",$A$11&amp;", ","")&amp;IF(G12="X",$A12&amp;", ","")&amp;IF(G13="X",$A13&amp;", ","")&amp;IF(G14="X",$A14&amp;", ","")&amp;IF(G15="X",$A15&amp;", ","")&amp;IF(G16="X",$A16&amp;", ","")&amp;IF(G17="X",$A17&amp;", ","")&amp;IF(G18="X",$A18&amp;", ","")&amp;IF(G19="X",$A19&amp;", ","")&amp;IF(G20="X",$A20&amp;", ","")&amp;IF(G21="X",$A21&amp;", ","")</f>
        <v>Acrobacias, Interpretacion, </v>
      </c>
      <c r="AM40" s="431"/>
      <c r="AN40" s="431"/>
      <c r="AO40" s="431"/>
      <c r="AP40" s="431"/>
      <c r="AQ40" s="431"/>
      <c r="AR40" s="431"/>
      <c r="AS40" s="431"/>
      <c r="AT40" s="431"/>
      <c r="AU40" s="431"/>
      <c r="AV40" s="431"/>
      <c r="AW40" s="431"/>
      <c r="AX40" s="431"/>
      <c r="AY40" s="431"/>
      <c r="AZ40" s="431"/>
      <c r="BA40" s="431"/>
      <c r="BB40" s="431"/>
      <c r="BC40" s="431"/>
      <c r="BD40" s="431"/>
      <c r="BE40" s="431"/>
      <c r="BF40" s="431"/>
      <c r="BG40" s="431"/>
      <c r="BH40" s="431"/>
      <c r="BI40" s="431"/>
      <c r="BJ40" s="431"/>
      <c r="BK40" s="431"/>
      <c r="BL40" s="431"/>
      <c r="BM40" s="431"/>
      <c r="BN40" s="431"/>
      <c r="BO40" s="431"/>
      <c r="BP40" s="431"/>
      <c r="BQ40" s="431"/>
      <c r="BR40" s="431"/>
      <c r="BS40" s="431"/>
      <c r="BT40" s="431"/>
      <c r="BU40" s="431"/>
      <c r="BV40" s="431"/>
      <c r="BW40" s="431"/>
      <c r="BX40" s="431"/>
      <c r="BY40" s="431"/>
      <c r="BZ40" s="431"/>
      <c r="CA40" s="431"/>
      <c r="CB40" s="431"/>
      <c r="CC40" s="431"/>
      <c r="CD40" s="431"/>
      <c r="CE40" s="431"/>
      <c r="CF40" s="431"/>
      <c r="CG40" s="431"/>
      <c r="CH40" s="431"/>
      <c r="CI40" s="431"/>
      <c r="CJ40" s="431"/>
      <c r="CK40" s="431"/>
      <c r="CL40" s="431"/>
      <c r="CM40" s="431"/>
      <c r="CN40" s="431"/>
      <c r="CO40" s="431"/>
      <c r="CP40" s="431"/>
      <c r="CQ40" s="431"/>
      <c r="CR40" s="431"/>
      <c r="CS40" s="431"/>
      <c r="CT40" s="431"/>
      <c r="CU40" s="431"/>
      <c r="CV40" s="431"/>
      <c r="CW40" s="431"/>
    </row>
    <row r="41" ht="15.75" customHeight="1">
      <c r="A41" s="432" t="s">
        <v>992</v>
      </c>
      <c r="D41" s="433" t="str">
        <f>IF(H4="X",$A$4&amp;", ","")&amp;IF(H5="X",$A$5&amp;", ","")&amp;IF(H6="X",$A$6&amp;", ","")&amp;IF(H7="X",$A$7&amp;", ","")&amp;IF(H8="X",$A$8&amp;", ","")&amp;IF(H9="X",$A$9&amp;", ","")&amp;IF(H10="X",$A$10&amp;", ","")&amp;IF(H11="X",$A$11&amp;", ","")&amp;IF(H12="X",$A12&amp;", ","")&amp;IF(H13="X",$A13&amp;", ","")&amp;IF(H14="X",$A14&amp;", ","")&amp;IF(H15="X",$A15&amp;", ","")&amp;IF(H16="X",$A16&amp;", ","")&amp;IF(H17="X",$A17&amp;", ","")&amp;IF(H18="X",$A18&amp;", ","")&amp;IF(H19="X",$A19&amp;", ","")&amp;IF(H20="X",$A20&amp;", ","")&amp;IF(H21="X",$A21&amp;", ","")</f>
        <v>Trato con animales, Supervivencia, </v>
      </c>
      <c r="AM41" s="433"/>
      <c r="AN41" s="433"/>
      <c r="AO41" s="433"/>
      <c r="AP41" s="433"/>
      <c r="AQ41" s="433"/>
      <c r="AR41" s="433"/>
      <c r="AS41" s="433"/>
      <c r="AT41" s="433"/>
      <c r="AU41" s="433"/>
      <c r="AV41" s="433"/>
      <c r="AW41" s="433"/>
      <c r="AX41" s="433"/>
      <c r="AY41" s="433"/>
      <c r="AZ41" s="433"/>
      <c r="BA41" s="433"/>
      <c r="BB41" s="433"/>
      <c r="BC41" s="433"/>
      <c r="BD41" s="433"/>
      <c r="BE41" s="433"/>
      <c r="BF41" s="433"/>
      <c r="BG41" s="433"/>
      <c r="BH41" s="433"/>
      <c r="BI41" s="433"/>
      <c r="BJ41" s="433"/>
      <c r="BK41" s="433"/>
      <c r="BL41" s="433"/>
      <c r="BM41" s="433"/>
      <c r="BN41" s="433"/>
      <c r="BO41" s="433"/>
      <c r="BP41" s="433"/>
      <c r="BQ41" s="433"/>
      <c r="BR41" s="433"/>
      <c r="BS41" s="433"/>
      <c r="BT41" s="433"/>
      <c r="BU41" s="433"/>
      <c r="BV41" s="433"/>
      <c r="BW41" s="433"/>
      <c r="BX41" s="433"/>
      <c r="BY41" s="433"/>
      <c r="BZ41" s="433"/>
      <c r="CA41" s="433"/>
      <c r="CB41" s="433"/>
      <c r="CC41" s="433"/>
      <c r="CD41" s="433"/>
      <c r="CE41" s="433"/>
      <c r="CF41" s="433"/>
      <c r="CG41" s="433"/>
      <c r="CH41" s="433"/>
      <c r="CI41" s="433"/>
      <c r="CJ41" s="433"/>
      <c r="CK41" s="433"/>
      <c r="CL41" s="433"/>
      <c r="CM41" s="433"/>
      <c r="CN41" s="433"/>
      <c r="CO41" s="433"/>
      <c r="CP41" s="433"/>
      <c r="CQ41" s="433"/>
      <c r="CR41" s="433"/>
      <c r="CS41" s="433"/>
      <c r="CT41" s="433"/>
      <c r="CU41" s="433"/>
      <c r="CV41" s="433"/>
      <c r="CW41" s="433"/>
    </row>
    <row r="42" ht="15.75" customHeight="1">
      <c r="A42" s="434" t="s">
        <v>993</v>
      </c>
      <c r="D42" s="435" t="str">
        <f>IF(I4="X",$A$4&amp;", ","")&amp;IF(I5="X",$A$5&amp;", ","")&amp;IF(I6="X",$A$6&amp;", ","")&amp;IF(I7="X",$A$7&amp;", ","")&amp;IF(I8="X",$A$8&amp;", ","")&amp;IF(I9="X",$A$9&amp;", ","")&amp;IF(I10="X",$A$10&amp;", ","")&amp;IF(I11="X",$A$11&amp;", ","")&amp;IF(I12="X",$A12&amp;", ","")&amp;IF(I13="X",$A13&amp;", ","")&amp;IF(I14="X",$A14&amp;", ","")&amp;IF(I15="X",$A15&amp;", ","")&amp;IF(I16="X",$A16&amp;", ","")&amp;IF(I17="X",$A17&amp;", ","")&amp;IF(I18="X",$A18&amp;", ","")&amp;IF(I19="X",$A19&amp;", ","")&amp;IF(I20="X",$A20&amp;", ","")&amp;IF(I21="X",$A21&amp;", ","")</f>
        <v>Perspicacia, Persuasion, </v>
      </c>
      <c r="AM42" s="435"/>
      <c r="AN42" s="435"/>
      <c r="AO42" s="435"/>
      <c r="AP42" s="435"/>
      <c r="AQ42" s="435"/>
      <c r="AR42" s="435"/>
      <c r="AS42" s="435"/>
      <c r="AT42" s="435"/>
      <c r="AU42" s="435"/>
      <c r="AV42" s="435"/>
      <c r="AW42" s="435"/>
      <c r="AX42" s="435"/>
      <c r="AY42" s="435"/>
      <c r="AZ42" s="435"/>
      <c r="BA42" s="435"/>
      <c r="BB42" s="435"/>
      <c r="BC42" s="435"/>
      <c r="BD42" s="435"/>
      <c r="BE42" s="435"/>
      <c r="BF42" s="435"/>
      <c r="BG42" s="435"/>
      <c r="BH42" s="435"/>
      <c r="BI42" s="435"/>
      <c r="BJ42" s="435"/>
      <c r="BK42" s="435"/>
      <c r="BL42" s="435"/>
      <c r="BM42" s="435"/>
      <c r="BN42" s="435"/>
      <c r="BO42" s="435"/>
      <c r="BP42" s="435"/>
      <c r="BQ42" s="435"/>
      <c r="BR42" s="435"/>
      <c r="BS42" s="435"/>
      <c r="BT42" s="435"/>
      <c r="BU42" s="435"/>
      <c r="BV42" s="435"/>
      <c r="BW42" s="435"/>
      <c r="BX42" s="435"/>
      <c r="BY42" s="435"/>
      <c r="BZ42" s="435"/>
      <c r="CA42" s="435"/>
      <c r="CB42" s="435"/>
      <c r="CC42" s="435"/>
      <c r="CD42" s="435"/>
      <c r="CE42" s="435"/>
      <c r="CF42" s="435"/>
      <c r="CG42" s="435"/>
      <c r="CH42" s="435"/>
      <c r="CI42" s="435"/>
      <c r="CJ42" s="435"/>
      <c r="CK42" s="435"/>
      <c r="CL42" s="435"/>
      <c r="CM42" s="435"/>
      <c r="CN42" s="435"/>
      <c r="CO42" s="435"/>
      <c r="CP42" s="435"/>
      <c r="CQ42" s="435"/>
      <c r="CR42" s="435"/>
      <c r="CS42" s="435"/>
      <c r="CT42" s="435"/>
      <c r="CU42" s="435"/>
      <c r="CV42" s="435"/>
      <c r="CW42" s="435"/>
    </row>
    <row r="43" ht="15.75" customHeight="1">
      <c r="A43" s="436" t="s">
        <v>994</v>
      </c>
      <c r="D43" s="437" t="str">
        <f>IF(J4="X",$A$4&amp;", ","")&amp;IF(J5="X",$A$5&amp;", ","")&amp;IF(J6="X",$A$6&amp;", ","")&amp;IF(J7="X",$A$7&amp;", ","")&amp;IF(J8="X",$A$8&amp;", ","")&amp;IF(J9="X",$A$9&amp;", ","")&amp;IF(J10="X",$A$10&amp;", ","")&amp;IF(J11="X",$A$11&amp;", ","")&amp;IF(J12="X",$A12&amp;", ","")&amp;IF(J13="X",$A13&amp;", ","")&amp;IF(J14="X",$A14&amp;", ","")&amp;IF(J15="X",$A15&amp;", ","")&amp;IF(J16="X",$A16&amp;", ","")&amp;IF(J17="X",$A17&amp;", ","")&amp;IF(J18="X",$A18&amp;", ","")&amp;IF(J19="X",$A19&amp;", ","")&amp;IF(J20="X",$A20&amp;", ","")&amp;IF(J21="X",$A21&amp;", ","")</f>
        <v>Medicina, Religion, </v>
      </c>
      <c r="AM43" s="437"/>
      <c r="AN43" s="437"/>
      <c r="AO43" s="437"/>
      <c r="AP43" s="437"/>
      <c r="AQ43" s="437"/>
      <c r="AR43" s="437"/>
      <c r="AS43" s="437"/>
      <c r="AT43" s="437"/>
      <c r="AU43" s="437"/>
      <c r="AV43" s="437"/>
      <c r="AW43" s="437"/>
      <c r="AX43" s="437"/>
      <c r="AY43" s="437"/>
      <c r="AZ43" s="437"/>
      <c r="BA43" s="437"/>
      <c r="BB43" s="437"/>
      <c r="BC43" s="437"/>
      <c r="BD43" s="437"/>
      <c r="BE43" s="437"/>
      <c r="BF43" s="437"/>
      <c r="BG43" s="437"/>
      <c r="BH43" s="437"/>
      <c r="BI43" s="437"/>
      <c r="BJ43" s="437"/>
      <c r="BK43" s="437"/>
      <c r="BL43" s="437"/>
      <c r="BM43" s="437"/>
      <c r="BN43" s="437"/>
      <c r="BO43" s="437"/>
      <c r="BP43" s="437"/>
      <c r="BQ43" s="437"/>
      <c r="BR43" s="437"/>
      <c r="BS43" s="437"/>
      <c r="BT43" s="437"/>
      <c r="BU43" s="437"/>
      <c r="BV43" s="437"/>
      <c r="BW43" s="437"/>
      <c r="BX43" s="437"/>
      <c r="BY43" s="437"/>
      <c r="BZ43" s="437"/>
      <c r="CA43" s="437"/>
      <c r="CB43" s="437"/>
      <c r="CC43" s="437"/>
      <c r="CD43" s="437"/>
      <c r="CE43" s="437"/>
      <c r="CF43" s="437"/>
      <c r="CG43" s="437"/>
      <c r="CH43" s="437"/>
      <c r="CI43" s="437"/>
      <c r="CJ43" s="437"/>
      <c r="CK43" s="437"/>
      <c r="CL43" s="437"/>
      <c r="CM43" s="437"/>
      <c r="CN43" s="437"/>
      <c r="CO43" s="437"/>
      <c r="CP43" s="437"/>
      <c r="CQ43" s="437"/>
      <c r="CR43" s="437"/>
      <c r="CS43" s="437"/>
      <c r="CT43" s="437"/>
      <c r="CU43" s="437"/>
      <c r="CV43" s="437"/>
      <c r="CW43" s="437"/>
    </row>
    <row r="44" ht="15.75" customHeight="1">
      <c r="A44" s="438" t="s">
        <v>995</v>
      </c>
      <c r="D44" s="439" t="str">
        <f>IF(K4="X",$A$4&amp;", ","")&amp;IF(K5="X",$A$5&amp;", ","")&amp;IF(K6="X",$A$6&amp;", ","")&amp;IF(K7="X",$A$7&amp;", ","")&amp;IF(K8="X",$A$8&amp;", ","")&amp;IF(K9="X",$A$9&amp;", ","")&amp;IF(K10="X",$A$10&amp;", ","")&amp;IF(K11="X",$A$11&amp;", ","")&amp;IF(K12="X",$A12&amp;", ","")&amp;IF(K13="X",$A13&amp;", ","")&amp;IF(K14="X",$A14&amp;", ","")&amp;IF(K15="X",$A15&amp;", ","")&amp;IF(K16="X",$A16&amp;", ","")&amp;IF(K17="X",$A17&amp;", ","")&amp;IF(K18="X",$A18&amp;", ","")&amp;IF(K19="X",$A19&amp;", ","")&amp;IF(K20="X",$A20&amp;", ","")&amp;IF(K21="X",$A21&amp;", ","")</f>
        <v>Historia, Persuasion, </v>
      </c>
      <c r="AM44" s="439"/>
      <c r="AN44" s="439"/>
      <c r="AO44" s="439"/>
      <c r="AP44" s="439"/>
      <c r="AQ44" s="439"/>
      <c r="AR44" s="439"/>
      <c r="AS44" s="439"/>
      <c r="AT44" s="439"/>
      <c r="AU44" s="439"/>
      <c r="AV44" s="439"/>
      <c r="AW44" s="439"/>
      <c r="AX44" s="439"/>
      <c r="AY44" s="439"/>
      <c r="AZ44" s="439"/>
      <c r="BA44" s="439"/>
      <c r="BB44" s="439"/>
      <c r="BC44" s="439"/>
      <c r="BD44" s="439"/>
      <c r="BE44" s="439"/>
      <c r="BF44" s="439"/>
      <c r="BG44" s="439"/>
      <c r="BH44" s="439"/>
      <c r="BI44" s="439"/>
      <c r="BJ44" s="439"/>
      <c r="BK44" s="439"/>
      <c r="BL44" s="439"/>
      <c r="BM44" s="439"/>
      <c r="BN44" s="439"/>
      <c r="BO44" s="439"/>
      <c r="BP44" s="439"/>
      <c r="BQ44" s="439"/>
      <c r="BR44" s="439"/>
      <c r="BS44" s="439"/>
      <c r="BT44" s="439"/>
      <c r="BU44" s="439"/>
      <c r="BV44" s="439"/>
      <c r="BW44" s="439"/>
      <c r="BX44" s="439"/>
      <c r="BY44" s="439"/>
      <c r="BZ44" s="439"/>
      <c r="CA44" s="439"/>
      <c r="CB44" s="439"/>
      <c r="CC44" s="439"/>
      <c r="CD44" s="439"/>
      <c r="CE44" s="439"/>
      <c r="CF44" s="439"/>
      <c r="CG44" s="439"/>
      <c r="CH44" s="439"/>
      <c r="CI44" s="439"/>
      <c r="CJ44" s="439"/>
      <c r="CK44" s="439"/>
      <c r="CL44" s="439"/>
      <c r="CM44" s="439"/>
      <c r="CN44" s="439"/>
      <c r="CO44" s="439"/>
      <c r="CP44" s="439"/>
      <c r="CQ44" s="439"/>
      <c r="CR44" s="439"/>
      <c r="CS44" s="439"/>
      <c r="CT44" s="439"/>
      <c r="CU44" s="439"/>
      <c r="CV44" s="439"/>
      <c r="CW44" s="439"/>
    </row>
    <row r="45" ht="15.75" customHeight="1">
      <c r="A45" s="440" t="s">
        <v>996</v>
      </c>
      <c r="D45" s="441" t="str">
        <f>IF(L4="X",$A$4&amp;", ","")&amp;IF(L5="X",$A$5&amp;", ","")&amp;IF(L6="X",$A$6&amp;", ","")&amp;IF(L7="X",$A$7&amp;", ","")&amp;IF(L8="X",$A$8&amp;", ","")&amp;IF(L9="X",$A$9&amp;", ","")&amp;IF(L10="X",$A$10&amp;", ","")&amp;IF(L11="X",$A$11&amp;", ","")&amp;IF(L12="X",$A12&amp;", ","")&amp;IF(L13="X",$A13&amp;", ","")&amp;IF(L14="X",$A14&amp;", ","")&amp;IF(L15="X",$A15&amp;", ","")&amp;IF(L16="X",$A16&amp;", ","")&amp;IF(L17="X",$A17&amp;", ","")&amp;IF(L18="X",$A18&amp;", ","")&amp;IF(L19="X",$A19&amp;", ","")&amp;IF(L20="X",$A20&amp;", ","")&amp;IF(L21="X",$A21&amp;", ","")</f>
        <v>Atletismo, Supervivencia, </v>
      </c>
      <c r="AM45" s="441"/>
      <c r="AN45" s="441"/>
      <c r="AO45" s="441"/>
      <c r="AP45" s="441"/>
      <c r="AQ45" s="441"/>
      <c r="AR45" s="441"/>
      <c r="AS45" s="441"/>
      <c r="AT45" s="441"/>
      <c r="AU45" s="441"/>
      <c r="AV45" s="441"/>
      <c r="AW45" s="441"/>
      <c r="AX45" s="441"/>
      <c r="AY45" s="441"/>
      <c r="AZ45" s="441"/>
      <c r="BA45" s="441"/>
      <c r="BB45" s="441"/>
      <c r="BC45" s="441"/>
      <c r="BD45" s="441"/>
      <c r="BE45" s="441"/>
      <c r="BF45" s="441"/>
      <c r="BG45" s="441"/>
      <c r="BH45" s="441"/>
      <c r="BI45" s="441"/>
      <c r="BJ45" s="441"/>
      <c r="BK45" s="441"/>
      <c r="BL45" s="441"/>
      <c r="BM45" s="441"/>
      <c r="BN45" s="441"/>
      <c r="BO45" s="441"/>
      <c r="BP45" s="441"/>
      <c r="BQ45" s="441"/>
      <c r="BR45" s="441"/>
      <c r="BS45" s="441"/>
      <c r="BT45" s="441"/>
      <c r="BU45" s="441"/>
      <c r="BV45" s="441"/>
      <c r="BW45" s="441"/>
      <c r="BX45" s="441"/>
      <c r="BY45" s="441"/>
      <c r="BZ45" s="441"/>
      <c r="CA45" s="441"/>
      <c r="CB45" s="441"/>
      <c r="CC45" s="441"/>
      <c r="CD45" s="441"/>
      <c r="CE45" s="441"/>
      <c r="CF45" s="441"/>
      <c r="CG45" s="441"/>
      <c r="CH45" s="441"/>
      <c r="CI45" s="441"/>
      <c r="CJ45" s="441"/>
      <c r="CK45" s="441"/>
      <c r="CL45" s="441"/>
      <c r="CM45" s="441"/>
      <c r="CN45" s="441"/>
      <c r="CO45" s="441"/>
      <c r="CP45" s="441"/>
      <c r="CQ45" s="441"/>
      <c r="CR45" s="441"/>
      <c r="CS45" s="441"/>
      <c r="CT45" s="441"/>
      <c r="CU45" s="441"/>
      <c r="CV45" s="441"/>
      <c r="CW45" s="441"/>
    </row>
    <row r="46" ht="15.75" customHeight="1">
      <c r="A46" s="442" t="s">
        <v>997</v>
      </c>
      <c r="D46" s="443" t="str">
        <f>IF(M4="X",$A$4&amp;", ","")&amp;IF(M5="X",$A$5&amp;", ","")&amp;IF(M6="X",$A$6&amp;", ","")&amp;IF(M7="X",$A$7&amp;", ","")&amp;IF(M8="X",$A$8&amp;", ","")&amp;IF(M9="X",$A$9&amp;", ","")&amp;IF(M10="X",$A$10&amp;", ","")&amp;IF(M11="X",$A$11&amp;", ","")&amp;IF(M12="X",$A12&amp;", ","")&amp;IF(M13="X",$A13&amp;", ","")&amp;IF(M14="X",$A14&amp;", ","")&amp;IF(M15="X",$A15&amp;", ","")&amp;IF(M16="X",$A16&amp;", ","")&amp;IF(M17="X",$A17&amp;", ","")&amp;IF(M18="X",$A18&amp;", ","")&amp;IF(M19="X",$A19&amp;", ","")&amp;IF(M20="X",$A20&amp;", ","")&amp;IF(M21="X",$A21&amp;", ","")</f>
        <v>Arcano, Historia, </v>
      </c>
      <c r="AM46" s="443"/>
      <c r="AN46" s="443"/>
      <c r="AO46" s="443"/>
      <c r="AP46" s="443"/>
      <c r="AQ46" s="443"/>
      <c r="AR46" s="443"/>
      <c r="AS46" s="443"/>
      <c r="AT46" s="443"/>
      <c r="AU46" s="443"/>
      <c r="AV46" s="443"/>
      <c r="AW46" s="443"/>
      <c r="AX46" s="443"/>
      <c r="AY46" s="443"/>
      <c r="AZ46" s="443"/>
      <c r="BA46" s="443"/>
      <c r="BB46" s="443"/>
      <c r="BC46" s="443"/>
      <c r="BD46" s="443"/>
      <c r="BE46" s="443"/>
      <c r="BF46" s="443"/>
      <c r="BG46" s="443"/>
      <c r="BH46" s="443"/>
      <c r="BI46" s="443"/>
      <c r="BJ46" s="443"/>
      <c r="BK46" s="443"/>
      <c r="BL46" s="443"/>
      <c r="BM46" s="443"/>
      <c r="BN46" s="443"/>
      <c r="BO46" s="443"/>
      <c r="BP46" s="443"/>
      <c r="BQ46" s="443"/>
      <c r="BR46" s="443"/>
      <c r="BS46" s="443"/>
      <c r="BT46" s="443"/>
      <c r="BU46" s="443"/>
      <c r="BV46" s="443"/>
      <c r="BW46" s="443"/>
      <c r="BX46" s="443"/>
      <c r="BY46" s="443"/>
      <c r="BZ46" s="443"/>
      <c r="CA46" s="443"/>
      <c r="CB46" s="443"/>
      <c r="CC46" s="443"/>
      <c r="CD46" s="443"/>
      <c r="CE46" s="443"/>
      <c r="CF46" s="443"/>
      <c r="CG46" s="443"/>
      <c r="CH46" s="443"/>
      <c r="CI46" s="443"/>
      <c r="CJ46" s="443"/>
      <c r="CK46" s="443"/>
      <c r="CL46" s="443"/>
      <c r="CM46" s="443"/>
      <c r="CN46" s="443"/>
      <c r="CO46" s="443"/>
      <c r="CP46" s="443"/>
      <c r="CQ46" s="443"/>
      <c r="CR46" s="443"/>
      <c r="CS46" s="443"/>
      <c r="CT46" s="443"/>
      <c r="CU46" s="443"/>
      <c r="CV46" s="443"/>
      <c r="CW46" s="443"/>
    </row>
    <row r="47" ht="15.75" customHeight="1">
      <c r="A47" s="424" t="s">
        <v>998</v>
      </c>
      <c r="D47" s="425" t="str">
        <f>IF(N4="X",$A$4&amp;", ","")&amp;IF(N5="X",$A$5&amp;", ","")&amp;IF(N6="X",$A$6&amp;", ","")&amp;IF(N7="X",$A$7&amp;", ","")&amp;IF(N8="X",$A$8&amp;", ","")&amp;IF(N9="X",$A$9&amp;", ","")&amp;IF(N10="X",$A$10&amp;", ","")&amp;IF(N11="X",$A$11&amp;", ","")&amp;IF(N12="X",$A12&amp;", ","")&amp;IF(N13="X",$A13&amp;", ","")&amp;IF(N14="X",$A14&amp;", ","")&amp;IF(N15="X",$A15&amp;", ","")&amp;IF(N16="X",$A16&amp;", ","")&amp;IF(N17="X",$A17&amp;", ","")&amp;IF(N18="X",$A18&amp;", ","")&amp;IF(N19="X",$A19&amp;", ","")&amp;IF(N20="X",$A20&amp;", ","")&amp;IF(N21="X",$A21&amp;", ","")</f>
        <v>Atletismo, Percepcion, </v>
      </c>
      <c r="AM47" s="425"/>
      <c r="AN47" s="425"/>
      <c r="AO47" s="425"/>
      <c r="AP47" s="425"/>
      <c r="AQ47" s="425"/>
      <c r="AR47" s="425"/>
      <c r="AS47" s="425"/>
      <c r="AT47" s="425"/>
      <c r="AU47" s="425"/>
      <c r="AV47" s="425"/>
      <c r="AW47" s="425"/>
      <c r="AX47" s="425"/>
      <c r="AY47" s="425"/>
      <c r="AZ47" s="425"/>
      <c r="BA47" s="425"/>
      <c r="BB47" s="425"/>
      <c r="BC47" s="425"/>
      <c r="BD47" s="425"/>
      <c r="BE47" s="425"/>
      <c r="BF47" s="425"/>
      <c r="BG47" s="425"/>
      <c r="BH47" s="425"/>
      <c r="BI47" s="425"/>
      <c r="BJ47" s="425"/>
      <c r="BK47" s="425"/>
      <c r="BL47" s="425"/>
      <c r="BM47" s="425"/>
      <c r="BN47" s="425"/>
      <c r="BO47" s="425"/>
      <c r="BP47" s="425"/>
      <c r="BQ47" s="425"/>
      <c r="BR47" s="425"/>
      <c r="BS47" s="425"/>
      <c r="BT47" s="425"/>
      <c r="BU47" s="425"/>
      <c r="BV47" s="425"/>
      <c r="BW47" s="425"/>
      <c r="BX47" s="425"/>
      <c r="BY47" s="425"/>
      <c r="BZ47" s="425"/>
      <c r="CA47" s="425"/>
      <c r="CB47" s="425"/>
      <c r="CC47" s="425"/>
      <c r="CD47" s="425"/>
      <c r="CE47" s="425"/>
      <c r="CF47" s="425"/>
      <c r="CG47" s="425"/>
      <c r="CH47" s="425"/>
      <c r="CI47" s="425"/>
      <c r="CJ47" s="425"/>
      <c r="CK47" s="425"/>
      <c r="CL47" s="425"/>
      <c r="CM47" s="425"/>
      <c r="CN47" s="425"/>
      <c r="CO47" s="425"/>
      <c r="CP47" s="425"/>
      <c r="CQ47" s="425"/>
      <c r="CR47" s="425"/>
      <c r="CS47" s="425"/>
      <c r="CT47" s="425"/>
      <c r="CU47" s="425"/>
      <c r="CV47" s="425"/>
      <c r="CW47" s="425"/>
    </row>
    <row r="48" ht="15.75" customHeight="1">
      <c r="A48" s="444" t="s">
        <v>999</v>
      </c>
      <c r="D48" s="445" t="str">
        <f>IF(O4="X",$A$4&amp;", ","")&amp;IF(O5="X",$A$5&amp;", ","")&amp;IF(O6="X",$A$6&amp;", ","")&amp;IF(O7="X",$A$7&amp;", ","")&amp;IF(O8="X",$A$8&amp;", ","")&amp;IF(O9="X",$A$9&amp;", ","")&amp;IF(O10="X",$A$10&amp;", ","")&amp;IF(O11="X",$A$11&amp;", ","")&amp;IF(O12="X",$A12&amp;", ","")&amp;IF(O13="X",$A13&amp;", ","")&amp;IF(O14="X",$A14&amp;", ","")&amp;IF(O15="X",$A15&amp;", ","")&amp;IF(O16="X",$A16&amp;", ","")&amp;IF(O17="X",$A17&amp;", ","")&amp;IF(O18="X",$A18&amp;", ","")&amp;IF(O19="X",$A19&amp;", ","")&amp;IF(O20="X",$A20&amp;", ","")&amp;IF(O21="X",$A21&amp;", ","")</f>
        <v>Atletismo, Intimidacion, </v>
      </c>
      <c r="AM48" s="445"/>
      <c r="AN48" s="445"/>
      <c r="AO48" s="445"/>
      <c r="AP48" s="445"/>
      <c r="AQ48" s="445"/>
      <c r="AR48" s="445"/>
      <c r="AS48" s="445"/>
      <c r="AT48" s="445"/>
      <c r="AU48" s="445"/>
      <c r="AV48" s="445"/>
      <c r="AW48" s="445"/>
      <c r="AX48" s="445"/>
      <c r="AY48" s="445"/>
      <c r="AZ48" s="445"/>
      <c r="BA48" s="445"/>
      <c r="BB48" s="445"/>
      <c r="BC48" s="445"/>
      <c r="BD48" s="445"/>
      <c r="BE48" s="445"/>
      <c r="BF48" s="445"/>
      <c r="BG48" s="445"/>
      <c r="BH48" s="445"/>
      <c r="BI48" s="445"/>
      <c r="BJ48" s="445"/>
      <c r="BK48" s="445"/>
      <c r="BL48" s="445"/>
      <c r="BM48" s="445"/>
      <c r="BN48" s="445"/>
      <c r="BO48" s="445"/>
      <c r="BP48" s="445"/>
      <c r="BQ48" s="445"/>
      <c r="BR48" s="445"/>
      <c r="BS48" s="445"/>
      <c r="BT48" s="445"/>
      <c r="BU48" s="445"/>
      <c r="BV48" s="445"/>
      <c r="BW48" s="445"/>
      <c r="BX48" s="445"/>
      <c r="BY48" s="445"/>
      <c r="BZ48" s="445"/>
      <c r="CA48" s="445"/>
      <c r="CB48" s="445"/>
      <c r="CC48" s="445"/>
      <c r="CD48" s="445"/>
      <c r="CE48" s="445"/>
      <c r="CF48" s="445"/>
      <c r="CG48" s="445"/>
      <c r="CH48" s="445"/>
      <c r="CI48" s="445"/>
      <c r="CJ48" s="445"/>
      <c r="CK48" s="445"/>
      <c r="CL48" s="445"/>
      <c r="CM48" s="445"/>
      <c r="CN48" s="445"/>
      <c r="CO48" s="445"/>
      <c r="CP48" s="445"/>
      <c r="CQ48" s="445"/>
      <c r="CR48" s="445"/>
      <c r="CS48" s="445"/>
      <c r="CT48" s="445"/>
      <c r="CU48" s="445"/>
      <c r="CV48" s="445"/>
      <c r="CW48" s="445"/>
    </row>
    <row r="49" ht="15.75" customHeight="1">
      <c r="A49" s="428" t="s">
        <v>1000</v>
      </c>
      <c r="D49" s="429" t="str">
        <f>IF(P4="X",$A$4&amp;", ","")&amp;IF(P5="X",$A$5&amp;", ","")&amp;IF(P6="X",$A$6&amp;", ","")&amp;IF(P7="X",$A$7&amp;", ","")&amp;IF(P8="X",$A$8&amp;", ","")&amp;IF(P9="X",$A$9&amp;", ","")&amp;IF(P10="X",$A$10&amp;", ","")&amp;IF(P11="X",$A$11&amp;", ","")&amp;IF(P12="X",$A12&amp;", ","")&amp;IF(P13="X",$A13&amp;", ","")&amp;IF(P14="X",$A14&amp;", ","")&amp;IF(P15="X",$A15&amp;", ","")&amp;IF(P16="X",$A16&amp;", ","")&amp;IF(P17="X",$A17&amp;", ","")&amp;IF(P18="X",$A18&amp;", ","")&amp;IF(P19="X",$A19&amp;", ","")&amp;IF(P20="X",$A20&amp;", ","")&amp;IF(P21="X",$A21&amp;", ","")</f>
        <v>Juego de Manos, Sigilo, </v>
      </c>
      <c r="AM49" s="429"/>
      <c r="AN49" s="429"/>
      <c r="AO49" s="429"/>
      <c r="AP49" s="429"/>
      <c r="AQ49" s="429"/>
      <c r="AR49" s="429"/>
      <c r="AS49" s="429"/>
      <c r="AT49" s="429"/>
      <c r="AU49" s="429"/>
      <c r="AV49" s="429"/>
      <c r="AW49" s="429"/>
      <c r="AX49" s="429"/>
      <c r="AY49" s="429"/>
      <c r="AZ49" s="429"/>
      <c r="BA49" s="429"/>
      <c r="BB49" s="429"/>
      <c r="BC49" s="429"/>
      <c r="BD49" s="429"/>
      <c r="BE49" s="429"/>
      <c r="BF49" s="429"/>
      <c r="BG49" s="429"/>
      <c r="BH49" s="429"/>
      <c r="BI49" s="429"/>
      <c r="BJ49" s="429"/>
      <c r="BK49" s="429"/>
      <c r="BL49" s="429"/>
      <c r="BM49" s="429"/>
      <c r="BN49" s="429"/>
      <c r="BO49" s="429"/>
      <c r="BP49" s="429"/>
      <c r="BQ49" s="429"/>
      <c r="BR49" s="429"/>
      <c r="BS49" s="429"/>
      <c r="BT49" s="429"/>
      <c r="BU49" s="429"/>
      <c r="BV49" s="429"/>
      <c r="BW49" s="429"/>
      <c r="BX49" s="429"/>
      <c r="BY49" s="429"/>
      <c r="BZ49" s="429"/>
      <c r="CA49" s="429"/>
      <c r="CB49" s="429"/>
      <c r="CC49" s="429"/>
      <c r="CD49" s="429"/>
      <c r="CE49" s="429"/>
      <c r="CF49" s="429"/>
      <c r="CG49" s="429"/>
      <c r="CH49" s="429"/>
      <c r="CI49" s="429"/>
      <c r="CJ49" s="429"/>
      <c r="CK49" s="429"/>
      <c r="CL49" s="429"/>
      <c r="CM49" s="429"/>
      <c r="CN49" s="429"/>
      <c r="CO49" s="429"/>
      <c r="CP49" s="429"/>
      <c r="CQ49" s="429"/>
      <c r="CR49" s="429"/>
      <c r="CS49" s="429"/>
      <c r="CT49" s="429"/>
      <c r="CU49" s="429"/>
      <c r="CV49" s="429"/>
      <c r="CW49" s="429"/>
    </row>
    <row r="50" ht="15.75" customHeight="1">
      <c r="T50" s="423"/>
    </row>
    <row r="51" ht="15.75" customHeight="1">
      <c r="T51" s="423"/>
    </row>
    <row r="52" ht="15.75" customHeight="1">
      <c r="A52" s="424" t="s">
        <v>1001</v>
      </c>
      <c r="D52" s="425" t="str">
        <f>IF(AE4="X",$A$4&amp;", ","")&amp;IF(AE5="X",$A$5&amp;", ","")&amp;IF(AE6="X",$A$6&amp;", ","")&amp;IF(AE7="X",$A$7&amp;", ","")&amp;IF(AE8="X",$A$8&amp;", ","")&amp;IF(AE9="X",$A$9&amp;", ","")&amp;IF(AE10="X",$A$10&amp;", ","")&amp;IF(AE11="X",$A$11&amp;", ","")&amp;IF(AE12="X",$A12&amp;", ","")&amp;IF(AE13="X",$A13&amp;", ","")&amp;IF(AE14="X",$A14&amp;", ","")&amp;IF(AE15="X",$A15&amp;", ","")&amp;IF(AE16="X",$A16&amp;", ","")&amp;IF(AE17="X",$A17&amp;", ","")&amp;IF(AE18="X",$A18&amp;", ","")&amp;IF(AE19="X",$A19&amp;", ","")&amp;IF(AE20="X",$A20&amp;", ","")&amp;IF(AE21="X",$A21&amp;", ","")</f>
        <v/>
      </c>
      <c r="AM52" s="425"/>
      <c r="AN52" s="425"/>
      <c r="AO52" s="425"/>
      <c r="AP52" s="425"/>
      <c r="AQ52" s="425"/>
      <c r="AR52" s="425"/>
      <c r="AS52" s="425"/>
      <c r="AT52" s="425"/>
      <c r="AU52" s="425"/>
      <c r="AV52" s="425"/>
      <c r="AW52" s="425"/>
      <c r="AX52" s="425"/>
      <c r="AY52" s="425"/>
      <c r="AZ52" s="425"/>
      <c r="BA52" s="425"/>
      <c r="BB52" s="425"/>
      <c r="BC52" s="425"/>
      <c r="BD52" s="425"/>
      <c r="BE52" s="425"/>
      <c r="BF52" s="425"/>
      <c r="BG52" s="425"/>
      <c r="BH52" s="425"/>
      <c r="BI52" s="425"/>
      <c r="BJ52" s="425"/>
      <c r="BK52" s="425"/>
      <c r="BL52" s="425"/>
      <c r="BM52" s="425"/>
      <c r="BN52" s="425"/>
      <c r="BO52" s="425"/>
      <c r="BP52" s="425"/>
      <c r="BQ52" s="425"/>
      <c r="BR52" s="425"/>
      <c r="BS52" s="425"/>
      <c r="BT52" s="425"/>
      <c r="BU52" s="425"/>
      <c r="BV52" s="425"/>
      <c r="BW52" s="425"/>
      <c r="BX52" s="425"/>
      <c r="BY52" s="425"/>
      <c r="BZ52" s="425"/>
      <c r="CA52" s="425"/>
      <c r="CB52" s="425"/>
      <c r="CC52" s="425"/>
      <c r="CD52" s="425"/>
      <c r="CE52" s="425"/>
      <c r="CF52" s="425"/>
      <c r="CG52" s="425"/>
      <c r="CH52" s="425"/>
      <c r="CI52" s="425"/>
      <c r="CJ52" s="425"/>
      <c r="CK52" s="425"/>
      <c r="CL52" s="425"/>
      <c r="CM52" s="425"/>
      <c r="CN52" s="425"/>
      <c r="CO52" s="425"/>
      <c r="CP52" s="425"/>
      <c r="CQ52" s="425"/>
      <c r="CR52" s="425"/>
      <c r="CS52" s="425"/>
      <c r="CT52" s="425"/>
      <c r="CU52" s="425"/>
      <c r="CV52" s="425"/>
      <c r="CW52" s="425"/>
    </row>
    <row r="53" ht="15.75" customHeight="1">
      <c r="A53" s="426" t="s">
        <v>1002</v>
      </c>
      <c r="D53" s="427" t="str">
        <f>IF(AF4="X",$A$4&amp;", ","")&amp;IF(AF5="X",$A$5&amp;", ","")&amp;IF(AF6="X",$A$6&amp;", ","")&amp;IF(AF7="X",$A$7&amp;", ","")&amp;IF(AF8="X",$A$8&amp;", ","")&amp;IF(AF9="X",$A$9&amp;", ","")&amp;IF(AF10="X",$A$10&amp;", ","")&amp;IF(AF11="X",$A$11&amp;", ","")&amp;IF(AF12="X",$A12&amp;", ","")&amp;IF(AF13="X",$A13&amp;", ","")&amp;IF(AF14="X",$A14&amp;", ","")&amp;IF(AF15="X",$A15&amp;", ","")&amp;IF(AF16="X",$A16&amp;", ","")&amp;IF(AF17="X",$A17&amp;", ","")&amp;IF(AF18="X",$A18&amp;", ","")&amp;IF(AF19="X",$A19&amp;", ","")&amp;IF(AF20="X",$A20&amp;", ","")&amp;IF(AF21="X",$A21&amp;", ","")</f>
        <v/>
      </c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  <c r="BF53" s="427"/>
      <c r="BG53" s="427"/>
      <c r="BH53" s="427"/>
      <c r="BI53" s="427"/>
      <c r="BJ53" s="427"/>
      <c r="BK53" s="427"/>
      <c r="BL53" s="427"/>
      <c r="BM53" s="427"/>
      <c r="BN53" s="427"/>
      <c r="BO53" s="427"/>
      <c r="BP53" s="427"/>
      <c r="BQ53" s="427"/>
      <c r="BR53" s="427"/>
      <c r="BS53" s="427"/>
      <c r="BT53" s="427"/>
      <c r="BU53" s="427"/>
      <c r="BV53" s="427"/>
      <c r="BW53" s="427"/>
      <c r="BX53" s="427"/>
      <c r="BY53" s="427"/>
      <c r="BZ53" s="427"/>
      <c r="CA53" s="427"/>
      <c r="CB53" s="427"/>
      <c r="CC53" s="427"/>
      <c r="CD53" s="427"/>
      <c r="CE53" s="427"/>
      <c r="CF53" s="427"/>
      <c r="CG53" s="427"/>
      <c r="CH53" s="427"/>
      <c r="CI53" s="427"/>
      <c r="CJ53" s="427"/>
      <c r="CK53" s="427"/>
      <c r="CL53" s="427"/>
      <c r="CM53" s="427"/>
      <c r="CN53" s="427"/>
      <c r="CO53" s="427"/>
      <c r="CP53" s="427"/>
      <c r="CQ53" s="427"/>
      <c r="CR53" s="427"/>
      <c r="CS53" s="427"/>
      <c r="CT53" s="427"/>
      <c r="CU53" s="427"/>
      <c r="CV53" s="427"/>
      <c r="CW53" s="427"/>
    </row>
    <row r="54" ht="15.75" customHeight="1">
      <c r="A54" s="428" t="s">
        <v>1003</v>
      </c>
      <c r="D54" s="429" t="str">
        <f>IF(AG4="X",$A$4&amp;", ","")&amp;IF(AG5="X",$A$5&amp;", ","")&amp;IF(AG6="X",$A$6&amp;", ","")&amp;IF(AG7="X",$A$7&amp;", ","")&amp;IF(AG8="X",$A$8&amp;", ","")&amp;IF(AG9="X",$A$9&amp;", ","")&amp;IF(AG10="X",$A$10&amp;", ","")&amp;IF(AG11="X",$A$11&amp;", ","")&amp;IF(AG12="X",$A12&amp;", ","")&amp;IF(AG13="X",$A13&amp;", ","")&amp;IF(AG14="X",$A14&amp;", ","")&amp;IF(AG15="X",$A15&amp;", ","")&amp;IF(AG16="X",$A16&amp;", ","")&amp;IF(AG17="X",$A17&amp;", ","")&amp;IF(AG18="X",$A18&amp;", ","")&amp;IF(AG19="X",$A19&amp;", ","")&amp;IF(AG20="X",$A20&amp;", ","")&amp;IF(AG21="X",$A21&amp;", ","")</f>
        <v/>
      </c>
      <c r="AM54" s="429"/>
      <c r="AN54" s="429"/>
      <c r="AO54" s="429"/>
      <c r="AP54" s="429"/>
      <c r="AQ54" s="429"/>
      <c r="AR54" s="429"/>
      <c r="AS54" s="429"/>
      <c r="AT54" s="429"/>
      <c r="AU54" s="429"/>
      <c r="AV54" s="429"/>
      <c r="AW54" s="429"/>
      <c r="AX54" s="429"/>
      <c r="AY54" s="429"/>
      <c r="AZ54" s="429"/>
      <c r="BA54" s="429"/>
      <c r="BB54" s="429"/>
      <c r="BC54" s="429"/>
      <c r="BD54" s="429"/>
      <c r="BE54" s="429"/>
      <c r="BF54" s="429"/>
      <c r="BG54" s="429"/>
      <c r="BH54" s="429"/>
      <c r="BI54" s="429"/>
      <c r="BJ54" s="429"/>
      <c r="BK54" s="429"/>
      <c r="BL54" s="429"/>
      <c r="BM54" s="429"/>
      <c r="BN54" s="429"/>
      <c r="BO54" s="429"/>
      <c r="BP54" s="429"/>
      <c r="BQ54" s="429"/>
      <c r="BR54" s="429"/>
      <c r="BS54" s="429"/>
      <c r="BT54" s="429"/>
      <c r="BU54" s="429"/>
      <c r="BV54" s="429"/>
      <c r="BW54" s="429"/>
      <c r="BX54" s="429"/>
      <c r="BY54" s="429"/>
      <c r="BZ54" s="429"/>
      <c r="CA54" s="429"/>
      <c r="CB54" s="429"/>
      <c r="CC54" s="429"/>
      <c r="CD54" s="429"/>
      <c r="CE54" s="429"/>
      <c r="CF54" s="429"/>
      <c r="CG54" s="429"/>
      <c r="CH54" s="429"/>
      <c r="CI54" s="429"/>
      <c r="CJ54" s="429"/>
      <c r="CK54" s="429"/>
      <c r="CL54" s="429"/>
      <c r="CM54" s="429"/>
      <c r="CN54" s="429"/>
      <c r="CO54" s="429"/>
      <c r="CP54" s="429"/>
      <c r="CQ54" s="429"/>
      <c r="CR54" s="429"/>
      <c r="CS54" s="429"/>
      <c r="CT54" s="429"/>
      <c r="CU54" s="429"/>
      <c r="CV54" s="429"/>
      <c r="CW54" s="429"/>
    </row>
    <row r="55" ht="15.75" customHeight="1">
      <c r="A55" s="430" t="s">
        <v>1004</v>
      </c>
      <c r="D55" s="431" t="str">
        <f>IF(AH4="X",$A$4&amp;", ","")&amp;IF(AH5="X",$A$5&amp;", ","")&amp;IF(AH6="X",$A$6&amp;", ","")&amp;IF(AH7="X",$A$7&amp;", ","")&amp;IF(AH8="X",$A$8&amp;", ","")&amp;IF(AH9="X",$A$9&amp;", ","")&amp;IF(AH10="X",$A$10&amp;", ","")&amp;IF(AH11="X",$A$11&amp;", ","")&amp;IF(AH12="X",$A12&amp;", ","")&amp;IF(AH13="X",$A13&amp;", ","")&amp;IF(AH14="X",$A14&amp;", ","")&amp;IF(AH15="X",$A15&amp;", ","")&amp;IF(AH16="X",$A16&amp;", ","")&amp;IF(AH17="X",$A17&amp;", ","")&amp;IF(AH18="X",$A18&amp;", ","")&amp;IF(AH19="X",$A19&amp;", ","")&amp;IF(AH20="X",$A20&amp;", ","")&amp;IF(AH21="X",$A21&amp;", ","")</f>
        <v/>
      </c>
      <c r="AM55" s="431"/>
      <c r="AN55" s="431"/>
      <c r="AO55" s="431"/>
      <c r="AP55" s="431"/>
      <c r="AQ55" s="431"/>
      <c r="AR55" s="431"/>
      <c r="AS55" s="431"/>
      <c r="AT55" s="431"/>
      <c r="AU55" s="431"/>
      <c r="AV55" s="431"/>
      <c r="AW55" s="431"/>
      <c r="AX55" s="431"/>
      <c r="AY55" s="431"/>
      <c r="AZ55" s="431"/>
      <c r="BA55" s="431"/>
      <c r="BB55" s="431"/>
      <c r="BC55" s="431"/>
      <c r="BD55" s="431"/>
      <c r="BE55" s="431"/>
      <c r="BF55" s="431"/>
      <c r="BG55" s="431"/>
      <c r="BH55" s="431"/>
      <c r="BI55" s="431"/>
      <c r="BJ55" s="431"/>
      <c r="BK55" s="431"/>
      <c r="BL55" s="431"/>
      <c r="BM55" s="431"/>
      <c r="BN55" s="431"/>
      <c r="BO55" s="431"/>
      <c r="BP55" s="431"/>
      <c r="BQ55" s="431"/>
      <c r="BR55" s="431"/>
      <c r="BS55" s="431"/>
      <c r="BT55" s="431"/>
      <c r="BU55" s="431"/>
      <c r="BV55" s="431"/>
      <c r="BW55" s="431"/>
      <c r="BX55" s="431"/>
      <c r="BY55" s="431"/>
      <c r="BZ55" s="431"/>
      <c r="CA55" s="431"/>
      <c r="CB55" s="431"/>
      <c r="CC55" s="431"/>
      <c r="CD55" s="431"/>
      <c r="CE55" s="431"/>
      <c r="CF55" s="431"/>
      <c r="CG55" s="431"/>
      <c r="CH55" s="431"/>
      <c r="CI55" s="431"/>
      <c r="CJ55" s="431"/>
      <c r="CK55" s="431"/>
      <c r="CL55" s="431"/>
      <c r="CM55" s="431"/>
      <c r="CN55" s="431"/>
      <c r="CO55" s="431"/>
      <c r="CP55" s="431"/>
      <c r="CQ55" s="431"/>
      <c r="CR55" s="431"/>
      <c r="CS55" s="431"/>
      <c r="CT55" s="431"/>
      <c r="CU55" s="431"/>
      <c r="CV55" s="431"/>
      <c r="CW55" s="431"/>
    </row>
    <row r="56" ht="15.75" customHeight="1">
      <c r="A56" s="432" t="s">
        <v>1005</v>
      </c>
      <c r="D56" s="433" t="str">
        <f>IF(AI4="X",$A$4&amp;", ","")&amp;IF(AI5="X",$A$5&amp;", ","")&amp;IF(AI6="X",$A$6&amp;", ","")&amp;IF(AI7="X",$A$7&amp;", ","")&amp;IF(AI8="X",$A$8&amp;", ","")&amp;IF(AI9="X",$A$9&amp;", ","")&amp;IF(AI10="X",$A$10&amp;", ","")&amp;IF(AI11="X",$A$11&amp;", ","")&amp;IF(AI12="X",$A12&amp;", ","")&amp;IF(AI13="X",$A13&amp;", ","")&amp;IF(AI14="X",$A14&amp;", ","")&amp;IF(AI15="X",$A15&amp;", ","")&amp;IF(AI16="X",$A16&amp;", ","")&amp;IF(AI17="X",$A17&amp;", ","")&amp;IF(AI18="X",$A18&amp;", ","")&amp;IF(AI19="X",$A19&amp;", ","")&amp;IF(AI20="X",$A20&amp;", ","")&amp;IF(AI21="X",$A21&amp;", ","")</f>
        <v/>
      </c>
      <c r="AM56" s="433"/>
      <c r="AN56" s="433"/>
      <c r="AO56" s="433"/>
      <c r="AP56" s="433"/>
      <c r="AQ56" s="433"/>
      <c r="AR56" s="433"/>
      <c r="AS56" s="433"/>
      <c r="AT56" s="433"/>
      <c r="AU56" s="433"/>
      <c r="AV56" s="433"/>
      <c r="AW56" s="433"/>
      <c r="AX56" s="433"/>
      <c r="AY56" s="433"/>
      <c r="AZ56" s="433"/>
      <c r="BA56" s="433"/>
      <c r="BB56" s="433"/>
      <c r="BC56" s="433"/>
      <c r="BD56" s="433"/>
      <c r="BE56" s="433"/>
      <c r="BF56" s="433"/>
      <c r="BG56" s="433"/>
      <c r="BH56" s="433"/>
      <c r="BI56" s="433"/>
      <c r="BJ56" s="433"/>
      <c r="BK56" s="433"/>
      <c r="BL56" s="433"/>
      <c r="BM56" s="433"/>
      <c r="BN56" s="433"/>
      <c r="BO56" s="433"/>
      <c r="BP56" s="433"/>
      <c r="BQ56" s="433"/>
      <c r="BR56" s="433"/>
      <c r="BS56" s="433"/>
      <c r="BT56" s="433"/>
      <c r="BU56" s="433"/>
      <c r="BV56" s="433"/>
      <c r="BW56" s="433"/>
      <c r="BX56" s="433"/>
      <c r="BY56" s="433"/>
      <c r="BZ56" s="433"/>
      <c r="CA56" s="433"/>
      <c r="CB56" s="433"/>
      <c r="CC56" s="433"/>
      <c r="CD56" s="433"/>
      <c r="CE56" s="433"/>
      <c r="CF56" s="433"/>
      <c r="CG56" s="433"/>
      <c r="CH56" s="433"/>
      <c r="CI56" s="433"/>
      <c r="CJ56" s="433"/>
      <c r="CK56" s="433"/>
      <c r="CL56" s="433"/>
      <c r="CM56" s="433"/>
      <c r="CN56" s="433"/>
      <c r="CO56" s="433"/>
      <c r="CP56" s="433"/>
      <c r="CQ56" s="433"/>
      <c r="CR56" s="433"/>
      <c r="CS56" s="433"/>
      <c r="CT56" s="433"/>
      <c r="CU56" s="433"/>
      <c r="CV56" s="433"/>
      <c r="CW56" s="433"/>
    </row>
    <row r="57" ht="15.75" customHeight="1">
      <c r="A57" s="434" t="s">
        <v>1006</v>
      </c>
      <c r="D57" s="435" t="str">
        <f>IF(AJ4="X",$A$4&amp;", ","")&amp;IF(AJ5="X",$A$5&amp;", ","")&amp;IF(AJ6="X",$A$6&amp;", ","")&amp;IF(AJ7="X",$A$7&amp;", ","")&amp;IF(AJ8="X",$A$8&amp;", ","")&amp;IF(AJ9="X",$A$9&amp;", ","")&amp;IF(AJ10="X",$A$10&amp;", ","")&amp;IF(AJ11="X",$A$11&amp;", ","")&amp;IF(AJ12="X",$A12&amp;", ","")&amp;IF(AJ13="X",$A13&amp;", ","")&amp;IF(AJ14="X",$A14&amp;", ","")&amp;IF(AJ15="X",$A15&amp;", ","")&amp;IF(AJ16="X",$A16&amp;", ","")&amp;IF(AJ17="X",$A17&amp;", ","")&amp;IF(AJ18="X",$A18&amp;", ","")&amp;IF(AJ19="X",$A19&amp;", ","")&amp;IF(AJ20="X",$A20&amp;", ","")&amp;IF(AJ21="X",$A21&amp;", ","")</f>
        <v/>
      </c>
      <c r="AM57" s="435"/>
      <c r="AN57" s="435"/>
      <c r="AO57" s="435"/>
      <c r="AP57" s="435"/>
      <c r="AQ57" s="435"/>
      <c r="AR57" s="435"/>
      <c r="AS57" s="435"/>
      <c r="AT57" s="435"/>
      <c r="AU57" s="435"/>
      <c r="AV57" s="435"/>
      <c r="AW57" s="435"/>
      <c r="AX57" s="435"/>
      <c r="AY57" s="435"/>
      <c r="AZ57" s="435"/>
      <c r="BA57" s="435"/>
      <c r="BB57" s="435"/>
      <c r="BC57" s="435"/>
      <c r="BD57" s="435"/>
      <c r="BE57" s="435"/>
      <c r="BF57" s="435"/>
      <c r="BG57" s="435"/>
      <c r="BH57" s="435"/>
      <c r="BI57" s="435"/>
      <c r="BJ57" s="435"/>
      <c r="BK57" s="435"/>
      <c r="BL57" s="435"/>
      <c r="BM57" s="435"/>
      <c r="BN57" s="435"/>
      <c r="BO57" s="435"/>
      <c r="BP57" s="435"/>
      <c r="BQ57" s="435"/>
      <c r="BR57" s="435"/>
      <c r="BS57" s="435"/>
      <c r="BT57" s="435"/>
      <c r="BU57" s="435"/>
      <c r="BV57" s="435"/>
      <c r="BW57" s="435"/>
      <c r="BX57" s="435"/>
      <c r="BY57" s="435"/>
      <c r="BZ57" s="435"/>
      <c r="CA57" s="435"/>
      <c r="CB57" s="435"/>
      <c r="CC57" s="435"/>
      <c r="CD57" s="435"/>
      <c r="CE57" s="435"/>
      <c r="CF57" s="435"/>
      <c r="CG57" s="435"/>
      <c r="CH57" s="435"/>
      <c r="CI57" s="435"/>
      <c r="CJ57" s="435"/>
      <c r="CK57" s="435"/>
      <c r="CL57" s="435"/>
      <c r="CM57" s="435"/>
      <c r="CN57" s="435"/>
      <c r="CO57" s="435"/>
      <c r="CP57" s="435"/>
      <c r="CQ57" s="435"/>
      <c r="CR57" s="435"/>
      <c r="CS57" s="435"/>
      <c r="CT57" s="435"/>
      <c r="CU57" s="435"/>
      <c r="CV57" s="435"/>
      <c r="CW57" s="435"/>
    </row>
    <row r="58" ht="15.75" customHeight="1">
      <c r="A58" s="436" t="s">
        <v>1007</v>
      </c>
      <c r="D58" s="437" t="str">
        <f>IF(AK4="X",$A$4&amp;", ","")&amp;IF(AK5="X",$A$5&amp;", ","")&amp;IF(AK6="X",$A$6&amp;", ","")&amp;IF(AK7="X",$A$7&amp;", ","")&amp;IF(AK8="X",$A$8&amp;", ","")&amp;IF(AK9="X",$A$9&amp;", ","")&amp;IF(AK10="X",$A$10&amp;", ","")&amp;IF(AK11="X",$A$11&amp;", ","")&amp;IF(AK12="X",$A12&amp;", ","")&amp;IF(AK13="X",$A13&amp;", ","")&amp;IF(AK14="X",$A14&amp;", ","")&amp;IF(AK15="X",$A15&amp;", ","")&amp;IF(AK16="X",$A16&amp;", ","")&amp;IF(AK17="X",$A17&amp;", ","")&amp;IF(AK18="X",$A18&amp;", ","")&amp;IF(AK19="X",$A19&amp;", ","")&amp;IF(AK20="X",$A20&amp;", ","")&amp;IF(AK21="X",$A21&amp;", ","")</f>
        <v/>
      </c>
      <c r="AM58" s="437"/>
      <c r="AN58" s="437"/>
      <c r="AO58" s="437"/>
      <c r="AP58" s="437"/>
      <c r="AQ58" s="437"/>
      <c r="AR58" s="437"/>
      <c r="AS58" s="437"/>
      <c r="AT58" s="437"/>
      <c r="AU58" s="437"/>
      <c r="AV58" s="437"/>
      <c r="AW58" s="437"/>
      <c r="AX58" s="437"/>
      <c r="AY58" s="437"/>
      <c r="AZ58" s="437"/>
      <c r="BA58" s="437"/>
      <c r="BB58" s="437"/>
      <c r="BC58" s="437"/>
      <c r="BD58" s="437"/>
      <c r="BE58" s="437"/>
      <c r="BF58" s="437"/>
      <c r="BG58" s="437"/>
      <c r="BH58" s="437"/>
      <c r="BI58" s="437"/>
      <c r="BJ58" s="437"/>
      <c r="BK58" s="437"/>
      <c r="BL58" s="437"/>
      <c r="BM58" s="437"/>
      <c r="BN58" s="437"/>
      <c r="BO58" s="437"/>
      <c r="BP58" s="437"/>
      <c r="BQ58" s="437"/>
      <c r="BR58" s="437"/>
      <c r="BS58" s="437"/>
      <c r="BT58" s="437"/>
      <c r="BU58" s="437"/>
      <c r="BV58" s="437"/>
      <c r="BW58" s="437"/>
      <c r="BX58" s="437"/>
      <c r="BY58" s="437"/>
      <c r="BZ58" s="437"/>
      <c r="CA58" s="437"/>
      <c r="CB58" s="437"/>
      <c r="CC58" s="437"/>
      <c r="CD58" s="437"/>
      <c r="CE58" s="437"/>
      <c r="CF58" s="437"/>
      <c r="CG58" s="437"/>
      <c r="CH58" s="437"/>
      <c r="CI58" s="437"/>
      <c r="CJ58" s="437"/>
      <c r="CK58" s="437"/>
      <c r="CL58" s="437"/>
      <c r="CM58" s="437"/>
      <c r="CN58" s="437"/>
      <c r="CO58" s="437"/>
      <c r="CP58" s="437"/>
      <c r="CQ58" s="437"/>
      <c r="CR58" s="437"/>
      <c r="CS58" s="437"/>
      <c r="CT58" s="437"/>
      <c r="CU58" s="437"/>
      <c r="CV58" s="437"/>
      <c r="CW58" s="437"/>
    </row>
    <row r="59" ht="15.75" customHeight="1">
      <c r="T59" s="423"/>
    </row>
    <row r="60" ht="15.75" customHeight="1">
      <c r="A60" s="424" t="str">
        <f>Razas!A3</f>
        <v>Hombres Lagarto</v>
      </c>
      <c r="D60" s="446" t="str">
        <f>IF(AM4="X",$A$4&amp;", ","")&amp;IF(AM5="X",$A$5&amp;", ","")&amp;IF(AM6="X",$A$6&amp;", ","")&amp;IF(AM7="X",$A$7&amp;", ","")&amp;IF(AM8="X",$A$8&amp;", ","")&amp;IF(AM9="X",$A$9&amp;", ","")&amp;IF(AM10="X",$A$10&amp;", ","")&amp;IF(AM11="X",$A$11&amp;", ","")&amp;IF(AM12="X",$A12&amp;", ","")&amp;IF(AM13="X",$A13&amp;", ","")&amp;IF(AM14="X",$A14&amp;", ","")&amp;IF(AM15="X",$A15&amp;", ","")&amp;IF(AM16="X",$A16&amp;", ","")&amp;IF(AM17="X",$A17&amp;", ","")&amp;IF(AM18="X",$A18&amp;", ","")&amp;IF(AM19="X",$A19&amp;", ","")&amp;IF(AM20="X",$A20&amp;", ","")&amp;IF(AM21="X",$A21&amp;", ","")</f>
        <v>Trato con animales, Naturaleza, Percepcion, Sigilo, Supervivencia, </v>
      </c>
    </row>
    <row r="61" ht="15.75" customHeight="1">
      <c r="A61" s="426" t="str">
        <f>Razas!A4</f>
        <v>Hombres Lagarto</v>
      </c>
      <c r="D61" s="447" t="str">
        <f>IF(AN4="X",$A$4&amp;", ","")&amp;IF(AN5="X",$A$5&amp;", ","")&amp;IF(AN6="X",$A$6&amp;", ","")&amp;IF(AN7="X",$A$7&amp;", ","")&amp;IF(AN8="X",$A$8&amp;", ","")&amp;IF(AN9="X",$A$9&amp;", ","")&amp;IF(AN10="X",$A$10&amp;", ","")&amp;IF(AN11="X",$A$11&amp;", ","")&amp;IF(AN12="X",$A12&amp;", ","")&amp;IF(AN13="X",$A13&amp;", ","")&amp;IF(AN14="X",$A14&amp;", ","")&amp;IF(AN15="X",$A15&amp;", ","")&amp;IF(AN16="X",$A16&amp;", ","")&amp;IF(AN17="X",$A17&amp;", ","")&amp;IF(AN18="X",$A18&amp;", ","")&amp;IF(AN19="X",$A19&amp;", ","")&amp;IF(AN20="X",$A20&amp;", ","")&amp;IF(AN21="X",$A21&amp;", ","")</f>
        <v>Trato con animales, Naturaleza, Percepcion, Sigilo, Supervivencia, </v>
      </c>
    </row>
    <row r="62" ht="15.75" hidden="1" customHeight="1">
      <c r="A62" s="428"/>
      <c r="D62" s="448"/>
    </row>
    <row r="63" ht="15.75" customHeight="1">
      <c r="A63" s="430" t="str">
        <f>Razas!A6</f>
        <v>Hombres Pájaro</v>
      </c>
      <c r="D63" s="449" t="str">
        <f>IF(AO4="X",$A$4&amp;", ","")&amp;IF(AO5="X",$A$5&amp;", ","")&amp;IF(AO6="X",$A$6&amp;", ","")&amp;IF(AO7="X",$A$7&amp;", ","")&amp;IF(AO8="X",$A$8&amp;", ","")&amp;IF(AO9="X",$A$9&amp;", ","")&amp;IF(AO10="X",$A$10&amp;", ","")&amp;IF(AO11="X",$A$11&amp;", ","")&amp;IF(AO12="X",$A12&amp;", ","")&amp;IF(AO13="X",$A13&amp;", ","")&amp;IF(AO14="X",$A14&amp;", ","")&amp;IF(AO15="X",$A15&amp;", ","")&amp;IF(AO16="X",$A16&amp;", ","")&amp;IF(AO17="X",$A17&amp;", ","")&amp;IF(AO18="X",$A18&amp;", ","")&amp;IF(AO19="X",$A19&amp;", ","")&amp;IF(AO20="X",$A20&amp;", ","")&amp;IF(AO21="X",$A21&amp;", ","")</f>
        <v/>
      </c>
    </row>
    <row r="64" ht="15.75" customHeight="1">
      <c r="A64" s="432" t="str">
        <f>Razas!A7</f>
        <v>Hombres Pájaro</v>
      </c>
      <c r="D64" s="450" t="str">
        <f>IF(AP4="X",$A$4&amp;", ","")&amp;IF(AP5="X",$A$5&amp;", ","")&amp;IF(AP6="X",$A$6&amp;", ","")&amp;IF(AP7="X",$A$7&amp;", ","")&amp;IF(AP8="X",$A$8&amp;", ","")&amp;IF(AP9="X",$A$9&amp;", ","")&amp;IF(AP10="X",$A$10&amp;", ","")&amp;IF(AP11="X",$A$11&amp;", ","")&amp;IF(AP12="X",$A12&amp;", ","")&amp;IF(AP13="X",$A13&amp;", ","")&amp;IF(AP14="X",$A14&amp;", ","")&amp;IF(AP15="X",$A15&amp;", ","")&amp;IF(AP16="X",$A16&amp;", ","")&amp;IF(AP17="X",$A17&amp;", ","")&amp;IF(AP18="X",$A18&amp;", ","")&amp;IF(AP19="X",$A19&amp;", ","")&amp;IF(AP20="X",$A20&amp;", ","")&amp;IF(AP21="X",$A21&amp;", ","")</f>
        <v/>
      </c>
    </row>
    <row r="65" ht="15.75" hidden="1" customHeight="1">
      <c r="A65" s="434"/>
      <c r="D65" s="451"/>
    </row>
    <row r="66" ht="15.75" customHeight="1">
      <c r="A66" s="436" t="str">
        <f>Razas!A9</f>
        <v>Hombres Gato</v>
      </c>
      <c r="D66" s="452" t="str">
        <f>IF(AQ4="X",$A$4&amp;", ","")&amp;IF(AQ5="X",$A$5&amp;", ","")&amp;IF(AQ6="X",$A$6&amp;", ","")&amp;IF(AQ7="X",$A$7&amp;", ","")&amp;IF(AQ8="X",$A$8&amp;", ","")&amp;IF(AQ9="X",$A$9&amp;", ","")&amp;IF(AQ10="X",$A$10&amp;", ","")&amp;IF(AQ11="X",$A$11&amp;", ","")&amp;IF(AQ12="X",$A12&amp;", ","")&amp;IF(AQ13="X",$A13&amp;", ","")&amp;IF(AQ14="X",$A14&amp;", ","")&amp;IF(AQ15="X",$A15&amp;", ","")&amp;IF(AQ16="X",$A16&amp;", ","")&amp;IF(AQ17="X",$A17&amp;", ","")&amp;IF(AQ18="X",$A18&amp;", ","")&amp;IF(AQ19="X",$A19&amp;", ","")&amp;IF(AQ20="X",$A20&amp;", ","")&amp;IF(AQ21="X",$A21&amp;", ","")</f>
        <v>Percepcion, Sigilo, </v>
      </c>
    </row>
    <row r="67" ht="15.75" customHeight="1">
      <c r="A67" s="438" t="str">
        <f>Razas!A10</f>
        <v>Hombres Gato</v>
      </c>
      <c r="D67" s="453" t="str">
        <f>IF(AR4="X",$A$4&amp;", ","")&amp;IF(AR5="X",$A$5&amp;", ","")&amp;IF(AR6="X",$A$6&amp;", ","")&amp;IF(AR7="X",$A$7&amp;", ","")&amp;IF(AR8="X",$A$8&amp;", ","")&amp;IF(AR9="X",$A$9&amp;", ","")&amp;IF(AR10="X",$A$10&amp;", ","")&amp;IF(AR11="X",$A$11&amp;", ","")&amp;IF(AR12="X",$A12&amp;", ","")&amp;IF(AR13="X",$A13&amp;", ","")&amp;IF(AR14="X",$A14&amp;", ","")&amp;IF(AR15="X",$A15&amp;", ","")&amp;IF(AR16="X",$A16&amp;", ","")&amp;IF(AR17="X",$A17&amp;", ","")&amp;IF(AR18="X",$A18&amp;", ","")&amp;IF(AR19="X",$A19&amp;", ","")&amp;IF(AR20="X",$A20&amp;", ","")&amp;IF(AR21="X",$A21&amp;", ","")</f>
        <v/>
      </c>
    </row>
    <row r="68" ht="15.75" hidden="1" customHeight="1">
      <c r="A68" s="440"/>
      <c r="D68" s="454"/>
    </row>
    <row r="69" ht="15.75" customHeight="1">
      <c r="A69" s="442" t="str">
        <f>Razas!A12</f>
        <v>Minotauros</v>
      </c>
      <c r="D69" s="455" t="str">
        <f>IF(AS4="X",$A$4&amp;", ","")&amp;IF(AS5="X",$A$5&amp;", ","")&amp;IF(AS6="X",$A$6&amp;", ","")&amp;IF(AS7="X",$A$7&amp;", ","")&amp;IF(AS8="X",$A$8&amp;", ","")&amp;IF(AS9="X",$A$9&amp;", ","")&amp;IF(AS10="X",$A$10&amp;", ","")&amp;IF(AS11="X",$A$11&amp;", ","")&amp;IF(AS12="X",$A12&amp;", ","")&amp;IF(AS13="X",$A13&amp;", ","")&amp;IF(AS14="X",$A14&amp;", ","")&amp;IF(AS15="X",$A15&amp;", ","")&amp;IF(AS16="X",$A16&amp;", ","")&amp;IF(AS17="X",$A17&amp;", ","")&amp;IF(AS18="X",$A18&amp;", ","")&amp;IF(AS19="X",$A19&amp;", ","")&amp;IF(AS20="X",$A20&amp;", ","")&amp;IF(AS21="X",$A21&amp;", ","")</f>
        <v/>
      </c>
    </row>
    <row r="70" ht="15.75" hidden="1" customHeight="1">
      <c r="A70" s="424"/>
      <c r="D70" s="446"/>
    </row>
    <row r="71" ht="15.75" customHeight="1">
      <c r="A71" s="424" t="str">
        <f>Razas!A14</f>
        <v>Sagas</v>
      </c>
      <c r="D71" s="446" t="str">
        <f>IF(AT4="X",$A$4&amp;", ","")&amp;IF(AT5="X",$A$5&amp;", ","")&amp;IF(AT6="X",$A$6&amp;", ","")&amp;IF(AT7="X",$A$7&amp;", ","")&amp;IF(AT8="X",$A$8&amp;", ","")&amp;IF(AT9="X",$A$9&amp;", ","")&amp;IF(AT10="X",$A$10&amp;", ","")&amp;IF(AT11="X",$A$11&amp;", ","")&amp;IF(AT12="X",$A12&amp;", ","")&amp;IF(AT13="X",$A13&amp;", ","")&amp;IF(AT14="X",$A14&amp;", ","")&amp;IF(AT15="X",$A15&amp;", ","")&amp;IF(AT16="X",$A16&amp;", ","")&amp;IF(AT17="X",$A17&amp;", ","")&amp;IF(AT18="X",$A18&amp;", ","")&amp;IF(AT19="X",$A19&amp;", ","")&amp;IF(AT20="X",$A20&amp;", ","")&amp;IF(AT21="X",$A21&amp;", ","")</f>
        <v/>
      </c>
    </row>
    <row r="72" ht="15.75" customHeight="1">
      <c r="A72" s="426" t="str">
        <f>Razas!A15</f>
        <v>Sagas</v>
      </c>
      <c r="D72" s="447" t="str">
        <f>IF(AU4="X",$A$4&amp;", ","")&amp;IF(AU5="X",$A$5&amp;", ","")&amp;IF(AU6="X",$A$6&amp;", ","")&amp;IF(AU7="X",$A$7&amp;", ","")&amp;IF(AU8="X",$A$8&amp;", ","")&amp;IF(AU9="X",$A$9&amp;", ","")&amp;IF(AU10="X",$A$10&amp;", ","")&amp;IF(AU11="X",$A$11&amp;", ","")&amp;IF(AU12="X",$A12&amp;", ","")&amp;IF(AU13="X",$A13&amp;", ","")&amp;IF(AU14="X",$A14&amp;", ","")&amp;IF(AU15="X",$A15&amp;", ","")&amp;IF(AU16="X",$A16&amp;", ","")&amp;IF(AU17="X",$A17&amp;", ","")&amp;IF(AU18="X",$A18&amp;", ","")&amp;IF(AU19="X",$A19&amp;", ","")&amp;IF(AU20="X",$A20&amp;", ","")&amp;IF(AU21="X",$A21&amp;", ","")</f>
        <v/>
      </c>
    </row>
    <row r="73" ht="15.75" customHeight="1">
      <c r="A73" s="428" t="str">
        <f>Razas!A16</f>
        <v>Sagas</v>
      </c>
      <c r="D73" s="448" t="str">
        <f>IF(AV4="X",$A$4&amp;", ","")&amp;IF(AV5="X",$A$5&amp;", ","")&amp;IF(AV6="X",$A$6&amp;", ","")&amp;IF(AV7="X",$A$7&amp;", ","")&amp;IF(AV8="X",$A$8&amp;", ","")&amp;IF(AV9="X",$A$9&amp;", ","")&amp;IF(AV10="X",$A$10&amp;", ","")&amp;IF(AV11="X",$A$11&amp;", ","")&amp;IF(AV12="X",$A12&amp;", ","")&amp;IF(AV13="X",$A13&amp;", ","")&amp;IF(AV14="X",$A14&amp;", ","")&amp;IF(AV15="X",$A15&amp;", ","")&amp;IF(AV16="X",$A16&amp;", ","")&amp;IF(AV17="X",$A17&amp;", ","")&amp;IF(AV18="X",$A18&amp;", ","")&amp;IF(AV19="X",$A19&amp;", ","")&amp;IF(AV20="X",$A20&amp;", ","")&amp;IF(AV21="X",$A21&amp;", ","")</f>
        <v/>
      </c>
    </row>
    <row r="74" ht="15.75" customHeight="1">
      <c r="A74" s="430" t="str">
        <f>Razas!A17</f>
        <v>Sagas</v>
      </c>
      <c r="D74" s="449" t="str">
        <f>IF(AW4="X",$A$4&amp;", ","")&amp;IF(AW5="X",$A$5&amp;", ","")&amp;IF(AW6="X",$A$6&amp;", ","")&amp;IF(AW7="X",$A$7&amp;", ","")&amp;IF(AW8="X",$A$8&amp;", ","")&amp;IF(AW9="X",$A$9&amp;", ","")&amp;IF(AW10="X",$A$10&amp;", ","")&amp;IF(AW11="X",$A$11&amp;", ","")&amp;IF(AW12="X",$A12&amp;", ","")&amp;IF(AW13="X",$A13&amp;", ","")&amp;IF(AW14="X",$A14&amp;", ","")&amp;IF(AW15="X",$A15&amp;", ","")&amp;IF(AW16="X",$A16&amp;", ","")&amp;IF(AW17="X",$A17&amp;", ","")&amp;IF(AW18="X",$A18&amp;", ","")&amp;IF(AW19="X",$A19&amp;", ","")&amp;IF(AW20="X",$A20&amp;", ","")&amp;IF(AW21="X",$A21&amp;", ","")</f>
        <v>Interpretacion, Persuasion, </v>
      </c>
    </row>
    <row r="75" ht="15.75" hidden="1" customHeight="1">
      <c r="A75" s="432"/>
      <c r="D75" s="450"/>
    </row>
    <row r="76" ht="15.75" customHeight="1">
      <c r="A76" s="434" t="str">
        <f>Razas!A19</f>
        <v>Orc</v>
      </c>
      <c r="D76" s="451" t="str">
        <f>IF(AX4="X",$A$4&amp;", ","")&amp;IF(AX5="X",$A$5&amp;", ","")&amp;IF(AX6="X",$A$6&amp;", ","")&amp;IF(AX7="X",$A$7&amp;", ","")&amp;IF(AX8="X",$A$8&amp;", ","")&amp;IF(AX9="X",$A$9&amp;", ","")&amp;IF(AX10="X",$A$10&amp;", ","")&amp;IF(AX11="X",$A$11&amp;", ","")&amp;IF(AX12="X",$A12&amp;", ","")&amp;IF(AX13="X",$A13&amp;", ","")&amp;IF(AX14="X",$A14&amp;", ","")&amp;IF(AX15="X",$A15&amp;", ","")&amp;IF(AX16="X",$A16&amp;", ","")&amp;IF(AX17="X",$A17&amp;", ","")&amp;IF(AX18="X",$A18&amp;", ","")&amp;IF(AX19="X",$A19&amp;", ","")&amp;IF(AX20="X",$A20&amp;", ","")&amp;IF(AX21="X",$A21&amp;", ","")</f>
        <v>Percepcion, </v>
      </c>
    </row>
    <row r="77" ht="15.75" customHeight="1">
      <c r="A77" s="436" t="str">
        <f>Razas!A20</f>
        <v>Half-Orc</v>
      </c>
      <c r="D77" s="452" t="str">
        <f>IF(AY4="X",$A$4&amp;", ","")&amp;IF(AY5="X",$A$5&amp;", ","")&amp;IF(AY6="X",$A$6&amp;", ","")&amp;IF(AY7="X",$A$7&amp;", ","")&amp;IF(AY8="X",$A$8&amp;", ","")&amp;IF(AY9="X",$A$9&amp;", ","")&amp;IF(AY10="X",$A$10&amp;", ","")&amp;IF(AY11="X",$A$11&amp;", ","")&amp;IF(AY12="X",$A12&amp;", ","")&amp;IF(AY13="X",$A13&amp;", ","")&amp;IF(AY14="X",$A14&amp;", ","")&amp;IF(AY15="X",$A15&amp;", ","")&amp;IF(AY16="X",$A16&amp;", ","")&amp;IF(AY17="X",$A17&amp;", ","")&amp;IF(AY18="X",$A18&amp;", ","")&amp;IF(AY19="X",$A19&amp;", ","")&amp;IF(AY20="X",$A20&amp;", ","")&amp;IF(AY21="X",$A21&amp;", ","")</f>
        <v>Intimidacion, </v>
      </c>
    </row>
    <row r="78" ht="15.75" customHeight="1">
      <c r="A78" s="438" t="str">
        <f>Razas!A21</f>
        <v>Orc</v>
      </c>
      <c r="D78" s="453" t="str">
        <f>IF(AZ4="X",$A$4&amp;", ","")&amp;IF(AZ5="X",$A$5&amp;", ","")&amp;IF(AZ6="X",$A$6&amp;", ","")&amp;IF(AZ7="X",$A$7&amp;", ","")&amp;IF(AZ8="X",$A$8&amp;", ","")&amp;IF(AZ9="X",$A$9&amp;", ","")&amp;IF(AZ10="X",$A$10&amp;", ","")&amp;IF(AZ11="X",$A$11&amp;", ","")&amp;IF(AZ12="X",$A12&amp;", ","")&amp;IF(AZ13="X",$A13&amp;", ","")&amp;IF(AZ14="X",$A14&amp;", ","")&amp;IF(AZ15="X",$A15&amp;", ","")&amp;IF(AZ16="X",$A16&amp;", ","")&amp;IF(AZ17="X",$A17&amp;", ","")&amp;IF(AZ18="X",$A18&amp;", ","")&amp;IF(AZ19="X",$A19&amp;", ","")&amp;IF(AZ20="X",$A20&amp;", ","")&amp;IF(AZ21="X",$A21&amp;", ","")</f>
        <v/>
      </c>
    </row>
    <row r="79" ht="15.75" hidden="1" customHeight="1">
      <c r="A79" s="440"/>
      <c r="D79" s="454"/>
    </row>
    <row r="80" ht="15.75" customHeight="1">
      <c r="A80" s="442" t="str">
        <f>Razas!A23</f>
        <v>Medianos</v>
      </c>
      <c r="D80" s="455" t="str">
        <f>IF(BA4="X",$A$4&amp;", ","")&amp;IF(BA5="X",$A$5&amp;", ","")&amp;IF(BA6="X",$A$6&amp;", ","")&amp;IF(BA7="X",$A$7&amp;", ","")&amp;IF(BA8="X",$A$8&amp;", ","")&amp;IF(BA9="X",$A$9&amp;", ","")&amp;IF(BA10="X",$A$10&amp;", ","")&amp;IF(BA11="X",$A$11&amp;", ","")&amp;IF(BA12="X",$A12&amp;", ","")&amp;IF(BA13="X",$A13&amp;", ","")&amp;IF(BA14="X",$A14&amp;", ","")&amp;IF(BA15="X",$A15&amp;", ","")&amp;IF(BA16="X",$A16&amp;", ","")&amp;IF(BA17="X",$A17&amp;", ","")&amp;IF(BA18="X",$A18&amp;", ","")&amp;IF(BA19="X",$A19&amp;", ","")&amp;IF(BA20="X",$A20&amp;", ","")&amp;IF(BA21="X",$A21&amp;", ","")</f>
        <v/>
      </c>
    </row>
    <row r="81" ht="15.75" customHeight="1">
      <c r="A81" s="424" t="str">
        <f>Razas!A24</f>
        <v>Dwarf</v>
      </c>
      <c r="D81" s="446" t="str">
        <f>IF(BB4="X",$A$4&amp;", ","")&amp;IF(BB5="X",$A$5&amp;", ","")&amp;IF(BB6="X",$A$6&amp;", ","")&amp;IF(BB7="X",$A$7&amp;", ","")&amp;IF(BB8="X",$A$8&amp;", ","")&amp;IF(BB9="X",$A$9&amp;", ","")&amp;IF(BB10="X",$A$10&amp;", ","")&amp;IF(BB11="X",$A$11&amp;", ","")&amp;IF(BB12="X",$A12&amp;", ","")&amp;IF(BB13="X",$A13&amp;", ","")&amp;IF(BB14="X",$A14&amp;", ","")&amp;IF(BB15="X",$A15&amp;", ","")&amp;IF(BB16="X",$A16&amp;", ","")&amp;IF(BB17="X",$A17&amp;", ","")&amp;IF(BB18="X",$A18&amp;", ","")&amp;IF(BB19="X",$A19&amp;", ","")&amp;IF(BB20="X",$A20&amp;", ","")&amp;IF(BB21="X",$A21&amp;", ","")</f>
        <v/>
      </c>
    </row>
    <row r="82" ht="15.75" customHeight="1">
      <c r="A82" s="426" t="str">
        <f>Razas!A25</f>
        <v>Dwarf</v>
      </c>
      <c r="D82" s="447" t="str">
        <f>IF(BC4="X",$A$4&amp;", ","")&amp;IF(BC5="X",$A$5&amp;", ","")&amp;IF(BC6="X",$A$6&amp;", ","")&amp;IF(BC7="X",$A$7&amp;", ","")&amp;IF(BC8="X",$A$8&amp;", ","")&amp;IF(BC9="X",$A$9&amp;", ","")&amp;IF(BC10="X",$A$10&amp;", ","")&amp;IF(BC11="X",$A$11&amp;", ","")&amp;IF(BC12="X",$A12&amp;", ","")&amp;IF(BC13="X",$A13&amp;", ","")&amp;IF(BC14="X",$A14&amp;", ","")&amp;IF(BC15="X",$A15&amp;", ","")&amp;IF(BC16="X",$A16&amp;", ","")&amp;IF(BC17="X",$A17&amp;", ","")&amp;IF(BC18="X",$A18&amp;", ","")&amp;IF(BC19="X",$A19&amp;", ","")&amp;IF(BC20="X",$A20&amp;", ","")&amp;IF(BC21="X",$A21&amp;", ","")</f>
        <v/>
      </c>
    </row>
    <row r="83" ht="15.75" customHeight="1">
      <c r="A83" s="428" t="str">
        <f>Razas!A26</f>
        <v>Dwarf</v>
      </c>
      <c r="D83" s="448" t="str">
        <f>IF(BD4="X",$A$4&amp;", ","")&amp;IF(BD5="X",$A$5&amp;", ","")&amp;IF(BD6="X",$A$6&amp;", ","")&amp;IF(BD7="X",$A$7&amp;", ","")&amp;IF(BD8="X",$A$8&amp;", ","")&amp;IF(BD9="X",$A$9&amp;", ","")&amp;IF(BD10="X",$A$10&amp;", ","")&amp;IF(BD11="X",$A$11&amp;", ","")&amp;IF(BD12="X",$A12&amp;", ","")&amp;IF(BD13="X",$A13&amp;", ","")&amp;IF(BD14="X",$A14&amp;", ","")&amp;IF(BD15="X",$A15&amp;", ","")&amp;IF(BD16="X",$A16&amp;", ","")&amp;IF(BD17="X",$A17&amp;", ","")&amp;IF(BD18="X",$A18&amp;", ","")&amp;IF(BD19="X",$A19&amp;", ","")&amp;IF(BD20="X",$A20&amp;", ","")&amp;IF(BD21="X",$A21&amp;", ","")</f>
        <v/>
      </c>
    </row>
    <row r="84" ht="15.75" hidden="1" customHeight="1">
      <c r="A84" s="430"/>
      <c r="D84" s="449"/>
    </row>
    <row r="85" ht="15.75" customHeight="1">
      <c r="A85" s="432" t="s">
        <v>839</v>
      </c>
      <c r="D85" s="450" t="str">
        <f>IF(BE4="X",$A$4&amp;", ","")&amp;IF(BE5="X",$A$5&amp;", ","")&amp;IF(BE6="X",$A$6&amp;", ","")&amp;IF(BE7="X",$A$7&amp;", ","")&amp;IF(BE8="X",$A$8&amp;", ","")&amp;IF(BE9="X",$A$9&amp;", ","")&amp;IF(BE10="X",$A$10&amp;", ","")&amp;IF(BE11="X",$A$11&amp;", ","")&amp;IF(BE12="X",$A12&amp;", ","")&amp;IF(BE13="X",$A13&amp;", ","")&amp;IF(BE14="X",$A14&amp;", ","")&amp;IF(BE15="X",$A15&amp;", ","")&amp;IF(BE16="X",$A16&amp;", ","")&amp;IF(BE17="X",$A17&amp;", ","")&amp;IF(BE18="X",$A18&amp;", ","")&amp;IF(BE19="X",$A19&amp;", ","")&amp;IF(BE20="X",$A20&amp;", ","")&amp;IF(BE21="X",$A21&amp;", ","")</f>
        <v/>
      </c>
    </row>
    <row r="86" ht="15.75" customHeight="1">
      <c r="A86" s="434" t="str">
        <f>Razas!A29</f>
        <v>Elf</v>
      </c>
      <c r="D86" s="451" t="str">
        <f>IF(BF4="X",$A$4&amp;", ","")&amp;IF(BF5="X",$A$5&amp;", ","")&amp;IF(BF6="X",$A$6&amp;", ","")&amp;IF(BF7="X",$A$7&amp;", ","")&amp;IF(BF8="X",$A$8&amp;", ","")&amp;IF(BF9="X",$A$9&amp;", ","")&amp;IF(BF10="X",$A$10&amp;", ","")&amp;IF(BF11="X",$A$11&amp;", ","")&amp;IF(BF12="X",$A12&amp;", ","")&amp;IF(BF13="X",$A13&amp;", ","")&amp;IF(BF14="X",$A14&amp;", ","")&amp;IF(BF15="X",$A15&amp;", ","")&amp;IF(BF16="X",$A16&amp;", ","")&amp;IF(BF17="X",$A17&amp;", ","")&amp;IF(BF18="X",$A18&amp;", ","")&amp;IF(BF19="X",$A19&amp;", ","")&amp;IF(BF20="X",$A20&amp;", ","")&amp;IF(BF21="X",$A21&amp;", ","")</f>
        <v/>
      </c>
    </row>
    <row r="87" ht="15.75" customHeight="1">
      <c r="A87" s="436" t="str">
        <f>Razas!A30</f>
        <v>Elf</v>
      </c>
      <c r="D87" s="452" t="str">
        <f>IF(BG4="X",$A$4&amp;", ","")&amp;IF(BG5="X",$A$5&amp;", ","")&amp;IF(BG6="X",$A$6&amp;", ","")&amp;IF(BG7="X",$A$7&amp;", ","")&amp;IF(BG8="X",$A$8&amp;", ","")&amp;IF(BG9="X",$A$9&amp;", ","")&amp;IF(BG10="X",$A$10&amp;", ","")&amp;IF(BG11="X",$A$11&amp;", ","")&amp;IF(BG12="X",$A12&amp;", ","")&amp;IF(BG13="X",$A13&amp;", ","")&amp;IF(BG14="X",$A14&amp;", ","")&amp;IF(BG15="X",$A15&amp;", ","")&amp;IF(BG16="X",$A16&amp;", ","")&amp;IF(BG17="X",$A17&amp;", ","")&amp;IF(BG18="X",$A18&amp;", ","")&amp;IF(BG19="X",$A19&amp;", ","")&amp;IF(BG20="X",$A20&amp;", ","")&amp;IF(BG21="X",$A21&amp;", ","")</f>
        <v/>
      </c>
    </row>
    <row r="88" ht="15.75" customHeight="1">
      <c r="A88" s="438" t="str">
        <f>Razas!A31</f>
        <v>Elf</v>
      </c>
      <c r="D88" s="453" t="str">
        <f>IF(BH4="X",$A$4&amp;", ","")&amp;IF(BH5="X",$A$5&amp;", ","")&amp;IF(BH6="X",$A$6&amp;", ","")&amp;IF(BH7="X",$A$7&amp;", ","")&amp;IF(BH8="X",$A$8&amp;", ","")&amp;IF(BH9="X",$A$9&amp;", ","")&amp;IF(BH10="X",$A$10&amp;", ","")&amp;IF(BH11="X",$A$11&amp;", ","")&amp;IF(BH12="X",$A12&amp;", ","")&amp;IF(BH13="X",$A13&amp;", ","")&amp;IF(BH14="X",$A14&amp;", ","")&amp;IF(BH15="X",$A15&amp;", ","")&amp;IF(BH16="X",$A16&amp;", ","")&amp;IF(BH17="X",$A17&amp;", ","")&amp;IF(BH18="X",$A18&amp;", ","")&amp;IF(BH19="X",$A19&amp;", ","")&amp;IF(BH20="X",$A20&amp;", ","")&amp;IF(BH21="X",$A21&amp;", ","")</f>
        <v/>
      </c>
    </row>
    <row r="89" ht="15.75" customHeight="1">
      <c r="A89" s="440" t="str">
        <f>Razas!A32</f>
        <v>Half-Elf</v>
      </c>
      <c r="D89" s="454" t="str">
        <f>IF(BI4="X",$A$4&amp;", ","")&amp;IF(BI5="X",$A$5&amp;", ","")&amp;IF(BI6="X",$A$6&amp;", ","")&amp;IF(BI7="X",$A$7&amp;", ","")&amp;IF(BI8="X",$A$8&amp;", ","")&amp;IF(BI9="X",$A$9&amp;", ","")&amp;IF(BI10="X",$A$10&amp;", ","")&amp;IF(BI11="X",$A$11&amp;", ","")&amp;IF(BI12="X",$A12&amp;", ","")&amp;IF(BI13="X",$A13&amp;", ","")&amp;IF(BI14="X",$A14&amp;", ","")&amp;IF(BI15="X",$A15&amp;", ","")&amp;IF(BI16="X",$A16&amp;", ","")&amp;IF(BI17="X",$A17&amp;", ","")&amp;IF(BI18="X",$A18&amp;", ","")&amp;IF(BI19="X",$A19&amp;", ","")&amp;IF(BI20="X",$A20&amp;", ","")&amp;IF(BI21="X",$A21&amp;", ","")</f>
        <v/>
      </c>
    </row>
    <row r="90" ht="15.75" customHeight="1">
      <c r="A90" s="442" t="str">
        <f>Razas!A33</f>
        <v>Half-Elf</v>
      </c>
      <c r="D90" s="455" t="str">
        <f>IF(BJ4="X",$A$4&amp;", ","")&amp;IF(BJ5="X",$A$5&amp;", ","")&amp;IF(BJ6="X",$A$6&amp;", ","")&amp;IF(BJ7="X",$A$7&amp;", ","")&amp;IF(BJ8="X",$A$8&amp;", ","")&amp;IF(BJ9="X",$A$9&amp;", ","")&amp;IF(BJ10="X",$A$10&amp;", ","")&amp;IF(BJ11="X",$A$11&amp;", ","")&amp;IF(BJ12="X",$A12&amp;", ","")&amp;IF(BJ13="X",$A13&amp;", ","")&amp;IF(BJ14="X",$A14&amp;", ","")&amp;IF(BJ15="X",$A15&amp;", ","")&amp;IF(BJ16="X",$A16&amp;", ","")&amp;IF(BJ17="X",$A17&amp;", ","")&amp;IF(BJ18="X",$A18&amp;", ","")&amp;IF(BJ19="X",$A19&amp;", ","")&amp;IF(BJ20="X",$A20&amp;", ","")&amp;IF(BJ21="X",$A21&amp;", ","")</f>
        <v/>
      </c>
    </row>
    <row r="91" ht="15.75" hidden="1" customHeight="1">
      <c r="A91" s="424"/>
      <c r="D91" s="446"/>
    </row>
    <row r="92" ht="15.75" customHeight="1">
      <c r="A92" s="424" t="str">
        <f>Razas!A35</f>
        <v>Gnome</v>
      </c>
      <c r="D92" s="446" t="str">
        <f>IF(BK4="X",$A$4&amp;", ","")&amp;IF(BK5="X",$A$5&amp;", ","")&amp;IF(BK6="X",$A$6&amp;", ","")&amp;IF(BK7="X",$A$7&amp;", ","")&amp;IF(BK8="X",$A$8&amp;", ","")&amp;IF(BK9="X",$A$9&amp;", ","")&amp;IF(BK10="X",$A$10&amp;", ","")&amp;IF(BK11="X",$A$11&amp;", ","")&amp;IF(BK12="X",$A12&amp;", ","")&amp;IF(BK13="X",$A13&amp;", ","")&amp;IF(BK14="X",$A14&amp;", ","")&amp;IF(BK15="X",$A15&amp;", ","")&amp;IF(BK16="X",$A16&amp;", ","")&amp;IF(BK17="X",$A17&amp;", ","")&amp;IF(BK18="X",$A18&amp;", ","")&amp;IF(BK19="X",$A19&amp;", ","")&amp;IF(BK20="X",$A20&amp;", ","")&amp;IF(BK21="X",$A21&amp;", ","")</f>
        <v/>
      </c>
    </row>
    <row r="93" ht="15.75" customHeight="1">
      <c r="A93" s="426" t="str">
        <f>Razas!A36</f>
        <v>Gnome</v>
      </c>
      <c r="D93" s="447" t="str">
        <f>IF(BL4="X",$A$4&amp;", ","")&amp;IF(BL5="X",$A$5&amp;", ","")&amp;IF(BL6="X",$A$6&amp;", ","")&amp;IF(BL7="X",$A$7&amp;", ","")&amp;IF(BL8="X",$A$8&amp;", ","")&amp;IF(BL9="X",$A$9&amp;", ","")&amp;IF(BL10="X",$A$10&amp;", ","")&amp;IF(BL11="X",$A$11&amp;", ","")&amp;IF(BL12="X",$A12&amp;", ","")&amp;IF(BL13="X",$A13&amp;", ","")&amp;IF(BL14="X",$A14&amp;", ","")&amp;IF(BL15="X",$A15&amp;", ","")&amp;IF(BL16="X",$A16&amp;", ","")&amp;IF(BL17="X",$A17&amp;", ","")&amp;IF(BL18="X",$A18&amp;", ","")&amp;IF(BL19="X",$A19&amp;", ","")&amp;IF(BL20="X",$A20&amp;", ","")&amp;IF(BL21="X",$A21&amp;", ","")</f>
        <v/>
      </c>
    </row>
    <row r="94" ht="15.75" customHeight="1">
      <c r="A94" s="428" t="str">
        <f>Razas!A37</f>
        <v>Gnome</v>
      </c>
      <c r="D94" s="448" t="str">
        <f>IF(BM4="X",$A$4&amp;", ","")&amp;IF(BM5="X",$A$5&amp;", ","")&amp;IF(BM6="X",$A$6&amp;", ","")&amp;IF(BM7="X",$A$7&amp;", ","")&amp;IF(BM8="X",$A$8&amp;", ","")&amp;IF(BM9="X",$A$9&amp;", ","")&amp;IF(BM10="X",$A$10&amp;", ","")&amp;IF(BM11="X",$A$11&amp;", ","")&amp;IF(BM12="X",$A12&amp;", ","")&amp;IF(BM13="X",$A13&amp;", ","")&amp;IF(BM14="X",$A14&amp;", ","")&amp;IF(BM15="X",$A15&amp;", ","")&amp;IF(BM16="X",$A16&amp;", ","")&amp;IF(BM17="X",$A17&amp;", ","")&amp;IF(BM18="X",$A18&amp;", ","")&amp;IF(BM19="X",$A19&amp;", ","")&amp;IF(BM20="X",$A20&amp;", ","")&amp;IF(BM21="X",$A21&amp;", ","")</f>
        <v/>
      </c>
    </row>
    <row r="95" ht="15.75" hidden="1" customHeight="1">
      <c r="A95" s="430"/>
      <c r="D95" s="449"/>
    </row>
    <row r="96" ht="15.75" customHeight="1">
      <c r="A96" s="432" t="str">
        <f>Razas!A39</f>
        <v>Yokai</v>
      </c>
      <c r="D96" s="450" t="str">
        <f>IF(BN4="X",$A$4&amp;", ","")&amp;IF(BN5="X",$A$5&amp;", ","")&amp;IF(BN6="X",$A$6&amp;", ","")&amp;IF(BN7="X",$A$7&amp;", ","")&amp;IF(BN8="X",$A$8&amp;", ","")&amp;IF(BN9="X",$A$9&amp;", ","")&amp;IF(BN10="X",$A$10&amp;", ","")&amp;IF(BN11="X",$A$11&amp;", ","")&amp;IF(BN12="X",$A12&amp;", ","")&amp;IF(BN13="X",$A13&amp;", ","")&amp;IF(BN14="X",$A14&amp;", ","")&amp;IF(BN15="X",$A15&amp;", ","")&amp;IF(BN16="X",$A16&amp;", ","")&amp;IF(BN17="X",$A17&amp;", ","")&amp;IF(BN18="X",$A18&amp;", ","")&amp;IF(BN19="X",$A19&amp;", ","")&amp;IF(BN20="X",$A20&amp;", ","")&amp;IF(BN21="X",$A21&amp;", ","")</f>
        <v/>
      </c>
    </row>
    <row r="97" ht="15.75" customHeight="1">
      <c r="A97" s="434" t="str">
        <f>Razas!A40</f>
        <v>Locathah</v>
      </c>
      <c r="D97" s="451" t="str">
        <f>IF(BO4="X",$A$4&amp;", ","")&amp;IF(BO5="X",$A$5&amp;", ","")&amp;IF(BO6="X",$A$6&amp;", ","")&amp;IF(BO7="X",$A$7&amp;", ","")&amp;IF(BO8="X",$A$8&amp;", ","")&amp;IF(BO9="X",$A$9&amp;", ","")&amp;IF(BO10="X",$A$10&amp;", ","")&amp;IF(BO11="X",$A$11&amp;", ","")&amp;IF(BO12="X",$A12&amp;", ","")&amp;IF(BO13="X",$A13&amp;", ","")&amp;IF(BO14="X",$A14&amp;", ","")&amp;IF(BO15="X",$A15&amp;", ","")&amp;IF(BO16="X",$A16&amp;", ","")&amp;IF(BO17="X",$A17&amp;", ","")&amp;IF(BO18="X",$A18&amp;", ","")&amp;IF(BO19="X",$A19&amp;", ","")&amp;IF(BO20="X",$A20&amp;", ","")&amp;IF(BO21="X",$A21&amp;", ","")</f>
        <v/>
      </c>
    </row>
    <row r="98" ht="15.75" customHeight="1">
      <c r="A98" s="436" t="str">
        <f>Razas!A41</f>
        <v>Loxodon</v>
      </c>
      <c r="D98" s="452" t="str">
        <f>IF(BP4="X",$A$4&amp;", ","")&amp;IF(BP5="X",$A$5&amp;", ","")&amp;IF(BP6="X",$A$6&amp;", ","")&amp;IF(BP7="X",$A$7&amp;", ","")&amp;IF(BP8="X",$A$8&amp;", ","")&amp;IF(BP9="X",$A$9&amp;", ","")&amp;IF(BP10="X",$A$10&amp;", ","")&amp;IF(BP11="X",$A$11&amp;", ","")&amp;IF(BP12="X",$A12&amp;", ","")&amp;IF(BP13="X",$A13&amp;", ","")&amp;IF(BP14="X",$A14&amp;", ","")&amp;IF(BP15="X",$A15&amp;", ","")&amp;IF(BP16="X",$A16&amp;", ","")&amp;IF(BP17="X",$A17&amp;", ","")&amp;IF(BP18="X",$A18&amp;", ","")&amp;IF(BP19="X",$A19&amp;", ","")&amp;IF(BP20="X",$A20&amp;", ","")&amp;IF(BP21="X",$A21&amp;", ","")</f>
        <v/>
      </c>
    </row>
    <row r="99" ht="15.75" hidden="1" customHeight="1">
      <c r="A99" s="438"/>
      <c r="D99" s="453"/>
    </row>
    <row r="100" ht="15.75" customHeight="1">
      <c r="A100" s="440" t="str">
        <f>Razas!A43</f>
        <v>Tiefling</v>
      </c>
      <c r="D100" s="454" t="str">
        <f>IF(BQ4="X",$A$4&amp;", ","")&amp;IF(BQ5="X",$A$5&amp;", ","")&amp;IF(BQ6="X",$A$6&amp;", ","")&amp;IF(BQ7="X",$A$7&amp;", ","")&amp;IF(BQ8="X",$A$8&amp;", ","")&amp;IF(BQ9="X",$A$9&amp;", ","")&amp;IF(BQ10="X",$A$10&amp;", ","")&amp;IF(BQ11="X",$A$11&amp;", ","")&amp;IF(BQ12="X",$A12&amp;", ","")&amp;IF(BQ13="X",$A13&amp;", ","")&amp;IF(BQ14="X",$A14&amp;", ","")&amp;IF(BQ15="X",$A15&amp;", ","")&amp;IF(BQ16="X",$A16&amp;", ","")&amp;IF(BQ17="X",$A17&amp;", ","")&amp;IF(BQ18="X",$A18&amp;", ","")&amp;IF(BQ19="X",$A19&amp;", ","")&amp;IF(BQ20="X",$A20&amp;", ","")&amp;IF(BQ21="X",$A21&amp;", ","")</f>
        <v/>
      </c>
    </row>
    <row r="101" ht="15.75" customHeight="1">
      <c r="A101" s="442" t="str">
        <f>Razas!A44</f>
        <v>Tiefling</v>
      </c>
      <c r="D101" s="455" t="str">
        <f>IF(BR4="X",$A$4&amp;", ","")&amp;IF(BR5="X",$A$5&amp;", ","")&amp;IF(BR6="X",$A$6&amp;", ","")&amp;IF(BR7="X",$A$7&amp;", ","")&amp;IF(BR8="X",$A$8&amp;", ","")&amp;IF(BR9="X",$A$9&amp;", ","")&amp;IF(BR10="X",$A$10&amp;", ","")&amp;IF(BR11="X",$A$11&amp;", ","")&amp;IF(BR12="X",$A12&amp;", ","")&amp;IF(BR13="X",$A13&amp;", ","")&amp;IF(BR14="X",$A14&amp;", ","")&amp;IF(BR15="X",$A15&amp;", ","")&amp;IF(BR16="X",$A16&amp;", ","")&amp;IF(BR17="X",$A17&amp;", ","")&amp;IF(BR18="X",$A18&amp;", ","")&amp;IF(BR19="X",$A19&amp;", ","")&amp;IF(BR20="X",$A20&amp;", ","")&amp;IF(BR21="X",$A21&amp;", ","")</f>
        <v/>
      </c>
    </row>
    <row r="102" ht="15.75" customHeight="1">
      <c r="A102" s="424" t="str">
        <f>Razas!A45</f>
        <v>Tiefling</v>
      </c>
      <c r="D102" s="446" t="str">
        <f>IF(BS4="X",$A$4&amp;", ","")&amp;IF(BS5="X",$A$5&amp;", ","")&amp;IF(BS6="X",$A$6&amp;", ","")&amp;IF(BS7="X",$A$7&amp;", ","")&amp;IF(BS8="X",$A$8&amp;", ","")&amp;IF(BS9="X",$A$9&amp;", ","")&amp;IF(BS10="X",$A$10&amp;", ","")&amp;IF(BS11="X",$A$11&amp;", ","")&amp;IF(BS12="X",$A12&amp;", ","")&amp;IF(BS13="X",$A13&amp;", ","")&amp;IF(BS14="X",$A14&amp;", ","")&amp;IF(BS15="X",$A15&amp;", ","")&amp;IF(BS16="X",$A16&amp;", ","")&amp;IF(BS17="X",$A17&amp;", ","")&amp;IF(BS18="X",$A18&amp;", ","")&amp;IF(BS19="X",$A19&amp;", ","")&amp;IF(BS20="X",$A20&amp;", ","")&amp;IF(BS21="X",$A21&amp;", ","")</f>
        <v/>
      </c>
    </row>
    <row r="103" ht="15.75" customHeight="1">
      <c r="A103" s="426" t="str">
        <f>Razas!A46</f>
        <v>Tiefling</v>
      </c>
      <c r="D103" s="447" t="str">
        <f>IF(BT4="X",$A$4&amp;", ","")&amp;IF(BT5="X",$A$5&amp;", ","")&amp;IF(BT6="X",$A$6&amp;", ","")&amp;IF(BT7="X",$A$7&amp;", ","")&amp;IF(BT8="X",$A$8&amp;", ","")&amp;IF(BT9="X",$A$9&amp;", ","")&amp;IF(BT10="X",$A$10&amp;", ","")&amp;IF(BT11="X",$A$11&amp;", ","")&amp;IF(BT12="X",$A12&amp;", ","")&amp;IF(BT13="X",$A13&amp;", ","")&amp;IF(BT14="X",$A14&amp;", ","")&amp;IF(BT15="X",$A15&amp;", ","")&amp;IF(BT16="X",$A16&amp;", ","")&amp;IF(BT17="X",$A17&amp;", ","")&amp;IF(BT18="X",$A18&amp;", ","")&amp;IF(BT19="X",$A19&amp;", ","")&amp;IF(BT20="X",$A20&amp;", ","")&amp;IF(BT21="X",$A21&amp;", ","")</f>
        <v/>
      </c>
    </row>
    <row r="104" ht="15.75" hidden="1" customHeight="1">
      <c r="A104" s="428"/>
      <c r="D104" s="448"/>
    </row>
    <row r="105" ht="15.75" customHeight="1">
      <c r="A105" s="430" t="str">
        <f>Razas!A48</f>
        <v>No Muertos</v>
      </c>
      <c r="D105" s="449" t="str">
        <f>IF(BU4="X",$A$4&amp;", ","")&amp;IF(BU5="X",$A$5&amp;", ","")&amp;IF(BU6="X",$A$6&amp;", ","")&amp;IF(BU7="X",$A$7&amp;", ","")&amp;IF(BU8="X",$A$8&amp;", ","")&amp;IF(BU9="X",$A$9&amp;", ","")&amp;IF(BU10="X",$A$10&amp;", ","")&amp;IF(BU11="X",$A$11&amp;", ","")&amp;IF(BU12="X",$A12&amp;", ","")&amp;IF(BU13="X",$A13&amp;", ","")&amp;IF(BU14="X",$A14&amp;", ","")&amp;IF(BU15="X",$A15&amp;", ","")&amp;IF(BU16="X",$A16&amp;", ","")&amp;IF(BU17="X",$A17&amp;", ","")&amp;IF(BU18="X",$A18&amp;", ","")&amp;IF(BU19="X",$A19&amp;", ","")&amp;IF(BU20="X",$A20&amp;", ","")&amp;IF(BU21="X",$A21&amp;", ","")</f>
        <v/>
      </c>
    </row>
    <row r="106" ht="15.75" customHeight="1">
      <c r="A106" s="432" t="str">
        <f>Razas!A49</f>
        <v>No Muertos</v>
      </c>
      <c r="D106" s="450" t="str">
        <f>IF(BV4="X",$A$4&amp;", ","")&amp;IF(BV5="X",$A$5&amp;", ","")&amp;IF(BV6="X",$A$6&amp;", ","")&amp;IF(BV7="X",$A$7&amp;", ","")&amp;IF(BV8="X",$A$8&amp;", ","")&amp;IF(BV9="X",$A$9&amp;", ","")&amp;IF(BV10="X",$A$10&amp;", ","")&amp;IF(BV11="X",$A$11&amp;", ","")&amp;IF(BV12="X",$A12&amp;", ","")&amp;IF(BV13="X",$A13&amp;", ","")&amp;IF(BV14="X",$A14&amp;", ","")&amp;IF(BV15="X",$A15&amp;", ","")&amp;IF(BV16="X",$A16&amp;", ","")&amp;IF(BV17="X",$A17&amp;", ","")&amp;IF(BV18="X",$A18&amp;", ","")&amp;IF(BV19="X",$A19&amp;", ","")&amp;IF(BV20="X",$A20&amp;", ","")&amp;IF(BV21="X",$A21&amp;", ","")</f>
        <v/>
      </c>
    </row>
    <row r="107" ht="15.75" customHeight="1">
      <c r="A107" s="434" t="str">
        <f>Razas!A50</f>
        <v>No Muertos</v>
      </c>
      <c r="D107" s="451" t="str">
        <f>IF(BW4="X",$A$4&amp;", ","")&amp;IF(BW5="X",$A$5&amp;", ","")&amp;IF(BW6="X",$A$6&amp;", ","")&amp;IF(BW7="X",$A$7&amp;", ","")&amp;IF(BW8="X",$A$8&amp;", ","")&amp;IF(BW9="X",$A$9&amp;", ","")&amp;IF(BW10="X",$A$10&amp;", ","")&amp;IF(BW11="X",$A$11&amp;", ","")&amp;IF(BW12="X",$A12&amp;", ","")&amp;IF(BW13="X",$A13&amp;", ","")&amp;IF(BW14="X",$A14&amp;", ","")&amp;IF(BW15="X",$A15&amp;", ","")&amp;IF(BW16="X",$A16&amp;", ","")&amp;IF(BW17="X",$A17&amp;", ","")&amp;IF(BW18="X",$A18&amp;", ","")&amp;IF(BW19="X",$A19&amp;", ","")&amp;IF(BW20="X",$A20&amp;", ","")&amp;IF(BW21="X",$A21&amp;", ","")</f>
        <v/>
      </c>
    </row>
    <row r="108" ht="15.75" hidden="1" customHeight="1">
      <c r="A108" s="436"/>
      <c r="D108" s="452"/>
    </row>
    <row r="109" ht="15.75" customHeight="1">
      <c r="A109" s="438" t="str">
        <f>Razas!A52</f>
        <v>Nagas</v>
      </c>
      <c r="D109" s="453" t="str">
        <f>IF(BX4="X",$A$4&amp;", ","")&amp;IF(BX5="X",$A$5&amp;", ","")&amp;IF(BX6="X",$A$6&amp;", ","")&amp;IF(BX7="X",$A$7&amp;", ","")&amp;IF(BX8="X",$A$8&amp;", ","")&amp;IF(BX9="X",$A$9&amp;", ","")&amp;IF(BX10="X",$A$10&amp;", ","")&amp;IF(BX11="X",$A$11&amp;", ","")&amp;IF(BX12="X",$A12&amp;", ","")&amp;IF(BX13="X",$A13&amp;", ","")&amp;IF(BX14="X",$A14&amp;", ","")&amp;IF(BX15="X",$A15&amp;", ","")&amp;IF(BX16="X",$A16&amp;", ","")&amp;IF(BX17="X",$A17&amp;", ","")&amp;IF(BX18="X",$A18&amp;", ","")&amp;IF(BX19="X",$A19&amp;", ","")&amp;IF(BX20="X",$A20&amp;", ","")&amp;IF(BX21="X",$A21&amp;", ","")</f>
        <v/>
      </c>
    </row>
    <row r="110" ht="15.75" customHeight="1">
      <c r="A110" s="440" t="str">
        <f>Razas!A53</f>
        <v>Nagas</v>
      </c>
      <c r="D110" s="454" t="str">
        <f>IF(BY4="X",$A$4&amp;", ","")&amp;IF(BY5="X",$A$5&amp;", ","")&amp;IF(BY6="X",$A$6&amp;", ","")&amp;IF(BY7="X",$A$7&amp;", ","")&amp;IF(BY8="X",$A$8&amp;", ","")&amp;IF(BY9="X",$A$9&amp;", ","")&amp;IF(BY10="X",$A$10&amp;", ","")&amp;IF(BY11="X",$A$11&amp;", ","")&amp;IF(BY12="X",$A12&amp;", ","")&amp;IF(BY13="X",$A13&amp;", ","")&amp;IF(BY14="X",$A14&amp;", ","")&amp;IF(BY15="X",$A15&amp;", ","")&amp;IF(BY16="X",$A16&amp;", ","")&amp;IF(BY17="X",$A17&amp;", ","")&amp;IF(BY18="X",$A18&amp;", ","")&amp;IF(BY19="X",$A19&amp;", ","")&amp;IF(BY20="X",$A20&amp;", ","")&amp;IF(BY21="X",$A21&amp;", ","")</f>
        <v>Juego de Manos, Sigilo, </v>
      </c>
    </row>
    <row r="111" ht="15.75" customHeight="1">
      <c r="A111" s="442" t="str">
        <f>Razas!A54</f>
        <v>Nagas</v>
      </c>
      <c r="D111" s="455" t="str">
        <f>IF(BZ4="X",$A$4&amp;", ","")&amp;IF(BZ5="X",$A$5&amp;", ","")&amp;IF(BZ6="X",$A$6&amp;", ","")&amp;IF(BZ7="X",$A$7&amp;", ","")&amp;IF(BZ8="X",$A$8&amp;", ","")&amp;IF(BZ9="X",$A$9&amp;", ","")&amp;IF(BZ10="X",$A$10&amp;", ","")&amp;IF(BZ11="X",$A$11&amp;", ","")&amp;IF(BZ12="X",$A12&amp;", ","")&amp;IF(BZ13="X",$A13&amp;", ","")&amp;IF(BZ14="X",$A14&amp;", ","")&amp;IF(BZ15="X",$A15&amp;", ","")&amp;IF(BZ16="X",$A16&amp;", ","")&amp;IF(BZ17="X",$A17&amp;", ","")&amp;IF(BZ18="X",$A18&amp;", ","")&amp;IF(BZ19="X",$A19&amp;", ","")&amp;IF(BZ20="X",$A20&amp;", ","")&amp;IF(BZ21="X",$A21&amp;", ","")</f>
        <v>Engaño, Persuasion, </v>
      </c>
    </row>
    <row r="112" ht="15.75" hidden="1" customHeight="1">
      <c r="A112" s="424"/>
      <c r="D112" s="446"/>
    </row>
    <row r="113" ht="15.75" customHeight="1">
      <c r="A113" s="424" t="str">
        <f>Razas!A56</f>
        <v>Dracónidos</v>
      </c>
      <c r="D113" s="446" t="str">
        <f>IF(CA4="X",$A$4&amp;", ","")&amp;IF(CA5="X",$A$5&amp;", ","")&amp;IF(CA6="X",$A$6&amp;", ","")&amp;IF(CA7="X",$A$7&amp;", ","")&amp;IF(CA8="X",$A$8&amp;", ","")&amp;IF(CA9="X",$A$9&amp;", ","")&amp;IF(CA10="X",$A$10&amp;", ","")&amp;IF(CA11="X",$A$11&amp;", ","")&amp;IF(CA12="X",$A12&amp;", ","")&amp;IF(CA13="X",$A13&amp;", ","")&amp;IF(CA14="X",$A14&amp;", ","")&amp;IF(CA15="X",$A15&amp;", ","")&amp;IF(CA16="X",$A16&amp;", ","")&amp;IF(CA17="X",$A17&amp;", ","")&amp;IF(CA18="X",$A18&amp;", ","")&amp;IF(CA19="X",$A19&amp;", ","")&amp;IF(CA20="X",$A20&amp;", ","")&amp;IF(CA21="X",$A21&amp;", ","")</f>
        <v/>
      </c>
    </row>
    <row r="114" ht="15.75" customHeight="1">
      <c r="A114" s="426" t="str">
        <f>Razas!A57</f>
        <v>Dracónidos</v>
      </c>
      <c r="D114" s="447" t="str">
        <f>IF(CB4="X",$A$4&amp;", ","")&amp;IF(CB5="X",$A$5&amp;", ","")&amp;IF(CB6="X",$A$6&amp;", ","")&amp;IF(CB7="X",$A$7&amp;", ","")&amp;IF(CB8="X",$A$8&amp;", ","")&amp;IF(CB9="X",$A$9&amp;", ","")&amp;IF(CB10="X",$A$10&amp;", ","")&amp;IF(CB11="X",$A$11&amp;", ","")&amp;IF(CB12="X",$A12&amp;", ","")&amp;IF(CB13="X",$A13&amp;", ","")&amp;IF(CB14="X",$A14&amp;", ","")&amp;IF(CB15="X",$A15&amp;", ","")&amp;IF(CB16="X",$A16&amp;", ","")&amp;IF(CB17="X",$A17&amp;", ","")&amp;IF(CB18="X",$A18&amp;", ","")&amp;IF(CB19="X",$A19&amp;", ","")&amp;IF(CB20="X",$A20&amp;", ","")&amp;IF(CB21="X",$A21&amp;", ","")</f>
        <v/>
      </c>
    </row>
    <row r="115" ht="15.75" customHeight="1">
      <c r="A115" s="428" t="str">
        <f>Razas!A58</f>
        <v>Dracónidos</v>
      </c>
      <c r="D115" s="448" t="str">
        <f>IF(CC4="X",$A$4&amp;", ","")&amp;IF(CC5="X",$A$5&amp;", ","")&amp;IF(CC6="X",$A$6&amp;", ","")&amp;IF(CC7="X",$A$7&amp;", ","")&amp;IF(CC8="X",$A$8&amp;", ","")&amp;IF(CC9="X",$A$9&amp;", ","")&amp;IF(CC10="X",$A$10&amp;", ","")&amp;IF(CC11="X",$A$11&amp;", ","")&amp;IF(CC12="X",$A12&amp;", ","")&amp;IF(CC13="X",$A13&amp;", ","")&amp;IF(CC14="X",$A14&amp;", ","")&amp;IF(CC15="X",$A15&amp;", ","")&amp;IF(CC16="X",$A16&amp;", ","")&amp;IF(CC17="X",$A17&amp;", ","")&amp;IF(CC18="X",$A18&amp;", ","")&amp;IF(CC19="X",$A19&amp;", ","")&amp;IF(CC20="X",$A20&amp;", ","")&amp;IF(CC21="X",$A21&amp;", ","")</f>
        <v/>
      </c>
    </row>
    <row r="116" ht="15.75" customHeight="1">
      <c r="A116" s="430" t="str">
        <f>Razas!A59</f>
        <v>Dracónidos</v>
      </c>
      <c r="D116" s="449" t="str">
        <f>IF(CD4="X",$A$4&amp;", ","")&amp;IF(CD5="X",$A$5&amp;", ","")&amp;IF(CD6="X",$A$6&amp;", ","")&amp;IF(CD7="X",$A$7&amp;", ","")&amp;IF(CD8="X",$A$8&amp;", ","")&amp;IF(CD9="X",$A$9&amp;", ","")&amp;IF(CD10="X",$A$10&amp;", ","")&amp;IF(CD11="X",$A$11&amp;", ","")&amp;IF(CD12="X",$A12&amp;", ","")&amp;IF(CD13="X",$A13&amp;", ","")&amp;IF(CD14="X",$A14&amp;", ","")&amp;IF(CD15="X",$A15&amp;", ","")&amp;IF(CD16="X",$A16&amp;", ","")&amp;IF(CD17="X",$A17&amp;", ","")&amp;IF(CD18="X",$A18&amp;", ","")&amp;IF(CD19="X",$A19&amp;", ","")&amp;IF(CD20="X",$A20&amp;", ","")&amp;IF(CD21="X",$A21&amp;", ","")</f>
        <v/>
      </c>
    </row>
    <row r="117" ht="15.75" customHeight="1">
      <c r="A117" s="432" t="str">
        <f>Razas!A60</f>
        <v>Dracónidos</v>
      </c>
      <c r="D117" s="450" t="str">
        <f>IF(CE4="X",$A$4&amp;", ","")&amp;IF(CE5="X",$A$5&amp;", ","")&amp;IF(CE6="X",$A$6&amp;", ","")&amp;IF(CE7="X",$A$7&amp;", ","")&amp;IF(CE8="X",$A$8&amp;", ","")&amp;IF(CE9="X",$A$9&amp;", ","")&amp;IF(CE10="X",$A$10&amp;", ","")&amp;IF(CE11="X",$A$11&amp;", ","")&amp;IF(CE12="X",$A12&amp;", ","")&amp;IF(CE13="X",$A13&amp;", ","")&amp;IF(CE14="X",$A14&amp;", ","")&amp;IF(CE15="X",$A15&amp;", ","")&amp;IF(CE16="X",$A16&amp;", ","")&amp;IF(CE17="X",$A17&amp;", ","")&amp;IF(CE18="X",$A18&amp;", ","")&amp;IF(CE19="X",$A19&amp;", ","")&amp;IF(CE20="X",$A20&amp;", ","")&amp;IF(CE21="X",$A21&amp;", ","")</f>
        <v/>
      </c>
    </row>
    <row r="118" ht="15.75" customHeight="1">
      <c r="A118" s="434" t="str">
        <f>Razas!A61</f>
        <v>Dracónidos</v>
      </c>
      <c r="D118" s="451" t="str">
        <f>IF(CF4="X",$A$4&amp;", ","")&amp;IF(CF5="X",$A$5&amp;", ","")&amp;IF(CF6="X",$A$6&amp;", ","")&amp;IF(CF7="X",$A$7&amp;", ","")&amp;IF(CF8="X",$A$8&amp;", ","")&amp;IF(CF9="X",$A$9&amp;", ","")&amp;IF(CF10="X",$A$10&amp;", ","")&amp;IF(CF11="X",$A$11&amp;", ","")&amp;IF(CF12="X",$A12&amp;", ","")&amp;IF(CF13="X",$A13&amp;", ","")&amp;IF(CF14="X",$A14&amp;", ","")&amp;IF(CF15="X",$A15&amp;", ","")&amp;IF(CF16="X",$A16&amp;", ","")&amp;IF(CF17="X",$A17&amp;", ","")&amp;IF(CF18="X",$A18&amp;", ","")&amp;IF(CF19="X",$A19&amp;", ","")&amp;IF(CF20="X",$A20&amp;", ","")&amp;IF(CF21="X",$A21&amp;", ","")</f>
        <v/>
      </c>
    </row>
    <row r="119" ht="15.75" hidden="1" customHeight="1">
      <c r="A119" s="436"/>
      <c r="D119" s="452"/>
    </row>
    <row r="120" ht="15.75" customHeight="1">
      <c r="A120" s="438" t="str">
        <f>Razas!A63</f>
        <v>Human</v>
      </c>
      <c r="D120" s="453" t="str">
        <f>IF(CG4="X",$A$4&amp;", ","")&amp;IF(CG5="X",$A$5&amp;", ","")&amp;IF(CG6="X",$A$6&amp;", ","")&amp;IF(CG7="X",$A$7&amp;", ","")&amp;IF(CG8="X",$A$8&amp;", ","")&amp;IF(CG9="X",$A$9&amp;", ","")&amp;IF(CG10="X",$A$10&amp;", ","")&amp;IF(CG11="X",$A$11&amp;", ","")&amp;IF(CG12="X",$A12&amp;", ","")&amp;IF(CG13="X",$A13&amp;", ","")&amp;IF(CG14="X",$A14&amp;", ","")&amp;IF(CG15="X",$A15&amp;", ","")&amp;IF(CG16="X",$A16&amp;", ","")&amp;IF(CG17="X",$A17&amp;", ","")&amp;IF(CG18="X",$A18&amp;", ","")&amp;IF(CG19="X",$A19&amp;", ","")&amp;IF(CG20="X",$A20&amp;", ","")&amp;IF(CG21="X",$A21&amp;", ","")</f>
        <v/>
      </c>
    </row>
    <row r="121" ht="15.75" customHeight="1">
      <c r="A121" s="440" t="str">
        <f>Razas!A64</f>
        <v>Aegroum</v>
      </c>
      <c r="D121" s="454" t="str">
        <f>IF(CH4="X",$A$4&amp;", ","")&amp;IF(CH5="X",$A$5&amp;", ","")&amp;IF(CH6="X",$A$6&amp;", ","")&amp;IF(CH7="X",$A$7&amp;", ","")&amp;IF(CH8="X",$A$8&amp;", ","")&amp;IF(CH9="X",$A$9&amp;", ","")&amp;IF(CH10="X",$A$10&amp;", ","")&amp;IF(CH11="X",$A$11&amp;", ","")&amp;IF(CH12="X",$A12&amp;", ","")&amp;IF(CH13="X",$A13&amp;", ","")&amp;IF(CH14="X",$A14&amp;", ","")&amp;IF(CH15="X",$A15&amp;", ","")&amp;IF(CH16="X",$A16&amp;", ","")&amp;IF(CH17="X",$A17&amp;", ","")&amp;IF(CH18="X",$A18&amp;", ","")&amp;IF(CH19="X",$A19&amp;", ","")&amp;IF(CH20="X",$A20&amp;", ","")&amp;IF(CH21="X",$A21&amp;", ","")</f>
        <v/>
      </c>
    </row>
    <row r="122" ht="15.75" customHeight="1">
      <c r="A122" s="442" t="str">
        <f>Razas!A65</f>
        <v>Ascaria</v>
      </c>
      <c r="D122" s="455" t="str">
        <f>IF(CI4="X",$A$4&amp;", ","")&amp;IF(CI5="X",$A$5&amp;", ","")&amp;IF(CI6="X",$A$6&amp;", ","")&amp;IF(CI7="X",$A$7&amp;", ","")&amp;IF(CI8="X",$A$8&amp;", ","")&amp;IF(CI9="X",$A$9&amp;", ","")&amp;IF(CI10="X",$A$10&amp;", ","")&amp;IF(CI11="X",$A$11&amp;", ","")&amp;IF(CI12="X",$A12&amp;", ","")&amp;IF(CI13="X",$A13&amp;", ","")&amp;IF(CI14="X",$A14&amp;", ","")&amp;IF(CI15="X",$A15&amp;", ","")&amp;IF(CI16="X",$A16&amp;", ","")&amp;IF(CI17="X",$A17&amp;", ","")&amp;IF(CI18="X",$A18&amp;", ","")&amp;IF(CI19="X",$A19&amp;", ","")&amp;IF(CI20="X",$A20&amp;", ","")&amp;IF(CI21="X",$A21&amp;", ","")</f>
        <v/>
      </c>
    </row>
    <row r="123" ht="15.75" customHeight="1">
      <c r="A123" s="424" t="str">
        <f>Razas!A66</f>
        <v>Bastrea</v>
      </c>
      <c r="D123" s="446" t="str">
        <f>IF(CJ4="X",$A$4&amp;", ","")&amp;IF(CJ5="X",$A$5&amp;", ","")&amp;IF(CJ6="X",$A$6&amp;", ","")&amp;IF(CJ7="X",$A$7&amp;", ","")&amp;IF(CJ8="X",$A$8&amp;", ","")&amp;IF(CJ9="X",$A$9&amp;", ","")&amp;IF(CJ10="X",$A$10&amp;", ","")&amp;IF(CJ11="X",$A$11&amp;", ","")&amp;IF(CJ12="X",$A12&amp;", ","")&amp;IF(CJ13="X",$A13&amp;", ","")&amp;IF(CJ14="X",$A14&amp;", ","")&amp;IF(CJ15="X",$A15&amp;", ","")&amp;IF(CJ16="X",$A16&amp;", ","")&amp;IF(CJ17="X",$A17&amp;", ","")&amp;IF(CJ18="X",$A18&amp;", ","")&amp;IF(CJ19="X",$A19&amp;", ","")&amp;IF(CJ20="X",$A20&amp;", ","")&amp;IF(CJ21="X",$A21&amp;", ","")</f>
        <v/>
      </c>
    </row>
    <row r="124" ht="15.75" customHeight="1">
      <c r="A124" s="426" t="str">
        <f>Razas!A67</f>
        <v>Bastrea - Semi-Elfo</v>
      </c>
      <c r="D124" s="447" t="str">
        <f>IF(CK4="X",$A$4&amp;", ","")&amp;IF(CK5="X",$A$5&amp;", ","")&amp;IF(CK6="X",$A$6&amp;", ","")&amp;IF(CK7="X",$A$7&amp;", ","")&amp;IF(CK8="X",$A$8&amp;", ","")&amp;IF(CK9="X",$A$9&amp;", ","")&amp;IF(CK10="X",$A$10&amp;", ","")&amp;IF(CK11="X",$A$11&amp;", ","")&amp;IF(CK12="X",$A12&amp;", ","")&amp;IF(CK13="X",$A13&amp;", ","")&amp;IF(CK14="X",$A14&amp;", ","")&amp;IF(CK15="X",$A15&amp;", ","")&amp;IF(CK16="X",$A16&amp;", ","")&amp;IF(CK17="X",$A17&amp;", ","")&amp;IF(CK18="X",$A18&amp;", ","")&amp;IF(CK19="X",$A19&amp;", ","")&amp;IF(CK20="X",$A20&amp;", ","")&amp;IF(CK21="X",$A21&amp;", ","")</f>
        <v/>
      </c>
    </row>
    <row r="125" ht="15.75" customHeight="1">
      <c r="A125" s="428" t="str">
        <f>Razas!A68</f>
        <v>Perdidos</v>
      </c>
      <c r="D125" s="448" t="str">
        <f>IF(CL4="X",$A$4&amp;", ","")&amp;IF(CL5="X",$A$5&amp;", ","")&amp;IF(CL6="X",$A$6&amp;", ","")&amp;IF(CL7="X",$A$7&amp;", ","")&amp;IF(CL8="X",$A$8&amp;", ","")&amp;IF(CL9="X",$A$9&amp;", ","")&amp;IF(CL10="X",$A$10&amp;", ","")&amp;IF(CL11="X",$A$11&amp;", ","")&amp;IF(CL12="X",$A12&amp;", ","")&amp;IF(CL13="X",$A13&amp;", ","")&amp;IF(CL14="X",$A14&amp;", ","")&amp;IF(CL15="X",$A15&amp;", ","")&amp;IF(CL16="X",$A16&amp;", ","")&amp;IF(CL17="X",$A17&amp;", ","")&amp;IF(CL18="X",$A18&amp;", ","")&amp;IF(CL19="X",$A19&amp;", ","")&amp;IF(CL20="X",$A20&amp;", ","")&amp;IF(CL21="X",$A21&amp;", ","")</f>
        <v/>
      </c>
    </row>
    <row r="126" ht="15.75" hidden="1" customHeight="1">
      <c r="A126" s="430"/>
      <c r="D126" s="449"/>
    </row>
    <row r="127" ht="15.75" customHeight="1">
      <c r="A127" s="432" t="str">
        <f>Razas!A70</f>
        <v>Elemental</v>
      </c>
      <c r="D127" s="450" t="str">
        <f>IF(CM4="X",$A$4&amp;", ","")&amp;IF(CM5="X",$A$5&amp;", ","")&amp;IF(CM6="X",$A$6&amp;", ","")&amp;IF(CM7="X",$A$7&amp;", ","")&amp;IF(CM8="X",$A$8&amp;", ","")&amp;IF(CM9="X",$A$9&amp;", ","")&amp;IF(CM10="X",$A$10&amp;", ","")&amp;IF(CM11="X",$A$11&amp;", ","")&amp;IF(CM12="X",$A12&amp;", ","")&amp;IF(CM13="X",$A13&amp;", ","")&amp;IF(CM14="X",$A14&amp;", ","")&amp;IF(CM15="X",$A15&amp;", ","")&amp;IF(CM16="X",$A16&amp;", ","")&amp;IF(CM17="X",$A17&amp;", ","")&amp;IF(CM18="X",$A18&amp;", ","")&amp;IF(CM19="X",$A19&amp;", ","")&amp;IF(CM20="X",$A20&amp;", ","")&amp;IF(CM21="X",$A21&amp;", ","")</f>
        <v/>
      </c>
    </row>
    <row r="128" ht="15.75" customHeight="1">
      <c r="A128" s="434" t="str">
        <f>Razas!A71</f>
        <v>Elemental</v>
      </c>
      <c r="D128" s="451" t="str">
        <f>IF(CN4="X",$A$4&amp;", ","")&amp;IF(CN5="X",$A$5&amp;", ","")&amp;IF(CN6="X",$A$6&amp;", ","")&amp;IF(CN7="X",$A$7&amp;", ","")&amp;IF(CN8="X",$A$8&amp;", ","")&amp;IF(CN9="X",$A$9&amp;", ","")&amp;IF(CN10="X",$A$10&amp;", ","")&amp;IF(CN11="X",$A$11&amp;", ","")&amp;IF(CN12="X",$A12&amp;", ","")&amp;IF(CN13="X",$A13&amp;", ","")&amp;IF(CN14="X",$A14&amp;", ","")&amp;IF(CN15="X",$A15&amp;", ","")&amp;IF(CN16="X",$A16&amp;", ","")&amp;IF(CN17="X",$A17&amp;", ","")&amp;IF(CN18="X",$A18&amp;", ","")&amp;IF(CN19="X",$A19&amp;", ","")&amp;IF(CN20="X",$A20&amp;", ","")&amp;IF(CN21="X",$A21&amp;", ","")</f>
        <v/>
      </c>
    </row>
    <row r="129" ht="15.75" customHeight="1">
      <c r="A129" s="436" t="str">
        <f>Razas!A72</f>
        <v>Elemental</v>
      </c>
      <c r="D129" s="452" t="str">
        <f>IF(CO4="X",$A$4&amp;", ","")&amp;IF(CO5="X",$A$5&amp;", ","")&amp;IF(CO6="X",$A$6&amp;", ","")&amp;IF(CO7="X",$A$7&amp;", ","")&amp;IF(CO8="X",$A$8&amp;", ","")&amp;IF(CO9="X",$A$9&amp;", ","")&amp;IF(CO10="X",$A$10&amp;", ","")&amp;IF(CO11="X",$A$11&amp;", ","")&amp;IF(CO12="X",$A12&amp;", ","")&amp;IF(CO13="X",$A13&amp;", ","")&amp;IF(CO14="X",$A14&amp;", ","")&amp;IF(CO15="X",$A15&amp;", ","")&amp;IF(CO16="X",$A16&amp;", ","")&amp;IF(CO17="X",$A17&amp;", ","")&amp;IF(CO18="X",$A18&amp;", ","")&amp;IF(CO19="X",$A19&amp;", ","")&amp;IF(CO20="X",$A20&amp;", ","")&amp;IF(CO21="X",$A21&amp;", ","")</f>
        <v/>
      </c>
    </row>
    <row r="130" ht="15.75" customHeight="1">
      <c r="A130" s="438" t="str">
        <f>Razas!A73</f>
        <v>Elemental</v>
      </c>
      <c r="D130" s="453" t="str">
        <f>IF(CP4="X",$A$4&amp;", ","")&amp;IF(CP5="X",$A$5&amp;", ","")&amp;IF(CP6="X",$A$6&amp;", ","")&amp;IF(CP7="X",$A$7&amp;", ","")&amp;IF(CP8="X",$A$8&amp;", ","")&amp;IF(CP9="X",$A$9&amp;", ","")&amp;IF(CP10="X",$A$10&amp;", ","")&amp;IF(CP11="X",$A$11&amp;", ","")&amp;IF(CP12="X",$A12&amp;", ","")&amp;IF(CP13="X",$A13&amp;", ","")&amp;IF(CP14="X",$A14&amp;", ","")&amp;IF(CP15="X",$A15&amp;", ","")&amp;IF(CP16="X",$A16&amp;", ","")&amp;IF(CP17="X",$A17&amp;", ","")&amp;IF(CP18="X",$A18&amp;", ","")&amp;IF(CP19="X",$A19&amp;", ","")&amp;IF(CP20="X",$A20&amp;", ","")&amp;IF(CP21="X",$A21&amp;", ","")</f>
        <v/>
      </c>
    </row>
    <row r="131" ht="15.75" customHeight="1">
      <c r="A131" s="440" t="str">
        <f>Razas!A74</f>
        <v>Elemental</v>
      </c>
      <c r="D131" s="454" t="str">
        <f>IF(CQ4="X",$A$4&amp;", ","")&amp;IF(CQ5="X",$A$5&amp;", ","")&amp;IF(CQ6="X",$A$6&amp;", ","")&amp;IF(CQ7="X",$A$7&amp;", ","")&amp;IF(CQ8="X",$A$8&amp;", ","")&amp;IF(CQ9="X",$A$9&amp;", ","")&amp;IF(CQ10="X",$A$10&amp;", ","")&amp;IF(CQ11="X",$A$11&amp;", ","")&amp;IF(CQ12="X",$A12&amp;", ","")&amp;IF(CQ13="X",$A13&amp;", ","")&amp;IF(CQ14="X",$A14&amp;", ","")&amp;IF(CQ15="X",$A15&amp;", ","")&amp;IF(CQ16="X",$A16&amp;", ","")&amp;IF(CQ17="X",$A17&amp;", ","")&amp;IF(CQ18="X",$A18&amp;", ","")&amp;IF(CQ19="X",$A19&amp;", ","")&amp;IF(CQ20="X",$A20&amp;", ","")&amp;IF(CQ21="X",$A21&amp;", ","")</f>
        <v/>
      </c>
    </row>
    <row r="132" ht="15.75" customHeight="1">
      <c r="A132" s="442" t="str">
        <f>Razas!A75</f>
        <v>Elemental</v>
      </c>
      <c r="D132" s="455" t="str">
        <f>IF(CR4="X",$A$4&amp;", ","")&amp;IF(CR5="X",$A$5&amp;", ","")&amp;IF(CR6="X",$A$6&amp;", ","")&amp;IF(CR7="X",$A$7&amp;", ","")&amp;IF(CR8="X",$A$8&amp;", ","")&amp;IF(CR9="X",$A$9&amp;", ","")&amp;IF(CR10="X",$A$10&amp;", ","")&amp;IF(CR11="X",$A$11&amp;", ","")&amp;IF(CR12="X",$A12&amp;", ","")&amp;IF(CR13="X",$A13&amp;", ","")&amp;IF(CR14="X",$A14&amp;", ","")&amp;IF(CR15="X",$A15&amp;", ","")&amp;IF(CR16="X",$A16&amp;", ","")&amp;IF(CR17="X",$A17&amp;", ","")&amp;IF(CR18="X",$A18&amp;", ","")&amp;IF(CR19="X",$A19&amp;", ","")&amp;IF(CR20="X",$A20&amp;", ","")&amp;IF(CR21="X",$A21&amp;", ","")</f>
        <v/>
      </c>
    </row>
    <row r="133" ht="15.75" hidden="1" customHeight="1">
      <c r="A133" s="424"/>
      <c r="D133" s="446"/>
    </row>
    <row r="134" ht="15.75" customHeight="1">
      <c r="A134" s="424" t="str">
        <f>Razas!A77</f>
        <v>Goblin</v>
      </c>
      <c r="D134" s="446" t="str">
        <f>IF(CS4="X",$A$4&amp;", ","")&amp;IF(CS5="X",$A$5&amp;", ","")&amp;IF(CS6="X",$A$6&amp;", ","")&amp;IF(CS7="X",$A$7&amp;", ","")&amp;IF(CS8="X",$A$8&amp;", ","")&amp;IF(CS9="X",$A$9&amp;", ","")&amp;IF(CS10="X",$A$10&amp;", ","")&amp;IF(CS11="X",$A$11&amp;", ","")&amp;IF(CS12="X",$A12&amp;", ","")&amp;IF(CS13="X",$A13&amp;", ","")&amp;IF(CS14="X",$A14&amp;", ","")&amp;IF(CS15="X",$A15&amp;", ","")&amp;IF(CS16="X",$A16&amp;", ","")&amp;IF(CS17="X",$A17&amp;", ","")&amp;IF(CS18="X",$A18&amp;", ","")&amp;IF(CS19="X",$A19&amp;", ","")&amp;IF(CS20="X",$A20&amp;", ","")&amp;IF(CS21="X",$A21&amp;", ","")</f>
        <v/>
      </c>
    </row>
    <row r="135" ht="15.75" customHeight="1">
      <c r="A135" s="426" t="str">
        <f>Razas!A78</f>
        <v>Goblin</v>
      </c>
      <c r="D135" s="447" t="str">
        <f>IF(CT4="X",$A$4&amp;", ","")&amp;IF(CT5="X",$A$5&amp;", ","")&amp;IF(CT6="X",$A$6&amp;", ","")&amp;IF(CT7="X",$A$7&amp;", ","")&amp;IF(CT8="X",$A$8&amp;", ","")&amp;IF(CT9="X",$A$9&amp;", ","")&amp;IF(CT10="X",$A$10&amp;", ","")&amp;IF(CT11="X",$A$11&amp;", ","")&amp;IF(CT12="X",$A12&amp;", ","")&amp;IF(CT13="X",$A13&amp;", ","")&amp;IF(CT14="X",$A14&amp;", ","")&amp;IF(CT15="X",$A15&amp;", ","")&amp;IF(CT16="X",$A16&amp;", ","")&amp;IF(CT17="X",$A17&amp;", ","")&amp;IF(CT18="X",$A18&amp;", ","")&amp;IF(CT19="X",$A19&amp;", ","")&amp;IF(CT20="X",$A20&amp;", ","")&amp;IF(CT21="X",$A21&amp;", ","")</f>
        <v/>
      </c>
    </row>
    <row r="136" ht="15.75" customHeight="1">
      <c r="A136" s="428" t="str">
        <f>Razas!A79</f>
        <v>Goblin</v>
      </c>
      <c r="D136" s="448" t="str">
        <f>IF(CU4="X",$A$4&amp;", ","")&amp;IF(CU5="X",$A$5&amp;", ","")&amp;IF(CU6="X",$A$6&amp;", ","")&amp;IF(CU7="X",$A$7&amp;", ","")&amp;IF(CU8="X",$A$8&amp;", ","")&amp;IF(CU9="X",$A$9&amp;", ","")&amp;IF(CU10="X",$A$10&amp;", ","")&amp;IF(CU11="X",$A$11&amp;", ","")&amp;IF(CU12="X",$A12&amp;", ","")&amp;IF(CU13="X",$A13&amp;", ","")&amp;IF(CU14="X",$A14&amp;", ","")&amp;IF(CU15="X",$A15&amp;", ","")&amp;IF(CU16="X",$A16&amp;", ","")&amp;IF(CU17="X",$A17&amp;", ","")&amp;IF(CU18="X",$A18&amp;", ","")&amp;IF(CU19="X",$A19&amp;", ","")&amp;IF(CU20="X",$A20&amp;", ","")&amp;IF(CU21="X",$A21&amp;", ","")</f>
        <v/>
      </c>
    </row>
    <row r="137" ht="15.75" customHeight="1">
      <c r="A137" s="430" t="str">
        <f>Razas!A80</f>
        <v>Hobgoblin</v>
      </c>
      <c r="D137" s="449" t="str">
        <f>IF(CV4="X",$A$4&amp;", ","")&amp;IF(CV5="X",$A$5&amp;", ","")&amp;IF(CV6="X",$A$6&amp;", ","")&amp;IF(CV7="X",$A$7&amp;", ","")&amp;IF(CV8="X",$A$8&amp;", ","")&amp;IF(CV9="X",$A$9&amp;", ","")&amp;IF(CV10="X",$A$10&amp;", ","")&amp;IF(CV11="X",$A$11&amp;", ","")&amp;IF(CV12="X",$A12&amp;", ","")&amp;IF(CV13="X",$A13&amp;", ","")&amp;IF(CV14="X",$A14&amp;", ","")&amp;IF(CV15="X",$A15&amp;", ","")&amp;IF(CV16="X",$A16&amp;", ","")&amp;IF(CV17="X",$A17&amp;", ","")&amp;IF(CV18="X",$A18&amp;", ","")&amp;IF(CV19="X",$A19&amp;", ","")&amp;IF(CV20="X",$A20&amp;", ","")&amp;IF(CV21="X",$A21&amp;", ","")</f>
        <v/>
      </c>
    </row>
    <row r="138" ht="15.75" customHeight="1">
      <c r="A138" s="432" t="str">
        <f>Razas!A81</f>
        <v>Verdan</v>
      </c>
      <c r="D138" s="450" t="str">
        <f>IF(CW4="X",$A$4&amp;", ","")&amp;IF(CW5="X",$A$5&amp;", ","")&amp;IF(CW6="X",$A$6&amp;", ","")&amp;IF(CW7="X",$A$7&amp;", ","")&amp;IF(CW8="X",$A$8&amp;", ","")&amp;IF(CW9="X",$A$9&amp;", ","")&amp;IF(CW10="X",$A$10&amp;", ","")&amp;IF(CW11="X",$A$11&amp;", ","")&amp;IF(CW12="X",$A12&amp;", ","")&amp;IF(CW13="X",$A13&amp;", ","")&amp;IF(CW14="X",$A14&amp;", ","")&amp;IF(CW15="X",$A15&amp;", ","")&amp;IF(CW16="X",$A16&amp;", ","")&amp;IF(CW17="X",$A17&amp;", ","")&amp;IF(CW18="X",$A18&amp;", ","")&amp;IF(CW19="X",$A19&amp;", ","")&amp;IF(CW20="X",$A20&amp;", ","")&amp;IF(CW21="X",$A21&amp;", ","")</f>
        <v/>
      </c>
    </row>
    <row r="139" ht="15.75" customHeight="1">
      <c r="T139" s="423"/>
    </row>
    <row r="140" ht="15.75" customHeight="1">
      <c r="T140" s="423"/>
    </row>
    <row r="141" ht="15.75" customHeight="1">
      <c r="T141" s="423"/>
    </row>
    <row r="142" ht="15.75" customHeight="1">
      <c r="T142" s="423"/>
    </row>
    <row r="143" ht="15.75" customHeight="1">
      <c r="T143" s="423"/>
    </row>
    <row r="144" ht="15.75" customHeight="1">
      <c r="T144" s="423"/>
    </row>
    <row r="145" ht="15.75" customHeight="1">
      <c r="T145" s="423"/>
    </row>
    <row r="146" ht="15.75" customHeight="1">
      <c r="T146" s="423"/>
    </row>
    <row r="147" ht="15.75" customHeight="1">
      <c r="T147" s="423"/>
    </row>
    <row r="148" ht="15.75" customHeight="1">
      <c r="T148" s="423"/>
    </row>
    <row r="149" ht="15.75" customHeight="1">
      <c r="T149" s="423"/>
    </row>
    <row r="150" ht="15.75" customHeight="1">
      <c r="T150" s="423"/>
    </row>
    <row r="151" ht="15.75" customHeight="1">
      <c r="T151" s="423"/>
    </row>
    <row r="152" ht="15.75" customHeight="1">
      <c r="T152" s="423"/>
    </row>
    <row r="153" ht="15.75" customHeight="1">
      <c r="T153" s="423"/>
    </row>
    <row r="154" ht="15.75" customHeight="1">
      <c r="T154" s="423"/>
    </row>
    <row r="155" ht="15.75" customHeight="1">
      <c r="T155" s="423"/>
    </row>
    <row r="156" ht="15.75" customHeight="1">
      <c r="T156" s="423"/>
    </row>
    <row r="157" ht="15.75" customHeight="1">
      <c r="T157" s="423"/>
    </row>
    <row r="158" ht="15.75" customHeight="1">
      <c r="T158" s="423"/>
    </row>
    <row r="159" ht="15.75" customHeight="1">
      <c r="T159" s="423"/>
    </row>
    <row r="160" ht="15.75" customHeight="1">
      <c r="T160" s="423"/>
    </row>
    <row r="161" ht="15.75" customHeight="1">
      <c r="T161" s="423"/>
    </row>
    <row r="162" ht="15.75" customHeight="1">
      <c r="T162" s="423"/>
    </row>
    <row r="163" ht="15.75" customHeight="1">
      <c r="T163" s="423"/>
    </row>
    <row r="164" ht="15.75" customHeight="1">
      <c r="T164" s="423"/>
    </row>
    <row r="165" ht="15.75" customHeight="1">
      <c r="T165" s="423"/>
    </row>
    <row r="166" ht="15.75" customHeight="1">
      <c r="T166" s="423"/>
    </row>
    <row r="167" ht="15.75" customHeight="1">
      <c r="T167" s="423"/>
    </row>
    <row r="168" ht="15.75" customHeight="1">
      <c r="T168" s="423"/>
    </row>
    <row r="169" ht="15.75" customHeight="1">
      <c r="T169" s="423"/>
    </row>
    <row r="170" ht="15.75" customHeight="1">
      <c r="T170" s="423"/>
    </row>
    <row r="171" ht="15.75" customHeight="1">
      <c r="T171" s="423"/>
    </row>
    <row r="172" ht="15.75" customHeight="1">
      <c r="T172" s="423"/>
    </row>
    <row r="173" ht="15.75" customHeight="1">
      <c r="T173" s="423"/>
    </row>
    <row r="174" ht="15.75" customHeight="1">
      <c r="T174" s="423"/>
    </row>
    <row r="175" ht="15.75" customHeight="1">
      <c r="T175" s="423"/>
    </row>
    <row r="176" ht="15.75" customHeight="1">
      <c r="T176" s="423"/>
    </row>
    <row r="177" ht="15.75" customHeight="1">
      <c r="T177" s="423"/>
    </row>
    <row r="178" ht="15.75" customHeight="1">
      <c r="T178" s="423"/>
    </row>
    <row r="179" ht="15.75" customHeight="1">
      <c r="T179" s="423"/>
    </row>
    <row r="180" ht="15.75" customHeight="1">
      <c r="T180" s="423"/>
    </row>
    <row r="181" ht="15.75" customHeight="1">
      <c r="T181" s="423"/>
    </row>
    <row r="182" ht="15.75" customHeight="1">
      <c r="T182" s="423"/>
    </row>
    <row r="183" ht="15.75" customHeight="1">
      <c r="T183" s="423"/>
    </row>
    <row r="184" ht="15.75" customHeight="1">
      <c r="T184" s="423"/>
    </row>
    <row r="185" ht="15.75" customHeight="1">
      <c r="T185" s="423"/>
    </row>
    <row r="186" ht="15.75" customHeight="1">
      <c r="T186" s="423"/>
    </row>
    <row r="187" ht="15.75" customHeight="1">
      <c r="T187" s="423"/>
    </row>
    <row r="188" ht="15.75" customHeight="1">
      <c r="T188" s="423"/>
    </row>
    <row r="189" ht="15.75" customHeight="1">
      <c r="T189" s="423"/>
    </row>
    <row r="190" ht="15.75" customHeight="1">
      <c r="T190" s="423"/>
    </row>
    <row r="191" ht="15.75" customHeight="1">
      <c r="T191" s="423"/>
    </row>
    <row r="192" ht="15.75" customHeight="1">
      <c r="T192" s="423"/>
    </row>
    <row r="193" ht="15.75" customHeight="1">
      <c r="T193" s="423"/>
    </row>
    <row r="194" ht="15.75" customHeight="1">
      <c r="T194" s="423"/>
    </row>
    <row r="195" ht="15.75" customHeight="1">
      <c r="T195" s="423"/>
    </row>
    <row r="196" ht="15.75" customHeight="1">
      <c r="T196" s="423"/>
    </row>
    <row r="197" ht="15.75" customHeight="1">
      <c r="T197" s="423"/>
    </row>
    <row r="198" ht="15.75" customHeight="1">
      <c r="T198" s="423"/>
    </row>
    <row r="199" ht="15.75" customHeight="1">
      <c r="T199" s="423"/>
    </row>
    <row r="200" ht="15.75" customHeight="1">
      <c r="T200" s="423"/>
    </row>
    <row r="201" ht="15.75" customHeight="1">
      <c r="T201" s="423"/>
    </row>
    <row r="202" ht="15.75" customHeight="1">
      <c r="T202" s="423"/>
    </row>
    <row r="203" ht="15.75" customHeight="1">
      <c r="T203" s="423"/>
    </row>
    <row r="204" ht="15.75" customHeight="1">
      <c r="T204" s="423"/>
    </row>
    <row r="205" ht="15.75" customHeight="1">
      <c r="T205" s="423"/>
    </row>
    <row r="206" ht="15.75" customHeight="1">
      <c r="T206" s="423"/>
    </row>
    <row r="207" ht="15.75" customHeight="1">
      <c r="T207" s="423"/>
    </row>
    <row r="208" ht="15.75" customHeight="1">
      <c r="T208" s="423"/>
    </row>
    <row r="209" ht="15.75" customHeight="1">
      <c r="T209" s="423"/>
    </row>
    <row r="210" ht="15.75" customHeight="1">
      <c r="T210" s="423"/>
    </row>
    <row r="211" ht="15.75" customHeight="1">
      <c r="T211" s="423"/>
    </row>
    <row r="212" ht="15.75" customHeight="1">
      <c r="T212" s="423"/>
    </row>
    <row r="213" ht="15.75" customHeight="1">
      <c r="T213" s="423"/>
    </row>
    <row r="214" ht="15.75" customHeight="1">
      <c r="T214" s="423"/>
    </row>
    <row r="215" ht="15.75" customHeight="1">
      <c r="T215" s="423"/>
    </row>
    <row r="216" ht="15.75" customHeight="1">
      <c r="T216" s="423"/>
    </row>
    <row r="217" ht="15.75" customHeight="1">
      <c r="T217" s="423"/>
    </row>
    <row r="218" ht="15.75" customHeight="1">
      <c r="T218" s="423"/>
    </row>
    <row r="219" ht="15.75" customHeight="1">
      <c r="T219" s="423"/>
    </row>
    <row r="220" ht="15.75" customHeight="1">
      <c r="T220" s="423"/>
    </row>
    <row r="221" ht="15.75" customHeight="1">
      <c r="T221" s="423"/>
    </row>
    <row r="222" ht="15.75" customHeight="1">
      <c r="T222" s="423"/>
    </row>
    <row r="223" ht="15.75" customHeight="1">
      <c r="T223" s="423"/>
    </row>
    <row r="224" ht="15.75" customHeight="1">
      <c r="T224" s="423"/>
    </row>
    <row r="225" ht="15.75" customHeight="1">
      <c r="T225" s="423"/>
    </row>
    <row r="226" ht="15.75" customHeight="1">
      <c r="T226" s="423"/>
    </row>
    <row r="227" ht="15.75" customHeight="1">
      <c r="T227" s="423"/>
    </row>
    <row r="228" ht="15.75" customHeight="1">
      <c r="T228" s="423"/>
    </row>
    <row r="229" ht="15.75" customHeight="1">
      <c r="T229" s="423"/>
    </row>
    <row r="230" ht="15.75" customHeight="1">
      <c r="T230" s="423"/>
    </row>
    <row r="231" ht="15.75" customHeight="1">
      <c r="T231" s="423"/>
    </row>
    <row r="232" ht="15.75" customHeight="1">
      <c r="T232" s="423"/>
    </row>
    <row r="233" ht="15.75" customHeight="1">
      <c r="T233" s="423"/>
    </row>
    <row r="234" ht="15.75" customHeight="1">
      <c r="T234" s="423"/>
    </row>
    <row r="235" ht="15.75" customHeight="1">
      <c r="T235" s="423"/>
    </row>
    <row r="236" ht="15.75" customHeight="1">
      <c r="T236" s="423"/>
    </row>
    <row r="237" ht="15.75" customHeight="1">
      <c r="T237" s="423"/>
    </row>
    <row r="238" ht="15.75" customHeight="1">
      <c r="T238" s="423"/>
    </row>
    <row r="239" ht="15.75" customHeight="1">
      <c r="T239" s="423"/>
    </row>
    <row r="240" ht="15.75" customHeight="1">
      <c r="T240" s="423"/>
    </row>
    <row r="241" ht="15.75" customHeight="1">
      <c r="T241" s="423"/>
    </row>
    <row r="242" ht="15.75" customHeight="1">
      <c r="T242" s="423"/>
    </row>
    <row r="243" ht="15.75" customHeight="1">
      <c r="T243" s="423"/>
    </row>
    <row r="244" ht="15.75" customHeight="1">
      <c r="T244" s="423"/>
    </row>
    <row r="245" ht="15.75" customHeight="1">
      <c r="T245" s="423"/>
    </row>
    <row r="246" ht="15.75" customHeight="1">
      <c r="T246" s="423"/>
    </row>
    <row r="247" ht="15.75" customHeight="1">
      <c r="T247" s="423"/>
    </row>
    <row r="248" ht="15.75" customHeight="1">
      <c r="T248" s="423"/>
    </row>
    <row r="249" ht="15.75" customHeight="1">
      <c r="T249" s="423"/>
    </row>
    <row r="250" ht="15.75" customHeight="1">
      <c r="T250" s="423"/>
    </row>
    <row r="251" ht="15.75" customHeight="1">
      <c r="T251" s="423"/>
    </row>
    <row r="252" ht="15.75" customHeight="1">
      <c r="T252" s="423"/>
    </row>
    <row r="253" ht="15.75" customHeight="1">
      <c r="T253" s="423"/>
    </row>
    <row r="254" ht="15.75" customHeight="1">
      <c r="T254" s="423"/>
    </row>
    <row r="255" ht="15.75" customHeight="1">
      <c r="T255" s="423"/>
    </row>
    <row r="256" ht="15.75" customHeight="1">
      <c r="T256" s="423"/>
    </row>
    <row r="257" ht="15.75" customHeight="1">
      <c r="T257" s="423"/>
    </row>
    <row r="258" ht="15.75" customHeight="1">
      <c r="T258" s="423"/>
    </row>
    <row r="259" ht="15.75" customHeight="1">
      <c r="T259" s="423"/>
    </row>
    <row r="260" ht="15.75" customHeight="1">
      <c r="T260" s="423"/>
    </row>
    <row r="261" ht="15.75" customHeight="1">
      <c r="T261" s="423"/>
    </row>
    <row r="262" ht="15.75" customHeight="1">
      <c r="T262" s="423"/>
    </row>
    <row r="263" ht="15.75" customHeight="1">
      <c r="T263" s="423"/>
    </row>
    <row r="264" ht="15.75" customHeight="1">
      <c r="T264" s="423"/>
    </row>
    <row r="265" ht="15.75" customHeight="1">
      <c r="T265" s="423"/>
    </row>
    <row r="266" ht="15.75" customHeight="1">
      <c r="T266" s="423"/>
    </row>
    <row r="267" ht="15.75" customHeight="1">
      <c r="T267" s="423"/>
    </row>
    <row r="268" ht="15.75" customHeight="1">
      <c r="T268" s="423"/>
    </row>
    <row r="269" ht="15.75" customHeight="1">
      <c r="T269" s="423"/>
    </row>
    <row r="270" ht="15.75" customHeight="1">
      <c r="T270" s="423"/>
    </row>
    <row r="271" ht="15.75" customHeight="1">
      <c r="T271" s="423"/>
    </row>
    <row r="272" ht="15.75" customHeight="1">
      <c r="T272" s="423"/>
    </row>
    <row r="273" ht="15.75" customHeight="1">
      <c r="T273" s="423"/>
    </row>
    <row r="274" ht="15.75" customHeight="1">
      <c r="T274" s="423"/>
    </row>
    <row r="275" ht="15.75" customHeight="1">
      <c r="T275" s="423"/>
    </row>
    <row r="276" ht="15.75" customHeight="1">
      <c r="T276" s="423"/>
    </row>
    <row r="277" ht="15.75" customHeight="1">
      <c r="T277" s="423"/>
    </row>
    <row r="278" ht="15.75" customHeight="1">
      <c r="T278" s="423"/>
    </row>
    <row r="279" ht="15.75" customHeight="1">
      <c r="T279" s="423"/>
    </row>
    <row r="280" ht="15.75" customHeight="1">
      <c r="T280" s="423"/>
    </row>
    <row r="281" ht="15.75" customHeight="1">
      <c r="T281" s="423"/>
    </row>
    <row r="282" ht="15.75" customHeight="1">
      <c r="T282" s="423"/>
    </row>
    <row r="283" ht="15.75" customHeight="1">
      <c r="T283" s="423"/>
    </row>
    <row r="284" ht="15.75" customHeight="1">
      <c r="T284" s="423"/>
    </row>
    <row r="285" ht="15.75" customHeight="1">
      <c r="T285" s="423"/>
    </row>
    <row r="286" ht="15.75" customHeight="1">
      <c r="T286" s="423"/>
    </row>
    <row r="287" ht="15.75" customHeight="1">
      <c r="T287" s="423"/>
    </row>
    <row r="288" ht="15.75" customHeight="1">
      <c r="T288" s="423"/>
    </row>
    <row r="289" ht="15.75" customHeight="1">
      <c r="T289" s="423"/>
    </row>
    <row r="290" ht="15.75" customHeight="1">
      <c r="T290" s="423"/>
    </row>
    <row r="291" ht="15.75" customHeight="1">
      <c r="T291" s="423"/>
    </row>
    <row r="292" ht="15.75" customHeight="1">
      <c r="T292" s="423"/>
    </row>
    <row r="293" ht="15.75" customHeight="1">
      <c r="T293" s="423"/>
    </row>
    <row r="294" ht="15.75" customHeight="1">
      <c r="T294" s="423"/>
    </row>
    <row r="295" ht="15.75" customHeight="1">
      <c r="T295" s="423"/>
    </row>
    <row r="296" ht="15.75" customHeight="1">
      <c r="T296" s="423"/>
    </row>
    <row r="297" ht="15.75" customHeight="1">
      <c r="T297" s="423"/>
    </row>
    <row r="298" ht="15.75" customHeight="1">
      <c r="T298" s="423"/>
    </row>
    <row r="299" ht="15.75" customHeight="1">
      <c r="T299" s="423"/>
    </row>
    <row r="300" ht="15.75" customHeight="1">
      <c r="T300" s="423"/>
    </row>
    <row r="301" ht="15.75" customHeight="1">
      <c r="T301" s="423"/>
    </row>
    <row r="302" ht="15.75" customHeight="1">
      <c r="T302" s="423"/>
    </row>
    <row r="303" ht="15.75" customHeight="1">
      <c r="T303" s="423"/>
    </row>
    <row r="304" ht="15.75" customHeight="1">
      <c r="T304" s="423"/>
    </row>
    <row r="305" ht="15.75" customHeight="1">
      <c r="T305" s="423"/>
    </row>
    <row r="306" ht="15.75" customHeight="1">
      <c r="T306" s="423"/>
    </row>
    <row r="307" ht="15.75" customHeight="1">
      <c r="T307" s="423"/>
    </row>
    <row r="308" ht="15.75" customHeight="1">
      <c r="T308" s="423"/>
    </row>
    <row r="309" ht="15.75" customHeight="1">
      <c r="T309" s="423"/>
    </row>
    <row r="310" ht="15.75" customHeight="1">
      <c r="T310" s="423"/>
    </row>
    <row r="311" ht="15.75" customHeight="1">
      <c r="T311" s="423"/>
    </row>
    <row r="312" ht="15.75" customHeight="1">
      <c r="T312" s="423"/>
    </row>
    <row r="313" ht="15.75" customHeight="1">
      <c r="T313" s="423"/>
    </row>
    <row r="314" ht="15.75" customHeight="1">
      <c r="T314" s="423"/>
    </row>
    <row r="315" ht="15.75" customHeight="1">
      <c r="T315" s="423"/>
    </row>
    <row r="316" ht="15.75" customHeight="1">
      <c r="T316" s="423"/>
    </row>
    <row r="317" ht="15.75" customHeight="1">
      <c r="T317" s="423"/>
    </row>
    <row r="318" ht="15.75" customHeight="1">
      <c r="T318" s="423"/>
    </row>
    <row r="319" ht="15.75" customHeight="1">
      <c r="T319" s="423"/>
    </row>
    <row r="320" ht="15.75" customHeight="1">
      <c r="T320" s="423"/>
    </row>
    <row r="321" ht="15.75" customHeight="1">
      <c r="T321" s="423"/>
    </row>
    <row r="322" ht="15.75" customHeight="1">
      <c r="T322" s="423"/>
    </row>
    <row r="323" ht="15.75" customHeight="1">
      <c r="T323" s="423"/>
    </row>
    <row r="324" ht="15.75" customHeight="1">
      <c r="T324" s="423"/>
    </row>
    <row r="325" ht="15.75" customHeight="1">
      <c r="T325" s="423"/>
    </row>
    <row r="326" ht="15.75" customHeight="1">
      <c r="T326" s="423"/>
    </row>
    <row r="327" ht="15.75" customHeight="1">
      <c r="T327" s="423"/>
    </row>
    <row r="328" ht="15.75" customHeight="1">
      <c r="T328" s="423"/>
    </row>
    <row r="329" ht="15.75" customHeight="1">
      <c r="T329" s="423"/>
    </row>
    <row r="330" ht="15.75" customHeight="1">
      <c r="T330" s="423"/>
    </row>
    <row r="331" ht="15.75" customHeight="1">
      <c r="T331" s="423"/>
    </row>
    <row r="332" ht="15.75" customHeight="1">
      <c r="T332" s="423"/>
    </row>
    <row r="333" ht="15.75" customHeight="1">
      <c r="T333" s="423"/>
    </row>
    <row r="334" ht="15.75" customHeight="1">
      <c r="T334" s="423"/>
    </row>
    <row r="335" ht="15.75" customHeight="1">
      <c r="T335" s="423"/>
    </row>
    <row r="336" ht="15.75" customHeight="1">
      <c r="T336" s="423"/>
    </row>
    <row r="337" ht="15.75" customHeight="1">
      <c r="T337" s="423"/>
    </row>
    <row r="338" ht="15.75" customHeight="1">
      <c r="T338" s="423"/>
    </row>
  </sheetData>
  <mergeCells count="269">
    <mergeCell ref="D1:P1"/>
    <mergeCell ref="R1:AC1"/>
    <mergeCell ref="AE1:AK1"/>
    <mergeCell ref="A23:C23"/>
    <mergeCell ref="D23:AK23"/>
    <mergeCell ref="A24:C24"/>
    <mergeCell ref="D24:AK24"/>
    <mergeCell ref="A25:C25"/>
    <mergeCell ref="D25:AK25"/>
    <mergeCell ref="A26:C26"/>
    <mergeCell ref="D26:AK26"/>
    <mergeCell ref="A27:C27"/>
    <mergeCell ref="D27:AK27"/>
    <mergeCell ref="D28:AK28"/>
    <mergeCell ref="A28:C28"/>
    <mergeCell ref="A29:C29"/>
    <mergeCell ref="A30:C30"/>
    <mergeCell ref="A31:C31"/>
    <mergeCell ref="A32:C32"/>
    <mergeCell ref="A33:C33"/>
    <mergeCell ref="A34:C34"/>
    <mergeCell ref="D29:AK29"/>
    <mergeCell ref="D30:AK30"/>
    <mergeCell ref="D31:AK31"/>
    <mergeCell ref="D32:AK32"/>
    <mergeCell ref="D33:AK33"/>
    <mergeCell ref="D34:AK34"/>
    <mergeCell ref="D37:AK37"/>
    <mergeCell ref="A37:C37"/>
    <mergeCell ref="A38:C38"/>
    <mergeCell ref="A39:C39"/>
    <mergeCell ref="A40:C40"/>
    <mergeCell ref="A41:C41"/>
    <mergeCell ref="A42:C42"/>
    <mergeCell ref="A43:C43"/>
    <mergeCell ref="D38:AK38"/>
    <mergeCell ref="D39:AK39"/>
    <mergeCell ref="D40:AK40"/>
    <mergeCell ref="D41:AK41"/>
    <mergeCell ref="D42:AK42"/>
    <mergeCell ref="D43:AK43"/>
    <mergeCell ref="D44:AK44"/>
    <mergeCell ref="D45:AK45"/>
    <mergeCell ref="D46:AK46"/>
    <mergeCell ref="D47:AK47"/>
    <mergeCell ref="D48:AK48"/>
    <mergeCell ref="D49:AK49"/>
    <mergeCell ref="D52:AK52"/>
    <mergeCell ref="D53:AK53"/>
    <mergeCell ref="A44:C44"/>
    <mergeCell ref="A45:C45"/>
    <mergeCell ref="A46:C46"/>
    <mergeCell ref="A47:C47"/>
    <mergeCell ref="A48:C48"/>
    <mergeCell ref="A49:C49"/>
    <mergeCell ref="A52:C52"/>
    <mergeCell ref="A53:C53"/>
    <mergeCell ref="A54:C54"/>
    <mergeCell ref="A55:C55"/>
    <mergeCell ref="A56:C56"/>
    <mergeCell ref="A57:C57"/>
    <mergeCell ref="A58:C58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D104:AK104"/>
    <mergeCell ref="D105:AK105"/>
    <mergeCell ref="D106:AK106"/>
    <mergeCell ref="D107:AK107"/>
    <mergeCell ref="D108:AK108"/>
    <mergeCell ref="D109:AK109"/>
    <mergeCell ref="D110:AK110"/>
    <mergeCell ref="D111:AK111"/>
    <mergeCell ref="D112:AK112"/>
    <mergeCell ref="D113:AK113"/>
    <mergeCell ref="D114:AK114"/>
    <mergeCell ref="D115:AK115"/>
    <mergeCell ref="D116:AK116"/>
    <mergeCell ref="D117:AK117"/>
    <mergeCell ref="D118:AK118"/>
    <mergeCell ref="D119:AK119"/>
    <mergeCell ref="D120:AK120"/>
    <mergeCell ref="D121:AK121"/>
    <mergeCell ref="D122:AK122"/>
    <mergeCell ref="D123:AK123"/>
    <mergeCell ref="D124:AK124"/>
    <mergeCell ref="D132:AK132"/>
    <mergeCell ref="D133:AK133"/>
    <mergeCell ref="D134:AK134"/>
    <mergeCell ref="D135:AK135"/>
    <mergeCell ref="D136:AK136"/>
    <mergeCell ref="D137:AK137"/>
    <mergeCell ref="D138:AK138"/>
    <mergeCell ref="D125:AK125"/>
    <mergeCell ref="D126:AK126"/>
    <mergeCell ref="D127:AK127"/>
    <mergeCell ref="D128:AK128"/>
    <mergeCell ref="D129:AK129"/>
    <mergeCell ref="D130:AK130"/>
    <mergeCell ref="D131:AK131"/>
    <mergeCell ref="D54:AK54"/>
    <mergeCell ref="D55:AK55"/>
    <mergeCell ref="D56:AK56"/>
    <mergeCell ref="D57:AK57"/>
    <mergeCell ref="D58:AK58"/>
    <mergeCell ref="D60:AK60"/>
    <mergeCell ref="D61:AK61"/>
    <mergeCell ref="D62:AK62"/>
    <mergeCell ref="D63:AK63"/>
    <mergeCell ref="D64:AK64"/>
    <mergeCell ref="D65:AK65"/>
    <mergeCell ref="D66:AK66"/>
    <mergeCell ref="D67:AK67"/>
    <mergeCell ref="D68:AK68"/>
    <mergeCell ref="D69:AK69"/>
    <mergeCell ref="D70:AK70"/>
    <mergeCell ref="D71:AK71"/>
    <mergeCell ref="D72:AK72"/>
    <mergeCell ref="D73:AK73"/>
    <mergeCell ref="D74:AK74"/>
    <mergeCell ref="D75:AK75"/>
    <mergeCell ref="D76:AK76"/>
    <mergeCell ref="D77:AK77"/>
    <mergeCell ref="D78:AK78"/>
    <mergeCell ref="D79:AK79"/>
    <mergeCell ref="D80:AK80"/>
    <mergeCell ref="D81:AK81"/>
    <mergeCell ref="D82:AK82"/>
    <mergeCell ref="D83:AK83"/>
    <mergeCell ref="D84:AK84"/>
    <mergeCell ref="D85:AK85"/>
    <mergeCell ref="D86:AK86"/>
    <mergeCell ref="D87:AK87"/>
    <mergeCell ref="D88:AK88"/>
    <mergeCell ref="D89:AK89"/>
    <mergeCell ref="D90:AK90"/>
    <mergeCell ref="D91:AK91"/>
    <mergeCell ref="D92:AK92"/>
    <mergeCell ref="D93:AK93"/>
    <mergeCell ref="D94:AK94"/>
    <mergeCell ref="D95:AK95"/>
    <mergeCell ref="D96:AK96"/>
    <mergeCell ref="D97:AK97"/>
    <mergeCell ref="D98:AK98"/>
    <mergeCell ref="D99:AK99"/>
    <mergeCell ref="D100:AK100"/>
    <mergeCell ref="D101:AK101"/>
    <mergeCell ref="D102:AK102"/>
    <mergeCell ref="D103:AK103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80:C180"/>
    <mergeCell ref="A181:C181"/>
    <mergeCell ref="A182:C182"/>
    <mergeCell ref="A173:C173"/>
    <mergeCell ref="A174:C174"/>
    <mergeCell ref="A175:C175"/>
    <mergeCell ref="A176:C176"/>
    <mergeCell ref="A177:C177"/>
    <mergeCell ref="A178:C178"/>
    <mergeCell ref="A179:C179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</mergeCells>
  <conditionalFormatting sqref="D4:CW21">
    <cfRule type="containsText" dxfId="0" priority="1" operator="containsText" text="X">
      <formula>NOT(ISERROR(SEARCH(("X"),(D4))))</formula>
    </cfRule>
  </conditionalFormatting>
  <drawing r:id="rId1"/>
  <tableParts count="1">
    <tablePart r:id="rId3"/>
  </tableParts>
</worksheet>
</file>