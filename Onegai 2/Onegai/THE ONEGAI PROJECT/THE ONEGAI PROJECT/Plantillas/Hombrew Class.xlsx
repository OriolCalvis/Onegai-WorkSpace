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ficas de Daño" sheetId="1" r:id="rId5"/>
    <sheet state="visible" name="Apostata" sheetId="2" r:id="rId6"/>
    <sheet state="visible" name="Caballero Templario" sheetId="3" r:id="rId7"/>
    <sheet state="visible" name="Señor de los Astros" sheetId="4" r:id="rId8"/>
    <sheet state="visible" name="Señor de las Armas" sheetId="5" r:id="rId9"/>
    <sheet state="visible" name="Bardo de las cuatro estaciones" sheetId="6" r:id="rId10"/>
    <sheet state="visible" name="Saltador de Planos" sheetId="7" r:id="rId11"/>
    <sheet state="visible" name="Renacido" sheetId="8" r:id="rId12"/>
    <sheet state="visible" name="Redimido" sheetId="9" r:id="rId13"/>
    <sheet state="visible" name="Portador de Plagas" sheetId="10" r:id="rId14"/>
    <sheet state="visible" name="Inventor" sheetId="11" r:id="rId15"/>
    <sheet state="visible" name="Francotirador" sheetId="12" r:id="rId16"/>
    <sheet state="visible" name="Guerrero del Puño cortante" sheetId="13" r:id="rId17"/>
    <sheet state="visible" name="Feriante" sheetId="14" r:id="rId18"/>
  </sheets>
  <definedNames/>
  <calcPr/>
</workbook>
</file>

<file path=xl/sharedStrings.xml><?xml version="1.0" encoding="utf-8"?>
<sst xmlns="http://schemas.openxmlformats.org/spreadsheetml/2006/main" count="2635" uniqueCount="1397">
  <si>
    <t>Daño por turno</t>
  </si>
  <si>
    <t>Lista de progresion por nivel</t>
  </si>
  <si>
    <t>Lista de habilidades compatibles por nivel de Hechizo</t>
  </si>
  <si>
    <t>Lista de habilidades y mejoras de habilidades de Classe</t>
  </si>
  <si>
    <t>Nivel</t>
  </si>
  <si>
    <t>Daño Mínimo por Turno</t>
  </si>
  <si>
    <t>Daño Máximo por Turno</t>
  </si>
  <si>
    <t>Minimo Vida</t>
  </si>
  <si>
    <t>Descripción del Daño</t>
  </si>
  <si>
    <t>Proficiency Bonus</t>
  </si>
  <si>
    <t>Maximo Vida</t>
  </si>
  <si>
    <t>Características</t>
  </si>
  <si>
    <t>1st Level Slots</t>
  </si>
  <si>
    <t>2nd Level Slots</t>
  </si>
  <si>
    <t>3rd Level Slots</t>
  </si>
  <si>
    <t>4th Level Slots</t>
  </si>
  <si>
    <t>5th Level Slots</t>
  </si>
  <si>
    <t>Nivel del Hechizo</t>
  </si>
  <si>
    <t>Hechizos conocidos</t>
  </si>
  <si>
    <t>Hechizo</t>
  </si>
  <si>
    <t>Descripción</t>
  </si>
  <si>
    <t>Ranuras de Hechizos</t>
  </si>
  <si>
    <t>Daño/Curación</t>
  </si>
  <si>
    <t>Nivel de hechizos maximo</t>
  </si>
  <si>
    <t>Daño Maximo</t>
  </si>
  <si>
    <t>Daño Minimo</t>
  </si>
  <si>
    <t>Habilidad/Hechizo</t>
  </si>
  <si>
    <t>Usos</t>
  </si>
  <si>
    <t>Rayo Estelar, Oscuridad Lunar</t>
  </si>
  <si>
    <t>Magia de las Estrellas</t>
  </si>
  <si>
    <t>Rayo Estelar</t>
  </si>
  <si>
    <t>Proyecta un rayo de energía estelar que inflige daño de luz.</t>
  </si>
  <si>
    <t>Iniciación a la Fe</t>
  </si>
  <si>
    <t>2d4 de daño de luz</t>
  </si>
  <si>
    <t>Bendecir</t>
  </si>
  <si>
    <t>Otorga bendiciones a aliados</t>
  </si>
  <si>
    <t>1d4</t>
  </si>
  <si>
    <t>Puedes lanzar hechizos cósmicos, proyectando luz o invocando oscuridad.</t>
  </si>
  <si>
    <t>Escudo de Fe Menor</t>
  </si>
  <si>
    <t>2d4 de daño de luz o curación</t>
  </si>
  <si>
    <t>(+1) CA hasta el próximo turno.</t>
  </si>
  <si>
    <t>Marca de la Oscuridad, Sacrificio de Vida</t>
  </si>
  <si>
    <t>-</t>
  </si>
  <si>
    <t>Rayo Estelar, Oscuridad Lunar, Luz Estelar</t>
  </si>
  <si>
    <t>Maldición Menor</t>
  </si>
  <si>
    <t>Marca a un enemigo con energía corrupta, obteniendo ventaja en ataques y causando 1d6 de daño adicional.</t>
  </si>
  <si>
    <t>Sabiduría de las Constelaciones</t>
  </si>
  <si>
    <t>1d6 de daño necrótico adicional.</t>
  </si>
  <si>
    <t>Fe Reforzada</t>
  </si>
  <si>
    <t>Marca de la Oscuridad</t>
  </si>
  <si>
    <t>Oscuridad Lunar</t>
  </si>
  <si>
    <t>Escudo de la Fe</t>
  </si>
  <si>
    <t>Marca a un enemigo con energía corrupta. Obtienes ventaja en ataques y haces que reciba 1d6 de daño necrótico adicional por ataque durante 1 minuto.</t>
  </si>
  <si>
    <t>1d6 de daño necrótico adicional por ataque.</t>
  </si>
  <si>
    <t>Otorga un bono de +2 a la CA</t>
  </si>
  <si>
    <t>Invoca la oscuridad de la luna, inflige daño y ciega temporalmente al enemigo.</t>
  </si>
  <si>
    <t>(+2)</t>
  </si>
  <si>
    <t>1d4 + 2 de daño necrótico y ceguera</t>
  </si>
  <si>
    <t>Oración de Celeridad</t>
  </si>
  <si>
    <t>(+4) a cualquier tirada de Curación/Daño.</t>
  </si>
  <si>
    <t>Inflige daño necrótico y ciega temporalmente al objetivo.</t>
  </si>
  <si>
    <t>1d4 + 2 de daño necrótico</t>
  </si>
  <si>
    <t>Rayo Estelar, Bendición del Sol y la Luna</t>
  </si>
  <si>
    <t>Bendición del Sol y la Luna</t>
  </si>
  <si>
    <t>Ritual de Oración</t>
  </si>
  <si>
    <t>Luz Estelar</t>
  </si>
  <si>
    <t>Curar Heridas</t>
  </si>
  <si>
    <t>Cura a un aliado</t>
  </si>
  <si>
    <t>Cura ligera basada en la energía de las estrellas.</t>
  </si>
  <si>
    <t>1d8 + mod</t>
  </si>
  <si>
    <t>2d4 de curación</t>
  </si>
  <si>
    <t>Golpe Divino Menor</t>
  </si>
  <si>
    <t xml:space="preserve">Luz Estelar </t>
  </si>
  <si>
    <t>Añade 1d4 daño radiante al ataque.</t>
  </si>
  <si>
    <t xml:space="preserve">2d4 </t>
  </si>
  <si>
    <t>Rayo Estelar, Bendición del Sol y la Luna, Sabiduría de las Constelaciones</t>
  </si>
  <si>
    <t>Mejora de Características</t>
  </si>
  <si>
    <t>Bendición Sagrada</t>
  </si>
  <si>
    <t>Maldición Menor, Escudo de Sombras</t>
  </si>
  <si>
    <t>Detectar el Mal y el Bien</t>
  </si>
  <si>
    <t>Detecta presencia de celestiales, infernales, muertos vivientes, aberraciones o elementales dentro de 30 pies durante 10 minutos.</t>
  </si>
  <si>
    <t>Estrella Fugaz</t>
  </si>
  <si>
    <t>Oración de la Fortaleza</t>
  </si>
  <si>
    <t>Un proyectil de luz estelar que puede dañar a un enemigo y curar a un aliado cercano.</t>
  </si>
  <si>
    <t>Otorga 1d6 PG temporales.</t>
  </si>
  <si>
    <t>Drenar Vida</t>
  </si>
  <si>
    <t>2d6 de daño o curación</t>
  </si>
  <si>
    <t>Robas energía vital de un enemigo, infligiendo daño y curando una parte igual a la mitad del daño infligido.</t>
  </si>
  <si>
    <t>1d8 de daño necrótico, curación de la mitad del daño infligido.</t>
  </si>
  <si>
    <t>Sacrificio de Vida</t>
  </si>
  <si>
    <t>Gasta puntos de golpe para lanzar hechizos y maldiciones. Por cada 5 puntos de vida, añade 1d6 de daño extra.</t>
  </si>
  <si>
    <t>Obtienes ventaja en tiradas de ataque o salvación por invocar el poder de las constelaciones.</t>
  </si>
  <si>
    <t>1d6 de daño adicional por cada 5 puntos de vida sacrificados.</t>
  </si>
  <si>
    <t>No aplica daño</t>
  </si>
  <si>
    <t>Eclipse Cósmico, Convergencia Estelar (1)</t>
  </si>
  <si>
    <t>Vínculo con Camarada (1)</t>
  </si>
  <si>
    <t>Eclipse Cósmico</t>
  </si>
  <si>
    <t>Otorga puntos de golpe temporales a un aliado</t>
  </si>
  <si>
    <t>1d6</t>
  </si>
  <si>
    <t>Martillo Sagrado</t>
  </si>
  <si>
    <t>Ataques cuerpo a cuerpo añaden 1d8 de daño radiante durante 1 minuto.</t>
  </si>
  <si>
    <t>Nebulosa Protectora</t>
  </si>
  <si>
    <t>Crea una barrera de energía nebulosa que otorga ventaja en tiradas de salvación.</t>
  </si>
  <si>
    <t>Canaliza la luz solar para curar o la oscuridad lunar para infligir daño necrótico.</t>
  </si>
  <si>
    <t>1d8 de curación o 2d6 de daño</t>
  </si>
  <si>
    <t>Reflejos Sagrados</t>
  </si>
  <si>
    <t>Arma Mágica</t>
  </si>
  <si>
    <t>Lluvia de Meteoros, Convergencia Estelar (1)</t>
  </si>
  <si>
    <t>Imbuye un arma con poder mágico</t>
  </si>
  <si>
    <t>(1d4+1)</t>
  </si>
  <si>
    <t>Lluvia de Meteoros</t>
  </si>
  <si>
    <t>Luz Sagrada: Ventaja en el próximo ataque antes del final del turno.</t>
  </si>
  <si>
    <t>Eclipse Sombrío</t>
  </si>
  <si>
    <t>Proyecta la sombra de un eclipse, debilitando a los enemigos en un área pequeña.</t>
  </si>
  <si>
    <t>1d6 + desventaja en ataques</t>
  </si>
  <si>
    <t>Invocación de Sombras, Sacrificio de Vida (Mejorado)</t>
  </si>
  <si>
    <t>Aumenta dos puntuaciones de habilidad o elige una proeza.</t>
  </si>
  <si>
    <t>Infligir Heridas</t>
  </si>
  <si>
    <t>Lanzas energía necrótica en un toque, infligiendo daño necrótico.</t>
  </si>
  <si>
    <t>Escudo de Fe Mayor</t>
  </si>
  <si>
    <t>3d10 de daño necrótico.</t>
  </si>
  <si>
    <t>Manipulación del Tiempo, Lluvia de Meteoros, Convergencia Estelar (1)</t>
  </si>
  <si>
    <t>Encontrar Montura</t>
  </si>
  <si>
    <t>Invoca una montura mágica</t>
  </si>
  <si>
    <t>Maldición de la Debilidad</t>
  </si>
  <si>
    <t>Manipulación del Tiempo</t>
  </si>
  <si>
    <t>Un escudero que protege a aliados cercanos, otorgando +1 a la CA de los aliados a 10 pies. Uso 1 por descanso Largo. 10 Turnos. Hp 25. CA 14. +5 al golpe. 1d6 de radiante.</t>
  </si>
  <si>
    <t>Maldices a un enemigo para que tenga desventaja en tiradas de ataque durante 1 minuto.</t>
  </si>
  <si>
    <t>1d6 de radiante.</t>
  </si>
  <si>
    <t>No causa daño directo.</t>
  </si>
  <si>
    <t>Otorga curación o inflige daño necrótico basado en el cuerpo celeste invocado.</t>
  </si>
  <si>
    <t>2d6 de daño necrótico o 1d8 de curación</t>
  </si>
  <si>
    <t>Aura de Fe</t>
  </si>
  <si>
    <t>Afecta a los enemigos cercanos con desventaja en tiradas de ataque y daño necrótico.</t>
  </si>
  <si>
    <t>Restauración Menor</t>
  </si>
  <si>
    <t>3d6 de daño necrótico</t>
  </si>
  <si>
    <t>Cura enfermedades</t>
  </si>
  <si>
    <t>Reflejos Divinos: Ventaja en tiradas de salvación de Destreza.</t>
  </si>
  <si>
    <t>Convergencia Estelar (2), Lluvia de Meteoros, Bendición del Sol y la Luna</t>
  </si>
  <si>
    <t>Anillo de Estrellas</t>
  </si>
  <si>
    <t>Crea un campo estelar alrededor del lanzador, otorga resistencia a radiación o luz.</t>
  </si>
  <si>
    <t>Bendición de la Guerra</t>
  </si>
  <si>
    <t>Convergencia Estelar (1)</t>
  </si>
  <si>
    <t>Zona de Verdad</t>
  </si>
  <si>
    <t>Crea una zona donde no se pueden mentir</t>
  </si>
  <si>
    <t>Acción Adicional: Puedes lanzar un hechizo adicional durante tu turno, que recibe un bonificador de daño cósmico.</t>
  </si>
  <si>
    <t>Otorga +2 CA a los aliados a tu alrededor durante 1 minuto (concentración).</t>
  </si>
  <si>
    <t>Bendición Corrupta</t>
  </si>
  <si>
    <t>Otorga +2 a las tiradas de ataque, pero el objetivo pierde 1d4 puntos de golpe por turno.</t>
  </si>
  <si>
    <t>(+2) a tiradas de ataque, -1d4 puntos de golpe por turno.</t>
  </si>
  <si>
    <t>Invocación de las Estrellas, Convergencia Estelar (2)</t>
  </si>
  <si>
    <t>Escudo de Sombras</t>
  </si>
  <si>
    <t>Creas un escudo de sombras que otorga +1 a la CA durante 1 minuto.</t>
  </si>
  <si>
    <t>Invocación de las Estrellas</t>
  </si>
  <si>
    <t>No aplica daño ni curación.</t>
  </si>
  <si>
    <t>Lluvia de Estrellas</t>
  </si>
  <si>
    <t>Luz Sagrada Mejorada</t>
  </si>
  <si>
    <t>Invoca múltiples meteoritos que golpean en un área, causando daño por fuego y radiación.</t>
  </si>
  <si>
    <t>4d6 de daño (fuego y radiante)</t>
  </si>
  <si>
    <t>Otorga un bono de +1 a la CA</t>
  </si>
  <si>
    <t>(+1)</t>
  </si>
  <si>
    <t>Los aliados a 10 pies ganan resistencia al daño cortante, perforante y contundente durante 1 minuto (concentración). +5 CA, no se suma con Escudo de Fe Mayor.</t>
  </si>
  <si>
    <t>Invoca una lluvia de meteoros, inflige daño de fuego y necrótico en un área de 20 pies.</t>
  </si>
  <si>
    <t>4d6 de daño (fuego y necrótico)</t>
  </si>
  <si>
    <t>Rayo Estelar Potenciado, Convergencia Estelar (2)</t>
  </si>
  <si>
    <t>Rayo Estelar Potenciado</t>
  </si>
  <si>
    <t>Vínculo con Camarada (2)</t>
  </si>
  <si>
    <t>Luz de las Constelaciones</t>
  </si>
  <si>
    <t>Invoca una constelación específica para aumentar las habilidades o curación de un aliado.</t>
  </si>
  <si>
    <t>4d4 de curación</t>
  </si>
  <si>
    <t>Aumenta el movimiento en 10 pies</t>
  </si>
  <si>
    <t>Oracion de fortaleza y Celeridad suman +2 de bonificación</t>
  </si>
  <si>
    <t>Potencia la Bendición del Sol y la Luna con el doble de dados</t>
  </si>
  <si>
    <t>(+2+4) Oración Celestial  | Oración de fortaleza (1d6+2)</t>
  </si>
  <si>
    <t>(+1d8) Curación o (+2d6) Daño</t>
  </si>
  <si>
    <t>Maldición de la Muerte</t>
  </si>
  <si>
    <t>Barrera Astral, Convergencia Estelar (3)</t>
  </si>
  <si>
    <t>Barrera Astral</t>
  </si>
  <si>
    <t>Rayo de Enfermedad</t>
  </si>
  <si>
    <t>Lanzas un rayo de energía maligna que inflige daño y puede causar desventaja en las tiradas de constitución.</t>
  </si>
  <si>
    <t>2d8 de daño necrótico.</t>
  </si>
  <si>
    <t>Explosión Solar</t>
  </si>
  <si>
    <t>Lanza una explosión de energía solar que inflige daño radiante en un área.</t>
  </si>
  <si>
    <t>4d8 de daño radiante</t>
  </si>
  <si>
    <t>Invocación de Sombras</t>
  </si>
  <si>
    <t>Invocas un aliado oscuro con estadísticas similares a un espíritu sombrío, que te ayuda en combate durante 1 minuto.</t>
  </si>
  <si>
    <t>Daño del aliado invocado, que varía según estadísticas del espíritu sombrío.</t>
  </si>
  <si>
    <t>Rayo de Justicia</t>
  </si>
  <si>
    <t>Convergencia Estelar (3), Rayo Estelar Potenciado</t>
  </si>
  <si>
    <t>Círculo Mágico</t>
  </si>
  <si>
    <t>Protección mágica en un área</t>
  </si>
  <si>
    <t>Un guerrero de luz que puede atacar con un arma mágica y sanar a los aliados cercanos. Uso 1 por descanso Largo. 10 Turnos. Hp 40. CA 16. +7 al golpe. 1d8 de curación o 2d6 de daño radiante.</t>
  </si>
  <si>
    <t>Afecta a todos los enemigos cercanos, inflige daño necrótico y les impone desventaja.</t>
  </si>
  <si>
    <t>1d8 de curación y 2d6 de daño radiante.</t>
  </si>
  <si>
    <t>Convergencia Estelar (2)</t>
  </si>
  <si>
    <t>1d8</t>
  </si>
  <si>
    <t>Impacto Estelar, Convergencia Estelar (3)</t>
  </si>
  <si>
    <t>Impacto Estelar</t>
  </si>
  <si>
    <t>Invoca el poder de una estrella para causar daño masivo en un área.</t>
  </si>
  <si>
    <t>5d10 de daño radiante o necrótico</t>
  </si>
  <si>
    <t>Aura de Protección Mayor</t>
  </si>
  <si>
    <t>Revitalizar</t>
  </si>
  <si>
    <t>Cura a aliados (Aura de Vitalidad mejorada)</t>
  </si>
  <si>
    <t>Invoca una constelación para otorgar beneficios o infligir daño.</t>
  </si>
  <si>
    <t>2d6</t>
  </si>
  <si>
    <t>(+2d8) de daño</t>
  </si>
  <si>
    <t>Ganas ventaja en el próximo ataque y el ataque inflige 3d4 de daño radiante adicional. 5 Turnos. 2 Usos descanso largo.</t>
  </si>
  <si>
    <t>3d6</t>
  </si>
  <si>
    <t>Convergencia Estelar (3), Impacto Estelar</t>
  </si>
  <si>
    <t>Escudo de Sombras Mejorado</t>
  </si>
  <si>
    <t>Maestro de las Constelaciones</t>
  </si>
  <si>
    <t>Maldición de Debilidad</t>
  </si>
  <si>
    <t>Reduce la capacidad de daño del enemigo al imponerle desventaja en sus ataques durante 1 minuto.</t>
  </si>
  <si>
    <t>No inflige daño.</t>
  </si>
  <si>
    <t>Supernova</t>
  </si>
  <si>
    <t>Invoca una estrella moribunda que causa daño devastador en un área y ciega a los enemigos.</t>
  </si>
  <si>
    <t>10d6 de daño radiante</t>
  </si>
  <si>
    <t>Magia de las Estrellas Potenciado</t>
  </si>
  <si>
    <t>Otorgas una bendición oscura que añade +2 a las tiradas de ataque durante 1 minuto, pero pierde 1d4 puntos de golpe por turno.</t>
  </si>
  <si>
    <t>Incrementa el poder de Magia de las Estrellas (Rayo Estelar +2d8, Oscuridad Lunar +1d6, Luz Estelar área 10 pies).</t>
  </si>
  <si>
    <t>2d8 de daño adicional</t>
  </si>
  <si>
    <t>(+2) a ataques, -1d4 de vida por turno.</t>
  </si>
  <si>
    <t>Avatar de los Astros, Convergencia Estelar (4)</t>
  </si>
  <si>
    <t>Potenciación Suprema</t>
  </si>
  <si>
    <t>Avatar de los Astros</t>
  </si>
  <si>
    <t>Protección contra la Energía</t>
  </si>
  <si>
    <t>Otorga resistencia a un tipo de energía</t>
  </si>
  <si>
    <t>(Doble) Vínculo con Camarada (3)</t>
  </si>
  <si>
    <t>Invoca un aliado espiritual adicional.</t>
  </si>
  <si>
    <t>Estrella Caída</t>
  </si>
  <si>
    <t>Invoca una estrella fugaz que impacta, causando daño y otorgando ventaja a aliados.</t>
  </si>
  <si>
    <t>8d8 de daño radiante o necrótico</t>
  </si>
  <si>
    <t>Crea una barrera que otorga resistencia al daño necrótico y radiante a todos los aliados cercanos.</t>
  </si>
  <si>
    <t>Rebota la mitad del daño recibido al atacante</t>
  </si>
  <si>
    <t>Convergencia Estelar (4), Avatar de los Astros</t>
  </si>
  <si>
    <t>Rayo de Justicia Mejorado</t>
  </si>
  <si>
    <t>Convergencia Estelar (3)</t>
  </si>
  <si>
    <t>Tienes dos Acciónes Adicionales: Puedes lanzar dos hechizo adicional durante tu turno, que recibe un bonificador de daño cósmico.</t>
  </si>
  <si>
    <t>2d10</t>
  </si>
  <si>
    <t>Aura de Vitalidad</t>
  </si>
  <si>
    <t>Cura y mejora a los aliados</t>
  </si>
  <si>
    <t>Supernova, Convergencia Estelar (5)</t>
  </si>
  <si>
    <t>Fortaleza de la Fe Celestial</t>
  </si>
  <si>
    <t>Otorga +5 e tiradas de Salvación y +5 a daño radiante a todos los aliados a 30 pies durante 1 minuto (concentración).</t>
  </si>
  <si>
    <t>(+5) de daño radiante</t>
  </si>
  <si>
    <t>Maldición de Dolor</t>
  </si>
  <si>
    <t>Arma Espiritual Corrupta</t>
  </si>
  <si>
    <t>Creas un arma espectral que ataca a los enemigos y causa daño.</t>
  </si>
  <si>
    <t>1d8 + modificador de conjuro (daño necrótico).</t>
  </si>
  <si>
    <t>Maldición Mortal</t>
  </si>
  <si>
    <t>Maldices a un enemigo para que reciba 2d6 de daño necrótico continuo al final de sus turnos durante 1 minuto.</t>
  </si>
  <si>
    <t>2d6 de daño necrótico por turno.</t>
  </si>
  <si>
    <t>Convergencia Estelar (5), Supernova</t>
  </si>
  <si>
    <t>Vínculo con Camarada (3)</t>
  </si>
  <si>
    <t>El siguiente ataque inflige daño radiante adicional</t>
  </si>
  <si>
    <t>1d4 radiante</t>
  </si>
  <si>
    <t>Lanzas un rayo de energía divina que inflige 4d6 de daño radiante a un enemigo a 60 pies.</t>
  </si>
  <si>
    <t>4d6</t>
  </si>
  <si>
    <t>Desata el poder de una estrella enana, causando una explosión devastadora.</t>
  </si>
  <si>
    <t>Estrella Caída, Convergencia Estelar (5)</t>
  </si>
  <si>
    <t>Potenciación Suprema mejorada</t>
  </si>
  <si>
    <t>Guardia de la Muerte</t>
  </si>
  <si>
    <t>Permite invocar el poder de las constelaciones sin límite de uso (hasta dos veces por descanso).</t>
  </si>
  <si>
    <t>Otorga resistencia a la muerte</t>
  </si>
  <si>
    <t>No aplica daño, pero tira hechizos sin gastar slots durante 10 turnos.</t>
  </si>
  <si>
    <t>Vínculo con Camarada (4)</t>
  </si>
  <si>
    <t>Un campeón que puede realizar dos ataques por turno y otorga resistencia a los aliados cercanos. Uso 1 por descanso Largo. 10 Turnos. Hp 60. CA 18. +9 al golpe. 2d8 de daño radiante.</t>
  </si>
  <si>
    <t>2d8 de daño radiante y 2d6 de curación</t>
  </si>
  <si>
    <t>Zona de Oscuridad</t>
  </si>
  <si>
    <t>Crea una zona de oscuridad mágica. Los enemigos dentro de la zona no pueden ver.</t>
  </si>
  <si>
    <t>Invocación de Sombras 2</t>
  </si>
  <si>
    <t>Invocas: Espectro Menor: Una forma espectral que puede atravesar paredes. Su ataque puede causar desventaja en tiradas de ataque enemigas.</t>
  </si>
  <si>
    <t>CA: 14, HP: 20, Ataque: +5 al golpe, Daño: 1d10 necrótico + desventaja en ataques.</t>
  </si>
  <si>
    <t>Convergencia Estelar (6), Estrella Caída, Supernova</t>
  </si>
  <si>
    <t>Adalid Divino</t>
  </si>
  <si>
    <t>Piel de Piedra</t>
  </si>
  <si>
    <t>Otorga resistencia al daño</t>
  </si>
  <si>
    <t>Los aliados a 10 pies ganan resistencia a todos los tipos de daño durante 1 minuto (concentración).</t>
  </si>
  <si>
    <t>Convergencia Estelar (4)</t>
  </si>
  <si>
    <t>Maldición de la Desesperación</t>
  </si>
  <si>
    <t>Te conviertes en el avatar de las estrellas, obteniendo inmunidad y aumentando el daño de tus hechizos.</t>
  </si>
  <si>
    <t>(+2d10) de daño adicional</t>
  </si>
  <si>
    <t>Reprensión Infernal</t>
  </si>
  <si>
    <t>Causa daño a un atacante como represalia cuando te golpea.</t>
  </si>
  <si>
    <t>2d10 de daño (fuego o necrótico, dependiendo de la corrupción).</t>
  </si>
  <si>
    <t>Invocación del Adalid Mejorado</t>
  </si>
  <si>
    <t>Luz Sagrada</t>
  </si>
  <si>
    <t>Ventaja en tiradas de ataque y daño radiante extra</t>
  </si>
  <si>
    <t>Escudo de Sombras Mayor</t>
  </si>
  <si>
    <t>Tu escudo de sombras ahora otorga +2 a la CA y puede absorber hasta 10 puntos de daño antes de disiparse.</t>
  </si>
  <si>
    <t>Cuerpo Celestial</t>
  </si>
  <si>
    <t>Absorbe hasta 10 puntos de daño.</t>
  </si>
  <si>
    <t>(Triple) Vínculo con Camarada (5)</t>
  </si>
  <si>
    <t>Otorga ventaja en salvaciones contra daño radiante y necrótico. Curación de 6d8 como acción libre.</t>
  </si>
  <si>
    <t>6d8 de curación</t>
  </si>
  <si>
    <t>Invoca un tercer aliado espiritual.</t>
  </si>
  <si>
    <t>Desata una explosión estelar devastadora que aniquila a los enemigos y los ciega.</t>
  </si>
  <si>
    <t>Convergencia Estelar (5)</t>
  </si>
  <si>
    <t>4d8</t>
  </si>
  <si>
    <t>Libertad de Movimiento</t>
  </si>
  <si>
    <t>Inmunidad a restricciones de movimiento</t>
  </si>
  <si>
    <t>Vínculo con Camarada (6)</t>
  </si>
  <si>
    <t>Un paladín sagrado con una armadura de luz, capaz de curar y proteger con un aura divina. Uso 1 por descanso Largo. 10 Turnos. Hp 40. CA 16. +7 al golpe. 1d8 de curación o 2d6 de daño radiante.</t>
  </si>
  <si>
    <t>3d8 de daño radiante y 1d10 de curacion</t>
  </si>
  <si>
    <t>Bendición Profana Mejorada</t>
  </si>
  <si>
    <t>Círculo de Poder</t>
  </si>
  <si>
    <t>Protección máxima contra energías malignas</t>
  </si>
  <si>
    <t>Maestro de Oraciones</t>
  </si>
  <si>
    <t>Potenciación Suprema: Puedes lanzar una oración rápida como acción gratuita (una vez por turno).</t>
  </si>
  <si>
    <t>Invisibilidad Oscura</t>
  </si>
  <si>
    <t>Te vuelves invisible mientras estás en sombras.</t>
  </si>
  <si>
    <t>Control del Destino</t>
  </si>
  <si>
    <t>Permite hacer repetir una tirada de ataque, salvación o chequeo de habilidad a cualquier criatura.</t>
  </si>
  <si>
    <t>Disipar el Mal y el Bien</t>
  </si>
  <si>
    <t>Disipa maldiciones o efectos malignos</t>
  </si>
  <si>
    <t>Da un bonificador de 2d12 a los hechizos celestiales</t>
  </si>
  <si>
    <t>Invocación del Adalid Divino</t>
  </si>
  <si>
    <t>Invoca un adalid celestial para luchar a tu lado durante 1 minuto. Inflige 4d8 de daño radiante o necrótico.</t>
  </si>
  <si>
    <t>Maldición del Dolor</t>
  </si>
  <si>
    <t>Vinculo Camarada nivel maximo.</t>
  </si>
  <si>
    <t>Maldices a un enemigo, haciéndole recibir daño adicional igual a tu modificador de Carisma cada vez que es atacado por ti o un aliado durante 1 minuto.</t>
  </si>
  <si>
    <t>Daño adicional según el modificador de Carisma.</t>
  </si>
  <si>
    <t>Invocas una estrella que impacta y bendice a los aliados con ventaja en tiradas de ataque y salvación.</t>
  </si>
  <si>
    <t>Revivir</t>
  </si>
  <si>
    <t>Resucita a un aliado muerto</t>
  </si>
  <si>
    <t>Vínculo con Camarada (7)</t>
  </si>
  <si>
    <t>Una entidad de pura luz que inflige daño masivo y cura a los aliados, otorgando inmunidad al daño necrótico.</t>
  </si>
  <si>
    <t>4d8 radiante y cura 3d8 y otorga inmunidad daño necrotico</t>
  </si>
  <si>
    <t>Convergencia Estelar</t>
  </si>
  <si>
    <t>Reflejos Divinos</t>
  </si>
  <si>
    <t>Ventaja en tiradas de salvación</t>
  </si>
  <si>
    <t>Convoca energía cósmica pura que otorga inmunidad, aumenta el daño y otorga beneficios a aliados cercanos.</t>
  </si>
  <si>
    <t>(+4d6) de daño radiante o necrótico</t>
  </si>
  <si>
    <t>Convergencia Estelar (6)</t>
  </si>
  <si>
    <t>Tienes tres Acciónes Adicionales: Puedes lanzar tres hechizo adicional durante tu turno, que recibe un bonificador de daño cósmico.</t>
  </si>
  <si>
    <t>3d12</t>
  </si>
  <si>
    <t>Escudo Oscuro Definitivo</t>
  </si>
  <si>
    <t>Maldices a un enemigo para que reciba 2d6 de daño necrótico al final de sus turnos.</t>
  </si>
  <si>
    <t>Invocación de Sombras 3</t>
  </si>
  <si>
    <t>Cazador de Sombras: Una sombra más ágil y fuerte, capaz de hacer dos ataques por turno. Su velocidad lo convierte en un excelente escaramuzador.</t>
  </si>
  <si>
    <t>CA: 15, HP: 30, Ataque: +6 al golpe, Daño: 2d6 necrótico (dos ataques).</t>
  </si>
  <si>
    <t>Círculo de Maldición</t>
  </si>
  <si>
    <t>Crea un área en la que los enemigos reciben daño y tienen desventaja en salvaciones.</t>
  </si>
  <si>
    <t>2d6 de daño por turno a cada enemigo en el área.</t>
  </si>
  <si>
    <t>Ritual de Oscuridad</t>
  </si>
  <si>
    <t>Sacrificas 10 puntos de golpe para recuperar un hechizo gastado de hasta nivel 3.</t>
  </si>
  <si>
    <t>No aplica daño ni curación directa.</t>
  </si>
  <si>
    <t>Rayo de Oscuridad</t>
  </si>
  <si>
    <t>Infligir Heridas Mejorado</t>
  </si>
  <si>
    <t>Versión mejorada de Infligir Heridas.</t>
  </si>
  <si>
    <t>4d10 de daño necrótico.</t>
  </si>
  <si>
    <t>Maldices a un enemigo para que todos sus ataques tengan desventaja y reciba 2d6 de daño necrótico al final de cada turno durante 1 minuto.</t>
  </si>
  <si>
    <t>2d6 de daño necrótico por turno, desventaja en ataques.</t>
  </si>
  <si>
    <t>Maestro de Maldiciones</t>
  </si>
  <si>
    <t>Atadura Profana</t>
  </si>
  <si>
    <t>Atraes al enemigo a tu lado con energía oscura.</t>
  </si>
  <si>
    <t>Invocación de Sombras 4</t>
  </si>
  <si>
    <t>Revenant Oscuro: Un ser oscuro con capacidad para infligir miedo a sus oponentes y causar daño adicional a enemigos asustados.</t>
  </si>
  <si>
    <t>CA: 16, HP: 45, Ataque: +7 al golpe, Daño: 2d8 necrótico (doble ataque) + miedo.</t>
  </si>
  <si>
    <t>Maldición de Agonía</t>
  </si>
  <si>
    <t>Protección contra la Muerte</t>
  </si>
  <si>
    <t>Proteges a un aliado de ser reducido a 0 puntos de golpe.</t>
  </si>
  <si>
    <t>No inflige daño, evita que el aliado caiga a 0 puntos de golpe.</t>
  </si>
  <si>
    <t>Bendición Profana Mayor</t>
  </si>
  <si>
    <t>Añades +4 a todas las tiradas de ataque y daño durante 1 minuto, pero pierdes 1d6 puntos de golpe al final de cada turno.</t>
  </si>
  <si>
    <t>(+4) a ataques y daño, -1d6 puntos de golpe por turno.</t>
  </si>
  <si>
    <t>Arsenal del Rey: Invocas 2 armas que atacan, infligen 1d6 cada una, más tu ataque.</t>
  </si>
  <si>
    <t>Arsenal del Rey</t>
  </si>
  <si>
    <t>Maldición que inflige daño adicional cuando el enemigo es atacado.</t>
  </si>
  <si>
    <t>Daño adicional igual al modificador de Carisma por ataque.</t>
  </si>
  <si>
    <t>Escudo</t>
  </si>
  <si>
    <t>(+5) CA hasta el inicio de tu próximo turno</t>
  </si>
  <si>
    <t>No aplica</t>
  </si>
  <si>
    <t>Escudo de sombras que otorga +2 a la CA, absorbe hasta 20 puntos de daño, y refleja 1d6 de daño necrótico a quien te ataque.</t>
  </si>
  <si>
    <t>Absorbe hasta 20 puntos de daño, refleja 1d6 de daño necrótico.</t>
  </si>
  <si>
    <t>Invocas un arma mística que flota y te sigue, inflige 1d6 de daño cortante o fuerza por turno.</t>
  </si>
  <si>
    <t>1d6 de fuerza o cortante</t>
  </si>
  <si>
    <t>Técnicas del Arsenal: Invocas hasta 3 armas, cada una inflige 1d6 de daño.</t>
  </si>
  <si>
    <t>Técnicas del Arsenal</t>
  </si>
  <si>
    <t>Toque necrótico que inflige daño</t>
  </si>
  <si>
    <t>3d10 necrótico</t>
  </si>
  <si>
    <t>Invocas hasta 3 armas que atacan a diferentes objetivos, infligiendo 1d6 de daño por arma.</t>
  </si>
  <si>
    <t>3d6 de daño cortante/fuerza</t>
  </si>
  <si>
    <t>Tesoro del Rey: Invocas 1 arma antigua (2d8) y 1 arma (1d6) de Arsenal del Rey.</t>
  </si>
  <si>
    <t>Tesoro del Rey</t>
  </si>
  <si>
    <t>Golpe Trueno</t>
  </si>
  <si>
    <t>Ataque cuerpo a cuerpo que empuja al enemigo</t>
  </si>
  <si>
    <t>2d6 trueno</t>
  </si>
  <si>
    <t>Potenciación Profana</t>
  </si>
  <si>
    <t>Invocas dos armas antiguas que infligen 1d8 de trueno o viento e ignora resistencias mágicas.</t>
  </si>
  <si>
    <t>2d8 trueno/viento</t>
  </si>
  <si>
    <t>Castigo Oscuro</t>
  </si>
  <si>
    <t>Aumenta el daño de un ataque cuerpo a cuerpo con energía necrótica.</t>
  </si>
  <si>
    <t>Tesoro del Rey (2d8 de trueno/viento) y el daño de las armas invocadas.</t>
  </si>
  <si>
    <t>3d8 de daño necrótico adicional.</t>
  </si>
  <si>
    <t>Invocación de Sombras 5</t>
  </si>
  <si>
    <t>Sombramante: Este aliado oscuro puede lanzar hechizos menores de oscuridad y maldiciones, además de atacar con energía sombría.</t>
  </si>
  <si>
    <t>CA: 17, HP: 55, Ataque: +8 al golpe, Daño: 3d6 necrótico + hechizo Maldición Menor (desventaja en ataques enemigos).</t>
  </si>
  <si>
    <t>Rayo de Fuego</t>
  </si>
  <si>
    <t>Un rayo de fuego dirigido al enemigo</t>
  </si>
  <si>
    <t>1d10 fuego</t>
  </si>
  <si>
    <t>Invocación de Armas Múltiples: Invocas hasta 2 armas, infligiendo 1d6 cada una, más Tesoro del Rey.</t>
  </si>
  <si>
    <t>Invocación de Armas Múltiples</t>
  </si>
  <si>
    <t>Arma Espiritual</t>
  </si>
  <si>
    <t>Invoca un arma mágica flotante que ataca a los enemigos</t>
  </si>
  <si>
    <t>Invocas hasta 2 armas legendarias simultáneamente, atacando con ambas en el mismo turno.</t>
  </si>
  <si>
    <t>2 armas (1d6 cada una)</t>
  </si>
  <si>
    <t>Maestría en Tesoros: Bonificador de +2d6+2 a todas las armas invocadas, cada una infligiendo 1d6+2d6+2.</t>
  </si>
  <si>
    <t>Maestría en Tesoros</t>
  </si>
  <si>
    <t>Aura de Maldiciones</t>
  </si>
  <si>
    <t>Espada Espiritual</t>
  </si>
  <si>
    <t>Invoca una espada mágica que ataca durante 1 minuto</t>
  </si>
  <si>
    <t>3d10 fuerza</t>
  </si>
  <si>
    <t>Ahora añade 2d6+2 de daño adicional a todas las armas invocadas.</t>
  </si>
  <si>
    <t>Protege a un aliado, otorgándole resistencia al daño.</t>
  </si>
  <si>
    <t>2d6 adicionales</t>
  </si>
  <si>
    <t>Dominio de Armas Legendarias: La espada legendaria inflige 2d10 de daño con un ataque adicional (2d10 + 2d10), más el bonificador de Maestría en Tesoros.</t>
  </si>
  <si>
    <t>Dominio de Armas Legendarias</t>
  </si>
  <si>
    <t>Lanzas un rayo de energía oscura hacia un enemigo a 60 pies, infligiendo 4d6 de daño necrótico.</t>
  </si>
  <si>
    <t>4d6 de daño necrótico.</t>
  </si>
  <si>
    <t>Oscurecer</t>
  </si>
  <si>
    <t>Crea un área de oscuridad que bloquea la visión</t>
  </si>
  <si>
    <t>Invocas una espada legendaria que inflige 2d10 de daño en un radio de 30 pies durante 5 turnos.  Tiene un ataque adicional con la espada legendaria, sumando dos ataques por turno.</t>
  </si>
  <si>
    <t>Dominio de Armas Legendarias con armas invocadas adicionales.</t>
  </si>
  <si>
    <t>Llamar Rayo</t>
  </si>
  <si>
    <t>Invoca un rayo del cielo que inflige daño a un objetivo</t>
  </si>
  <si>
    <t>3d10 rayo</t>
  </si>
  <si>
    <t>Invocación Masiva: Invocas 5 armas que infligen 6d6 cada una, con el bonificador de 2d6+2 de Maestría en Tesoros.</t>
  </si>
  <si>
    <t>Invocación Masiva</t>
  </si>
  <si>
    <t>Cuchilla de Melf</t>
  </si>
  <si>
    <t>Invoca una cuchilla mágica que persigue al objetivo</t>
  </si>
  <si>
    <t>3d6 de daño</t>
  </si>
  <si>
    <t>Invocas hasta 5 armas que atacan en un área de 60 pies, infligiendo 6d6 de daño de fuerza o cortante.</t>
  </si>
  <si>
    <t>6d6 de daño</t>
  </si>
  <si>
    <t>Tesoro Definitivo: Lanza divina que atraviesa enemigos, infligiendo 8d6+2d6+2 de daño.</t>
  </si>
  <si>
    <t>Tesoro Definitivo</t>
  </si>
  <si>
    <t>Ráfaga de Viento</t>
  </si>
  <si>
    <t>Piel de Hierro Corrupta</t>
  </si>
  <si>
    <t>Crea una ráfaga de viento que empuja y desarma</t>
  </si>
  <si>
    <t>Endurece la piel del objetivo, otorgándole CA adicional.</t>
  </si>
  <si>
    <t>Invocas una lanza divina que atraviesa enemigos en 60 pies, infligiendo 8d6 de daño radiante/necrótico.</t>
  </si>
  <si>
    <t>8d6 radiante/necrótico</t>
  </si>
  <si>
    <t>Invocación de Sombras 6</t>
  </si>
  <si>
    <t>Espectro Mayor: Un ser etéreo que puede teletransportarse en sombras y lanzar un ataque de área que drena vida de los enemigos cercanos.</t>
  </si>
  <si>
    <t>Destrucción Imparable: +5 de daño adicional a todas las armas invocadas, junto con el bonificador de Maestría en Tesoros.</t>
  </si>
  <si>
    <t>CA: 18, HP: 70, Ataque: +9 al golpe, Daño: 3d8 necrótico + área de drenaje de vida 2d6.</t>
  </si>
  <si>
    <t>Destrucción Imparable</t>
  </si>
  <si>
    <t>Disipar Magia</t>
  </si>
  <si>
    <t>Disipa un efecto mágico</t>
  </si>
  <si>
    <t>Tus armas invocadas infligen +5 de daño adicional y pueden atravesar a varios enemigos.</t>
  </si>
  <si>
    <t>(+5) adicionales</t>
  </si>
  <si>
    <t>Destrucción Imparable y los ataques de Tesoro Definitivo.</t>
  </si>
  <si>
    <t>Fuego de Melf</t>
  </si>
  <si>
    <t>Invoca una bola de fuego mágica que persigue a un enemigo</t>
  </si>
  <si>
    <t>6d6 fuego</t>
  </si>
  <si>
    <t>Armamento Cósmico: Invocas armas con daño adicional de fuego, hielo o trueno (4d6), más los efectos de Maestría en Tesoros y Destrucción Imparable.</t>
  </si>
  <si>
    <t>Armamento Cósmico</t>
  </si>
  <si>
    <t>Pared de Fuego</t>
  </si>
  <si>
    <t>Crea una barrera de fuego que inflige daño a las criaturas cercanas</t>
  </si>
  <si>
    <t>5d8 fuego</t>
  </si>
  <si>
    <t>Invocas armas que infligen fuego, hielo o trueno con efectos adicionales de explosión, congelación.</t>
  </si>
  <si>
    <t>4d6 + efecto adicional</t>
  </si>
  <si>
    <t>Forma de la Sombra</t>
  </si>
  <si>
    <t>Aura de Desesperación</t>
  </si>
  <si>
    <t>Invocación Total: Invocas 10 armas, cada una inflige 5d6+2d6+2 de daño.</t>
  </si>
  <si>
    <t>Crea un aura que reduce la moral de los enemigos cerc</t>
  </si>
  <si>
    <t>Espada de Fuego</t>
  </si>
  <si>
    <t>Una espada mágica envuelta en llamas</t>
  </si>
  <si>
    <t>5d6 fuego</t>
  </si>
  <si>
    <t>Maldices a un enemigo para que reciba 2d8 de daño al final de cada uno de sus turnos y tenga desventaja en todas sus tiradas de ataque.</t>
  </si>
  <si>
    <t>Invocación Total</t>
  </si>
  <si>
    <t>Invocas hasta 10 armas que atacan automáticamente, infligiendo 5d6 de daño a cada enemigo.</t>
  </si>
  <si>
    <t>2d8 de daño por turno, desventaja en ataques.</t>
  </si>
  <si>
    <t>5d6 por enemigo</t>
  </si>
  <si>
    <t>Lluvia de Tesoros: Invocas una lluvia devastadora de armas, infligiendo 8d6+2d6+2 en un área de 50 pies.</t>
  </si>
  <si>
    <t>Cuchilla de la Tormenta</t>
  </si>
  <si>
    <t>Invoca una espada eléctrica que inflige daño de trueno</t>
  </si>
  <si>
    <t>Maldición Final</t>
  </si>
  <si>
    <t>6d8 trueno</t>
  </si>
  <si>
    <t>Una poderosa maldición que drena la vitalidad de un enemigo. Causa 4d8 de daño necrótico inicial y 2d8 de daño adicional al final de cada turno durante 1 minuto.</t>
  </si>
  <si>
    <t>4d8 + 2d8 per turn necrotico</t>
  </si>
  <si>
    <t>Lluvia de Tesoros</t>
  </si>
  <si>
    <t>Desatas una lluvia devastadora de armas legendarias en un área de 50 pies, infligiendo 8d6 de daño.</t>
  </si>
  <si>
    <t>Invocación de Sombras 7</t>
  </si>
  <si>
    <t>Devorador de Almas: Una entidad sombría que drena puntos de golpe con cada golpe y otorga puntos de vida al Apóstata. Tiene resistencia a daño no mágico.</t>
  </si>
  <si>
    <t>CA: 19, HP: 85, Ataque: +10 al golpe, Daño: 4d8 necrótico + curación al Apóstata igual a la mitad del daño infligido.</t>
  </si>
  <si>
    <t>Rey de las Armas: Invocas armas ilimitadas, infligiendo 10d6+2d6+2 de daño por arma durante 1 minuto.</t>
  </si>
  <si>
    <t>Pilar de Llamas</t>
  </si>
  <si>
    <t>Destrucción Espiritual</t>
  </si>
  <si>
    <t>Crea un pilar de llamas que inflige daño a todas las criaturas cercanas</t>
  </si>
  <si>
    <t>Invocas una tormenta de almas atormentadas que impacta a todos los enemigos en un radio de 30 pies. Inflige 5d10 de daño necrótico.</t>
  </si>
  <si>
    <t>5d10 nectrotico</t>
  </si>
  <si>
    <t>5d10 fuego</t>
  </si>
  <si>
    <t>Rey de las Armas</t>
  </si>
  <si>
    <t>Puedes invocar por turno 10 armas (Maximo 50) por 1 minuto, infligiendo 10d6 de daño por cada una.</t>
  </si>
  <si>
    <t>10d6 por arma</t>
  </si>
  <si>
    <t>Invocación de Sombras 8</t>
  </si>
  <si>
    <t>Caballero de las Sombras: Un guerrero de las sombras con una armadura necrótica. Puede lanzar un aura oscura que ralentiza a los enemigos cercanos.</t>
  </si>
  <si>
    <t>CA: 20, HP: 100, Ataque: +11 al golpe, Daño: 5d8 necrótico + aura de ralentización.</t>
  </si>
  <si>
    <t>Invocar Entidades Oscuras</t>
  </si>
  <si>
    <t>Invocas hasta tres entidades sombrías que luchan a tu lado durante 1 minuto. Cada entidad tiene estadísticas similares a un Cazador de Sombras (CA 15, HP 30, Ataque +6, Daño 2d6 necrótico).</t>
  </si>
  <si>
    <t>2d6 necrotico por ataque, puede atacar 2 veces por turno</t>
  </si>
  <si>
    <t>Puedes lanzar una maldición rápida como acción gratuita una vez por turno. No puedes usar la misma maldición dos veces en el mismo turno.</t>
  </si>
  <si>
    <t>Varía según la maldición.</t>
  </si>
  <si>
    <t>Maleficio Celestial</t>
  </si>
  <si>
    <t>Lanzas una maldición sobre un objetivo celestial, reduciendo su efectividad en combate. El objetivo sufre desventaja en todas las tiradas de ataque, y recibe 3d6 de daño radiante reflejado si ataca.</t>
  </si>
  <si>
    <t>3d6 radiate reflejado</t>
  </si>
  <si>
    <t>Invocación de Sombras 9</t>
  </si>
  <si>
    <t>Príncipe de las Sombras: Una entidad de élite, con habilidades de ataque múltiple y la capacidad de invocar sombras menores como aliados temporales.</t>
  </si>
  <si>
    <t>CA: 22, HP: 120, Ataque: +12 al golpe, Daño: 6d8 necrótico + invocación de 2 sombras adicionales.</t>
  </si>
  <si>
    <t>Muro de Oscuridad</t>
  </si>
  <si>
    <t>Creas un muro de energía oscura en una línea de 60 pies de largo y 10 pies de alto. Cualquier criatura que pase a través de él recibe 4d6 de daño necrótico. El muro bloquea la visión de los enemigos.</t>
  </si>
  <si>
    <t>4d6 al passar</t>
  </si>
  <si>
    <t>Te transformas en un avatar de oscuridad durante 1 minuto: inmunidad al daño necrótico, vuelo a 60 pies, y puedes lanzar maldiciones o invocar sin coste.</t>
  </si>
  <si>
    <t>No causa daño directo, pero permite lanzar maldiciones o invocaciones sin coste de vida.</t>
  </si>
  <si>
    <t>Invocación de Sombras 10</t>
  </si>
  <si>
    <t>Señor de las Sombras: La forma definitiva, una poderosa entidad que controla el campo de batalla con daño masivo, drenaje de vida, y miedo en área.</t>
  </si>
  <si>
    <t>CA: 24, HP: 150, Ataque: +13 al golpe, Daño: 8d8 necrótico + drenaje en área 3d8.</t>
  </si>
  <si>
    <t>Canción de las Estaciones (Verano) + Luz de las Estaciones (fuego o frío)</t>
  </si>
  <si>
    <t>Canción de las Estaciones</t>
  </si>
  <si>
    <t>Invocas el poder de una estación para canalizar su elemento.</t>
  </si>
  <si>
    <t>(+1d6 de fuego/frío)</t>
  </si>
  <si>
    <t>Invocación de Espíritus Elementales + Canción de las Estaciones (Verano)</t>
  </si>
  <si>
    <t>Invocación de Espíritus Elementales</t>
  </si>
  <si>
    <t>Invoca un rayo que inflige daño</t>
  </si>
  <si>
    <t>Luz de las Estaciones</t>
  </si>
  <si>
    <t>Otorga +1 a tiradas de ataque o curación según la estación elegida.</t>
  </si>
  <si>
    <t>Estación Dual (Verano + Invierno) + Espíritu Mejorado</t>
  </si>
  <si>
    <t>Estación Dual</t>
  </si>
  <si>
    <t>Invocación de Espíritus</t>
  </si>
  <si>
    <t>Invoca un espíritu elemental que inflige 1d6 de daño y ayuda en combate.</t>
  </si>
  <si>
    <t>1d6 de daño elemental</t>
  </si>
  <si>
    <t>Estación Dual + Espíritu Mejorado</t>
  </si>
  <si>
    <t>Palabra Sanadora</t>
  </si>
  <si>
    <t>Cura a un aliado a distancia</t>
  </si>
  <si>
    <t>1d4 + mod</t>
  </si>
  <si>
    <t>Combina dos estaciones al mismo tiempo para obtener ambos beneficios.</t>
  </si>
  <si>
    <t>Depende de las estaciones</t>
  </si>
  <si>
    <t>Ola de Elementos (Verano) + Espíritu Elemental Mejorado</t>
  </si>
  <si>
    <t>Ola de Elementos</t>
  </si>
  <si>
    <t>Rayo de Escarcha</t>
  </si>
  <si>
    <t>Lanza un rayo de frío que ralentiza</t>
  </si>
  <si>
    <t>1d8 frío</t>
  </si>
  <si>
    <t>Espíritu Mejorado</t>
  </si>
  <si>
    <t>El espíritu elemental ahora inflige 2d6 de daño y puede realizar una segunda acción menor.</t>
  </si>
  <si>
    <t>2d6 de daño elemental</t>
  </si>
  <si>
    <t>Maestría de las Estaciones + Ola de Elementos + Espíritu Elemental</t>
  </si>
  <si>
    <t>Maestría de las Estaciones</t>
  </si>
  <si>
    <t>Invoca una espada mágica que inflige daño</t>
  </si>
  <si>
    <t>3d10 fuego</t>
  </si>
  <si>
    <t>Tormenta Estacional (Verano + Invierno) + Espíritu Elemental</t>
  </si>
  <si>
    <t>Tormenta Estacional</t>
  </si>
  <si>
    <t>Invocar Espíritu Elemental</t>
  </si>
  <si>
    <t>Invoca un espíritu elemental</t>
  </si>
  <si>
    <t>1d6 elemental</t>
  </si>
  <si>
    <t>Desata una oleada elemental en un área de 30 pies.</t>
  </si>
  <si>
    <t>4d6 de daño elemental</t>
  </si>
  <si>
    <t>Tormenta Estacional + Espíritu Elemental</t>
  </si>
  <si>
    <t>Calor Metal</t>
  </si>
  <si>
    <t>Hace que un objeto metálico inflija daño</t>
  </si>
  <si>
    <t>2d8 fuego</t>
  </si>
  <si>
    <t>Los efectos de Canción de las Estaciones mejoran.</t>
  </si>
  <si>
    <t>(+2d6) adicional</t>
  </si>
  <si>
    <t>Bendición de la Estación + Tormenta Estacional (Verano + Invierno)</t>
  </si>
  <si>
    <t>Bendición de la Estación</t>
  </si>
  <si>
    <t>Inmovilizar Persona</t>
  </si>
  <si>
    <t>Paraliza a un objetivo</t>
  </si>
  <si>
    <t>Crea una tormenta elemental que combina dos elementos en un área de 60 pies.</t>
  </si>
  <si>
    <t>5d6 de cada elemento</t>
  </si>
  <si>
    <t>Invocación de la Estación Suprema (Verano) + Espíritu Elemental Mejorado</t>
  </si>
  <si>
    <t>Invocación de la Estación Suprema</t>
  </si>
  <si>
    <t>Lanza un rayo de fuego</t>
  </si>
  <si>
    <t>4d6 fuego</t>
  </si>
  <si>
    <t>Maestro de la Estación Dual + Invocación de la Estación Suprema</t>
  </si>
  <si>
    <t>Maestro de la Estación Dual</t>
  </si>
  <si>
    <t>Explosión de Fuego</t>
  </si>
  <si>
    <t>Desata una explosión de fuego en un área</t>
  </si>
  <si>
    <t>8d6 fuego</t>
  </si>
  <si>
    <t>Otorga los beneficios de una estación a todos los aliados en 30 pies durante 1 minuto.</t>
  </si>
  <si>
    <t>Viento Cortante</t>
  </si>
  <si>
    <t>Lanza ráfagas de viento que infligen daño</t>
  </si>
  <si>
    <t>3d8 viento</t>
  </si>
  <si>
    <t>Invoca el poder supremo de una estación para afectar a todos los enemigos en 60 pies.</t>
  </si>
  <si>
    <t>8d6 de daño de fuego</t>
  </si>
  <si>
    <t>Tormenta Estacional Mejorada (Verano + Invierno)</t>
  </si>
  <si>
    <t>Tormenta Estacional Mejorada</t>
  </si>
  <si>
    <t>Rayo Relampagueante</t>
  </si>
  <si>
    <t>Lanza un rayo de electricidad que atraviesa</t>
  </si>
  <si>
    <t>4d6 trueno</t>
  </si>
  <si>
    <t>Usa tres estaciones al mismo tiempo, combinando sus beneficios.</t>
  </si>
  <si>
    <t>Tormenta Estacional Mejorada + Convergencia de las Estaciones</t>
  </si>
  <si>
    <t>Convergencia de las Estaciones</t>
  </si>
  <si>
    <t>Muro de Hielo</t>
  </si>
  <si>
    <t>Crea un muro de hielo que inflige daño</t>
  </si>
  <si>
    <t>5d8 frío</t>
  </si>
  <si>
    <t>Forma Elemental (Verano) + Convergencia de las Estaciones</t>
  </si>
  <si>
    <t>Forma Elemental</t>
  </si>
  <si>
    <t>Espada de Llamas</t>
  </si>
  <si>
    <t>Crea una espada envolvente de llamas</t>
  </si>
  <si>
    <t>La tormenta ahora inflige 7d6 de daño de cada elemento involucrado.</t>
  </si>
  <si>
    <t>14d6 (2 elementos)</t>
  </si>
  <si>
    <t>Invocar Elemental</t>
  </si>
  <si>
    <t>Invoca un elemental para luchar a tu lado</t>
  </si>
  <si>
    <t>Daño variable</t>
  </si>
  <si>
    <t>Varies</t>
  </si>
  <si>
    <t>Invoca las cuatro estaciones, otorgando beneficios a aliados y enemigos a 30 pies.</t>
  </si>
  <si>
    <t>1d6 curación/daño extra</t>
  </si>
  <si>
    <t>Tormenta Estacional Definitiva (Verano + Invierno) + Forma Elemental</t>
  </si>
  <si>
    <t>Tormenta Estacional Definitiva</t>
  </si>
  <si>
    <t>Explosión elemental en un área</t>
  </si>
  <si>
    <t>8d6 de daño elemental</t>
  </si>
  <si>
    <t>Te transformas en un avatar elemental y obtienes inmunidad al daño elemental de tu estación.</t>
  </si>
  <si>
    <t>(+4d6) daño elemental</t>
  </si>
  <si>
    <t>Forma Elemental Mejorada + Tormenta Estacional Definitiva</t>
  </si>
  <si>
    <t>Maestro de las Estaciones</t>
  </si>
  <si>
    <t>Invoca una tormenta que combina dos elementos</t>
  </si>
  <si>
    <t>7d6 de daño elemental</t>
  </si>
  <si>
    <t>Convergencia de las Estaciones Mejorada + Tormenta Estacional Definitiva</t>
  </si>
  <si>
    <t>La tormenta estacional inflige 8d6 de cada elemento involucrado.</t>
  </si>
  <si>
    <t>16d6 (2 elementos)</t>
  </si>
  <si>
    <t>Maestro de las Estaciones Supremas (5d12 daño o curación por cambio de estación)</t>
  </si>
  <si>
    <t>Maestro de las Estaciones Supremas</t>
  </si>
  <si>
    <t>Forma Elemental Mejorada</t>
  </si>
  <si>
    <t>La forma elemental ahora inflige +6d6 de daño y dura 2 minutos.</t>
  </si>
  <si>
    <t>(+6d6) daño elemental</t>
  </si>
  <si>
    <t>Convergencia de las Estaciones Mejorada</t>
  </si>
  <si>
    <t>Obtienes +2d6 de curación o daño adicional por turno a todos los aliados.</t>
  </si>
  <si>
    <t>(+6d6 de curación/daño)</t>
  </si>
  <si>
    <t>Alterna entre las estaciones libremente en cada turno, infligiendo o curando **5d12** por cambio.</t>
  </si>
  <si>
    <t>5d12 daño o curación</t>
  </si>
  <si>
    <t>Bono de Competencia</t>
  </si>
  <si>
    <t>Hechizos de Nivel 1</t>
  </si>
  <si>
    <t>Hechizos de Nivel 2</t>
  </si>
  <si>
    <t>Hechizos de Nivel 3</t>
  </si>
  <si>
    <t>Hechizos de Nivel 4</t>
  </si>
  <si>
    <t>Hechizos de Nivel 5</t>
  </si>
  <si>
    <t>Daga Maldita (2d6 necrótico adicional en ataque furtivo)</t>
  </si>
  <si>
    <t>Daga Maldita</t>
  </si>
  <si>
    <t>Toque necrótico que inflige daño necrótico.</t>
  </si>
  <si>
    <t>Inflige daño adicional necrótico cuando atacas por la espalda</t>
  </si>
  <si>
    <t>2d6 necrótico adicional</t>
  </si>
  <si>
    <t>Daga Maldita (2d6 necrótico adicional) + Ataque estándar</t>
  </si>
  <si>
    <t>Salto de Planos</t>
  </si>
  <si>
    <t>Aumenta tu CA al lanzarlo.</t>
  </si>
  <si>
    <t>(+5) CA</t>
  </si>
  <si>
    <t>Te teletransportas hasta 30 pies a una sombra cercana</t>
  </si>
  <si>
    <t>Daga Maldita + Asedio de Realidades (3d6 necrótico)</t>
  </si>
  <si>
    <t>Asedio de Realidades</t>
  </si>
  <si>
    <t>Disfrazarse</t>
  </si>
  <si>
    <t>Te permite cambiar tu apariencia física para no ser detectado.</t>
  </si>
  <si>
    <t>Arrastras a tu enemigo a otra realidad durante 1 turno</t>
  </si>
  <si>
    <t>3d6 necrótico</t>
  </si>
  <si>
    <t>Daga Maldita + Asedio de Realidades</t>
  </si>
  <si>
    <t>Desplazamiento</t>
  </si>
  <si>
    <t>Creas una ilusión mágica que te da ventaja al moverte entre las sombras.</t>
  </si>
  <si>
    <t>Aumenta dos puntuaciones de habilidad</t>
  </si>
  <si>
    <t>Daga Maldita (3d6 necrótico) + Emboscada Dimensional (4d6 necrótico adicional)</t>
  </si>
  <si>
    <t>Emboscada Dimensional</t>
  </si>
  <si>
    <t>Golpe Fantasmal</t>
  </si>
  <si>
    <t>Realizas un golpe con energía espectral que inflige daño psíquico.</t>
  </si>
  <si>
    <t>2d8 psíquico</t>
  </si>
  <si>
    <t>Apareces de la nada y atacas con 4d6 de daño adicional</t>
  </si>
  <si>
    <t>4d6 necrótico</t>
  </si>
  <si>
    <t>Daga Maldita (3d6 necrótico) + Emboscada Dimensional + Golpe Mortal (2d6 adicional)</t>
  </si>
  <si>
    <t>Golpe Mortal</t>
  </si>
  <si>
    <t>Creas una nube de sombras que oscurece un área.</t>
  </si>
  <si>
    <t>Daga Maldita (2)</t>
  </si>
  <si>
    <t>3d6 necrótico adicional</t>
  </si>
  <si>
    <t>Daga Maldita + Emboscada Dimensional + Trampa de Sombra (2d6 necrótico adicional)</t>
  </si>
  <si>
    <t>Trampa de Sombra</t>
  </si>
  <si>
    <t>Pisotón Dimensional</t>
  </si>
  <si>
    <t>Te teletransportas brevemente a otro plano, infligiendo daño al reaparecer en el plano original.</t>
  </si>
  <si>
    <t>Aumenta en 2d6 el daño de tus ataques furtivos</t>
  </si>
  <si>
    <t>2d6 adicional</t>
  </si>
  <si>
    <t>Daga Maldita + Emboscada Dimensional + Trampa de Sombra</t>
  </si>
  <si>
    <t>Velocidad</t>
  </si>
  <si>
    <t>Aumenta tu velocidad y te otorga una acción adicional.</t>
  </si>
  <si>
    <t>Coloca una trampa que arrastra al enemigo a otra realidad, aplicando Asedio de Realidades</t>
  </si>
  <si>
    <t>2d6 necrótico</t>
  </si>
  <si>
    <t>Daga Maldita (4d6) + Emboscada Dimensional + Explosión de Sombra (3d6 necrótico)</t>
  </si>
  <si>
    <t>Explosión de Sombra</t>
  </si>
  <si>
    <t>Contrahechizo</t>
  </si>
  <si>
    <t>Puedes cancelar un hechizo lanzado en un rango de 60 pies.</t>
  </si>
  <si>
    <t>Daño en área necrótico al regresar de un plano oscuro</t>
  </si>
  <si>
    <t>Daga Maldita + Emboscada Dimensional + Explosión de Sombra</t>
  </si>
  <si>
    <t>Acechador de Planos</t>
  </si>
  <si>
    <t>Puerta de las Sombras</t>
  </si>
  <si>
    <t>Te teletransportas hasta 500 pies a una sombra que puedas ver.</t>
  </si>
  <si>
    <t>Daga Maldita (3)</t>
  </si>
  <si>
    <t>4d6 necrótico adicional</t>
  </si>
  <si>
    <t>Daga Maldita (4d6) + Asedio Mortal (5d6) + Emboscada Dimensional</t>
  </si>
  <si>
    <t>Asedio Mortal</t>
  </si>
  <si>
    <t>Controlar el Agua</t>
  </si>
  <si>
    <t>Manipulas agua en un área, creando olas que empujan o hunden enemigos.</t>
  </si>
  <si>
    <t>Puedes atacar desde otras dimensiones, otorgando ventaja en tu siguiente ataque</t>
  </si>
  <si>
    <t>Daga Maldita + Asedio Mortal + Emboscada Dimensional</t>
  </si>
  <si>
    <t>Muro de Fuerza</t>
  </si>
  <si>
    <t>Creas un muro invisible que bloquea ataques y criaturas.</t>
  </si>
  <si>
    <t>Furia Usos</t>
  </si>
  <si>
    <t>Aumenta el daño de Asedio de Realidades en 2d6 adicionales</t>
  </si>
  <si>
    <t>5d6 necrótico</t>
  </si>
  <si>
    <t>Daga Maldita (6d6 necrótico) + Trampa de Dimensión Oscura (6d6 necrótico) + Emboscada Dimensional (6d6 necrótico)</t>
  </si>
  <si>
    <t>Trampa de Dimensión Oscura</t>
  </si>
  <si>
    <t>Furia Corrupta + ataque básico</t>
  </si>
  <si>
    <t>Desintegrar</t>
  </si>
  <si>
    <t>Un rayo que desintegra a tu enemigo, infligiendo daño masivo si falla su tirada de salvación.</t>
  </si>
  <si>
    <t>10d6 de fuerza</t>
  </si>
  <si>
    <t>Furia Corrupta</t>
  </si>
  <si>
    <t>Trampa que inflige 6d6 de daño necrótico al enemigo atrapado</t>
  </si>
  <si>
    <t>Cura de Heridas</t>
  </si>
  <si>
    <t>6d6 necrótico</t>
  </si>
  <si>
    <t>Cura a una criatura tocada por 1d8 + modificador de Sabiduría.</t>
  </si>
  <si>
    <t>Escudo x2</t>
  </si>
  <si>
    <t>Daga Maldita + Trampa de Dimensión Oscura + Emboscada Dimensional</t>
  </si>
  <si>
    <t>Genera escudo al sacrificar vida.</t>
  </si>
  <si>
    <t>Maestro de las Sombras</t>
  </si>
  <si>
    <t>Escudo Oscuro + ataque</t>
  </si>
  <si>
    <t>Escudo de Oscuridad</t>
  </si>
  <si>
    <t>Daga Maldita (4)</t>
  </si>
  <si>
    <t>Sanctuario</t>
  </si>
  <si>
    <t>6d6 necrótico adicional</t>
  </si>
  <si>
    <t>Te envuelves en una barrera divina que otorga desventaja a los ataques dirigidos a ti por 1 minuto.</t>
  </si>
  <si>
    <t>Duplicas el escudo por 1 turno.</t>
  </si>
  <si>
    <t>Furia de la Muerte (3d6 necrótico)</t>
  </si>
  <si>
    <t>Furia de la Muerte</t>
  </si>
  <si>
    <t>Daga Maldita + Emboscada Dimensional + Maestro de las Sombras + Explosión de Sombra (5d6 necrótico)</t>
  </si>
  <si>
    <t>Golpe Mortal Definitivo</t>
  </si>
  <si>
    <t>Infundir Luz</t>
  </si>
  <si>
    <t>Causa un ataque de energía radiante que inflige 1d6 radiante.</t>
  </si>
  <si>
    <t>3d6 físico + 2d6 necrótico</t>
  </si>
  <si>
    <t>Sacrifica vida para aumentar el daño.</t>
  </si>
  <si>
    <t>Emboscada Dimensional (2)</t>
  </si>
  <si>
    <t>Aumenta el daño adicional al atacar con sorpresa</t>
  </si>
  <si>
    <t>Toque de la Muerte (3d6 necrótico) + ataque adicional</t>
  </si>
  <si>
    <t>Daga Maldita + Emboscada Dimensional + Maestro de las Sombras + Explosión de Sombra</t>
  </si>
  <si>
    <t>Bendición</t>
  </si>
  <si>
    <t>Otorga un bono de 1d4 a las tiradas de ataque o salvación de una criatura por 10 minutos.</t>
  </si>
  <si>
    <t>Escudo igual al daño infligido</t>
  </si>
  <si>
    <t>Mejora dos puntuaciones de habilidad.</t>
  </si>
  <si>
    <t>Te vuelves invisible mientras te mueves en las sombras</t>
  </si>
  <si>
    <t>Furia de la Muerte + Furia Desgarradora (2d6)</t>
  </si>
  <si>
    <t>Toque de la Muerte</t>
  </si>
  <si>
    <t>Protección contra el Mal</t>
  </si>
  <si>
    <t>Otorga ventaja en tiradas de salvación contra ciertos tipos de enemigos.</t>
  </si>
  <si>
    <t>Ataque necrótico que cura.</t>
  </si>
  <si>
    <t>Daga Maldita (8d6 necrótico) + Asedio Mortal + Emboscada Dimensional  + Explosion de Sombras (5d6)</t>
  </si>
  <si>
    <t>Escudo Vampírico + Furia de la Muerte</t>
  </si>
  <si>
    <t>Destrucción de la Realidad</t>
  </si>
  <si>
    <t>Furia Desgarradora</t>
  </si>
  <si>
    <t>Rayos de Enfermedad</t>
  </si>
  <si>
    <t>Lanza rayos de enfermedad que infligen 2d8 veneno a las criaturas afectadas.</t>
  </si>
  <si>
    <t>Explosión de Sombra (2)</t>
  </si>
  <si>
    <t>Daño en área aumentado necrótico al regresar de un plano oscuro</t>
  </si>
  <si>
    <t>Causa maldición que da desventaja al enemigo.</t>
  </si>
  <si>
    <t>Marcha de los Renacidos + Furia de la Muerte</t>
  </si>
  <si>
    <t>Daga Maldita + Asedio Mortal + Emboscada Dimensional + Explosion de Sombras (5d6)</t>
  </si>
  <si>
    <t>Escudo Vampírico</t>
  </si>
  <si>
    <t>Maestro de las Dimensiones</t>
  </si>
  <si>
    <t>Escudo de Fe</t>
  </si>
  <si>
    <t>Aumenta la CA de un aliado en +2 durante 10 minutos.</t>
  </si>
  <si>
    <t>Aumenta el escudo temporal basado en el daño infligido.</t>
  </si>
  <si>
    <t>Daga Maldita (5)</t>
  </si>
  <si>
    <t>8d6 necrótico adicional</t>
  </si>
  <si>
    <t>Furia Imparable + ataque adicional</t>
  </si>
  <si>
    <t>Rayo Agónico</t>
  </si>
  <si>
    <t>Lanza un rayo de energía necrótica que inflige 3d8 necrótico.</t>
  </si>
  <si>
    <t>Marcha de los Renacidos</t>
  </si>
  <si>
    <t>Ganas ventaja en las salvaciones de velocidad y condición.</t>
  </si>
  <si>
    <t>Destruye una parte de la realidad alrededor del enemigo, desintegrándolo</t>
  </si>
  <si>
    <t>Destrucción del Alma (5d6 necrótico)</t>
  </si>
  <si>
    <t>Fuego Sagrado</t>
  </si>
  <si>
    <t>Señor de los Planos Oscuros (6d6 necrótico) + Emboscada Dimensional (8d6) + Explosión de Sombra (6d6) + Daga Maldita (8d6)</t>
  </si>
  <si>
    <t>Un ataque radiante que inflige 3d8 radiante a un objetivo.</t>
  </si>
  <si>
    <t>Furia Imparable</t>
  </si>
  <si>
    <t>Señor de los Planos Oscuros</t>
  </si>
  <si>
    <t>Permite realizar un ataque adicional con escudo activo.</t>
  </si>
  <si>
    <t>Furia Mortal (2d6 necrótico adicional)</t>
  </si>
  <si>
    <t>Te conviertes en maestro de las realidades, infligiendo 6d6 de daño adicional por ataque</t>
  </si>
  <si>
    <t>6d6 adicional</t>
  </si>
  <si>
    <t>Invoca un arma que inflige 1d8 + modificador de Carisma radiante a los enemigos.</t>
  </si>
  <si>
    <t>Destrucción del Alma</t>
  </si>
  <si>
    <t>Ataque devastador que drena la vida del enemigo.</t>
  </si>
  <si>
    <t>Emboscada Dimensional (3)</t>
  </si>
  <si>
    <t>8d6 necrótico</t>
  </si>
  <si>
    <t>Furia de la Oscuridad + Furia Mortal</t>
  </si>
  <si>
    <t>Explosión de Sombra (3)</t>
  </si>
  <si>
    <t>Lanza un rayo que inflige 10d6 + 40 de daño de fuerza a un objetivo.</t>
  </si>
  <si>
    <t>Furia Mortal</t>
  </si>
  <si>
    <t>Aumenta el daño de la furia.</t>
  </si>
  <si>
    <t>Furia Imparable Mejorada + ataques adicionales</t>
  </si>
  <si>
    <t>Genera una zona de 30 pies donde los aliados tienen ventaja en tiradas de salvación contra hechizos y efectos mágicos durante 1 minuto.</t>
  </si>
  <si>
    <t>Furia de la Oscuridad</t>
  </si>
  <si>
    <t>Invoca un aura de oscuridad que debilita a los enemigos.</t>
  </si>
  <si>
    <t>Maestro de la Furia Oscura (críticos automáticos)</t>
  </si>
  <si>
    <t>Luz Divina</t>
  </si>
  <si>
    <t>Causa que un pilar de luz radiante descienda del cielo, infligiendo 6d8 de daño a los enemigos.</t>
  </si>
  <si>
    <t>Furia Imparable Mejorada</t>
  </si>
  <si>
    <t>Ganas inmunidad al daño necrótico, radiante y contundente.</t>
  </si>
  <si>
    <t>Rayo del Alba</t>
  </si>
  <si>
    <t>Un ataque poderoso que inflige 6d8 radiante a los enemigos en un área.</t>
  </si>
  <si>
    <t>Maestro de la Furia Oscura</t>
  </si>
  <si>
    <t>Todos los ataques son críticos automáticos y aumentan el escudo.</t>
  </si>
  <si>
    <t>1d12 escudo por ataque</t>
  </si>
  <si>
    <t>Furia de la Oscuridad Mejorada</t>
  </si>
  <si>
    <t>Resurrección Menor</t>
  </si>
  <si>
    <t>Devuelve la vida a un aliado caído con 1 punto de vida.</t>
  </si>
  <si>
    <t>Destrucción Sagrada</t>
  </si>
  <si>
    <t>Invoca un pilar de luz que inflige 4d6 radiante a todos los enemigos en un área de 20 pies.</t>
  </si>
  <si>
    <t>Guardia de la Fe</t>
  </si>
  <si>
    <t>Crea una entidad protectora en un radio de 30 pies, infligiendo 20 puntos de daño radiante a cualquier enemigo que entre en el área.</t>
  </si>
  <si>
    <t>Furia Definitiva</t>
  </si>
  <si>
    <t>Luz Interior (1d6 radiante), añade modificador de Carisma, ataque con arma cuerpo a cuerpo y/o hechizo necrótico/radiante.</t>
  </si>
  <si>
    <t>Luz Interior</t>
  </si>
  <si>
    <t>Nivel 1</t>
  </si>
  <si>
    <t>Cura 1d8 + modificador de Sabiduría</t>
  </si>
  <si>
    <t>Curación 1d8</t>
  </si>
  <si>
    <t>Añades tu modificador de Carisma al daño radiante o necrótico. Puedes activar un aura que inflige 1d6 de daño radiante por turno en un área de 10 ft</t>
  </si>
  <si>
    <t>1d6 radiante</t>
  </si>
  <si>
    <t>Canalización Divina (Castigo del Redimido) inflige 2d6 de daño radiante a los enemigos cercanos y puedes usar ataques adicionales con tu modificador de Carisma.</t>
  </si>
  <si>
    <t>Canalización Divina</t>
  </si>
  <si>
    <t>Ataque de energía radiante</t>
  </si>
  <si>
    <t>Sanctuario (Hechizo)</t>
  </si>
  <si>
    <t>Te envuelves en una barrera divina que otorga desventaja a los ataques dirigidos a ti por 1 minuto</t>
  </si>
  <si>
    <t>Pacto del Castigo Divino añade 1d6 de daño necrótico a cada ataque radiante, combinado con Canalización Divina (2d6 radiante).</t>
  </si>
  <si>
    <t>Pacto de la Luz Sagrada</t>
  </si>
  <si>
    <t>Otorga un bono de 1d4 a las tiradas de ataque o salvación</t>
  </si>
  <si>
    <t>Luz Redentora: Cura 2d8 puntos de golpe a aliados cercanos. Castigo del Redimido: Inflige 2d6 de daño radiante a enemigos en 10 ft</t>
  </si>
  <si>
    <t>2d8+2d6</t>
  </si>
  <si>
    <t>Pacto del Castigo Divino (1d6 necrótico) combinado con Canalización Divina (2d6 radiante).</t>
  </si>
  <si>
    <t>Infundir Miedo</t>
  </si>
  <si>
    <t>Los enemigos afectados huyen (tirada de salvación de Sabiduría)</t>
  </si>
  <si>
    <t>Escudo de Fe (Hechizo)</t>
  </si>
  <si>
    <t>Aumenta la CA de un aliado en +2 durante 10 minutos</t>
  </si>
  <si>
    <t>Escudo de Fe Ardiente para protección, y ataques con Golpe Divino (2d8 radiante), combinados con Pacto del Castigo Divino (1d6 necrótico).</t>
  </si>
  <si>
    <t>Escudo de Fe Ardiente</t>
  </si>
  <si>
    <t>Otorga ventaja en tiradas de salvación contra ciertos tipos de enemigos</t>
  </si>
  <si>
    <t>Pacto del Castigo Divino</t>
  </si>
  <si>
    <t>Añades 1d6 de daño necrótico adicional a cada golpe radiante que inflijas. Pacto de Salvación: Aumenta la curación en 1d6</t>
  </si>
  <si>
    <t>1d6 necrótico</t>
  </si>
  <si>
    <t>Condena del Infiel devuelve 2d6 radiante cuando eres golpeado, y el combo de ataques Golpe Divino (2d8 radiante + 1d6 necrótico).</t>
  </si>
  <si>
    <t>Condena del Infiel</t>
  </si>
  <si>
    <t>Ataque Sagrado</t>
  </si>
  <si>
    <t>Daño adicional a ataques cuerpo a cuerpo</t>
  </si>
  <si>
    <t>Aumenta dos puntuaciones de habilidad en 1 o elige una proeza</t>
  </si>
  <si>
    <t>Velo de la Pureza para desventaja en enemigos con magia oscura, ataques con Golpe Divino y Pacto del Castigo Divino para daño radiante/necrótico.</t>
  </si>
  <si>
    <t>Velo de la Pureza</t>
  </si>
  <si>
    <t>Nivel 2</t>
  </si>
  <si>
    <t>Luz Purificadora</t>
  </si>
  <si>
    <t>Ataque radiante en área de 10 pies</t>
  </si>
  <si>
    <t>2d6 radiante</t>
  </si>
  <si>
    <t>Los aliados a 15 ft ganan +1 a la CA y resistencia a daño radiante/necrótico durante 1 minuto</t>
  </si>
  <si>
    <t>Velo de la Pureza, Golpe Divino (2d8 radiante), Pacto del Castigo Divino (1d6 necrótico).</t>
  </si>
  <si>
    <t>Bendición del Protector</t>
  </si>
  <si>
    <t>Golpe Divino (Hechizo)</t>
  </si>
  <si>
    <t>Inflige 2d8 de daño radiante adicional cuando golpeas con un arma</t>
  </si>
  <si>
    <t>2d8 radiante</t>
  </si>
  <si>
    <t>Luz del Perdón inflige 3d6 de daño radiante en área y cura a los aliados (3d6 curación), combinado con Desintegrar (10d6 + 40 de daño de fuerza).</t>
  </si>
  <si>
    <t>Luz del Perdón</t>
  </si>
  <si>
    <t>Silencio</t>
  </si>
  <si>
    <t>Crea un área de silencio, anulando la capacidad de lanzar hechizos</t>
  </si>
  <si>
    <t>Los enemigos que te golpeen sufren 2d6 de daño radiante, además, inflige desventaja en tiradas de ataque por 1 turno</t>
  </si>
  <si>
    <t>Protección Divina no afecta al daño, pero puedes combinar el Desintegrar (10d6 + 40) con otros ataques radiante/necrótico.</t>
  </si>
  <si>
    <t>Protección Divina</t>
  </si>
  <si>
    <t>Invoca un arma que inflige daño a los enemigos</t>
  </si>
  <si>
    <t>1d8 + mod radiante</t>
  </si>
  <si>
    <t>Los enemigos oscuros tienen desventaja en tiradas de ataque mientras están dentro de tu aura de 15 pies</t>
  </si>
  <si>
    <t>Sello de Luz incapacita a los enemigos, permitiendo Desintegrar (10d6 + 40), y combinando con Espada de la Redención (6d6 radiante).</t>
  </si>
  <si>
    <t>Sello de Luz</t>
  </si>
  <si>
    <t>Cura de Grupo</t>
  </si>
  <si>
    <t>Cura a todos los aliados cercanos</t>
  </si>
  <si>
    <t>Curación 2d6</t>
  </si>
  <si>
    <t>Círculo de Poder (Hechizo)</t>
  </si>
  <si>
    <t>Genera una zona de 30 ft donde los aliados tienen ventaja en tiradas de salvación contra hechizos y efectos mágicos durante 1 minuto</t>
  </si>
  <si>
    <t>Sello de Luz, Desintegrar, Espada de la Redención.</t>
  </si>
  <si>
    <t>Nivel 3</t>
  </si>
  <si>
    <t>Ataque con daño radiante</t>
  </si>
  <si>
    <t>3d8 radiante</t>
  </si>
  <si>
    <t>Espada de la Redención (6d6 radiante), Desintegrar (10d6 + 40), combinados con ataques adicionales.</t>
  </si>
  <si>
    <t>Espada de la Redención</t>
  </si>
  <si>
    <t>Golpe Divino</t>
  </si>
  <si>
    <t>Ataque cuerpo a cuerpo con daño radiante y necrótico</t>
  </si>
  <si>
    <t>3d6 radiante/necrótico</t>
  </si>
  <si>
    <t>Cura a los aliados en un radio de 30 pies (3d6) y daña a enemigos (3d6 radiante)</t>
  </si>
  <si>
    <t>3d6 radiante</t>
  </si>
  <si>
    <t>Justicia Celestial da ventaja a tus aliados, pero sin afectar el daño directo. Se mantienen combos anteriores.</t>
  </si>
  <si>
    <t>Justicia Celestial</t>
  </si>
  <si>
    <t>Otorga resistencia a efectos de muerte instantánea</t>
  </si>
  <si>
    <t>Desintegrar (Hechizo)</t>
  </si>
  <si>
    <t>Lanza un rayo que inflige 10d6 + 40 de daño de fuerza a un objetivo</t>
  </si>
  <si>
    <t>10d6+40 fuerza</t>
  </si>
  <si>
    <t>Desintegrar (10d6 + 40), Espada de la Redención (6d6 radiante), y otros ataques críticos con Golpe Divino y Pacto del Castigo Divino.</t>
  </si>
  <si>
    <t>Cancela un hechizo activo en una criatura</t>
  </si>
  <si>
    <t>Resistencia permanente al daño radiante y necrótico</t>
  </si>
  <si>
    <t>Combo igual al nivel anterior con Desintegrar, Golpe Divino, y Espada de la Redención.</t>
  </si>
  <si>
    <t>Invoca un pilar de luz que inflige daño radiante</t>
  </si>
  <si>
    <t>4d6 radiante</t>
  </si>
  <si>
    <t>Bloquea el mal y deja incapacitados a los enemigos en un radio de 20 ft. Cada enemigo debe hacer tirada de salvación de Sabiduría</t>
  </si>
  <si>
    <t>Luz Divina Imparable inflige 10d6 de daño radiante en área, combinado con Desintegrar (10d6 + 40) y ataques radiante/necrótico.</t>
  </si>
  <si>
    <t>Luz Divina Imparable</t>
  </si>
  <si>
    <t>Nivel 4</t>
  </si>
  <si>
    <t>Aumenta la CA en +2 durante 1 minuto</t>
  </si>
  <si>
    <t>Luz Divina Imparable, Desintegrar, Espada de la Redención y otras habilidades de daño radiante/necrótico.</t>
  </si>
  <si>
    <t>Espada Sagrada</t>
  </si>
  <si>
    <t>Invoca una espada que inflige daño radiante en cada golpe</t>
  </si>
  <si>
    <t>Lanza una espada de luz que inflige 6d6 de daño radiante. Si falla la salvación de Constitución, queda cegado hasta el final de su siguiente turno</t>
  </si>
  <si>
    <t>6d6 radiante</t>
  </si>
  <si>
    <t>Luz Divina Imparable, Desintegrar, Espada de la Redención.</t>
  </si>
  <si>
    <t>Castigo Divino</t>
  </si>
  <si>
    <t>Inflige daño radiante adicional con un ataque</t>
  </si>
  <si>
    <t>5d8 radiante</t>
  </si>
  <si>
    <t>Rayo del Alba (Hechizo)</t>
  </si>
  <si>
    <t>Un pilar de luz radiante desciende del cielo, infligiendo 6d8 de daño a los enemigos</t>
  </si>
  <si>
    <t>6d8 radiante</t>
  </si>
  <si>
    <t>Fulgor Divino con daño crítico automático (6d6 radiante por ataque) y Desintegrar (10d6 + 40), combinados con Luz Divina Imparable y Espada de la Redención.</t>
  </si>
  <si>
    <t>Fulgor Divino</t>
  </si>
  <si>
    <t>Curar Heridas Masivas</t>
  </si>
  <si>
    <t>Cura 4d8 a múltiples aliados</t>
  </si>
  <si>
    <t>Curación 4d8</t>
  </si>
  <si>
    <t>Todos los aliados en un radio de 30 pies ganan ventaja en todas las tiradas de salvación mientras estés presente</t>
  </si>
  <si>
    <t>Golpe de la Penitencia</t>
  </si>
  <si>
    <t>Castiga a los enemigos infligiendo daño radiante</t>
  </si>
  <si>
    <t>Guardia de la Fe (Hechizo)</t>
  </si>
  <si>
    <t>Crea una entidad protectora en un radio de 30 pies, inflige 20 puntos de daño radiante a cualquier enemigo que entre en el área</t>
  </si>
  <si>
    <t>20 radiante</t>
  </si>
  <si>
    <t>Nivel 5</t>
  </si>
  <si>
    <t>Cura a aliados y daña a enemigos en un área</t>
  </si>
  <si>
    <t>3d6 radiante/curación</t>
  </si>
  <si>
    <t>Inflige 10d6 de daño radiante en un área de 30 pies y otorga puntos de golpe temporales a aliados igual a la mitad del daño infligido</t>
  </si>
  <si>
    <t>10d6 radiante</t>
  </si>
  <si>
    <t>Castigo del Redimido</t>
  </si>
  <si>
    <t>Daño radiante en área de 15 pies</t>
  </si>
  <si>
    <t>5d6 radiante</t>
  </si>
  <si>
    <t>Inmunidad al daño necrótico y radiante durante 1 minuto. Inflige daño crítico automático en cada ataque y aumenta el daño por 6d6 radiante adicional</t>
  </si>
  <si>
    <t>Castigo Final</t>
  </si>
  <si>
    <t>Castigo poderoso que inflige daño masivo</t>
  </si>
  <si>
    <t>Devuelve la vida a un aliado caído con 1 punto de vida</t>
  </si>
  <si>
    <t>Escudo de Luz</t>
  </si>
  <si>
    <t>Otorga resistencia al daño a todos los aliados cercanos</t>
  </si>
  <si>
    <t>Invocar Enjambre de Insectos inflige 1d6 de veneno.</t>
  </si>
  <si>
    <t>Invocar Enjambre de Insectos</t>
  </si>
  <si>
    <t>Enjambre de Insectos</t>
  </si>
  <si>
    <t>Invocas un enjambre de insectos que inflige daño en un área</t>
  </si>
  <si>
    <t>2d6 veneno</t>
  </si>
  <si>
    <t>Invocas un enjambre que inflige 1d6 de daño de veneno en un área de 10 pies y ralentiza a los enemigos durante 1 turno.</t>
  </si>
  <si>
    <t>1d6 veneno</t>
  </si>
  <si>
    <t>Escala a 2d6 en nivel 6, 3d6 en nivel 12, 4d6 en nivel 18.</t>
  </si>
  <si>
    <t>Invocar Enjambre de Insectos (1d6) + Descomposición de la Naturaleza (2d6).</t>
  </si>
  <si>
    <t>Descomposición de la Naturaleza</t>
  </si>
  <si>
    <t>Detectar Veneno y Enfermedad</t>
  </si>
  <si>
    <t>Detecta venenos y enfermedades en un área</t>
  </si>
  <si>
    <t>Los cadáveres cercanos explotan en un área de 5 pies, infligiendo 2d6 de daño de veneno. Los enemigos que fallen la tirada de salvación quedan envenenados por 1 minuto.</t>
  </si>
  <si>
    <t>Mejora a 3d6 en nivel 4, 4d6 en nivel 6, 5d6 en nivel 8.</t>
  </si>
  <si>
    <t>Invocar Enjambre de Insectos (1d6) + Descomposición de la Naturaleza (2d6) + Aura de Decadencia (1d6 por turno).</t>
  </si>
  <si>
    <t>Aura de Decadencia</t>
  </si>
  <si>
    <t>Cura a una criatura tocada por 1d8 puntos de golpe</t>
  </si>
  <si>
    <t>1d8 curación</t>
  </si>
  <si>
    <t>Emana un aura de plagas a 10 pies que inflige 1d6 de daño de veneno al inicio del turno de los enemigos. Los enemigos tienen desventaja en tiradas de salvación contra veneno.</t>
  </si>
  <si>
    <t>1d6 veneno por turno</t>
  </si>
  <si>
    <t>Escala a 2d6 en nivel 6, 3d6 en nivel 9, 4d6 en nivel 12.</t>
  </si>
  <si>
    <t>Enjambre de Insectos (1d6) + Descomposición de la Naturaleza (2d6) + Aura de Decadencia (1d6) + Rayos de Enfermedad (2d8).</t>
  </si>
  <si>
    <t>Lanza rayos de enfermedad que infligen daño de veneno</t>
  </si>
  <si>
    <t>2d8 veneno</t>
  </si>
  <si>
    <t>No aplica.</t>
  </si>
  <si>
    <t>Enjambre Carroñero (3d6) + Aura de Decadencia (1d6).</t>
  </si>
  <si>
    <t>Enjambre Carroñero</t>
  </si>
  <si>
    <t>Manos de Praga</t>
  </si>
  <si>
    <t>Tus manos se cubren de una sustancia venenosa y causan daño a los enemigos tocados</t>
  </si>
  <si>
    <t>1d10 veneno</t>
  </si>
  <si>
    <t>Invocas un enjambre que inflige 3d6 de daño de veneno en un área de 15 pies. Los enemigos que fallen una tirada de salvación de Destreza quedan incapacitados por 1 turno.</t>
  </si>
  <si>
    <t>3d6 veneno</t>
  </si>
  <si>
    <t>Escala junto con Invocar Enjambre de Insectos.</t>
  </si>
  <si>
    <t>Invocar Criatura en Descomposición (2d8) + Aura de Decadencia (1d6) + Enjambre Carroñero (3d6).</t>
  </si>
  <si>
    <t>Invocar Criatura en Descomposición</t>
  </si>
  <si>
    <t>Palabra mágica que cura a un aliado</t>
  </si>
  <si>
    <t>1d4 curación</t>
  </si>
  <si>
    <t>Invocas una criatura con 30 puntos de golpe que inflige 2d8 de daño de veneno y envenena a los enemigos golpeados.</t>
  </si>
  <si>
    <t>Escala a 3d8 en nivel 10, 4d8 en nivel 14, 5d8 en nivel 18.</t>
  </si>
  <si>
    <t>Horda de Insectos (4d6) + Aura de Decadencia (2d6).</t>
  </si>
  <si>
    <t>Horda de Insectos</t>
  </si>
  <si>
    <t>Lanza un rayo de energía necrótica que inflige daño</t>
  </si>
  <si>
    <t>3d8 necrótico</t>
  </si>
  <si>
    <t>Invocas una horda de insectos que inflige 4d6 de daño de veneno en un área de 30 pies. Los enemigos sufren daño adicional (1d6 de veneno) durante 2 turnos.</t>
  </si>
  <si>
    <t>4d6 veneno + 1d6 extra</t>
  </si>
  <si>
    <t>24 + 6</t>
  </si>
  <si>
    <t>Mejora a 5d6 + 2d6 extra en nivel 13.</t>
  </si>
  <si>
    <t>Horda de Insectos (4d6) + Aura de Decadencia (2d6) + Rayos de Enfermedad (2d8).</t>
  </si>
  <si>
    <t>Detectar Trampas</t>
  </si>
  <si>
    <t>Detecta trampas mágicas o mundanas en un área</t>
  </si>
  <si>
    <t>Poder Descomponedor (5d6) + Aura de Decadencia (2d6) + Enjambre Carroñero (3d6) + Rayos de Enfermedad (2d8).</t>
  </si>
  <si>
    <t>Poder Descomponedor</t>
  </si>
  <si>
    <t>Podredumbre Menor</t>
  </si>
  <si>
    <t>Causa podredumbre en un objeto o criatura, causando daño y debilitando</t>
  </si>
  <si>
    <t>Haces que una criatura muerta se descomponga, infligiendo 5d6 de daño de veneno en un área de 10 pies. Los enemigos fallan tirada de salvación de Constitución o quedan envenenados.</t>
  </si>
  <si>
    <t>5d6 veneno</t>
  </si>
  <si>
    <t>Escala a 6d6 en nivel 11, 7d6 en nivel 13, 8d6 en nivel 15.</t>
  </si>
  <si>
    <t>Infección Masiva (2d6 por turno) + Poder Descomponedor (5d6) + Aura de Decadencia (2d6) + Rayos de Enfermedad (3d6).</t>
  </si>
  <si>
    <t>Infección Masiva</t>
  </si>
  <si>
    <t>Garras de Veneno</t>
  </si>
  <si>
    <t>Causa que tus manos se cubran de veneno, infligiendo daño al golpear</t>
  </si>
  <si>
    <t>Infecta a un enemigo con una plaga que inflige 2d6 de daño por turno durante 3 turnos, y se propaga a enemigos cercanos.</t>
  </si>
  <si>
    <t>2d6 por turno</t>
  </si>
  <si>
    <t>Escala a 3d6 por turno en nivel 15, 4d6 por turno en nivel 20.</t>
  </si>
  <si>
    <t>Invocar Plaga (6d6) + Aura de Decadencia (2d6) + Infección Masiva (2d6 por turno).</t>
  </si>
  <si>
    <t>Invocar Plaga</t>
  </si>
  <si>
    <t>Protección contra Venenos</t>
  </si>
  <si>
    <t>Otorga resistencia a venenos y ventaja en tiradas de salvación</t>
  </si>
  <si>
    <t>Invocas una plaga que cubre un área de 30 pies e inflige 6d6 de daño de veneno y envenena a los enemigos.</t>
  </si>
  <si>
    <t>6d6 veneno</t>
  </si>
  <si>
    <t>Escala a 7d6 en nivel 16, 8d6 en nivel 18.</t>
  </si>
  <si>
    <t>Invocar Enjambre de Escarabajos</t>
  </si>
  <si>
    <t>Invoca un enjambre de escarabajos que devoran a los enemigos</t>
  </si>
  <si>
    <t>4d6 veneno</t>
  </si>
  <si>
    <t>Plaga Imparable (6d6 reutilizado) + Aura de Decadencia (3d6) + Poder Descomponedor (6d6).</t>
  </si>
  <si>
    <t>Plaga Imparable</t>
  </si>
  <si>
    <t>Cegar/Ensordecer</t>
  </si>
  <si>
    <t>Dejas a los enemigos cegados o ensordecidos</t>
  </si>
  <si>
    <t>Puedes volver a lanzar Invocar Plaga sin gastar un uso adicional.</t>
  </si>
  <si>
    <t>Sin cambios, reutilizable.</t>
  </si>
  <si>
    <t>Invocar Plaga (6d6) + Aura de Decadencia (3d6) + Infección Masiva (3d6) + Rayos de Enfermedad (3d8).</t>
  </si>
  <si>
    <t>Fuerza de la Putrefacción</t>
  </si>
  <si>
    <t>Viento Nauseabundo</t>
  </si>
  <si>
    <t>Crea un viento venenoso que inflige daño y enferma a los enemigos</t>
  </si>
  <si>
    <t>3d8 veneno</t>
  </si>
  <si>
    <t>Ganas resistencia al veneno y necrotico, y ventaja en las tiradas de salvación contra venenos y enfermedades.</t>
  </si>
  <si>
    <t>Destrucción Putrefacta (8d6) + Aura de Decadencia (3d6) + Infección Masiva (3d6) + Enjambre Carroñero (3d6).</t>
  </si>
  <si>
    <t>Destrucción Putrefacta</t>
  </si>
  <si>
    <t>Descomposición Acelerada</t>
  </si>
  <si>
    <t>Haces que un cadáver o criatura se descomponga rápidamente, causando daño en área</t>
  </si>
  <si>
    <t>Un enemigo en un radio de 30 pies recibe 8d6 de daño de veneno y queda paralizado durante 1 turno si falla la tirada.</t>
  </si>
  <si>
    <t>8d6 veneno</t>
  </si>
  <si>
    <t>Escala a 9d6 en nivel 17, 10d6 en nivel 20.</t>
  </si>
  <si>
    <t>Invocar Plaga (6d6) + Aura de Decadencia (3d6) + Poder Descomponedor (7d6) + Rayos de Enfermedad (3d8).</t>
  </si>
  <si>
    <t>Hablar con Plantas</t>
  </si>
  <si>
    <t>Puedes comunicarte con las plantas y obtener información</t>
  </si>
  <si>
    <t>Furia y Decadencia (+2d6 veneno) + Invocar Plaga (6d6) + Aura de Decadencia (3d6) + Infección Masiva (3d6).</t>
  </si>
  <si>
    <t>Furia y Decadencia</t>
  </si>
  <si>
    <t>Invocar Plaga de Langostas</t>
  </si>
  <si>
    <t>Invoca una plaga de langostas que destruye todo en un área</t>
  </si>
  <si>
    <t>4d8 veneno</t>
  </si>
  <si>
    <t>Mientras estés en combate, puedes usar una habilidad adicional para potenciar todas tus invocaciones y plagas, incrementando el daño de veneno en 2d6 por turno.</t>
  </si>
  <si>
    <t>(+2d6) veneno adicional</t>
  </si>
  <si>
    <t>Mejora el daño continuo de veneno en cada turno.</t>
  </si>
  <si>
    <t>Plaga Apocalíptica (10d6) + Aura de Decadencia (4d6) + Infección Masiva (4d6) + Furia y Decadencia (+2d6 veneno).</t>
  </si>
  <si>
    <t>Plaga Apocalíptica</t>
  </si>
  <si>
    <t>Descomposición Necrótica</t>
  </si>
  <si>
    <t>Inflige daño necrótico a una criatura y la descompone lentamente</t>
  </si>
  <si>
    <t>Invocas una plaga de proporciones apocalípticas, cubriendo un área de 60 pies y causando 10d6 de daño de veneno. Los enemigos quedan envenenados hasta recibir curación mágica.</t>
  </si>
  <si>
    <t>10d6 veneno</t>
  </si>
  <si>
    <t>Escala a 12d6 en nivel 20.</t>
  </si>
  <si>
    <t>Plaga de Insectos</t>
  </si>
  <si>
    <t>Invoca una nube de insectos venenosos</t>
  </si>
  <si>
    <t>Señor de las Plagas (Curación 4d6) + Desintegrar (136) + Furia y Decadencia (+2d6) + Infección Masiva (4d6) + Aura de Decadencia (4d6) + Descomposición de la Naturaleza (5d6).</t>
  </si>
  <si>
    <t>Señor de las Plagas</t>
  </si>
  <si>
    <t>Control de Agua</t>
  </si>
  <si>
    <t>Controlas el agua en un área, moviéndola o invocando corrientes</t>
  </si>
  <si>
    <t>Durante 1 minuto, tus habilidades no tienen límite y puedes curarte por 4d6 puntos de golpe cada vez que invocas una plaga.</t>
  </si>
  <si>
    <t>Curación 4d6 por plaga</t>
  </si>
  <si>
    <t>Máxima mejora, uso ilimitado de plagas.</t>
  </si>
  <si>
    <t>Muro de Fuego</t>
  </si>
  <si>
    <t>Invoca un muro de llamas que inflige daño a los enemigos</t>
  </si>
  <si>
    <t>Nube de Insectos</t>
  </si>
  <si>
    <t>Invocas una nube masiva de insectos que devoran todo en su camino</t>
  </si>
  <si>
    <t>6d8 veneno</t>
  </si>
  <si>
    <t>Plaga</t>
  </si>
  <si>
    <t>Invocas una plaga mortal que cubre un área amplia</t>
  </si>
  <si>
    <t>Descomposición Masiva</t>
  </si>
  <si>
    <t>Hace que múltiples cadáveres se descompongan y liberen veneno en el aire</t>
  </si>
  <si>
    <t>Inflige un rayo de energía que desintegra a los enemigos</t>
  </si>
  <si>
    <t>10d6 + 40</t>
  </si>
  <si>
    <t>Rayo de Peste</t>
  </si>
  <si>
    <t>Lanzas un rayo que inflige una enfermedad mortal</t>
  </si>
  <si>
    <t>Artilugio Caótico: 1d6 de daño + explosión adicional (3d6 máximo).</t>
  </si>
  <si>
    <t>Artilugio Caótico</t>
  </si>
  <si>
    <t>Restaura la salud de una criatura tocada.</t>
  </si>
  <si>
    <t>1d8 + modificador de Sabiduría</t>
  </si>
  <si>
    <t>Explosión con efectos impredecibles.</t>
  </si>
  <si>
    <t>1d6 de daño de fuerza</t>
  </si>
  <si>
    <t>N/A</t>
  </si>
  <si>
    <t>Efecto impredecible (explosión, proyección de energía)</t>
  </si>
  <si>
    <t>Reparaciones Rápidas: 1d6 del robot + Artilugio Caótico (explosión, 3d6 máximo).</t>
  </si>
  <si>
    <t>Reparaciones Rápidas</t>
  </si>
  <si>
    <t>Fuerza de un Gigante</t>
  </si>
  <si>
    <t>Aumenta la fuerza de un objetivo, permitiendo aumentar el daño de ataques.</t>
  </si>
  <si>
    <t>Robot con 8 puntos de golpe que explota causando el efecto de Artilugio Caótico.</t>
  </si>
  <si>
    <t>1d6 de daño al explotar</t>
  </si>
  <si>
    <t>Explosión de robot.</t>
  </si>
  <si>
    <t>Invención de Dron: 2d6 del dron + Artilugio Caótico (explosión, 3d6 máximo).</t>
  </si>
  <si>
    <t>Maestría en Explosivos</t>
  </si>
  <si>
    <t>Invoca un arma mágica que ataca a un enemigo en el área.</t>
  </si>
  <si>
    <t>1d8 + modificador</t>
  </si>
  <si>
    <t>Invención de Dron</t>
  </si>
  <si>
    <t>Invoca un dron que ataca enemigos o desactiva trampas.</t>
  </si>
  <si>
    <t>2d6 de daño de fuerza</t>
  </si>
  <si>
    <t>Desactivación de trampas</t>
  </si>
  <si>
    <t>Igual al nivel 3 + mejoras en habilidades.</t>
  </si>
  <si>
    <t>Hacha de Viento</t>
  </si>
  <si>
    <t>Lanza un hacha de viento que inflige daño a los enemigos en su camino.</t>
  </si>
  <si>
    <t>1d8 de daño cortante</t>
  </si>
  <si>
    <t>Aumenta dos puntuaciones de habilidad.</t>
  </si>
  <si>
    <t>Drone de Batalla: 2d6 de ataque + Artilugio Caótico (2d6) + Maestría en Explosivos (1d6 adicional).</t>
  </si>
  <si>
    <t>Drone de Batalla</t>
  </si>
  <si>
    <t>Espina de Acero</t>
  </si>
  <si>
    <t>Lanza un proyectil que inflige daño a distancia.</t>
  </si>
  <si>
    <t>1d10 de daño perforante</t>
  </si>
  <si>
    <t>Artilugio Caótico (Escalado)</t>
  </si>
  <si>
    <t>El artilugio causa más daño.</t>
  </si>
  <si>
    <t>2d6 (12/2)</t>
  </si>
  <si>
    <t>Efecto de explosión aumenta</t>
  </si>
  <si>
    <t>Igual al nivel 5 + Reparaciones Rápidas (2d6 explosión).</t>
  </si>
  <si>
    <t>Mejora Tecnológica</t>
  </si>
  <si>
    <t>Aumenta las tiradas de ataque y salvación de los aliados.</t>
  </si>
  <si>
    <t>Aumenta en 1d6 el daño de tus explosivos y trampas.</t>
  </si>
  <si>
    <t>1d6 adicional (6/1)</t>
  </si>
  <si>
    <t>Trampa Mejorada: 2d6 de veneno o 3d6 explosivo + Drone de Batalla (2d6) + Artilugio Caótico (2d6) + Maestría en Explosivos (2d6 adicional).</t>
  </si>
  <si>
    <t>Trampa Mejorada</t>
  </si>
  <si>
    <t>Lanza un rayo que inflige daño necrótico.</t>
  </si>
  <si>
    <t>El drone ataca y mejora su capacidad ofensiva.</t>
  </si>
  <si>
    <t>Ataque aéreo y cobertura</t>
  </si>
  <si>
    <t>Igual al nivel 7 + mejoras menores.</t>
  </si>
  <si>
    <t>Poder de Curación</t>
  </si>
  <si>
    <t>Restaura la salud a un número de criaturas en un área.</t>
  </si>
  <si>
    <t>3d6 + modificador de Sabiduría</t>
  </si>
  <si>
    <t>Reparaciones Rápidas (Escalado)</t>
  </si>
  <si>
    <t>El robot creado inflige más daño al explotar.</t>
  </si>
  <si>
    <t>Aumenta la potencia de explosión</t>
  </si>
  <si>
    <t>Golem de Hierro: 2d10 de daño + Drone de Batalla (3d6) + Artilugio Caótico (3d6) + Maestría en Explosivos (2d6 adicional).</t>
  </si>
  <si>
    <t>Golem de Hierro</t>
  </si>
  <si>
    <t>Invisibilidad</t>
  </si>
  <si>
    <t>Hace invisible a una criatura o al lanzador por un tiempo determinado.</t>
  </si>
  <si>
    <t>Trampa que inflige daño de veneno o explosivo.</t>
  </si>
  <si>
    <t>2d6 veneno o 3d6 explosivo</t>
  </si>
  <si>
    <t>Envenenamiento o parálisis</t>
  </si>
  <si>
    <t>Invención Maestra: 5d6 de daño + Golem de Hierro (2d10) + Drone de Batalla (3d6) + Maestría en Explosivos (3d6 adicional).</t>
  </si>
  <si>
    <t>Invención Maestra</t>
  </si>
  <si>
    <t>Lanza un rayo que desintegra a los enemigos.</t>
  </si>
  <si>
    <t>10d6 + 40 de daño</t>
  </si>
  <si>
    <t>El artilugio aumenta a 3d6 de daño.</t>
  </si>
  <si>
    <t>3d6 (18/3)</t>
  </si>
  <si>
    <t>Igual al nivel 10 + Destrucción Controlada (daño máximo en explosión).</t>
  </si>
  <si>
    <t>Destrucción Controlada</t>
  </si>
  <si>
    <t>Invoca un muro de fuego que inflige daño a los enemigos que lo cruzan.</t>
  </si>
  <si>
    <t>4d6 de daño</t>
  </si>
  <si>
    <t>Drone de Batalla (Escalado)</t>
  </si>
  <si>
    <t>Aumenta el daño del drone.</t>
  </si>
  <si>
    <t>3d6 de daño de fuerza</t>
  </si>
  <si>
    <t>Igual al nivel 11 + mejoras menores.</t>
  </si>
  <si>
    <t>Permite controlar el agua en el área, generando distintas condiciones.</t>
  </si>
  <si>
    <t>Invocas un golem que inflige daño contundente.</t>
  </si>
  <si>
    <t>2d10 de daño contundente</t>
  </si>
  <si>
    <t>Aumenta la durabilidad del golem</t>
  </si>
  <si>
    <t>Cañón de Energía: 6d6 de daño de fuerza + Golem de Hierro (3d10) + Drone de Batalla (4d6) + Artilugio Caótico (3d6).</t>
  </si>
  <si>
    <t>Cañón de Energía</t>
  </si>
  <si>
    <t>Luz del Amanecer</t>
  </si>
  <si>
    <t>Lanza un rayo de luz que inflige daño radiante a los enemigos.</t>
  </si>
  <si>
    <t>6d10 radiante</t>
  </si>
  <si>
    <t>Crea invenciones más poderosas con daño de fuerza o ácido.</t>
  </si>
  <si>
    <t>5d6 de daño de fuerza</t>
  </si>
  <si>
    <t>Invención Maestra (6d6 de daño) + Cañón de Energía (6d6) + Drone de Batalla (4d6) + Golem de Hierro (3d10).</t>
  </si>
  <si>
    <t>Torreta de Batalla</t>
  </si>
  <si>
    <t>Invocar a los Muertos</t>
  </si>
  <si>
    <t>Llama a criaturas muertas para que te ayuden en combate.</t>
  </si>
  <si>
    <t>5d6 de daño necromántico</t>
  </si>
  <si>
    <t>El robot ahora inflige 3d6 de daño al explotar.</t>
  </si>
  <si>
    <t>Aumenta la explosión</t>
  </si>
  <si>
    <t>Torreta de Batalla: 6d6 de daño por turno + Drone de Batalla (4d6) + Golem de Hierro (3d10) + Cañón de Energía (6d6).</t>
  </si>
  <si>
    <t>Invocación Mecánica Suprema</t>
  </si>
  <si>
    <t>Crea una explosión en un área seleccionada.</t>
  </si>
  <si>
    <t>5d8 de daño</t>
  </si>
  <si>
    <t>Maestría en Explosivos (Escalado)</t>
  </si>
  <si>
    <t>Aumenta el daño a 3d6 en explosiones.</t>
  </si>
  <si>
    <t>3d6 adicional (18/3)</t>
  </si>
  <si>
    <t>Igual al nivel 15 + mejoras menores.</t>
  </si>
  <si>
    <t>Aumenta el daño a 4d6.</t>
  </si>
  <si>
    <t>4d6 (24/4)</t>
  </si>
  <si>
    <t>Artilugio Caótico (5d6) + Drone de Batalla (5d6) + Golem de Hierro (4d10) + Cañón de Energía (8d6).</t>
  </si>
  <si>
    <t>Dron de Asalto Definitivo</t>
  </si>
  <si>
    <t>El drone inflige más daño en combate.</t>
  </si>
  <si>
    <t>4d6 de daño de fuerza</t>
  </si>
  <si>
    <t>Invocación Mecánica Suprema: 8d6 de daño por cañón + Golem de Hierro (4d10) + Drone de Batalla (5d6) + Cañón de Energía (8d6).</t>
  </si>
  <si>
    <t>Maestro de la Destrucción</t>
  </si>
  <si>
    <t>Dispara un rayo de energía que inflige daño de fuerza en área.</t>
  </si>
  <si>
    <t>6d6 de daño de fuerza</t>
  </si>
  <si>
    <t>Torreta de Batalla (8d6 por turno) + Invocación Mecánica Suprema (8d6 + 6d6) + Drone de Batalla (5d6).</t>
  </si>
  <si>
    <t>Aumenta el daño y la vida del golem.</t>
  </si>
  <si>
    <t>3d10 de daño contundente</t>
  </si>
  <si>
    <t>Máquina de Guerra Definitiva: 10d6 + Invocación Mecánica Suprema (10d6) + Golem de Hierro (4d10) + Drone de Batalla (5d6).</t>
  </si>
  <si>
    <t>Señor de la Invención</t>
  </si>
  <si>
    <t>Invención Maestra (Escalado)</t>
  </si>
  <si>
    <t>Aumenta el daño de la invención a 6d6.</t>
  </si>
  <si>
    <t>6d6 (36/6)</t>
  </si>
  <si>
    <t>La torreta dispara automáticamente a los enemigos cercanos.</t>
  </si>
  <si>
    <t>6d6 de daño por turno</t>
  </si>
  <si>
    <t>El daño explosivo ahora inflige 4d6.</t>
  </si>
  <si>
    <t>4d6 adicional (24/4)</t>
  </si>
  <si>
    <t>Trampa Mejorada (Escalado)</t>
  </si>
  <si>
    <t>Aumenta el daño de veneno a 4d6 o explosión a 5d6.</t>
  </si>
  <si>
    <t>5d6 (30/5)</t>
  </si>
  <si>
    <t>El drone inflige 5d6 de daño.</t>
  </si>
  <si>
    <t>El daño máximo del artilugio es 5d6.</t>
  </si>
  <si>
    <t>Cañón de Energía (Escalado)</t>
  </si>
  <si>
    <t>Aumenta el daño del cañón a 8d6.</t>
  </si>
  <si>
    <t>8d6 de daño de fuerza</t>
  </si>
  <si>
    <t>Golem de Hierro (Escalado)</t>
  </si>
  <si>
    <t>El golem inflige más daño y tiene más vida.</t>
  </si>
  <si>
    <t>4d10 de daño contundente</t>
  </si>
  <si>
    <t>La máquina de guerra inflige más daño y tiene más puntos de golpe.</t>
  </si>
  <si>
    <t>8d6 de cañón y 6d6 de aplastamiento</t>
  </si>
  <si>
    <t>Disparo y aplastamiento mecánico</t>
  </si>
  <si>
    <t>Las invenciones infligen 8d6 de daño de fuerza o ácido.</t>
  </si>
  <si>
    <t>8d6 (48/8)</t>
  </si>
  <si>
    <t>Torreta de Batalla (Escalado)</t>
  </si>
  <si>
    <t>La torreta inflige 8d6 de daño por turno.</t>
  </si>
  <si>
    <t>Las trampas infligen 5d6 de veneno o 6d6 de daño explosivo.</t>
  </si>
  <si>
    <t>Máquina de Guerra Definitiva</t>
  </si>
  <si>
    <t>La máquina de guerra inflige 10d6 de daño de fuerza, 150 puntos de golpe y puede volar.</t>
  </si>
  <si>
    <t>10d6 (60/10)</t>
  </si>
  <si>
    <t>Vuelo y ataques devastadores</t>
  </si>
  <si>
    <t>Guerrero Luminoso</t>
  </si>
  <si>
    <t>Campeón Radiante</t>
  </si>
  <si>
    <t>Paladín Celestial</t>
  </si>
  <si>
    <t>Avatar de la Luz</t>
  </si>
  <si>
    <t>Tiro Preciso</t>
  </si>
  <si>
    <t>Flecha de Fuego</t>
  </si>
  <si>
    <t>Dispara una flecha de fuego que inflige daño adicional.</t>
  </si>
  <si>
    <t>1d10 de daño de fuego</t>
  </si>
  <si>
    <t>Ventaja en el primer ataque a distancia en combate.</t>
  </si>
  <si>
    <t>Construcción de Arma de Proyectiles</t>
  </si>
  <si>
    <t>Cura Heridas</t>
  </si>
  <si>
    <t>Cura a una criatura tocada.</t>
  </si>
  <si>
    <t>Creas un artilugio de proyectiles que inflige daño adicional de fuerza.</t>
  </si>
  <si>
    <t>Golpe Crítico Mejorado</t>
  </si>
  <si>
    <t>Disparo Mágico</t>
  </si>
  <si>
    <t>Realiza un ataque mágico que ignora la cobertura.</t>
  </si>
  <si>
    <t>Añades daño adicional cuando realizas un golpe crítico con un ataque a distancia.</t>
  </si>
  <si>
    <t>(+1d6) adicional de daño</t>
  </si>
  <si>
    <t>Crea una nube de insectos que daña a los enemigos en su área.</t>
  </si>
  <si>
    <t>2d6 de daño de veneno</t>
  </si>
  <si>
    <t>Aumentas dos puntuaciones de habilidad en 1 o eliges una proeza.</t>
  </si>
  <si>
    <t>Cañón de Asedio</t>
  </si>
  <si>
    <t>Lanza un rayo helado que reduce la velocidad del enemigo.</t>
  </si>
  <si>
    <t>2d8 de daño de frío</t>
  </si>
  <si>
    <t>Construyes un cañón de proyectiles que dispara en un área de 15 pies de radio.</t>
  </si>
  <si>
    <t>Flechas o Proyectiles Críticos</t>
  </si>
  <si>
    <t>Aumentar/Reducir</t>
  </si>
  <si>
    <t>Aumenta o reduce el tamaño de una criatura, afectando su capacidad de ataque.</t>
  </si>
  <si>
    <t>Construcción de Arma de Proyectiles (Escalado)</t>
  </si>
  <si>
    <t>El artilugio inflige más daño.</t>
  </si>
  <si>
    <t>Trampa de Proyectiles</t>
  </si>
  <si>
    <t>Poder de los Elementos</t>
  </si>
  <si>
    <t>Potencia un ataque a distancia con energía elemental adicional.</t>
  </si>
  <si>
    <t>3d6 de daño adicional (depende del tipo)</t>
  </si>
  <si>
    <t>Tus ataques a distancia son críticos con un 19 o 20 en la tirada de ataque.</t>
  </si>
  <si>
    <t>Otorga un bono a la CA a un aliado.</t>
  </si>
  <si>
    <t>Coloca una trampa que dispara un proyectil a los enemigos que entren en su área.</t>
  </si>
  <si>
    <t>2d6 de daño de fuerza y ralentización</t>
  </si>
  <si>
    <t>Balista de Energía</t>
  </si>
  <si>
    <t>Un rayo de energía desintegra a un enemigo.</t>
  </si>
  <si>
    <t>10d6 + 40 de daño de fuerza</t>
  </si>
  <si>
    <t>Dispara en línea recta atravesando enemigos.</t>
  </si>
  <si>
    <t>Crítico Perfeccionado</t>
  </si>
  <si>
    <t>Controlar Agua</t>
  </si>
  <si>
    <t>Controla el agua en un área, creando oleadas que arrastran a los enemigos.</t>
  </si>
  <si>
    <t>Torreta de Proyectiles</t>
  </si>
  <si>
    <t>Un rayo de luz radiante que inflige daño a los enemigos.</t>
  </si>
  <si>
    <t>Cañón de Asedio (Escalado)</t>
  </si>
  <si>
    <t>Aumenta el daño del cañón de proyectiles.</t>
  </si>
  <si>
    <t>Añades 2d6 adicionales de daño cuando realizas un golpe crítico con un ataque.</t>
  </si>
  <si>
    <t>Disparo Letal</t>
  </si>
  <si>
    <t>Dispara automáticamente a los enemigos cercanos.</t>
  </si>
  <si>
    <t xml:space="preserve">Desenfreno Crítico </t>
  </si>
  <si>
    <t>Trampa de Proyectiles (Escalado)</t>
  </si>
  <si>
    <t>Las trampas infligen más daño.</t>
  </si>
  <si>
    <t>3d6 de daño de proyectiles</t>
  </si>
  <si>
    <t>Explosión de Proyectiles</t>
  </si>
  <si>
    <t>Realiza un ataque adicional cuando infliges un golpe crítico.</t>
  </si>
  <si>
    <t>(Escalado)</t>
  </si>
  <si>
    <t>Maestro Francotirador</t>
  </si>
  <si>
    <t>Desatas una lluvia de proyectiles que destruye todo a su paso.</t>
  </si>
  <si>
    <t>Destructor de Proyectiles</t>
  </si>
  <si>
    <t>Torreta de Proyectiles (Escalado)</t>
  </si>
  <si>
    <t>La torreta inflige más daño por turno.</t>
  </si>
  <si>
    <t>Las trampas infligen más daño de proyectiles.</t>
  </si>
  <si>
    <t>4d6 de daño de proyectiles</t>
  </si>
  <si>
    <t>7d6 de daño de fuerza</t>
  </si>
  <si>
    <t>Realizas dos ataques críticos en un turno si ambos ataques impactan.</t>
  </si>
  <si>
    <t>8d6 de daño por turno</t>
  </si>
  <si>
    <t>5d6 de daño de proyectiles</t>
  </si>
  <si>
    <t>Dispara tres proyectiles, cada uno inflige daño devastador.</t>
  </si>
  <si>
    <t>10d6 de daño de fuerza</t>
  </si>
  <si>
    <t>Golpe Cortante: 1d12 (2 ataques con espada)</t>
  </si>
  <si>
    <t>Golpe Cortante</t>
  </si>
  <si>
    <t>Restaura 1d8 + modificador de Sabiduría puntos de golpe a una criatura.</t>
  </si>
  <si>
    <t>Realizas un ataque adicional.</t>
  </si>
  <si>
    <t>1d12 por espada</t>
  </si>
  <si>
    <t>Ilimitado en acción.</t>
  </si>
  <si>
    <t>Golpe Cortante + Furia de las Cuchillas (daño adicional)</t>
  </si>
  <si>
    <t>Furia de las Cuchillas</t>
  </si>
  <si>
    <t>Te otorga un aumento temporal de +5 a la CA como reacción.</t>
  </si>
  <si>
    <t>Escalado</t>
  </si>
  <si>
    <t>Nivel 5: Cada ataque inflige un 1d4 adicional de daño cortante.
Nivel 10: Puedes realizar hasta 3 ataques como parte de la acción de ataque.
Nivel 15: Si un ataque impacta, todos los ataques adicionales de ese turno reciben un bono de +2 al daño.
Nivel 20: Cuando realizas Combo Cortante, puedes hacer un ataque adicional sin gastar un espacio de hechizo.</t>
  </si>
  <si>
    <t>1d4 cortante adicional</t>
  </si>
  <si>
    <t>1 minuto, usos por Constitución.</t>
  </si>
  <si>
    <t>Guardia Imparable (solo defensa)</t>
  </si>
  <si>
    <t>Guardia Imparable</t>
  </si>
  <si>
    <t>Añade 1d4 a las tiradas de ataque o salvación de hasta tres criaturas.</t>
  </si>
  <si>
    <t>Aumenta tu velocidad y te da ventaja en las tiradas de ataque.</t>
  </si>
  <si>
    <t>(+2) ataques adicionales</t>
  </si>
  <si>
    <t>1 vez por descanso corto.</t>
  </si>
  <si>
    <t>Ataques con Golpe Cortante</t>
  </si>
  <si>
    <t>Agujero en el Tiempo</t>
  </si>
  <si>
    <t>Permite saltar temporalmente para evitar un ataque.</t>
  </si>
  <si>
    <t>Nivel 5: Ganas ventaja en todas las tiradas de ataque durante un turno al activar Desenfreno Cortante.
Nivel 10: Puedes usar esta habilidad dos veces por descanso corto.
Nivel 15: Al activar Desenfreno Cortante, infliges 1d6 adicional de daño cortante.
Nivel 20: Puedes realizar una acción adicional durante tu turno al usar Desenfreno Cortante.</t>
  </si>
  <si>
    <t>(+1d6) daño adicional</t>
  </si>
  <si>
    <t>Golpe Cortante (2d12) + Ataque Extra (2 ataques)</t>
  </si>
  <si>
    <t>Ataque Extra</t>
  </si>
  <si>
    <t>Esfera de Protección</t>
  </si>
  <si>
    <t>Crea una esfera que otorga ventaja a las tiradas de salvación a los aliados dentro de ella.</t>
  </si>
  <si>
    <t>(+2) a la CA y contraataque.</t>
  </si>
  <si>
    <t>Contraataque con espada</t>
  </si>
  <si>
    <t>Torbellino de Espadas (1d12 por enemigo, 3 enemigos)</t>
  </si>
  <si>
    <t>Torbellino de Espadas</t>
  </si>
  <si>
    <t>Rayo de Sombra</t>
  </si>
  <si>
    <t>Lanza un rayo que inflige 2d10 de daño necrótico.</t>
  </si>
  <si>
    <t>Al nivel 15, el bono a la CA aumenta a +3.</t>
  </si>
  <si>
    <t>(+3) a la CA</t>
  </si>
  <si>
    <t>Usos por Fuerza, 1 vez por descanso corto.</t>
  </si>
  <si>
    <t>Furia Cortante + ataques con 1d6 adicional</t>
  </si>
  <si>
    <t>Furia Cortante</t>
  </si>
  <si>
    <t>Invoca un arma que inflige 1d8 de daño radiante a un enemigo.</t>
  </si>
  <si>
    <t>Mejora de atributos</t>
  </si>
  <si>
    <t>Durante la duración de la furia.</t>
  </si>
  <si>
    <t>Vínculo de Fuerza</t>
  </si>
  <si>
    <t>Crea un vínculo que otorga ventaja en tiradas de ataque mientras dure el vínculo.</t>
  </si>
  <si>
    <t>Puedes atacar dos veces en lugar de una.</t>
  </si>
  <si>
    <t>2 ataques, Multiplicador de daño</t>
  </si>
  <si>
    <t>x2</t>
  </si>
  <si>
    <t>Impacto Imparable: Golpea automáticamente y daño crítico</t>
  </si>
  <si>
    <t>Impacto Imparable</t>
  </si>
  <si>
    <t>Cura Masiva</t>
  </si>
  <si>
    <t>Restaura 4d8 + modificador de Sabiduría puntos de golpe a todas las criaturas dentro de un radio.</t>
  </si>
  <si>
    <t>Realizas un ataque contra todos los enemigos a 10 pies.</t>
  </si>
  <si>
    <t>1d12 por enemigo Ataques múltiples en área</t>
  </si>
  <si>
    <t>1 vez por descanso largo.</t>
  </si>
  <si>
    <t>Maestro del Puño Cortante + daño adicional</t>
  </si>
  <si>
    <t>Maestro del Puño Cortante</t>
  </si>
  <si>
    <t>Tormenta de Espadas</t>
  </si>
  <si>
    <t>Invoca espadas mágicas que atacan a los enemigos en un área.</t>
  </si>
  <si>
    <t>Ignoras la resistencia al daño cortante de los enemigos mientras estás en furia.</t>
  </si>
  <si>
    <t>(+1d6) cortante adicional</t>
  </si>
  <si>
    <t>Permanente.</t>
  </si>
  <si>
    <t>Ataque Extra (3 ataques, 3d12) + Furia de las Cuchillas</t>
  </si>
  <si>
    <t>Ataque Extra (2)</t>
  </si>
  <si>
    <t>Cruzada del Guerrero</t>
  </si>
  <si>
    <t>Aumenta temporalmente el daño de todos los ataques cuerpo a cuerpo en 3d6.</t>
  </si>
  <si>
    <t>Al nivel 13, también infliges 1d6 de daño cortante adicional a tus ataques.</t>
  </si>
  <si>
    <t>Solo en furia.</t>
  </si>
  <si>
    <t>Un pilar de fuego inflige 4d10 de daño a todos los enemigos en un área.</t>
  </si>
  <si>
    <t>Frenesí de las Cuchillas + 1d12 por enemigo</t>
  </si>
  <si>
    <t>Frenesí de las Cuchillas</t>
  </si>
  <si>
    <t>Golpea automáticamente con daño crítico.</t>
  </si>
  <si>
    <t>Crítico (doble daño de espada)</t>
  </si>
  <si>
    <t>Furia Imparable (inmunidad al daño)</t>
  </si>
  <si>
    <t>Al nivel 20, el daño crítico se incrementa en 2d6 adicionales.</t>
  </si>
  <si>
    <t>(+2d6) daño crítico</t>
  </si>
  <si>
    <t>Escudo de Cuchillas + 2d6 de represalia</t>
  </si>
  <si>
    <t>Escudo de Cuchillas</t>
  </si>
  <si>
    <t>Tus espadas infligen 1d6 de daño adicional cada vez que golpean a un enemigo.</t>
  </si>
  <si>
    <t>1d6 adicional por ataque</t>
  </si>
  <si>
    <t>Al nivel 15, el daño adicional aumenta a 2d6.</t>
  </si>
  <si>
    <t>2d6 adicional por ataque</t>
  </si>
  <si>
    <t>Ilimitado.</t>
  </si>
  <si>
    <t>Maestro del Puño Cortante (2d6 adicional por ataque)</t>
  </si>
  <si>
    <t>Maestro del Combate Dual</t>
  </si>
  <si>
    <t>Puedes atacar tres veces, en lugar de dos, cuando tomes la acción de Ataque en tu turno en furia.</t>
  </si>
  <si>
    <t>3 ataques</t>
  </si>
  <si>
    <t>Maestro del Combate Dual (2 ataques adicionales)</t>
  </si>
  <si>
    <t>Escudo de Cuchillas (3d6 de represalia)</t>
  </si>
  <si>
    <t>Puedes realizar ataques rápidos contra todos los enemigos cercanos.</t>
  </si>
  <si>
    <t>1d12 + 1d4 por enemigo</t>
  </si>
  <si>
    <t>Tormenta de Corte Mortal: múltiples ataques y críticos</t>
  </si>
  <si>
    <t>Tormenta de Corte Mortal</t>
  </si>
  <si>
    <t>Al nivel 17, cada ataque inflige 1d4 de daño cortante adicional.</t>
  </si>
  <si>
    <t>(+1d4) cortante adicional</t>
  </si>
  <si>
    <t>Inmunidad al daño contundente, cortante y perforante mientras estés en furia.</t>
  </si>
  <si>
    <t>Inmunidad a daño</t>
  </si>
  <si>
    <t>(+3) a la CA y cualquier enemigo que te ataque recibe 2d6 de daño cortante como represalia.</t>
  </si>
  <si>
    <t>2d6 represalia</t>
  </si>
  <si>
    <t>Al nivel 20, el daño cortante a atacantes aumenta a 3d6.</t>
  </si>
  <si>
    <t>3d6 represalia</t>
  </si>
  <si>
    <t>Maestro del Puño Cortante (Escalado)</t>
  </si>
  <si>
    <t>Tus espadas infligen 2d6 de daño adicional cada vez que golpean a un enemigo.</t>
  </si>
  <si>
    <t>Puedes realizar dos ataques adicionales cuando tomas la acción de Ataque.</t>
  </si>
  <si>
    <t>2 ataques adicionales</t>
  </si>
  <si>
    <t>Escudo de Cuchillas (Escalado)</t>
  </si>
  <si>
    <t>Cualquier enemigo que te ataque recibe 3d6 de daño cortante como represalia.</t>
  </si>
  <si>
    <t>Puedes desencadenar una tormenta de golpes, cada golpe es un crítico y ataca automáticamente.</t>
  </si>
  <si>
    <t>Daño crítico + Rafaga de ataques, 5 ataques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</si>
</sst>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3">
    <font>
      <sz val="10.0"/>
      <color rgb="FF000000"/>
      <name val="Arial"/>
      <scheme val="minor"/>
    </font>
    <font>
      <sz val="8.0"/>
      <color theme="1"/>
      <name val="Arial"/>
    </font>
    <font/>
    <font>
      <b/>
      <color theme="1"/>
      <name val="Arial"/>
    </font>
    <font>
      <b/>
      <color theme="1"/>
      <name val="Arial"/>
      <scheme val="minor"/>
    </font>
    <font>
      <sz val="8.0"/>
      <color theme="1"/>
      <name val="&quot;Liberation Sans&quot;"/>
    </font>
    <font>
      <color theme="1"/>
      <name val="Arial"/>
      <scheme val="minor"/>
    </font>
    <font>
      <color theme="1"/>
      <name val="Arial"/>
    </font>
    <font>
      <sz val="9.0"/>
      <color theme="1"/>
      <name val="Arial"/>
    </font>
    <font>
      <sz val="8.0"/>
      <color theme="1"/>
      <name val="Arial"/>
      <scheme val="minor"/>
    </font>
    <font>
      <sz val="7.0"/>
      <color theme="1"/>
      <name val="Arial"/>
    </font>
    <font>
      <b/>
      <sz val="14.0"/>
      <color theme="1"/>
      <name val="Arial"/>
      <scheme val="minor"/>
    </font>
    <font>
      <sz val="9.0"/>
      <color rgb="FF1F1F1F"/>
      <name val="&quot;Google Sans&quot;"/>
    </font>
  </fonts>
  <fills count="6">
    <fill>
      <patternFill patternType="none"/>
    </fill>
    <fill>
      <patternFill patternType="lightGray"/>
    </fill>
    <fill>
      <patternFill patternType="solid">
        <fgColor rgb="FFF6B26B"/>
        <bgColor rgb="FFF6B26B"/>
      </patternFill>
    </fill>
    <fill>
      <patternFill patternType="solid">
        <fgColor rgb="FFFCE5CD"/>
        <bgColor rgb="FFFCE5CD"/>
      </patternFill>
    </fill>
    <fill>
      <patternFill patternType="solid">
        <fgColor rgb="FFFFF2CC"/>
        <bgColor rgb="FFFFF2CC"/>
      </patternFill>
    </fill>
    <fill>
      <patternFill patternType="solid">
        <fgColor rgb="FFFFFFFF"/>
        <bgColor rgb="FFFFFFFF"/>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2" fillId="0" fontId="2" numFmtId="0" xfId="0" applyBorder="1" applyFont="1"/>
    <xf borderId="3" fillId="0" fontId="2" numFmtId="0" xfId="0" applyBorder="1" applyFont="1"/>
    <xf borderId="1" fillId="2" fontId="3" numFmtId="0" xfId="0" applyAlignment="1" applyBorder="1" applyFont="1">
      <alignment readingOrder="0" shrinkToFit="0" vertical="top" wrapText="0"/>
    </xf>
    <xf borderId="1" fillId="2" fontId="4" numFmtId="0" xfId="0" applyAlignment="1" applyBorder="1" applyFont="1">
      <alignment horizontal="center" readingOrder="0"/>
    </xf>
    <xf borderId="4" fillId="2" fontId="5" numFmtId="0" xfId="0" applyAlignment="1" applyBorder="1" applyFont="1">
      <alignment horizontal="left" readingOrder="0"/>
    </xf>
    <xf borderId="4" fillId="2" fontId="1" numFmtId="0" xfId="0" applyAlignment="1" applyBorder="1" applyFont="1">
      <alignment horizontal="left" readingOrder="0"/>
    </xf>
    <xf borderId="4" fillId="2" fontId="3" numFmtId="0" xfId="0" applyAlignment="1" applyBorder="1" applyFont="1">
      <alignment shrinkToFit="0" vertical="top" wrapText="0"/>
    </xf>
    <xf borderId="4" fillId="2" fontId="3" numFmtId="0" xfId="0" applyAlignment="1" applyBorder="1" applyFont="1">
      <alignment horizontal="center" shrinkToFit="0" vertical="top" wrapText="0"/>
    </xf>
    <xf borderId="5" fillId="2" fontId="4" numFmtId="0" xfId="0" applyAlignment="1" applyBorder="1" applyFont="1">
      <alignment horizontal="center" readingOrder="0"/>
    </xf>
    <xf borderId="4" fillId="2" fontId="3" numFmtId="0" xfId="0" applyAlignment="1" applyBorder="1" applyFont="1">
      <alignment readingOrder="0" shrinkToFit="0" vertical="top" wrapText="0"/>
    </xf>
    <xf borderId="5" fillId="2" fontId="6" numFmtId="0" xfId="0" applyAlignment="1" applyBorder="1" applyFont="1">
      <alignment readingOrder="0"/>
    </xf>
    <xf borderId="6" fillId="3" fontId="5" numFmtId="0" xfId="0" applyAlignment="1" applyBorder="1" applyFill="1" applyFont="1">
      <alignment horizontal="left" readingOrder="0"/>
    </xf>
    <xf borderId="6" fillId="3" fontId="1" numFmtId="0" xfId="0" applyAlignment="1" applyBorder="1" applyFont="1">
      <alignment horizontal="left" readingOrder="0"/>
    </xf>
    <xf borderId="6" fillId="4" fontId="7" numFmtId="0" xfId="0" applyAlignment="1" applyBorder="1" applyFill="1" applyFont="1">
      <alignment readingOrder="0" shrinkToFit="0" vertical="bottom" wrapText="1"/>
    </xf>
    <xf borderId="6" fillId="4" fontId="7" numFmtId="0" xfId="0" applyAlignment="1" applyBorder="1" applyFont="1">
      <alignment horizontal="center" readingOrder="0" shrinkToFit="0" vertical="bottom" wrapText="1"/>
    </xf>
    <xf borderId="1" fillId="4" fontId="6" numFmtId="0" xfId="0" applyAlignment="1" applyBorder="1" applyFont="1">
      <alignment horizontal="center" readingOrder="0" vertical="center"/>
    </xf>
    <xf borderId="2" fillId="4" fontId="6" numFmtId="0" xfId="0" applyAlignment="1" applyBorder="1" applyFont="1">
      <alignment readingOrder="0"/>
    </xf>
    <xf borderId="2" fillId="4" fontId="8" numFmtId="0" xfId="0" applyAlignment="1" applyBorder="1" applyFont="1">
      <alignment readingOrder="0"/>
    </xf>
    <xf borderId="3" fillId="4" fontId="6" numFmtId="0" xfId="0" applyAlignment="1" applyBorder="1" applyFont="1">
      <alignment readingOrder="0"/>
    </xf>
    <xf borderId="3" fillId="4" fontId="6" numFmtId="0" xfId="0" applyAlignment="1" applyBorder="1" applyFont="1">
      <alignment horizontal="center" readingOrder="0"/>
    </xf>
    <xf borderId="5" fillId="4" fontId="6" numFmtId="0" xfId="0" applyAlignment="1" applyBorder="1" applyFont="1">
      <alignment horizontal="center" readingOrder="0" vertical="center"/>
    </xf>
    <xf borderId="6" fillId="4" fontId="7" numFmtId="0" xfId="0" applyAlignment="1" applyBorder="1" applyFont="1">
      <alignment shrinkToFit="0" vertical="bottom" wrapText="1"/>
    </xf>
    <xf borderId="5" fillId="4" fontId="6" numFmtId="0" xfId="0" applyAlignment="1" applyBorder="1" applyFont="1">
      <alignment readingOrder="0"/>
    </xf>
    <xf borderId="5" fillId="4" fontId="9" numFmtId="0" xfId="0" applyAlignment="1" applyBorder="1" applyFont="1">
      <alignment readingOrder="0"/>
    </xf>
    <xf borderId="6" fillId="4" fontId="7" numFmtId="0" xfId="0" applyAlignment="1" applyBorder="1" applyFont="1">
      <alignment horizontal="center" shrinkToFit="0" vertical="bottom" wrapText="1"/>
    </xf>
    <xf borderId="6" fillId="4" fontId="5" numFmtId="0" xfId="0" applyAlignment="1" applyBorder="1" applyFont="1">
      <alignment horizontal="left" readingOrder="0"/>
    </xf>
    <xf borderId="6" fillId="4" fontId="1" numFmtId="0" xfId="0" applyAlignment="1" applyBorder="1" applyFont="1">
      <alignment horizontal="left" readingOrder="0"/>
    </xf>
    <xf borderId="6" fillId="3" fontId="7" numFmtId="0" xfId="0" applyAlignment="1" applyBorder="1" applyFont="1">
      <alignment readingOrder="0" shrinkToFit="0" vertical="bottom" wrapText="1"/>
    </xf>
    <xf borderId="6" fillId="3" fontId="7" numFmtId="0" xfId="0" applyAlignment="1" applyBorder="1" applyFont="1">
      <alignment horizontal="center" readingOrder="0" shrinkToFit="0" vertical="bottom" wrapText="1"/>
    </xf>
    <xf borderId="7" fillId="0" fontId="2" numFmtId="0" xfId="0" applyBorder="1" applyFont="1"/>
    <xf borderId="0" fillId="4" fontId="6" numFmtId="0" xfId="0" applyAlignment="1" applyFont="1">
      <alignment readingOrder="0"/>
    </xf>
    <xf borderId="0" fillId="4" fontId="8" numFmtId="0" xfId="0" applyAlignment="1" applyFont="1">
      <alignment readingOrder="0"/>
    </xf>
    <xf borderId="8" fillId="4" fontId="6" numFmtId="0" xfId="0" applyAlignment="1" applyBorder="1" applyFont="1">
      <alignment readingOrder="0"/>
    </xf>
    <xf borderId="8" fillId="4" fontId="6" numFmtId="0" xfId="0" applyAlignment="1" applyBorder="1" applyFont="1">
      <alignment horizontal="center" readingOrder="0"/>
    </xf>
    <xf borderId="6" fillId="4" fontId="6" numFmtId="0" xfId="0" applyAlignment="1" applyBorder="1" applyFont="1">
      <alignment horizontal="center" readingOrder="0" vertical="center"/>
    </xf>
    <xf borderId="6" fillId="4" fontId="6" numFmtId="0" xfId="0" applyAlignment="1" applyBorder="1" applyFont="1">
      <alignment readingOrder="0"/>
    </xf>
    <xf borderId="6" fillId="4" fontId="9" numFmtId="0" xfId="0" applyAlignment="1" applyBorder="1" applyFont="1">
      <alignment readingOrder="0"/>
    </xf>
    <xf borderId="6" fillId="3" fontId="6" numFmtId="0" xfId="0" applyAlignment="1" applyBorder="1" applyFont="1">
      <alignment horizontal="center" readingOrder="0" vertical="center"/>
    </xf>
    <xf borderId="6" fillId="3" fontId="6" numFmtId="0" xfId="0" applyAlignment="1" applyBorder="1" applyFont="1">
      <alignment readingOrder="0"/>
    </xf>
    <xf borderId="6" fillId="3" fontId="9" numFmtId="0" xfId="0" applyAlignment="1" applyBorder="1" applyFont="1">
      <alignment readingOrder="0"/>
    </xf>
    <xf borderId="6" fillId="3" fontId="7" numFmtId="0" xfId="0" applyAlignment="1" applyBorder="1" applyFont="1">
      <alignment shrinkToFit="0" vertical="bottom" wrapText="1"/>
    </xf>
    <xf borderId="6" fillId="3" fontId="7" numFmtId="0" xfId="0" applyAlignment="1" applyBorder="1" applyFont="1">
      <alignment horizontal="center" shrinkToFit="0" vertical="bottom" wrapText="1"/>
    </xf>
    <xf borderId="0" fillId="3" fontId="6" numFmtId="0" xfId="0" applyAlignment="1" applyFont="1">
      <alignment horizontal="center" readingOrder="0" vertical="center"/>
    </xf>
    <xf borderId="0" fillId="3" fontId="6" numFmtId="0" xfId="0" applyAlignment="1" applyFont="1">
      <alignment readingOrder="0"/>
    </xf>
    <xf borderId="0" fillId="3" fontId="8" numFmtId="0" xfId="0" applyAlignment="1" applyFont="1">
      <alignment readingOrder="0"/>
    </xf>
    <xf borderId="8" fillId="3" fontId="6" numFmtId="0" xfId="0" applyAlignment="1" applyBorder="1" applyFont="1">
      <alignment readingOrder="0"/>
    </xf>
    <xf borderId="8" fillId="3" fontId="6" numFmtId="0" xfId="0" applyAlignment="1" applyBorder="1" applyFont="1">
      <alignment horizontal="center" readingOrder="0"/>
    </xf>
    <xf borderId="6" fillId="0" fontId="2" numFmtId="0" xfId="0" applyBorder="1" applyFont="1"/>
    <xf borderId="7" fillId="3" fontId="6" numFmtId="0" xfId="0" applyAlignment="1" applyBorder="1" applyFont="1">
      <alignment horizontal="center" readingOrder="0" vertical="center"/>
    </xf>
    <xf borderId="3" fillId="4" fontId="6" numFmtId="164" xfId="0" applyAlignment="1" applyBorder="1" applyFont="1" applyNumberFormat="1">
      <alignment horizontal="center" readingOrder="0"/>
    </xf>
    <xf borderId="6" fillId="4" fontId="6" numFmtId="0" xfId="0" applyAlignment="1" applyBorder="1" applyFont="1">
      <alignment horizontal="center" readingOrder="0"/>
    </xf>
    <xf borderId="7" fillId="4" fontId="6" numFmtId="0" xfId="0" applyAlignment="1" applyBorder="1" applyFont="1">
      <alignment horizontal="center" readingOrder="0" vertical="center"/>
    </xf>
    <xf borderId="6" fillId="4" fontId="9" numFmtId="0" xfId="0" applyBorder="1" applyFont="1"/>
    <xf borderId="6" fillId="4" fontId="6" numFmtId="0" xfId="0" applyAlignment="1" applyBorder="1" applyFont="1">
      <alignment horizontal="center" vertical="center"/>
    </xf>
    <xf borderId="6" fillId="3" fontId="6" numFmtId="0" xfId="0" applyAlignment="1" applyBorder="1" applyFont="1">
      <alignment horizontal="center" vertical="center"/>
    </xf>
    <xf borderId="6" fillId="4" fontId="6" numFmtId="0" xfId="0" applyAlignment="1" applyBorder="1" applyFont="1">
      <alignment horizontal="center" vertical="center"/>
    </xf>
    <xf borderId="6" fillId="4" fontId="6" numFmtId="0" xfId="0" applyBorder="1" applyFont="1"/>
    <xf borderId="6" fillId="4" fontId="6" numFmtId="0" xfId="0" applyAlignment="1" applyBorder="1" applyFont="1">
      <alignment horizontal="center"/>
    </xf>
    <xf borderId="9" fillId="4" fontId="5" numFmtId="0" xfId="0" applyAlignment="1" applyBorder="1" applyFont="1">
      <alignment horizontal="left" readingOrder="0"/>
    </xf>
    <xf borderId="9" fillId="4" fontId="1" numFmtId="0" xfId="0" applyAlignment="1" applyBorder="1" applyFont="1">
      <alignment horizontal="left" readingOrder="0"/>
    </xf>
    <xf borderId="9" fillId="3" fontId="7" numFmtId="0" xfId="0" applyAlignment="1" applyBorder="1" applyFont="1">
      <alignment readingOrder="0" shrinkToFit="0" vertical="bottom" wrapText="1"/>
    </xf>
    <xf borderId="9" fillId="3" fontId="7" numFmtId="0" xfId="0" applyAlignment="1" applyBorder="1" applyFont="1">
      <alignment horizontal="center" readingOrder="0" shrinkToFit="0" vertical="bottom" wrapText="1"/>
    </xf>
    <xf borderId="6" fillId="3" fontId="6" numFmtId="0" xfId="0" applyBorder="1" applyFont="1"/>
    <xf borderId="6" fillId="3" fontId="9" numFmtId="0" xfId="0" applyBorder="1" applyFont="1"/>
    <xf borderId="0" fillId="0" fontId="6" numFmtId="0" xfId="0" applyAlignment="1" applyFont="1">
      <alignment horizontal="left"/>
    </xf>
    <xf borderId="0" fillId="0" fontId="6" numFmtId="0" xfId="0" applyAlignment="1" applyFont="1">
      <alignment horizontal="center"/>
    </xf>
    <xf borderId="9" fillId="4" fontId="6" numFmtId="0" xfId="0" applyAlignment="1" applyBorder="1" applyFont="1">
      <alignment horizontal="center" vertical="center"/>
    </xf>
    <xf borderId="9" fillId="4" fontId="6" numFmtId="0" xfId="0" applyAlignment="1" applyBorder="1" applyFont="1">
      <alignment readingOrder="0"/>
    </xf>
    <xf borderId="9" fillId="4" fontId="9" numFmtId="0" xfId="0" applyBorder="1" applyFont="1"/>
    <xf borderId="10" fillId="4" fontId="6" numFmtId="0" xfId="0" applyAlignment="1" applyBorder="1" applyFont="1">
      <alignment horizontal="center" readingOrder="0" vertical="center"/>
    </xf>
    <xf borderId="11" fillId="4" fontId="6" numFmtId="0" xfId="0" applyAlignment="1" applyBorder="1" applyFont="1">
      <alignment readingOrder="0"/>
    </xf>
    <xf borderId="11" fillId="4" fontId="10" numFmtId="0" xfId="0" applyAlignment="1" applyBorder="1" applyFont="1">
      <alignment readingOrder="0"/>
    </xf>
    <xf borderId="12" fillId="4" fontId="6" numFmtId="0" xfId="0" applyAlignment="1" applyBorder="1" applyFont="1">
      <alignment readingOrder="0"/>
    </xf>
    <xf borderId="12" fillId="4" fontId="6" numFmtId="0" xfId="0" applyAlignment="1" applyBorder="1" applyFont="1">
      <alignment horizontal="center" readingOrder="0"/>
    </xf>
    <xf borderId="0" fillId="0" fontId="11" numFmtId="0" xfId="0" applyAlignment="1" applyFont="1">
      <alignment readingOrder="0"/>
    </xf>
    <xf borderId="0" fillId="0" fontId="11" numFmtId="0" xfId="0" applyFont="1"/>
    <xf borderId="9" fillId="0" fontId="2" numFmtId="0" xfId="0" applyBorder="1" applyFont="1"/>
    <xf borderId="9" fillId="4" fontId="9" numFmtId="0" xfId="0" applyAlignment="1" applyBorder="1" applyFont="1">
      <alignment readingOrder="0"/>
    </xf>
    <xf borderId="9" fillId="4" fontId="6" numFmtId="0" xfId="0" applyAlignment="1" applyBorder="1" applyFont="1">
      <alignment horizontal="center" readingOrder="0"/>
    </xf>
    <xf borderId="0" fillId="5" fontId="12" numFmtId="0" xfId="0" applyAlignment="1" applyFill="1" applyFont="1">
      <alignment readingOrder="0"/>
    </xf>
    <xf borderId="0" fillId="0" fontId="4" numFmtId="0" xfId="0" applyAlignment="1" applyFont="1">
      <alignment horizontal="center" readingOrder="0"/>
    </xf>
    <xf borderId="0" fillId="0" fontId="6" numFmtId="0" xfId="0" applyAlignment="1" applyFont="1">
      <alignment horizontal="center" readingOrder="0"/>
    </xf>
    <xf borderId="7" fillId="3" fontId="6" numFmtId="0" xfId="0" applyAlignment="1" applyBorder="1" applyFont="1">
      <alignment horizontal="center" readingOrder="0"/>
    </xf>
    <xf borderId="6" fillId="3" fontId="6" numFmtId="0" xfId="0" applyAlignment="1" applyBorder="1" applyFont="1">
      <alignment horizontal="center" vertical="center"/>
    </xf>
    <xf borderId="6" fillId="3" fontId="6" numFmtId="0" xfId="0" applyAlignment="1" applyBorder="1" applyFont="1">
      <alignment horizontal="center" readingOrder="0"/>
    </xf>
    <xf borderId="9" fillId="3" fontId="7" numFmtId="0" xfId="0" applyAlignment="1" applyBorder="1" applyFont="1">
      <alignment shrinkToFit="0" vertical="bottom" wrapText="1"/>
    </xf>
    <xf borderId="9" fillId="3" fontId="7" numFmtId="0" xfId="0" applyAlignment="1" applyBorder="1" applyFont="1">
      <alignment horizontal="center" shrinkToFit="0" vertical="bottom" wrapText="1"/>
    </xf>
    <xf borderId="8" fillId="3" fontId="6" numFmtId="0" xfId="0" applyBorder="1" applyFont="1"/>
    <xf borderId="0" fillId="4" fontId="10" numFmtId="0" xfId="0" applyAlignment="1" applyFont="1">
      <alignment readingOrder="0"/>
    </xf>
    <xf borderId="11" fillId="4" fontId="8" numFmtId="0" xfId="0" applyAlignment="1" applyBorder="1" applyFont="1">
      <alignment readingOrder="0"/>
    </xf>
    <xf borderId="0" fillId="0" fontId="6" numFmtId="0" xfId="0" applyAlignment="1" applyFont="1">
      <alignment horizontal="left" readingOrder="0"/>
    </xf>
    <xf borderId="10" fillId="0" fontId="2" numFmtId="0" xfId="0" applyBorder="1" applyFont="1"/>
    <xf borderId="5" fillId="4" fontId="6" numFmtId="0" xfId="0" applyAlignment="1" applyBorder="1" applyFont="1">
      <alignment horizontal="left" readingOrder="0" vertical="center"/>
    </xf>
    <xf borderId="6" fillId="4" fontId="6" numFmtId="0" xfId="0" applyAlignment="1" applyBorder="1" applyFont="1">
      <alignment horizontal="left" readingOrder="0" vertical="center"/>
    </xf>
    <xf borderId="6" fillId="3" fontId="6" numFmtId="0" xfId="0" applyAlignment="1" applyBorder="1" applyFont="1">
      <alignment horizontal="left" readingOrder="0" vertical="center"/>
    </xf>
    <xf borderId="10" fillId="3" fontId="6" numFmtId="0" xfId="0" applyAlignment="1" applyBorder="1" applyFont="1">
      <alignment horizontal="center" readingOrder="0" vertical="center"/>
    </xf>
    <xf borderId="6" fillId="3" fontId="6" numFmtId="0" xfId="0" applyAlignment="1" applyBorder="1" applyFont="1">
      <alignment horizontal="left" readingOrder="0"/>
    </xf>
    <xf borderId="5" fillId="4" fontId="6" numFmtId="0" xfId="0" applyAlignment="1" applyBorder="1" applyFont="1">
      <alignment horizontal="left" readingOrder="0"/>
    </xf>
    <xf borderId="6" fillId="4" fontId="6" numFmtId="0" xfId="0" applyAlignment="1" applyBorder="1" applyFont="1">
      <alignment horizontal="left" readingOrder="0"/>
    </xf>
    <xf borderId="4" fillId="2" fontId="3" numFmtId="0" xfId="0" applyAlignment="1" applyBorder="1" applyFont="1">
      <alignment horizontal="center" readingOrder="0" shrinkToFit="0" vertical="top" wrapText="0"/>
    </xf>
    <xf borderId="9" fillId="4" fontId="6" numFmtId="0" xfId="0" applyAlignment="1" applyBorder="1" applyFont="1">
      <alignment horizontal="center" readingOrder="0" vertical="center"/>
    </xf>
    <xf borderId="0" fillId="0" fontId="6" numFmtId="0" xfId="0" applyAlignment="1" applyFont="1">
      <alignment readingOrder="0"/>
    </xf>
    <xf borderId="0" fillId="4" fontId="6" numFmtId="0" xfId="0" applyFont="1"/>
    <xf borderId="0" fillId="4" fontId="8" numFmtId="0" xfId="0" applyFont="1"/>
    <xf borderId="8" fillId="4" fontId="6" numFmtId="0" xfId="0" applyBorder="1" applyFont="1"/>
    <xf borderId="8" fillId="4" fontId="6" numFmtId="0" xfId="0" applyAlignment="1" applyBorder="1" applyFont="1">
      <alignment horizontal="center"/>
    </xf>
    <xf borderId="5" fillId="2" fontId="6" numFmtId="0" xfId="0" applyAlignment="1" applyBorder="1" applyFont="1">
      <alignment horizontal="left" readingOrder="0"/>
    </xf>
    <xf borderId="3" fillId="4" fontId="6" numFmtId="0" xfId="0" applyAlignment="1" applyBorder="1" applyFont="1">
      <alignment horizontal="left" readingOrder="0"/>
    </xf>
    <xf borderId="8" fillId="4" fontId="6" numFmtId="0" xfId="0" applyAlignment="1" applyBorder="1" applyFont="1">
      <alignment horizontal="left" readingOrder="0"/>
    </xf>
    <xf borderId="8" fillId="3" fontId="6" numFmtId="0" xfId="0" applyAlignment="1" applyBorder="1" applyFont="1">
      <alignment horizontal="left" readingOrder="0"/>
    </xf>
    <xf borderId="12" fillId="4" fontId="6" numFmtId="0" xfId="0" applyAlignment="1" applyBorder="1" applyFont="1">
      <alignment horizontal="left" readingOrder="0"/>
    </xf>
    <xf borderId="8"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Apostata </a:t>
            </a:r>
          </a:p>
        </c:rich>
      </c:tx>
      <c:overlay val="0"/>
    </c:title>
    <c:plotArea>
      <c:layout/>
      <c:barChart>
        <c:barDir val="col"/>
        <c:ser>
          <c:idx val="0"/>
          <c:order val="0"/>
          <c:tx>
            <c:strRef>
              <c:f>Apostata!$B$2</c:f>
            </c:strRef>
          </c:tx>
          <c:spPr>
            <a:solidFill>
              <a:schemeClr val="accent1"/>
            </a:solidFill>
            <a:ln cmpd="sng">
              <a:noFill/>
            </a:ln>
          </c:spPr>
          <c:cat>
            <c:strRef>
              <c:f>Apostata!$A$3:$A$22</c:f>
            </c:strRef>
          </c:cat>
          <c:val>
            <c:numRef>
              <c:f>Apostata!$B$3:$B$22</c:f>
              <c:numCache/>
            </c:numRef>
          </c:val>
        </c:ser>
        <c:ser>
          <c:idx val="1"/>
          <c:order val="1"/>
          <c:tx>
            <c:strRef>
              <c:f>Apostata!$C$2</c:f>
            </c:strRef>
          </c:tx>
          <c:spPr>
            <a:solidFill>
              <a:schemeClr val="accent2"/>
            </a:solidFill>
            <a:ln cmpd="sng">
              <a:noFill/>
            </a:ln>
          </c:spPr>
          <c:cat>
            <c:strRef>
              <c:f>Apostata!$A$3:$A$22</c:f>
            </c:strRef>
          </c:cat>
          <c:val>
            <c:numRef>
              <c:f>Apostata!$C$3:$C$22</c:f>
              <c:numCache/>
            </c:numRef>
          </c:val>
        </c:ser>
        <c:axId val="307862146"/>
        <c:axId val="1077495535"/>
      </c:barChart>
      <c:catAx>
        <c:axId val="3078621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Nivel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77495535"/>
      </c:catAx>
      <c:valAx>
        <c:axId val="1077495535"/>
        <c:scaling>
          <c:orientation val="minMax"/>
          <c:max val="2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0786214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Señor de los Astros</a:t>
            </a:r>
          </a:p>
        </c:rich>
      </c:tx>
      <c:overlay val="0"/>
    </c:title>
    <c:plotArea>
      <c:layout/>
      <c:barChart>
        <c:barDir val="col"/>
        <c:ser>
          <c:idx val="0"/>
          <c:order val="0"/>
          <c:tx>
            <c:strRef>
              <c:f>'Caballero Templario'!$B$2</c:f>
            </c:strRef>
          </c:tx>
          <c:spPr>
            <a:solidFill>
              <a:schemeClr val="accent1"/>
            </a:solidFill>
            <a:ln cmpd="sng">
              <a:noFill/>
            </a:ln>
          </c:spPr>
          <c:cat>
            <c:strRef>
              <c:f>'Caballero Templario'!$A$3:$A$22</c:f>
            </c:strRef>
          </c:cat>
          <c:val>
            <c:numRef>
              <c:f>'Caballero Templario'!$B$3:$B$22</c:f>
              <c:numCache/>
            </c:numRef>
          </c:val>
        </c:ser>
        <c:ser>
          <c:idx val="1"/>
          <c:order val="1"/>
          <c:tx>
            <c:strRef>
              <c:f>'Caballero Templario'!$C$2</c:f>
            </c:strRef>
          </c:tx>
          <c:spPr>
            <a:solidFill>
              <a:schemeClr val="accent2"/>
            </a:solidFill>
            <a:ln cmpd="sng">
              <a:noFill/>
            </a:ln>
          </c:spPr>
          <c:cat>
            <c:strRef>
              <c:f>'Caballero Templario'!$A$3:$A$22</c:f>
            </c:strRef>
          </c:cat>
          <c:val>
            <c:numRef>
              <c:f>'Caballero Templario'!$C$3:$C$22</c:f>
              <c:numCache/>
            </c:numRef>
          </c:val>
        </c:ser>
        <c:axId val="1132113795"/>
        <c:axId val="1607898365"/>
      </c:barChart>
      <c:catAx>
        <c:axId val="11321137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Nivel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07898365"/>
      </c:catAx>
      <c:valAx>
        <c:axId val="1607898365"/>
        <c:scaling>
          <c:orientation val="minMax"/>
          <c:max val="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3211379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Señor de los Astros</a:t>
            </a:r>
          </a:p>
        </c:rich>
      </c:tx>
      <c:layout>
        <c:manualLayout>
          <c:xMode val="edge"/>
          <c:yMode val="edge"/>
          <c:x val="0.01788224956063269"/>
          <c:y val="0.05"/>
        </c:manualLayout>
      </c:layout>
      <c:overlay val="0"/>
    </c:title>
    <c:plotArea>
      <c:layout/>
      <c:barChart>
        <c:barDir val="col"/>
        <c:ser>
          <c:idx val="0"/>
          <c:order val="0"/>
          <c:tx>
            <c:strRef>
              <c:f>'Señor de los Astros'!$B$2</c:f>
            </c:strRef>
          </c:tx>
          <c:spPr>
            <a:solidFill>
              <a:schemeClr val="accent1"/>
            </a:solidFill>
            <a:ln cmpd="sng">
              <a:noFill/>
            </a:ln>
          </c:spPr>
          <c:cat>
            <c:strRef>
              <c:f>'Señor de los Astros'!$A$3:$A$22</c:f>
            </c:strRef>
          </c:cat>
          <c:val>
            <c:numRef>
              <c:f>'Señor de los Astros'!$B$3:$B$22</c:f>
              <c:numCache/>
            </c:numRef>
          </c:val>
        </c:ser>
        <c:ser>
          <c:idx val="1"/>
          <c:order val="1"/>
          <c:tx>
            <c:strRef>
              <c:f>'Señor de los Astros'!$C$2</c:f>
            </c:strRef>
          </c:tx>
          <c:spPr>
            <a:solidFill>
              <a:schemeClr val="accent2"/>
            </a:solidFill>
            <a:ln cmpd="sng">
              <a:noFill/>
            </a:ln>
          </c:spPr>
          <c:cat>
            <c:strRef>
              <c:f>'Señor de los Astros'!$A$3:$A$22</c:f>
            </c:strRef>
          </c:cat>
          <c:val>
            <c:numRef>
              <c:f>'Señor de los Astros'!$C$3:$C$22</c:f>
              <c:numCache/>
            </c:numRef>
          </c:val>
        </c:ser>
        <c:axId val="2019235036"/>
        <c:axId val="1834840386"/>
      </c:barChart>
      <c:catAx>
        <c:axId val="20192350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Nivel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34840386"/>
      </c:catAx>
      <c:valAx>
        <c:axId val="1834840386"/>
        <c:scaling>
          <c:orientation val="minMax"/>
          <c:max val="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1923503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Bardo de las Cuatro Estaciones</a:t>
            </a:r>
          </a:p>
        </c:rich>
      </c:tx>
      <c:overlay val="0"/>
    </c:title>
    <c:plotArea>
      <c:layout/>
      <c:barChart>
        <c:barDir val="col"/>
        <c:ser>
          <c:idx val="0"/>
          <c:order val="0"/>
          <c:tx>
            <c:strRef>
              <c:f>'Bardo de las cuatro estaciones'!$B$2</c:f>
            </c:strRef>
          </c:tx>
          <c:spPr>
            <a:solidFill>
              <a:schemeClr val="accent1"/>
            </a:solidFill>
            <a:ln cmpd="sng">
              <a:noFill/>
            </a:ln>
          </c:spPr>
          <c:cat>
            <c:strRef>
              <c:f>'Bardo de las cuatro estaciones'!$A$3:$A$22</c:f>
            </c:strRef>
          </c:cat>
          <c:val>
            <c:numRef>
              <c:f>'Bardo de las cuatro estaciones'!$B$3:$B$22</c:f>
              <c:numCache/>
            </c:numRef>
          </c:val>
        </c:ser>
        <c:ser>
          <c:idx val="1"/>
          <c:order val="1"/>
          <c:tx>
            <c:strRef>
              <c:f>'Bardo de las cuatro estaciones'!$C$2</c:f>
            </c:strRef>
          </c:tx>
          <c:spPr>
            <a:solidFill>
              <a:schemeClr val="accent2"/>
            </a:solidFill>
            <a:ln cmpd="sng">
              <a:noFill/>
            </a:ln>
          </c:spPr>
          <c:cat>
            <c:strRef>
              <c:f>'Bardo de las cuatro estaciones'!$A$3:$A$22</c:f>
            </c:strRef>
          </c:cat>
          <c:val>
            <c:numRef>
              <c:f>'Bardo de las cuatro estaciones'!$C$3:$C$22</c:f>
              <c:numCache/>
            </c:numRef>
          </c:val>
        </c:ser>
        <c:axId val="1077373119"/>
        <c:axId val="1749899220"/>
      </c:barChart>
      <c:catAx>
        <c:axId val="10773731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Nivel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49899220"/>
      </c:catAx>
      <c:valAx>
        <c:axId val="1749899220"/>
        <c:scaling>
          <c:orientation val="minMax"/>
          <c:max val="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77373119"/>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Caballero Templario</a:t>
            </a:r>
          </a:p>
        </c:rich>
      </c:tx>
      <c:overlay val="0"/>
    </c:title>
    <c:plotArea>
      <c:layout/>
      <c:barChart>
        <c:barDir val="col"/>
        <c:ser>
          <c:idx val="0"/>
          <c:order val="0"/>
          <c:tx>
            <c:strRef>
              <c:f>'Señor de las Armas'!$B$2</c:f>
            </c:strRef>
          </c:tx>
          <c:spPr>
            <a:solidFill>
              <a:schemeClr val="accent1"/>
            </a:solidFill>
            <a:ln cmpd="sng">
              <a:noFill/>
            </a:ln>
          </c:spPr>
          <c:cat>
            <c:strRef>
              <c:f>'Señor de las Armas'!$A$3:$A$18</c:f>
            </c:strRef>
          </c:cat>
          <c:val>
            <c:numRef>
              <c:f>'Señor de las Armas'!$B$3:$B$18</c:f>
              <c:numCache/>
            </c:numRef>
          </c:val>
        </c:ser>
        <c:ser>
          <c:idx val="1"/>
          <c:order val="1"/>
          <c:tx>
            <c:strRef>
              <c:f>'Señor de las Armas'!$C$2</c:f>
            </c:strRef>
          </c:tx>
          <c:spPr>
            <a:solidFill>
              <a:schemeClr val="accent2"/>
            </a:solidFill>
            <a:ln cmpd="sng">
              <a:noFill/>
            </a:ln>
          </c:spPr>
          <c:cat>
            <c:strRef>
              <c:f>'Señor de las Armas'!$A$3:$A$18</c:f>
            </c:strRef>
          </c:cat>
          <c:val>
            <c:numRef>
              <c:f>'Señor de las Armas'!$C$3:$C$18</c:f>
              <c:numCache/>
            </c:numRef>
          </c:val>
        </c:ser>
        <c:axId val="1811354249"/>
        <c:axId val="2096106622"/>
      </c:barChart>
      <c:catAx>
        <c:axId val="18113542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Nivel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96106622"/>
      </c:catAx>
      <c:valAx>
        <c:axId val="2096106622"/>
        <c:scaling>
          <c:orientation val="minMax"/>
          <c:max val="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811354249"/>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Señor de las Armas</a:t>
            </a:r>
          </a:p>
        </c:rich>
      </c:tx>
      <c:overlay val="0"/>
    </c:title>
    <c:plotArea>
      <c:layout/>
      <c:barChart>
        <c:barDir val="col"/>
        <c:ser>
          <c:idx val="0"/>
          <c:order val="0"/>
          <c:tx>
            <c:strRef>
              <c:f>'Señor de las Armas'!$B$2</c:f>
            </c:strRef>
          </c:tx>
          <c:spPr>
            <a:solidFill>
              <a:schemeClr val="accent1"/>
            </a:solidFill>
            <a:ln cmpd="sng">
              <a:noFill/>
            </a:ln>
          </c:spPr>
          <c:cat>
            <c:strRef>
              <c:f>'Señor de las Armas'!$A$3:$A$18</c:f>
            </c:strRef>
          </c:cat>
          <c:val>
            <c:numRef>
              <c:f>'Señor de las Armas'!$B$3:$B$18</c:f>
              <c:numCache/>
            </c:numRef>
          </c:val>
        </c:ser>
        <c:ser>
          <c:idx val="1"/>
          <c:order val="1"/>
          <c:tx>
            <c:strRef>
              <c:f>'Señor de las Armas'!$C$2</c:f>
            </c:strRef>
          </c:tx>
          <c:spPr>
            <a:solidFill>
              <a:schemeClr val="accent2"/>
            </a:solidFill>
            <a:ln cmpd="sng">
              <a:noFill/>
            </a:ln>
          </c:spPr>
          <c:cat>
            <c:strRef>
              <c:f>'Señor de las Armas'!$A$3:$A$18</c:f>
            </c:strRef>
          </c:cat>
          <c:val>
            <c:numRef>
              <c:f>'Señor de las Armas'!$C$3:$C$18</c:f>
              <c:numCache/>
            </c:numRef>
          </c:val>
        </c:ser>
        <c:axId val="1768626503"/>
        <c:axId val="18900333"/>
      </c:barChart>
      <c:catAx>
        <c:axId val="17686265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Nivel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900333"/>
      </c:catAx>
      <c:valAx>
        <c:axId val="18900333"/>
        <c:scaling>
          <c:orientation val="minMax"/>
          <c:max val="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68626503"/>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Renacido</a:t>
            </a:r>
          </a:p>
        </c:rich>
      </c:tx>
      <c:overlay val="0"/>
    </c:title>
    <c:plotArea>
      <c:layout/>
      <c:barChart>
        <c:barDir val="col"/>
        <c:ser>
          <c:idx val="0"/>
          <c:order val="0"/>
          <c:tx>
            <c:strRef>
              <c:f>Renacido!$B$2</c:f>
            </c:strRef>
          </c:tx>
          <c:spPr>
            <a:solidFill>
              <a:schemeClr val="accent1"/>
            </a:solidFill>
            <a:ln cmpd="sng">
              <a:noFill/>
            </a:ln>
          </c:spPr>
          <c:cat>
            <c:strRef>
              <c:f>Renacido!$A$3:$A$15</c:f>
            </c:strRef>
          </c:cat>
          <c:val>
            <c:numRef>
              <c:f>Renacido!$B$3:$B$15</c:f>
              <c:numCache/>
            </c:numRef>
          </c:val>
        </c:ser>
        <c:ser>
          <c:idx val="1"/>
          <c:order val="1"/>
          <c:tx>
            <c:strRef>
              <c:f>Renacido!$C$2</c:f>
            </c:strRef>
          </c:tx>
          <c:spPr>
            <a:solidFill>
              <a:schemeClr val="accent2"/>
            </a:solidFill>
            <a:ln cmpd="sng">
              <a:noFill/>
            </a:ln>
          </c:spPr>
          <c:cat>
            <c:strRef>
              <c:f>Renacido!$A$3:$A$15</c:f>
            </c:strRef>
          </c:cat>
          <c:val>
            <c:numRef>
              <c:f>Renacido!$C$3:$C$15</c:f>
              <c:numCache/>
            </c:numRef>
          </c:val>
        </c:ser>
        <c:axId val="316245576"/>
        <c:axId val="1083091728"/>
      </c:barChart>
      <c:catAx>
        <c:axId val="3162455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Nivel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83091728"/>
      </c:catAx>
      <c:valAx>
        <c:axId val="1083091728"/>
        <c:scaling>
          <c:orientation val="minMax"/>
          <c:max val="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316245576"/>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Saltador de Planos</a:t>
            </a:r>
          </a:p>
        </c:rich>
      </c:tx>
      <c:overlay val="0"/>
    </c:title>
    <c:plotArea>
      <c:layout/>
      <c:barChart>
        <c:barDir val="col"/>
        <c:ser>
          <c:idx val="0"/>
          <c:order val="0"/>
          <c:tx>
            <c:strRef>
              <c:f>'Saltador de Planos'!$B$2</c:f>
            </c:strRef>
          </c:tx>
          <c:spPr>
            <a:solidFill>
              <a:schemeClr val="accent1"/>
            </a:solidFill>
            <a:ln cmpd="sng">
              <a:noFill/>
            </a:ln>
          </c:spPr>
          <c:cat>
            <c:strRef>
              <c:f>'Saltador de Planos'!$A$3:$A$22</c:f>
            </c:strRef>
          </c:cat>
          <c:val>
            <c:numRef>
              <c:f>'Saltador de Planos'!$B$3:$B$22</c:f>
              <c:numCache/>
            </c:numRef>
          </c:val>
        </c:ser>
        <c:ser>
          <c:idx val="1"/>
          <c:order val="1"/>
          <c:tx>
            <c:strRef>
              <c:f>'Saltador de Planos'!$C$2</c:f>
            </c:strRef>
          </c:tx>
          <c:spPr>
            <a:solidFill>
              <a:schemeClr val="accent2"/>
            </a:solidFill>
            <a:ln cmpd="sng">
              <a:noFill/>
            </a:ln>
          </c:spPr>
          <c:cat>
            <c:strRef>
              <c:f>'Saltador de Planos'!$A$3:$A$22</c:f>
            </c:strRef>
          </c:cat>
          <c:val>
            <c:numRef>
              <c:f>'Saltador de Planos'!$C$3:$C$22</c:f>
              <c:numCache/>
            </c:numRef>
          </c:val>
        </c:ser>
        <c:axId val="526949250"/>
        <c:axId val="124883065"/>
      </c:barChart>
      <c:catAx>
        <c:axId val="5269492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Nivel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4883065"/>
      </c:catAx>
      <c:valAx>
        <c:axId val="124883065"/>
        <c:scaling>
          <c:orientation val="minMax"/>
          <c:max val="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26949250"/>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Redimido</a:t>
            </a:r>
          </a:p>
        </c:rich>
      </c:tx>
      <c:overlay val="0"/>
    </c:title>
    <c:plotArea>
      <c:layout/>
      <c:barChart>
        <c:barDir val="col"/>
        <c:ser>
          <c:idx val="0"/>
          <c:order val="0"/>
          <c:tx>
            <c:strRef>
              <c:f>Redimido!$B$2</c:f>
            </c:strRef>
          </c:tx>
          <c:spPr>
            <a:solidFill>
              <a:schemeClr val="accent1"/>
            </a:solidFill>
            <a:ln cmpd="sng">
              <a:noFill/>
            </a:ln>
          </c:spPr>
          <c:cat>
            <c:strRef>
              <c:f>Redimido!$A$3:$A$22</c:f>
            </c:strRef>
          </c:cat>
          <c:val>
            <c:numRef>
              <c:f>Redimido!$B$3:$B$22</c:f>
              <c:numCache/>
            </c:numRef>
          </c:val>
        </c:ser>
        <c:ser>
          <c:idx val="1"/>
          <c:order val="1"/>
          <c:tx>
            <c:strRef>
              <c:f>Redimido!$C$2</c:f>
            </c:strRef>
          </c:tx>
          <c:spPr>
            <a:solidFill>
              <a:schemeClr val="accent2"/>
            </a:solidFill>
            <a:ln cmpd="sng">
              <a:noFill/>
            </a:ln>
          </c:spPr>
          <c:cat>
            <c:strRef>
              <c:f>Redimido!$A$3:$A$22</c:f>
            </c:strRef>
          </c:cat>
          <c:val>
            <c:numRef>
              <c:f>Redimido!$C$3:$C$22</c:f>
              <c:numCache/>
            </c:numRef>
          </c:val>
        </c:ser>
        <c:axId val="292873037"/>
        <c:axId val="1795606136"/>
      </c:barChart>
      <c:catAx>
        <c:axId val="2928730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Nivel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95606136"/>
      </c:catAx>
      <c:valAx>
        <c:axId val="1795606136"/>
        <c:scaling>
          <c:orientation val="minMax"/>
          <c:max val="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92873037"/>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Portador de Plagas</a:t>
            </a:r>
          </a:p>
        </c:rich>
      </c:tx>
      <c:overlay val="0"/>
    </c:title>
    <c:plotArea>
      <c:layout/>
      <c:barChart>
        <c:barDir val="col"/>
        <c:ser>
          <c:idx val="0"/>
          <c:order val="0"/>
          <c:tx>
            <c:strRef>
              <c:f>'Portador de Plagas'!$B$2</c:f>
            </c:strRef>
          </c:tx>
          <c:spPr>
            <a:solidFill>
              <a:schemeClr val="accent1"/>
            </a:solidFill>
            <a:ln cmpd="sng">
              <a:noFill/>
            </a:ln>
          </c:spPr>
          <c:cat>
            <c:strRef>
              <c:f>'Portador de Plagas'!$A$3:$A$22</c:f>
            </c:strRef>
          </c:cat>
          <c:val>
            <c:numRef>
              <c:f>'Portador de Plagas'!$B$3:$B$22</c:f>
              <c:numCache/>
            </c:numRef>
          </c:val>
        </c:ser>
        <c:ser>
          <c:idx val="1"/>
          <c:order val="1"/>
          <c:tx>
            <c:strRef>
              <c:f>'Portador de Plagas'!$C$2</c:f>
            </c:strRef>
          </c:tx>
          <c:spPr>
            <a:solidFill>
              <a:schemeClr val="accent2"/>
            </a:solidFill>
            <a:ln cmpd="sng">
              <a:noFill/>
            </a:ln>
          </c:spPr>
          <c:cat>
            <c:strRef>
              <c:f>'Portador de Plagas'!$A$3:$A$22</c:f>
            </c:strRef>
          </c:cat>
          <c:val>
            <c:numRef>
              <c:f>'Portador de Plagas'!$C$3:$C$22</c:f>
              <c:numCache/>
            </c:numRef>
          </c:val>
        </c:ser>
        <c:axId val="1410832332"/>
        <c:axId val="1874192996"/>
      </c:barChart>
      <c:catAx>
        <c:axId val="14108323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Nivel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74192996"/>
      </c:catAx>
      <c:valAx>
        <c:axId val="1874192996"/>
        <c:scaling>
          <c:orientation val="minMax"/>
          <c:max val="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10832332"/>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Francotirador</a:t>
            </a:r>
          </a:p>
        </c:rich>
      </c:tx>
      <c:overlay val="0"/>
    </c:title>
    <c:plotArea>
      <c:layout/>
      <c:barChart>
        <c:barDir val="col"/>
        <c:ser>
          <c:idx val="0"/>
          <c:order val="0"/>
          <c:tx>
            <c:strRef>
              <c:f>Francotirador!$B$2</c:f>
            </c:strRef>
          </c:tx>
          <c:spPr>
            <a:solidFill>
              <a:schemeClr val="accent1"/>
            </a:solidFill>
            <a:ln cmpd="sng">
              <a:noFill/>
            </a:ln>
          </c:spPr>
          <c:cat>
            <c:strRef>
              <c:f>Francotirador!$A$3:$A$22</c:f>
            </c:strRef>
          </c:cat>
          <c:val>
            <c:numRef>
              <c:f>Francotirador!$B$3:$B$22</c:f>
              <c:numCache/>
            </c:numRef>
          </c:val>
        </c:ser>
        <c:ser>
          <c:idx val="1"/>
          <c:order val="1"/>
          <c:tx>
            <c:strRef>
              <c:f>Francotirador!$C$2</c:f>
            </c:strRef>
          </c:tx>
          <c:spPr>
            <a:solidFill>
              <a:schemeClr val="accent2"/>
            </a:solidFill>
            <a:ln cmpd="sng">
              <a:noFill/>
            </a:ln>
          </c:spPr>
          <c:cat>
            <c:strRef>
              <c:f>Francotirador!$A$3:$A$22</c:f>
            </c:strRef>
          </c:cat>
          <c:val>
            <c:numRef>
              <c:f>Francotirador!$C$3:$C$22</c:f>
              <c:numCache/>
            </c:numRef>
          </c:val>
        </c:ser>
        <c:axId val="2077570632"/>
        <c:axId val="2035067608"/>
      </c:barChart>
      <c:catAx>
        <c:axId val="20775706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Nivel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35067608"/>
      </c:catAx>
      <c:valAx>
        <c:axId val="2035067608"/>
        <c:scaling>
          <c:orientation val="minMax"/>
          <c:max val="2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77570632"/>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Inventor</a:t>
            </a:r>
          </a:p>
        </c:rich>
      </c:tx>
      <c:overlay val="0"/>
    </c:title>
    <c:plotArea>
      <c:layout/>
      <c:barChart>
        <c:barDir val="col"/>
        <c:ser>
          <c:idx val="0"/>
          <c:order val="0"/>
          <c:tx>
            <c:strRef>
              <c:f>Inventor!$B$2</c:f>
            </c:strRef>
          </c:tx>
          <c:spPr>
            <a:solidFill>
              <a:schemeClr val="accent1"/>
            </a:solidFill>
            <a:ln cmpd="sng">
              <a:noFill/>
            </a:ln>
          </c:spPr>
          <c:cat>
            <c:strRef>
              <c:f>Inventor!$A$3:$A$22</c:f>
            </c:strRef>
          </c:cat>
          <c:val>
            <c:numRef>
              <c:f>Inventor!$B$3:$B$22</c:f>
              <c:numCache/>
            </c:numRef>
          </c:val>
        </c:ser>
        <c:ser>
          <c:idx val="1"/>
          <c:order val="1"/>
          <c:tx>
            <c:strRef>
              <c:f>Inventor!$C$2</c:f>
            </c:strRef>
          </c:tx>
          <c:spPr>
            <a:solidFill>
              <a:schemeClr val="accent2"/>
            </a:solidFill>
            <a:ln cmpd="sng">
              <a:noFill/>
            </a:ln>
          </c:spPr>
          <c:cat>
            <c:strRef>
              <c:f>Inventor!$A$3:$A$22</c:f>
            </c:strRef>
          </c:cat>
          <c:val>
            <c:numRef>
              <c:f>Inventor!$C$3:$C$22</c:f>
              <c:numCache/>
            </c:numRef>
          </c:val>
        </c:ser>
        <c:axId val="455567228"/>
        <c:axId val="1358626078"/>
      </c:barChart>
      <c:catAx>
        <c:axId val="4555672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Nivel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58626078"/>
      </c:catAx>
      <c:valAx>
        <c:axId val="1358626078"/>
        <c:scaling>
          <c:orientation val="minMax"/>
          <c:max val="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55567228"/>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Guerrero del puño cerrado</a:t>
            </a:r>
          </a:p>
        </c:rich>
      </c:tx>
      <c:overlay val="0"/>
    </c:title>
    <c:plotArea>
      <c:layout/>
      <c:barChart>
        <c:barDir val="col"/>
        <c:ser>
          <c:idx val="0"/>
          <c:order val="0"/>
          <c:tx>
            <c:strRef>
              <c:f>'Guerrero del Puño cortante'!$B$2</c:f>
            </c:strRef>
          </c:tx>
          <c:spPr>
            <a:solidFill>
              <a:schemeClr val="accent1"/>
            </a:solidFill>
            <a:ln cmpd="sng">
              <a:noFill/>
            </a:ln>
          </c:spPr>
          <c:cat>
            <c:strRef>
              <c:f>'Guerrero del Puño cortante'!$A$3:$A$22</c:f>
            </c:strRef>
          </c:cat>
          <c:val>
            <c:numRef>
              <c:f>'Guerrero del Puño cortante'!$B$3:$B$22</c:f>
              <c:numCache/>
            </c:numRef>
          </c:val>
        </c:ser>
        <c:ser>
          <c:idx val="1"/>
          <c:order val="1"/>
          <c:tx>
            <c:strRef>
              <c:f>'Guerrero del Puño cortante'!$C$2</c:f>
            </c:strRef>
          </c:tx>
          <c:spPr>
            <a:solidFill>
              <a:schemeClr val="accent2"/>
            </a:solidFill>
            <a:ln cmpd="sng">
              <a:noFill/>
            </a:ln>
          </c:spPr>
          <c:cat>
            <c:strRef>
              <c:f>'Guerrero del Puño cortante'!$A$3:$A$22</c:f>
            </c:strRef>
          </c:cat>
          <c:val>
            <c:numRef>
              <c:f>'Guerrero del Puño cortante'!$C$3:$C$22</c:f>
              <c:numCache/>
            </c:numRef>
          </c:val>
        </c:ser>
        <c:axId val="532436673"/>
        <c:axId val="1527423103"/>
      </c:barChart>
      <c:catAx>
        <c:axId val="5324366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Nivel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27423103"/>
      </c:catAx>
      <c:valAx>
        <c:axId val="1527423103"/>
        <c:scaling>
          <c:orientation val="minMax"/>
          <c:max val="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32436673"/>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1" Type="http://schemas.openxmlformats.org/officeDocument/2006/relationships/chart" Target="../charts/chart11.xml"/><Relationship Id="rId10" Type="http://schemas.openxmlformats.org/officeDocument/2006/relationships/chart" Target="../charts/chart10.xml"/><Relationship Id="rId13" Type="http://schemas.openxmlformats.org/officeDocument/2006/relationships/chart" Target="../charts/chart13.xml"/><Relationship Id="rId12" Type="http://schemas.openxmlformats.org/officeDocument/2006/relationships/chart" Target="../charts/chart12.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839450" cy="34956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17</xdr:row>
      <xdr:rowOff>95250</xdr:rowOff>
    </xdr:from>
    <xdr:ext cx="10839450" cy="34956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34</xdr:row>
      <xdr:rowOff>190500</xdr:rowOff>
    </xdr:from>
    <xdr:ext cx="10839450" cy="34956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314325</xdr:colOff>
      <xdr:row>17</xdr:row>
      <xdr:rowOff>95250</xdr:rowOff>
    </xdr:from>
    <xdr:ext cx="10839450" cy="34956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314325</xdr:colOff>
      <xdr:row>0</xdr:row>
      <xdr:rowOff>0</xdr:rowOff>
    </xdr:from>
    <xdr:ext cx="10839450" cy="34956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314325</xdr:colOff>
      <xdr:row>34</xdr:row>
      <xdr:rowOff>190500</xdr:rowOff>
    </xdr:from>
    <xdr:ext cx="10839450" cy="34956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314325</xdr:colOff>
      <xdr:row>52</xdr:row>
      <xdr:rowOff>85725</xdr:rowOff>
    </xdr:from>
    <xdr:ext cx="10839450" cy="349567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0</xdr:colOff>
      <xdr:row>52</xdr:row>
      <xdr:rowOff>85725</xdr:rowOff>
    </xdr:from>
    <xdr:ext cx="10839450" cy="349567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0</xdr:colOff>
      <xdr:row>69</xdr:row>
      <xdr:rowOff>180975</xdr:rowOff>
    </xdr:from>
    <xdr:ext cx="10839450" cy="349567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11</xdr:col>
      <xdr:colOff>314325</xdr:colOff>
      <xdr:row>69</xdr:row>
      <xdr:rowOff>180975</xdr:rowOff>
    </xdr:from>
    <xdr:ext cx="10839450" cy="3495675"/>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11</xdr:col>
      <xdr:colOff>314325</xdr:colOff>
      <xdr:row>87</xdr:row>
      <xdr:rowOff>76200</xdr:rowOff>
    </xdr:from>
    <xdr:ext cx="10839450" cy="3495675"/>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0</xdr:colOff>
      <xdr:row>87</xdr:row>
      <xdr:rowOff>76200</xdr:rowOff>
    </xdr:from>
    <xdr:ext cx="10839450" cy="3495675"/>
    <xdr:graphicFrame>
      <xdr:nvGraphicFramePr>
        <xdr:cNvPr id="12" name="Chart 12"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5</xdr:col>
      <xdr:colOff>628650</xdr:colOff>
      <xdr:row>104</xdr:row>
      <xdr:rowOff>171450</xdr:rowOff>
    </xdr:from>
    <xdr:ext cx="10839450" cy="3495675"/>
    <xdr:graphicFrame>
      <xdr:nvGraphicFramePr>
        <xdr:cNvPr id="13" name="Chart 13" title="Chart"/>
        <xdr:cNvGraphicFramePr/>
      </xdr:nvGraphicFramePr>
      <xdr:xfrm>
        <a:off x="0" y="0"/>
        <a:ext cx="0" cy="0"/>
      </xdr:xfrm>
      <a:graphic>
        <a:graphicData uri="http://schemas.openxmlformats.org/drawingml/2006/chart">
          <c:chart r:id="rId1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3" width="15.0"/>
    <col customWidth="1" min="4" max="5" width="15.38"/>
    <col customWidth="1" min="6" max="6" width="104.5"/>
    <col customWidth="1" min="8" max="8" width="5.0"/>
    <col customWidth="1" min="9" max="9" width="15.63"/>
    <col customWidth="1" min="10" max="10" width="44.13"/>
    <col customWidth="1" min="17" max="17" width="14.75"/>
    <col customWidth="1" min="18" max="18" width="21.38"/>
    <col customWidth="1" min="19" max="19" width="104.75"/>
    <col customWidth="1" min="20" max="20" width="48.88"/>
    <col customWidth="1" min="24" max="24" width="5.0"/>
    <col customWidth="1" min="25" max="25" width="23.75"/>
    <col customWidth="1" min="26" max="26" width="100.25"/>
    <col customWidth="1" min="27" max="27" width="74.63"/>
    <col customWidth="1" min="28" max="28" width="12.13"/>
    <col customWidth="1" min="29" max="29" width="11.13"/>
  </cols>
  <sheetData>
    <row r="1">
      <c r="A1" s="1" t="s">
        <v>0</v>
      </c>
      <c r="B1" s="2"/>
      <c r="C1" s="2"/>
      <c r="D1" s="2"/>
      <c r="E1" s="2"/>
      <c r="F1" s="3"/>
      <c r="H1" s="4" t="s">
        <v>1</v>
      </c>
      <c r="I1" s="2"/>
      <c r="J1" s="2"/>
      <c r="K1" s="2"/>
      <c r="L1" s="2"/>
      <c r="M1" s="2"/>
      <c r="N1" s="2"/>
      <c r="O1" s="3"/>
      <c r="Q1" s="5" t="s">
        <v>2</v>
      </c>
      <c r="R1" s="2"/>
      <c r="S1" s="2"/>
      <c r="T1" s="2"/>
      <c r="U1" s="2"/>
      <c r="V1" s="3"/>
      <c r="X1" s="5" t="s">
        <v>3</v>
      </c>
      <c r="Y1" s="2"/>
      <c r="Z1" s="2"/>
      <c r="AA1" s="2"/>
      <c r="AB1" s="2"/>
      <c r="AC1" s="2"/>
      <c r="AD1" s="3"/>
    </row>
    <row r="2">
      <c r="A2" s="6" t="s">
        <v>4</v>
      </c>
      <c r="B2" s="7" t="s">
        <v>7</v>
      </c>
      <c r="C2" s="6" t="s">
        <v>5</v>
      </c>
      <c r="D2" s="7" t="s">
        <v>10</v>
      </c>
      <c r="E2" s="6" t="s">
        <v>6</v>
      </c>
      <c r="F2" s="6" t="s">
        <v>8</v>
      </c>
      <c r="H2" s="8" t="s">
        <v>4</v>
      </c>
      <c r="I2" s="9" t="s">
        <v>9</v>
      </c>
      <c r="J2" s="8" t="s">
        <v>11</v>
      </c>
      <c r="K2" s="8" t="s">
        <v>12</v>
      </c>
      <c r="L2" s="8" t="s">
        <v>13</v>
      </c>
      <c r="M2" s="8" t="s">
        <v>14</v>
      </c>
      <c r="N2" s="8" t="s">
        <v>15</v>
      </c>
      <c r="O2" s="8" t="s">
        <v>16</v>
      </c>
      <c r="Q2" s="10" t="s">
        <v>17</v>
      </c>
      <c r="R2" s="10" t="s">
        <v>19</v>
      </c>
      <c r="S2" s="10" t="s">
        <v>20</v>
      </c>
      <c r="T2" s="10" t="s">
        <v>22</v>
      </c>
      <c r="U2" s="12" t="s">
        <v>24</v>
      </c>
      <c r="V2" s="12" t="s">
        <v>25</v>
      </c>
      <c r="X2" s="10" t="s">
        <v>4</v>
      </c>
      <c r="Y2" s="10" t="s">
        <v>26</v>
      </c>
      <c r="Z2" s="10" t="s">
        <v>20</v>
      </c>
      <c r="AA2" s="10" t="s">
        <v>22</v>
      </c>
      <c r="AB2" s="12" t="s">
        <v>24</v>
      </c>
      <c r="AC2" s="12" t="s">
        <v>25</v>
      </c>
      <c r="AD2" s="12" t="s">
        <v>27</v>
      </c>
    </row>
    <row r="3">
      <c r="A3" s="13">
        <v>1.0</v>
      </c>
      <c r="B3" s="13">
        <f>(C25-E25)+(C25-E25)-3</f>
        <v>-9</v>
      </c>
      <c r="C3" s="13">
        <f>(AC3)+(AC4)</f>
        <v>4</v>
      </c>
      <c r="D3" s="13">
        <f>(E25-E25-3)+(E25-E25)</f>
        <v>-3</v>
      </c>
      <c r="E3" s="13">
        <f>(AB3)+(AB4)</f>
        <v>24</v>
      </c>
      <c r="F3" s="14" t="str">
        <f>Y4 &amp;", "&amp; Y3</f>
        <v>Sacrificio de Vida, Marca de la Oscuridad</v>
      </c>
      <c r="H3" s="23">
        <v>1.0</v>
      </c>
      <c r="I3" s="26">
        <f t="shared" ref="I3:I6" si="1">+2</f>
        <v>2</v>
      </c>
      <c r="J3" s="23" t="s">
        <v>41</v>
      </c>
      <c r="K3" s="23">
        <v>2.0</v>
      </c>
      <c r="L3" s="23" t="s">
        <v>42</v>
      </c>
      <c r="M3" s="23" t="s">
        <v>42</v>
      </c>
      <c r="N3" s="23" t="s">
        <v>42</v>
      </c>
      <c r="O3" s="23" t="s">
        <v>42</v>
      </c>
      <c r="Q3" s="17">
        <v>1.0</v>
      </c>
      <c r="R3" s="18" t="s">
        <v>44</v>
      </c>
      <c r="S3" s="18" t="s">
        <v>45</v>
      </c>
      <c r="T3" s="20" t="s">
        <v>47</v>
      </c>
      <c r="U3" s="21">
        <v>6.0</v>
      </c>
      <c r="V3" s="21">
        <v>1.0</v>
      </c>
      <c r="X3" s="22">
        <v>1.0</v>
      </c>
      <c r="Y3" s="24" t="s">
        <v>49</v>
      </c>
      <c r="Z3" s="25" t="s">
        <v>52</v>
      </c>
      <c r="AA3" s="25" t="s">
        <v>53</v>
      </c>
      <c r="AB3" s="22">
        <v>6.0</v>
      </c>
      <c r="AC3" s="22">
        <v>1.0</v>
      </c>
    </row>
    <row r="4">
      <c r="A4" s="27">
        <v>2.0</v>
      </c>
      <c r="B4" s="28">
        <f>(C25-E25)+(C25-E25)-3+(C25-E25)</f>
        <v>-12</v>
      </c>
      <c r="C4" s="28">
        <f>(AC5)+(AC4)+(AC3)</f>
        <v>4</v>
      </c>
      <c r="D4" s="27">
        <f>(E25-E25)+(E25-E25)+(E25-E25)-3</f>
        <v>-3</v>
      </c>
      <c r="E4" s="27">
        <f>(U5)+(AB4)+(AB3)</f>
        <v>54</v>
      </c>
      <c r="F4" s="28" t="str">
        <f>Y4 &amp;", "&amp; R5 &amp;", "&amp; Y3</f>
        <v>Sacrificio de Vida, Infligir Heridas, Marca de la Oscuridad</v>
      </c>
      <c r="H4" s="42">
        <v>2.0</v>
      </c>
      <c r="I4" s="43">
        <f t="shared" si="1"/>
        <v>2</v>
      </c>
      <c r="J4" s="42" t="s">
        <v>78</v>
      </c>
      <c r="K4" s="42">
        <v>2.0</v>
      </c>
      <c r="L4" s="42" t="s">
        <v>42</v>
      </c>
      <c r="M4" s="42" t="s">
        <v>42</v>
      </c>
      <c r="N4" s="42" t="s">
        <v>42</v>
      </c>
      <c r="O4" s="42" t="s">
        <v>42</v>
      </c>
      <c r="Q4" s="31"/>
      <c r="R4" s="32" t="s">
        <v>85</v>
      </c>
      <c r="S4" s="32" t="s">
        <v>87</v>
      </c>
      <c r="T4" s="34" t="s">
        <v>88</v>
      </c>
      <c r="U4" s="35">
        <v>8.0</v>
      </c>
      <c r="V4" s="35">
        <v>1.0</v>
      </c>
      <c r="X4" s="49"/>
      <c r="Y4" s="37" t="s">
        <v>89</v>
      </c>
      <c r="Z4" s="38" t="s">
        <v>90</v>
      </c>
      <c r="AA4" s="38" t="s">
        <v>92</v>
      </c>
      <c r="AB4" s="36">
        <f>3*6</f>
        <v>18</v>
      </c>
      <c r="AC4" s="36">
        <f>3*1</f>
        <v>3</v>
      </c>
    </row>
    <row r="5">
      <c r="A5" s="13">
        <v>3.0</v>
      </c>
      <c r="B5" s="14"/>
      <c r="C5" s="14">
        <f>(AC5+C25-E25)+(AC4+C25-E25)+(AC3+C25-E25)+(AC7+C25-E25)</f>
        <v>-4</v>
      </c>
      <c r="D5" s="13"/>
      <c r="E5" s="13">
        <f>(U5+E25-E25)+(AB4+E25-E25)+(AB3+E25-E25)+(AB7+E25-E25)</f>
        <v>66</v>
      </c>
      <c r="F5" s="14" t="str">
        <f>Y4 &amp;", "&amp; R5 &amp;", "&amp;Y3&amp;", "&amp; Y7</f>
        <v>Sacrificio de Vida, Infligir Heridas, Marca de la Oscuridad, Invocación de Sombras</v>
      </c>
      <c r="H5" s="23">
        <v>3.0</v>
      </c>
      <c r="I5" s="26">
        <f t="shared" si="1"/>
        <v>2</v>
      </c>
      <c r="J5" s="23" t="s">
        <v>115</v>
      </c>
      <c r="K5" s="23">
        <v>3.0</v>
      </c>
      <c r="L5" s="23" t="s">
        <v>42</v>
      </c>
      <c r="M5" s="23" t="s">
        <v>42</v>
      </c>
      <c r="N5" s="23" t="s">
        <v>42</v>
      </c>
      <c r="O5" s="23" t="s">
        <v>42</v>
      </c>
      <c r="Q5" s="31"/>
      <c r="R5" s="32" t="s">
        <v>117</v>
      </c>
      <c r="S5" s="32" t="s">
        <v>118</v>
      </c>
      <c r="T5" s="34" t="s">
        <v>120</v>
      </c>
      <c r="U5" s="35">
        <v>30.0</v>
      </c>
      <c r="V5" s="35">
        <v>3.0</v>
      </c>
      <c r="X5" s="39">
        <v>2.0</v>
      </c>
      <c r="Y5" s="40" t="s">
        <v>124</v>
      </c>
      <c r="Z5" s="41" t="s">
        <v>127</v>
      </c>
      <c r="AA5" s="41" t="s">
        <v>129</v>
      </c>
      <c r="AB5" s="39">
        <v>0.0</v>
      </c>
      <c r="AC5" s="39">
        <v>0.0</v>
      </c>
    </row>
    <row r="6">
      <c r="A6" s="27">
        <v>4.0</v>
      </c>
      <c r="B6" s="28"/>
      <c r="C6" s="28">
        <f>(AC5+C25-E25)+(AC4+C25-E25)+(AC8+C25-E25)+(AC7+C25-E25)+(AC3+C25-E25)</f>
        <v>-5</v>
      </c>
      <c r="D6" s="27"/>
      <c r="E6" s="27">
        <f>U5+AB4+AB8+AB7+AB3</f>
        <v>68</v>
      </c>
      <c r="F6" s="28" t="str">
        <f>R5 &amp;", "&amp; Y4 &amp;", "&amp; Y8 &amp;", "&amp; Y7 &amp;", "&amp; Y3</f>
        <v>Infligir Heridas, Sacrificio de Vida, Bendición Corrupta, Invocación de Sombras, Marca de la Oscuridad</v>
      </c>
      <c r="H6" s="42">
        <v>4.0</v>
      </c>
      <c r="I6" s="43">
        <f t="shared" si="1"/>
        <v>2</v>
      </c>
      <c r="J6" s="42" t="s">
        <v>76</v>
      </c>
      <c r="K6" s="42">
        <v>3.0</v>
      </c>
      <c r="L6" s="42" t="s">
        <v>42</v>
      </c>
      <c r="M6" s="42" t="s">
        <v>42</v>
      </c>
      <c r="N6" s="42" t="s">
        <v>42</v>
      </c>
      <c r="O6" s="42" t="s">
        <v>42</v>
      </c>
      <c r="Q6" s="31"/>
      <c r="R6" s="32" t="s">
        <v>147</v>
      </c>
      <c r="S6" s="32" t="s">
        <v>148</v>
      </c>
      <c r="T6" s="34" t="s">
        <v>149</v>
      </c>
      <c r="U6" s="35">
        <v>2.0</v>
      </c>
      <c r="V6" s="35">
        <v>2.0</v>
      </c>
      <c r="X6" s="49"/>
      <c r="Y6" s="40" t="s">
        <v>151</v>
      </c>
      <c r="Z6" s="41" t="s">
        <v>152</v>
      </c>
      <c r="AA6" s="41" t="s">
        <v>154</v>
      </c>
      <c r="AB6" s="39">
        <v>0.0</v>
      </c>
      <c r="AC6" s="39">
        <v>0.0</v>
      </c>
    </row>
    <row r="7">
      <c r="A7" s="13">
        <v>5.0</v>
      </c>
      <c r="B7" s="14"/>
      <c r="C7" s="14">
        <f>(AC5+C25-E25)+(AC4+C25-E25)+(AC8+C25-E25)+(AC10+C25-A25)+(AC9+C25-A25)</f>
        <v>-2</v>
      </c>
      <c r="D7" s="13"/>
      <c r="E7" s="13">
        <f>U5+AB4+AB8+AB10+AB9</f>
        <v>77</v>
      </c>
      <c r="F7" s="14" t="str">
        <f>R5 &amp;", "&amp; Y4 &amp;", "&amp; Y8 &amp;", "&amp; Y10 &amp;", "&amp; Y9</f>
        <v>Infligir Heridas, Sacrificio de Vida, Bendición Corrupta, Invocación de Sombras 2, Maldición Mortal</v>
      </c>
      <c r="H7" s="23">
        <v>5.0</v>
      </c>
      <c r="I7" s="26">
        <f t="shared" ref="I7:I10" si="2">+3</f>
        <v>3</v>
      </c>
      <c r="J7" s="23" t="s">
        <v>175</v>
      </c>
      <c r="K7" s="23">
        <v>4.0</v>
      </c>
      <c r="L7" s="23">
        <v>2.0</v>
      </c>
      <c r="M7" s="23" t="s">
        <v>42</v>
      </c>
      <c r="N7" s="23" t="s">
        <v>42</v>
      </c>
      <c r="O7" s="23" t="s">
        <v>42</v>
      </c>
      <c r="Q7" s="31"/>
      <c r="R7" s="32" t="s">
        <v>178</v>
      </c>
      <c r="S7" s="32" t="s">
        <v>179</v>
      </c>
      <c r="T7" s="34" t="s">
        <v>180</v>
      </c>
      <c r="U7" s="35">
        <v>16.0</v>
      </c>
      <c r="V7" s="35">
        <v>2.0</v>
      </c>
      <c r="X7" s="36">
        <v>3.0</v>
      </c>
      <c r="Y7" s="37" t="s">
        <v>184</v>
      </c>
      <c r="Z7" s="38" t="s">
        <v>185</v>
      </c>
      <c r="AA7" s="38" t="s">
        <v>186</v>
      </c>
      <c r="AB7" s="36">
        <v>12.0</v>
      </c>
      <c r="AC7" s="36">
        <v>4.0</v>
      </c>
    </row>
    <row r="8">
      <c r="A8" s="27">
        <v>6.0</v>
      </c>
      <c r="B8" s="28"/>
      <c r="C8" s="28">
        <f>(V5+C26-E26)+(AC4+C26-E26)+(AC8+C26-E26)+(AC10+C26-A26)+(AC9+C26-A26)</f>
        <v>-16</v>
      </c>
      <c r="D8" s="27"/>
      <c r="E8" s="27">
        <f>U5+AB4+AB8+(AB10+E26-A26)+(AB9+E26-A26)</f>
        <v>75</v>
      </c>
      <c r="F8" s="28" t="str">
        <f>R5 &amp;", "&amp; Y4 &amp;", "&amp; Y8 &amp;", "&amp; Y10 &amp;", "&amp; Y9</f>
        <v>Infligir Heridas, Sacrificio de Vida, Bendición Corrupta, Invocación de Sombras 2, Maldición Mortal</v>
      </c>
      <c r="H8" s="42">
        <v>6.0</v>
      </c>
      <c r="I8" s="43">
        <f t="shared" si="2"/>
        <v>3</v>
      </c>
      <c r="J8" s="42" t="s">
        <v>209</v>
      </c>
      <c r="K8" s="42">
        <v>4.0</v>
      </c>
      <c r="L8" s="42">
        <v>2.0</v>
      </c>
      <c r="M8" s="42" t="s">
        <v>42</v>
      </c>
      <c r="N8" s="42" t="s">
        <v>42</v>
      </c>
      <c r="O8" s="42" t="s">
        <v>42</v>
      </c>
      <c r="Q8" s="50">
        <v>2.0</v>
      </c>
      <c r="R8" s="45" t="s">
        <v>211</v>
      </c>
      <c r="S8" s="45" t="s">
        <v>212</v>
      </c>
      <c r="T8" s="47" t="s">
        <v>213</v>
      </c>
      <c r="U8" s="48">
        <v>0.0</v>
      </c>
      <c r="V8" s="48">
        <v>0.0</v>
      </c>
      <c r="X8" s="39">
        <v>4.0</v>
      </c>
      <c r="Y8" s="40" t="s">
        <v>147</v>
      </c>
      <c r="Z8" s="41" t="s">
        <v>218</v>
      </c>
      <c r="AA8" s="41" t="s">
        <v>221</v>
      </c>
      <c r="AB8" s="39">
        <v>2.0</v>
      </c>
      <c r="AC8" s="39">
        <v>2.0</v>
      </c>
    </row>
    <row r="9">
      <c r="A9" s="13">
        <v>7.0</v>
      </c>
      <c r="B9" s="14"/>
      <c r="C9" s="14">
        <f>(V5+C26-E26)+(AC4+C26-E26)+(AC8+C26-E26)+(AC9+C26-E26)+(AC13+C26-E26)+(AC12+C26-E26)</f>
        <v>-17</v>
      </c>
      <c r="D9" s="13"/>
      <c r="E9" s="13">
        <f>U5+AB4+AB8+AB9+AB13+AB12</f>
        <v>91</v>
      </c>
      <c r="F9" s="14" t="str">
        <f>R5 &amp;", "&amp; Y4 &amp;", "&amp; Y8 &amp;", "&amp; Y13 &amp;", "&amp; Y9 &amp;", "&amp; Y12</f>
        <v>Infligir Heridas, Sacrificio de Vida, Bendición Corrupta, Invocación de Sombras 3, Maldición Mortal, Maldición del Dolor</v>
      </c>
      <c r="H9" s="23">
        <v>7.0</v>
      </c>
      <c r="I9" s="26">
        <f t="shared" si="2"/>
        <v>3</v>
      </c>
      <c r="J9" s="23" t="s">
        <v>245</v>
      </c>
      <c r="K9" s="23">
        <v>4.0</v>
      </c>
      <c r="L9" s="23">
        <v>3.0</v>
      </c>
      <c r="M9" s="23" t="s">
        <v>42</v>
      </c>
      <c r="N9" s="23" t="s">
        <v>42</v>
      </c>
      <c r="O9" s="23" t="s">
        <v>42</v>
      </c>
      <c r="Q9" s="31"/>
      <c r="R9" s="45" t="s">
        <v>246</v>
      </c>
      <c r="S9" s="45" t="s">
        <v>247</v>
      </c>
      <c r="T9" s="47" t="s">
        <v>248</v>
      </c>
      <c r="U9" s="48">
        <v>13.0</v>
      </c>
      <c r="V9" s="48">
        <v>2.0</v>
      </c>
      <c r="X9" s="36">
        <v>5.0</v>
      </c>
      <c r="Y9" s="37" t="s">
        <v>249</v>
      </c>
      <c r="Z9" s="38" t="s">
        <v>250</v>
      </c>
      <c r="AA9" s="38" t="s">
        <v>251</v>
      </c>
      <c r="AB9" s="57">
        <f>2*6</f>
        <v>12</v>
      </c>
      <c r="AC9" s="57">
        <f>2*1</f>
        <v>2</v>
      </c>
    </row>
    <row r="10">
      <c r="A10" s="27">
        <v>8.0</v>
      </c>
      <c r="B10" s="28"/>
      <c r="C10" s="28">
        <f>V15+AC4+AC8+AC9+AC13+AC12</f>
        <v>20</v>
      </c>
      <c r="D10" s="27">
        <f>(-A25+E26)+(-A25+E26)+(-A25+E26)</f>
        <v>12</v>
      </c>
      <c r="E10" s="27">
        <f>U15+AB4+AB8+AB13+AB9+AB12</f>
        <v>101</v>
      </c>
      <c r="F10" s="28" t="str">
        <f>R15 &amp;", "&amp; Y4 &amp;", "&amp; Y8 &amp;", "&amp; Y13 &amp;", "&amp; Y9 &amp;", "&amp; Y12</f>
        <v>Infligir Heridas Mejorado, Sacrificio de Vida, Bendición Corrupta, Invocación de Sombras 3, Maldición Mortal, Maldición del Dolor</v>
      </c>
      <c r="H10" s="42">
        <v>8.0</v>
      </c>
      <c r="I10" s="43">
        <f t="shared" si="2"/>
        <v>3</v>
      </c>
      <c r="J10" s="42" t="s">
        <v>76</v>
      </c>
      <c r="K10" s="42">
        <v>4.0</v>
      </c>
      <c r="L10" s="42">
        <v>3.0</v>
      </c>
      <c r="M10" s="42" t="s">
        <v>42</v>
      </c>
      <c r="N10" s="42" t="s">
        <v>42</v>
      </c>
      <c r="O10" s="42" t="s">
        <v>42</v>
      </c>
      <c r="Q10" s="31"/>
      <c r="R10" s="45" t="s">
        <v>268</v>
      </c>
      <c r="S10" s="45" t="s">
        <v>269</v>
      </c>
      <c r="T10" s="47" t="s">
        <v>213</v>
      </c>
      <c r="U10" s="48">
        <v>0.0</v>
      </c>
      <c r="V10" s="48">
        <v>0.0</v>
      </c>
      <c r="X10" s="49"/>
      <c r="Y10" s="37" t="s">
        <v>270</v>
      </c>
      <c r="Z10" s="38" t="s">
        <v>271</v>
      </c>
      <c r="AA10" s="38" t="s">
        <v>272</v>
      </c>
      <c r="AB10" s="57">
        <v>15.0</v>
      </c>
      <c r="AC10" s="57">
        <v>6.0</v>
      </c>
    </row>
    <row r="11">
      <c r="A11" s="13">
        <v>9.0</v>
      </c>
      <c r="B11" s="14"/>
      <c r="C11" s="14">
        <f>V15+AC4+AC8+AC9+AC16+AC12</f>
        <v>24</v>
      </c>
      <c r="D11" s="13"/>
      <c r="E11" s="13">
        <f>U15+AB4+AB8+AB9+AB16+AB12</f>
        <v>107</v>
      </c>
      <c r="F11" s="14" t="str">
        <f>R15 &amp;", "&amp; Y4 &amp;", "&amp; Y8 &amp;", "&amp; Y16 &amp;", "&amp; Y9 &amp;", "&amp; Y12</f>
        <v>Infligir Heridas Mejorado, Sacrificio de Vida, Bendición Corrupta, Invocación de Sombras 4, Maldición Mortal, Maldición del Dolor</v>
      </c>
      <c r="H11" s="23">
        <v>9.0</v>
      </c>
      <c r="I11" s="26">
        <f t="shared" ref="I11:I14" si="3">+4</f>
        <v>4</v>
      </c>
      <c r="J11" s="23" t="s">
        <v>279</v>
      </c>
      <c r="K11" s="23">
        <v>4.0</v>
      </c>
      <c r="L11" s="23">
        <v>3.0</v>
      </c>
      <c r="M11" s="23">
        <v>2.0</v>
      </c>
      <c r="N11" s="23" t="s">
        <v>42</v>
      </c>
      <c r="O11" s="23" t="s">
        <v>42</v>
      </c>
      <c r="Q11" s="31"/>
      <c r="R11" s="45" t="s">
        <v>282</v>
      </c>
      <c r="S11" s="45" t="s">
        <v>283</v>
      </c>
      <c r="T11" s="47" t="s">
        <v>284</v>
      </c>
      <c r="U11" s="48">
        <v>20.0</v>
      </c>
      <c r="V11" s="48">
        <v>2.0</v>
      </c>
      <c r="X11" s="39">
        <v>6.0</v>
      </c>
      <c r="Y11" s="40" t="s">
        <v>288</v>
      </c>
      <c r="Z11" s="41" t="s">
        <v>289</v>
      </c>
      <c r="AA11" s="41" t="s">
        <v>291</v>
      </c>
      <c r="AB11" s="39">
        <v>0.0</v>
      </c>
      <c r="AC11" s="39">
        <v>0.0</v>
      </c>
    </row>
    <row r="12">
      <c r="A12" s="27">
        <v>10.0</v>
      </c>
      <c r="B12" s="28"/>
      <c r="C12" s="28">
        <f>V15+AC4+AC8+AC9+AC16+AC12+AC17</f>
        <v>28</v>
      </c>
      <c r="D12" s="27"/>
      <c r="E12" s="27">
        <f>U15+AB4+AB8+AB9+AB16+AB12+AB17</f>
        <v>111</v>
      </c>
      <c r="F12" s="28" t="str">
        <f>R15 &amp;", "&amp; Y4 &amp;", "&amp; Y8 &amp;", "&amp; Y16 &amp;", "&amp; Y9 &amp;", "&amp; Y12 &amp;", "&amp; Y17</f>
        <v>Infligir Heridas Mejorado, Sacrificio de Vida, Bendición Corrupta, Invocación de Sombras 4, Maldición Mortal, Maldición del Dolor, Bendición Profana Mayor</v>
      </c>
      <c r="H12" s="42">
        <v>10.0</v>
      </c>
      <c r="I12" s="43">
        <f t="shared" si="3"/>
        <v>4</v>
      </c>
      <c r="J12" s="42" t="s">
        <v>304</v>
      </c>
      <c r="K12" s="42">
        <v>4.0</v>
      </c>
      <c r="L12" s="42">
        <v>3.0</v>
      </c>
      <c r="M12" s="42">
        <v>2.0</v>
      </c>
      <c r="N12" s="42" t="s">
        <v>42</v>
      </c>
      <c r="O12" s="42" t="s">
        <v>42</v>
      </c>
      <c r="Q12" s="31"/>
      <c r="R12" s="45" t="s">
        <v>309</v>
      </c>
      <c r="S12" s="45" t="s">
        <v>310</v>
      </c>
      <c r="T12" s="47" t="s">
        <v>213</v>
      </c>
      <c r="U12" s="48">
        <v>0.0</v>
      </c>
      <c r="V12" s="48">
        <v>0.0</v>
      </c>
      <c r="X12" s="36">
        <v>7.0</v>
      </c>
      <c r="Y12" s="37" t="s">
        <v>318</v>
      </c>
      <c r="Z12" s="38" t="s">
        <v>320</v>
      </c>
      <c r="AA12" s="38" t="s">
        <v>321</v>
      </c>
      <c r="AB12" s="36">
        <v>5.0</v>
      </c>
      <c r="AC12" s="36">
        <v>1.0</v>
      </c>
    </row>
    <row r="13">
      <c r="A13" s="13">
        <v>11.0</v>
      </c>
      <c r="B13" s="14"/>
      <c r="C13" s="14">
        <f>V15+AC4+AC8+AC9+AC19+AC12+AC17</f>
        <v>28</v>
      </c>
      <c r="D13" s="13"/>
      <c r="E13" s="13">
        <f>U15+AB4+AB8+AB9+AB19+AB12+AB17</f>
        <v>111</v>
      </c>
      <c r="F13" s="14" t="str">
        <f>R15 &amp;", "&amp; Y4 &amp;", "&amp; Y8 &amp;", "&amp; Y19 &amp;", "&amp; Y9 &amp;", "&amp; Y12 &amp;", "&amp; Y17</f>
        <v>Infligir Heridas Mejorado, Sacrificio de Vida, Bendición Corrupta, Invocación de Sombras 5, Maldición Mortal, Maldición del Dolor, Bendición Profana Mayor</v>
      </c>
      <c r="H13" s="23">
        <v>11.0</v>
      </c>
      <c r="I13" s="26">
        <f t="shared" si="3"/>
        <v>4</v>
      </c>
      <c r="J13" s="23" t="s">
        <v>336</v>
      </c>
      <c r="K13" s="23">
        <v>4.0</v>
      </c>
      <c r="L13" s="23">
        <v>3.0</v>
      </c>
      <c r="M13" s="23">
        <v>3.0</v>
      </c>
      <c r="N13" s="23" t="s">
        <v>42</v>
      </c>
      <c r="O13" s="23" t="s">
        <v>42</v>
      </c>
      <c r="Q13" s="53">
        <v>3.0</v>
      </c>
      <c r="R13" s="32" t="s">
        <v>249</v>
      </c>
      <c r="S13" s="32" t="s">
        <v>337</v>
      </c>
      <c r="T13" s="34" t="s">
        <v>251</v>
      </c>
      <c r="U13" s="35">
        <v>12.0</v>
      </c>
      <c r="V13" s="35">
        <v>2.0</v>
      </c>
      <c r="X13" s="49"/>
      <c r="Y13" s="37" t="s">
        <v>338</v>
      </c>
      <c r="Z13" s="38" t="s">
        <v>339</v>
      </c>
      <c r="AA13" s="38" t="s">
        <v>340</v>
      </c>
      <c r="AB13" s="52">
        <v>24.0</v>
      </c>
      <c r="AC13" s="52">
        <v>8.0</v>
      </c>
    </row>
    <row r="14">
      <c r="A14" s="27">
        <v>12.0</v>
      </c>
      <c r="B14" s="28"/>
      <c r="C14" s="28">
        <f>V15+AC4+AC8+AC9+AC19+AC12+AC17</f>
        <v>28</v>
      </c>
      <c r="D14" s="27"/>
      <c r="E14" s="27">
        <f>U15+AB4+AB8+AB9+AB19+AB12+AB17</f>
        <v>111</v>
      </c>
      <c r="F14" s="28" t="str">
        <f>R15 &amp;", "&amp; Y4 &amp;", "&amp; Y8 &amp;", "&amp; Y19 &amp;", "&amp; Y9 &amp;", "&amp; Y12 &amp;", "&amp; Y17</f>
        <v>Infligir Heridas Mejorado, Sacrificio de Vida, Bendición Corrupta, Invocación de Sombras 5, Maldición Mortal, Maldición del Dolor, Bendición Profana Mayor</v>
      </c>
      <c r="H14" s="42">
        <v>12.0</v>
      </c>
      <c r="I14" s="43">
        <f t="shared" si="3"/>
        <v>4</v>
      </c>
      <c r="J14" s="42" t="s">
        <v>76</v>
      </c>
      <c r="K14" s="42">
        <v>4.0</v>
      </c>
      <c r="L14" s="42">
        <v>3.0</v>
      </c>
      <c r="M14" s="42">
        <v>3.0</v>
      </c>
      <c r="N14" s="42" t="s">
        <v>42</v>
      </c>
      <c r="O14" s="42" t="s">
        <v>42</v>
      </c>
      <c r="Q14" s="31"/>
      <c r="R14" s="32" t="s">
        <v>341</v>
      </c>
      <c r="S14" s="32" t="s">
        <v>342</v>
      </c>
      <c r="T14" s="34" t="s">
        <v>343</v>
      </c>
      <c r="U14" s="35">
        <v>12.0</v>
      </c>
      <c r="V14" s="35">
        <v>2.0</v>
      </c>
      <c r="X14" s="39">
        <v>8.0</v>
      </c>
      <c r="Y14" s="40" t="s">
        <v>344</v>
      </c>
      <c r="Z14" s="41" t="s">
        <v>345</v>
      </c>
      <c r="AA14" s="41" t="s">
        <v>346</v>
      </c>
      <c r="AB14" s="39">
        <v>0.0</v>
      </c>
      <c r="AC14" s="39">
        <v>0.0</v>
      </c>
    </row>
    <row r="15">
      <c r="A15" s="13">
        <v>13.0</v>
      </c>
      <c r="B15" s="14"/>
      <c r="C15" s="14">
        <f>V15+AC4+AC8+AC9+AC21+AC12+AC17</f>
        <v>31</v>
      </c>
      <c r="D15" s="13"/>
      <c r="E15" s="13">
        <f>U15+AB4+AB8+AB9+AB21+AB12+AB17</f>
        <v>121</v>
      </c>
      <c r="F15" s="14" t="str">
        <f>R15 &amp;", "&amp; Y4 &amp;", "&amp; Y8 &amp;", "&amp; Y21 &amp;", "&amp; Y9 &amp;", "&amp; Y12 &amp;", "&amp; Y17</f>
        <v>Infligir Heridas Mejorado, Sacrificio de Vida, Bendición Corrupta, Invocación de Sombras 6, Maldición Mortal, Maldición del Dolor, Bendición Profana Mayor</v>
      </c>
      <c r="H15" s="23">
        <v>13.0</v>
      </c>
      <c r="I15" s="26">
        <f t="shared" ref="I15:I18" si="4">+5</f>
        <v>5</v>
      </c>
      <c r="J15" s="23" t="s">
        <v>347</v>
      </c>
      <c r="K15" s="23">
        <v>4.0</v>
      </c>
      <c r="L15" s="23">
        <v>3.0</v>
      </c>
      <c r="M15" s="23">
        <v>3.0</v>
      </c>
      <c r="N15" s="23">
        <v>1.0</v>
      </c>
      <c r="O15" s="23" t="s">
        <v>42</v>
      </c>
      <c r="Q15" s="31"/>
      <c r="R15" s="32" t="s">
        <v>348</v>
      </c>
      <c r="S15" s="32" t="s">
        <v>349</v>
      </c>
      <c r="T15" s="34" t="s">
        <v>350</v>
      </c>
      <c r="U15" s="35">
        <v>40.0</v>
      </c>
      <c r="V15" s="35">
        <v>4.0</v>
      </c>
      <c r="X15" s="36">
        <v>9.0</v>
      </c>
      <c r="Y15" s="37" t="s">
        <v>279</v>
      </c>
      <c r="Z15" s="38" t="s">
        <v>351</v>
      </c>
      <c r="AA15" s="38" t="s">
        <v>352</v>
      </c>
      <c r="AB15" s="57">
        <f>2*6</f>
        <v>12</v>
      </c>
      <c r="AC15" s="57">
        <f>2*1</f>
        <v>2</v>
      </c>
    </row>
    <row r="16">
      <c r="A16" s="27">
        <v>14.0</v>
      </c>
      <c r="B16" s="28"/>
      <c r="C16" s="28">
        <f>V15+AC4+AC8+AC9+AC21+AC12+AC17</f>
        <v>31</v>
      </c>
      <c r="D16" s="27"/>
      <c r="E16" s="27">
        <f>U15+AB4+AB8+AB9+AB21+AB12+AB17</f>
        <v>121</v>
      </c>
      <c r="F16" s="28" t="str">
        <f>R15 &amp;", "&amp; Y4 &amp;", "&amp; Y8 &amp;", "&amp; Y21 &amp;", "&amp; Y9 &amp;", "&amp; Y12 &amp;", "&amp; Y17</f>
        <v>Infligir Heridas Mejorado, Sacrificio de Vida, Bendición Corrupta, Invocación de Sombras 6, Maldición Mortal, Maldición del Dolor, Bendición Profana Mayor</v>
      </c>
      <c r="H16" s="42">
        <v>14.0</v>
      </c>
      <c r="I16" s="43">
        <f t="shared" si="4"/>
        <v>5</v>
      </c>
      <c r="J16" s="42" t="s">
        <v>353</v>
      </c>
      <c r="K16" s="42">
        <v>4.0</v>
      </c>
      <c r="L16" s="42">
        <v>3.0</v>
      </c>
      <c r="M16" s="42">
        <v>3.0</v>
      </c>
      <c r="N16" s="42">
        <v>1.0</v>
      </c>
      <c r="O16" s="42" t="s">
        <v>42</v>
      </c>
      <c r="Q16" s="31"/>
      <c r="R16" s="32" t="s">
        <v>354</v>
      </c>
      <c r="S16" s="32" t="s">
        <v>355</v>
      </c>
      <c r="T16" s="34" t="s">
        <v>213</v>
      </c>
      <c r="U16" s="35">
        <v>0.0</v>
      </c>
      <c r="V16" s="35">
        <v>0.0</v>
      </c>
      <c r="X16" s="49"/>
      <c r="Y16" s="37" t="s">
        <v>356</v>
      </c>
      <c r="Z16" s="38" t="s">
        <v>357</v>
      </c>
      <c r="AA16" s="38" t="s">
        <v>358</v>
      </c>
      <c r="AB16" s="52">
        <v>30.0</v>
      </c>
      <c r="AC16" s="52">
        <v>12.0</v>
      </c>
    </row>
    <row r="17">
      <c r="A17" s="13">
        <v>15.0</v>
      </c>
      <c r="B17" s="14"/>
      <c r="C17" s="14">
        <f>V15+AC4+AC8+AC22+AC21+AC12+AC17</f>
        <v>31</v>
      </c>
      <c r="D17" s="13"/>
      <c r="E17" s="13">
        <f>U15+AB4+AB8+AB22+AB23+AB12+AB17</f>
        <v>130</v>
      </c>
      <c r="F17" s="14" t="str">
        <f>R15 &amp;", "&amp; Y4 &amp;", "&amp; Y8 &amp;", "&amp; Y23 &amp;", "&amp; Y22 &amp;", "&amp; Y12 &amp;", "&amp; Y17</f>
        <v>Infligir Heridas Mejorado, Sacrificio de Vida, Bendición Corrupta, Invocación de Sombras 7, Maldición de Agonía, Maldición del Dolor, Bendición Profana Mayor</v>
      </c>
      <c r="H17" s="23">
        <v>15.0</v>
      </c>
      <c r="I17" s="26">
        <f t="shared" si="4"/>
        <v>5</v>
      </c>
      <c r="J17" s="23" t="s">
        <v>359</v>
      </c>
      <c r="K17" s="23">
        <v>4.0</v>
      </c>
      <c r="L17" s="23">
        <v>3.0</v>
      </c>
      <c r="M17" s="23">
        <v>3.0</v>
      </c>
      <c r="N17" s="23">
        <v>2.0</v>
      </c>
      <c r="O17" s="23" t="s">
        <v>42</v>
      </c>
      <c r="Q17" s="31"/>
      <c r="R17" s="32" t="s">
        <v>360</v>
      </c>
      <c r="S17" s="32" t="s">
        <v>361</v>
      </c>
      <c r="T17" s="34" t="s">
        <v>362</v>
      </c>
      <c r="U17" s="35">
        <v>0.0</v>
      </c>
      <c r="V17" s="35">
        <v>0.0</v>
      </c>
      <c r="X17" s="39">
        <v>10.0</v>
      </c>
      <c r="Y17" s="40" t="s">
        <v>363</v>
      </c>
      <c r="Z17" s="41" t="s">
        <v>364</v>
      </c>
      <c r="AA17" s="41" t="s">
        <v>365</v>
      </c>
      <c r="AB17" s="39">
        <v>4.0</v>
      </c>
      <c r="AC17" s="39">
        <v>4.0</v>
      </c>
    </row>
    <row r="18">
      <c r="A18" s="27">
        <v>16.0</v>
      </c>
      <c r="B18" s="28"/>
      <c r="C18" s="28">
        <f>V15+AC4+AC8+AC22+AC21+AC12+AC17</f>
        <v>31</v>
      </c>
      <c r="D18" s="27"/>
      <c r="E18" s="27">
        <f>U15+AB4+AB8+AB22+AB23+AB12+AB17</f>
        <v>130</v>
      </c>
      <c r="F18" s="28" t="str">
        <f>R15 &amp;", "&amp; Y4 &amp;", "&amp; Y8 &amp;", "&amp; Y23 &amp;", "&amp; Y22 &amp;", "&amp; Y12 &amp;", "&amp; Y17</f>
        <v>Infligir Heridas Mejorado, Sacrificio de Vida, Bendición Corrupta, Invocación de Sombras 7, Maldición de Agonía, Maldición del Dolor, Bendición Profana Mayor</v>
      </c>
      <c r="H18" s="42">
        <v>16.0</v>
      </c>
      <c r="I18" s="43">
        <f t="shared" si="4"/>
        <v>5</v>
      </c>
      <c r="J18" s="42" t="s">
        <v>76</v>
      </c>
      <c r="K18" s="42">
        <v>4.0</v>
      </c>
      <c r="L18" s="42">
        <v>3.0</v>
      </c>
      <c r="M18" s="42">
        <v>3.0</v>
      </c>
      <c r="N18" s="42">
        <v>2.0</v>
      </c>
      <c r="O18" s="42" t="s">
        <v>42</v>
      </c>
      <c r="Q18" s="50">
        <v>4.0</v>
      </c>
      <c r="R18" s="45" t="s">
        <v>245</v>
      </c>
      <c r="S18" s="45" t="s">
        <v>368</v>
      </c>
      <c r="T18" s="47" t="s">
        <v>369</v>
      </c>
      <c r="U18" s="48">
        <v>5.0</v>
      </c>
      <c r="V18" s="48">
        <v>1.0</v>
      </c>
      <c r="X18" s="36">
        <v>11.0</v>
      </c>
      <c r="Y18" s="37" t="s">
        <v>336</v>
      </c>
      <c r="Z18" s="38" t="s">
        <v>373</v>
      </c>
      <c r="AA18" s="38" t="s">
        <v>374</v>
      </c>
      <c r="AB18" s="36">
        <v>6.0</v>
      </c>
      <c r="AC18" s="36">
        <v>1.0</v>
      </c>
    </row>
    <row r="19">
      <c r="A19" s="13">
        <v>17.0</v>
      </c>
      <c r="B19" s="14"/>
      <c r="C19" s="14">
        <f>V24+AC4+AC8+AC22+AC24+AC12+AC17</f>
        <v>37</v>
      </c>
      <c r="D19" s="13"/>
      <c r="E19" s="13">
        <f>U24+AB4+AB8+AB22+AB24+AB12+AB17</f>
        <v>150</v>
      </c>
      <c r="F19" s="14" t="str">
        <f>R24 &amp;", "&amp; Y4 &amp;", "&amp; Y8 &amp;", "&amp; Y24 &amp;", "&amp; Y22 &amp;", "&amp; Y12 &amp;", "&amp; Y17</f>
        <v>Destrucción Espiritual, Sacrificio de Vida, Bendición Corrupta, Invocación de Sombras 8, Maldición de Agonía, Maldición del Dolor, Bendición Profana Mayor</v>
      </c>
      <c r="H19" s="23">
        <v>17.0</v>
      </c>
      <c r="I19" s="26">
        <f t="shared" ref="I19:I22" si="5">+6</f>
        <v>6</v>
      </c>
      <c r="J19" s="23" t="s">
        <v>388</v>
      </c>
      <c r="K19" s="23">
        <v>4.0</v>
      </c>
      <c r="L19" s="23">
        <v>3.0</v>
      </c>
      <c r="M19" s="23">
        <v>3.0</v>
      </c>
      <c r="N19" s="23">
        <v>3.0</v>
      </c>
      <c r="O19" s="23">
        <v>1.0</v>
      </c>
      <c r="Q19" s="31"/>
      <c r="R19" s="45" t="s">
        <v>391</v>
      </c>
      <c r="S19" s="45" t="s">
        <v>392</v>
      </c>
      <c r="T19" s="47" t="s">
        <v>394</v>
      </c>
      <c r="U19" s="48">
        <v>24.0</v>
      </c>
      <c r="V19" s="48">
        <v>3.0</v>
      </c>
      <c r="X19" s="49"/>
      <c r="Y19" s="37" t="s">
        <v>395</v>
      </c>
      <c r="Z19" s="38" t="s">
        <v>396</v>
      </c>
      <c r="AA19" s="38" t="s">
        <v>397</v>
      </c>
      <c r="AB19" s="52">
        <v>30.0</v>
      </c>
      <c r="AC19" s="52">
        <v>12.0</v>
      </c>
    </row>
    <row r="20">
      <c r="A20" s="27">
        <v>18.0</v>
      </c>
      <c r="B20" s="28"/>
      <c r="C20" s="28">
        <f>V24+AC4+AC8+AC22+AC24+AC12+AC17+AC9</f>
        <v>39</v>
      </c>
      <c r="D20" s="27"/>
      <c r="E20" s="27">
        <f>U24+AB4+AB8+AB22+AB24+AB12+AB17+AB9</f>
        <v>162</v>
      </c>
      <c r="F20" s="28" t="str">
        <f>R24 &amp;", "&amp; Y4 &amp;", "&amp; Y8 &amp;", "&amp; Y24 &amp;", "&amp; Y22 &amp;", "&amp; Y12 &amp;", "&amp; Y17 &amp;", "&amp; Y9</f>
        <v>Destrucción Espiritual, Sacrificio de Vida, Bendición Corrupta, Invocación de Sombras 8, Maldición de Agonía, Maldición del Dolor, Bendición Profana Mayor, Maldición Mortal</v>
      </c>
      <c r="H20" s="42">
        <v>18.0</v>
      </c>
      <c r="I20" s="43">
        <f t="shared" si="5"/>
        <v>6</v>
      </c>
      <c r="J20" s="42" t="s">
        <v>409</v>
      </c>
      <c r="K20" s="42">
        <v>4.0</v>
      </c>
      <c r="L20" s="42">
        <v>3.0</v>
      </c>
      <c r="M20" s="42">
        <v>3.0</v>
      </c>
      <c r="N20" s="42">
        <v>3.0</v>
      </c>
      <c r="O20" s="42">
        <v>1.0</v>
      </c>
      <c r="Q20" s="31"/>
      <c r="R20" s="45" t="s">
        <v>261</v>
      </c>
      <c r="S20" s="45" t="s">
        <v>414</v>
      </c>
      <c r="T20" s="47" t="s">
        <v>213</v>
      </c>
      <c r="U20" s="48">
        <v>0.0</v>
      </c>
      <c r="V20" s="48">
        <v>0.0</v>
      </c>
      <c r="X20" s="39">
        <v>13.0</v>
      </c>
      <c r="Y20" s="40" t="s">
        <v>347</v>
      </c>
      <c r="Z20" s="41" t="s">
        <v>418</v>
      </c>
      <c r="AA20" s="41" t="s">
        <v>419</v>
      </c>
      <c r="AB20" s="85">
        <f>4*6</f>
        <v>24</v>
      </c>
      <c r="AC20" s="39">
        <v>4.0</v>
      </c>
    </row>
    <row r="21">
      <c r="A21" s="13">
        <v>19.0</v>
      </c>
      <c r="B21" s="14"/>
      <c r="C21" s="14">
        <f>V24+AC4+AC8+AC22+AC26+AC12+AC17+AC9</f>
        <v>43</v>
      </c>
      <c r="D21" s="13"/>
      <c r="E21" s="13">
        <f>U24+AB4+AB8+AB22+AB26+AB12+AB17+AB9</f>
        <v>167</v>
      </c>
      <c r="F21" s="14" t="str">
        <f>R24 &amp;", "&amp; Y4 &amp;", "&amp; Y8 &amp;", "&amp; Y26 &amp;", "&amp; Y22 &amp;", "&amp; Y12 &amp;", "&amp; Y17 &amp;", "&amp; Y9</f>
        <v>Destrucción Espiritual, Sacrificio de Vida, Bendición Corrupta, Invocación de Sombras 9, Maldición de Agonía, Maldición del Dolor, Bendición Profana Mayor, Maldición Mortal</v>
      </c>
      <c r="H21" s="23">
        <v>19.0</v>
      </c>
      <c r="I21" s="26">
        <f t="shared" si="5"/>
        <v>6</v>
      </c>
      <c r="J21" s="23" t="s">
        <v>76</v>
      </c>
      <c r="K21" s="23">
        <v>4.0</v>
      </c>
      <c r="L21" s="23">
        <v>3.0</v>
      </c>
      <c r="M21" s="23">
        <v>3.0</v>
      </c>
      <c r="N21" s="23">
        <v>3.0</v>
      </c>
      <c r="O21" s="23">
        <v>2.0</v>
      </c>
      <c r="Q21" s="31"/>
      <c r="R21" s="45" t="s">
        <v>437</v>
      </c>
      <c r="S21" s="45" t="s">
        <v>439</v>
      </c>
      <c r="T21" s="47" t="s">
        <v>213</v>
      </c>
      <c r="U21" s="48">
        <v>0.0</v>
      </c>
      <c r="V21" s="48">
        <v>0.0</v>
      </c>
      <c r="X21" s="49"/>
      <c r="Y21" s="40" t="s">
        <v>442</v>
      </c>
      <c r="Z21" s="41" t="s">
        <v>443</v>
      </c>
      <c r="AA21" s="41" t="s">
        <v>445</v>
      </c>
      <c r="AB21" s="86">
        <v>40.0</v>
      </c>
      <c r="AC21" s="86">
        <v>15.0</v>
      </c>
    </row>
    <row r="22">
      <c r="A22" s="60">
        <v>20.0</v>
      </c>
      <c r="B22" s="60"/>
      <c r="C22" s="60">
        <f>V24+AC4+AC8+AC22+AC28+AC12+AC17+AC9</f>
        <v>51</v>
      </c>
      <c r="D22" s="60"/>
      <c r="E22" s="60">
        <f>U24+AB4+AB8+AB22+AB28+AB12+AB17+AB9</f>
        <v>187</v>
      </c>
      <c r="F22" s="60" t="str">
        <f>R24 &amp;", "&amp; Y4 &amp;", "&amp; Y8 &amp;", "&amp; Y28 &amp;", "&amp; Y22 &amp;", "&amp; Y12 &amp;", "&amp; Y17 &amp;", "&amp; Y9</f>
        <v>Destrucción Espiritual, Sacrificio de Vida, Bendición Corrupta, Invocación de Sombras 10, Maldición de Agonía, Maldición del Dolor, Bendición Profana Mayor, Maldición Mortal</v>
      </c>
      <c r="H22" s="87">
        <v>20.0</v>
      </c>
      <c r="I22" s="88">
        <f t="shared" si="5"/>
        <v>6</v>
      </c>
      <c r="J22" s="87" t="s">
        <v>462</v>
      </c>
      <c r="K22" s="87">
        <v>4.0</v>
      </c>
      <c r="L22" s="87">
        <v>3.0</v>
      </c>
      <c r="M22" s="87">
        <v>3.0</v>
      </c>
      <c r="N22" s="87">
        <v>3.0</v>
      </c>
      <c r="O22" s="87">
        <v>2.0</v>
      </c>
      <c r="Q22" s="31"/>
      <c r="R22" s="45" t="s">
        <v>463</v>
      </c>
      <c r="S22" s="45" t="s">
        <v>465</v>
      </c>
      <c r="T22" s="89"/>
      <c r="U22" s="48">
        <v>0.0</v>
      </c>
      <c r="V22" s="48">
        <v>0.0</v>
      </c>
      <c r="X22" s="36">
        <v>15.0</v>
      </c>
      <c r="Y22" s="37" t="s">
        <v>359</v>
      </c>
      <c r="Z22" s="38" t="s">
        <v>469</v>
      </c>
      <c r="AA22" s="38" t="s">
        <v>472</v>
      </c>
      <c r="AB22" s="36">
        <v>16.0</v>
      </c>
      <c r="AC22" s="36">
        <v>2.0</v>
      </c>
    </row>
    <row r="23">
      <c r="A23" s="66"/>
      <c r="B23" s="66"/>
      <c r="C23" s="66"/>
      <c r="D23" s="66"/>
      <c r="E23" s="66"/>
      <c r="F23" s="66"/>
      <c r="I23" s="67"/>
      <c r="Q23" s="53">
        <v>5.0</v>
      </c>
      <c r="R23" s="32" t="s">
        <v>477</v>
      </c>
      <c r="S23" s="90" t="s">
        <v>479</v>
      </c>
      <c r="T23" s="34" t="s">
        <v>480</v>
      </c>
      <c r="U23" s="35">
        <f>8*6</f>
        <v>48</v>
      </c>
      <c r="V23" s="35">
        <v>6.0</v>
      </c>
      <c r="X23" s="49"/>
      <c r="Y23" s="37" t="s">
        <v>483</v>
      </c>
      <c r="Z23" s="38" t="s">
        <v>484</v>
      </c>
      <c r="AA23" s="38" t="s">
        <v>485</v>
      </c>
      <c r="AB23" s="52">
        <v>45.0</v>
      </c>
      <c r="AC23" s="52">
        <v>18.0</v>
      </c>
    </row>
    <row r="24">
      <c r="A24" s="66"/>
      <c r="B24" s="66"/>
      <c r="C24" s="66"/>
      <c r="D24" s="66"/>
      <c r="E24" s="66"/>
      <c r="F24" s="66"/>
      <c r="I24" s="67"/>
      <c r="Q24" s="31"/>
      <c r="R24" s="32" t="s">
        <v>488</v>
      </c>
      <c r="S24" s="90" t="s">
        <v>490</v>
      </c>
      <c r="T24" s="34" t="s">
        <v>491</v>
      </c>
      <c r="U24" s="35">
        <v>50.0</v>
      </c>
      <c r="V24" s="35">
        <v>5.0</v>
      </c>
      <c r="X24" s="86">
        <v>17.0</v>
      </c>
      <c r="Y24" s="40" t="s">
        <v>496</v>
      </c>
      <c r="Z24" s="41" t="s">
        <v>497</v>
      </c>
      <c r="AA24" s="41" t="s">
        <v>498</v>
      </c>
      <c r="AB24" s="86">
        <v>55.0</v>
      </c>
      <c r="AC24" s="86">
        <v>20.0</v>
      </c>
    </row>
    <row r="25">
      <c r="A25" s="92">
        <v>5.0</v>
      </c>
      <c r="B25" s="92"/>
      <c r="C25" s="92">
        <v>2.0</v>
      </c>
      <c r="D25" s="92"/>
      <c r="E25" s="92">
        <v>5.0</v>
      </c>
      <c r="F25" s="66"/>
      <c r="I25" s="67"/>
      <c r="Q25" s="31"/>
      <c r="R25" s="32" t="s">
        <v>499</v>
      </c>
      <c r="S25" s="90" t="s">
        <v>500</v>
      </c>
      <c r="T25" s="34" t="s">
        <v>501</v>
      </c>
      <c r="U25" s="35">
        <v>24.0</v>
      </c>
      <c r="V25" s="35">
        <v>4.0</v>
      </c>
      <c r="X25" s="36">
        <v>18.0</v>
      </c>
      <c r="Y25" s="37" t="s">
        <v>388</v>
      </c>
      <c r="Z25" s="38" t="s">
        <v>502</v>
      </c>
      <c r="AA25" s="38" t="s">
        <v>503</v>
      </c>
      <c r="AB25" s="36">
        <v>0.0</v>
      </c>
      <c r="AC25" s="36">
        <v>0.0</v>
      </c>
    </row>
    <row r="26">
      <c r="A26" s="92">
        <v>10.0</v>
      </c>
      <c r="B26" s="92"/>
      <c r="C26" s="92">
        <v>3.0</v>
      </c>
      <c r="D26" s="92"/>
      <c r="E26" s="92">
        <v>9.0</v>
      </c>
      <c r="F26" s="66"/>
      <c r="I26" s="67"/>
      <c r="Q26" s="31"/>
      <c r="R26" s="32" t="s">
        <v>504</v>
      </c>
      <c r="S26" s="90" t="s">
        <v>505</v>
      </c>
      <c r="T26" s="34" t="s">
        <v>506</v>
      </c>
      <c r="U26" s="35">
        <v>18.0</v>
      </c>
      <c r="V26" s="35">
        <v>3.0</v>
      </c>
      <c r="X26" s="86">
        <v>19.0</v>
      </c>
      <c r="Y26" s="40" t="s">
        <v>507</v>
      </c>
      <c r="Z26" s="41" t="s">
        <v>508</v>
      </c>
      <c r="AA26" s="41" t="s">
        <v>509</v>
      </c>
      <c r="AB26" s="86">
        <v>60.0</v>
      </c>
      <c r="AC26" s="86">
        <v>24.0</v>
      </c>
    </row>
    <row r="27">
      <c r="A27" s="92">
        <v>15.0</v>
      </c>
      <c r="B27" s="92"/>
      <c r="C27" s="92">
        <v>4.0</v>
      </c>
      <c r="D27" s="92"/>
      <c r="E27" s="92">
        <v>14.0</v>
      </c>
      <c r="F27" s="66"/>
      <c r="I27" s="67"/>
      <c r="Q27" s="93"/>
      <c r="R27" s="72" t="s">
        <v>510</v>
      </c>
      <c r="S27" s="73" t="s">
        <v>511</v>
      </c>
      <c r="T27" s="74" t="s">
        <v>512</v>
      </c>
      <c r="U27" s="75">
        <f>4*6</f>
        <v>24</v>
      </c>
      <c r="V27" s="75">
        <v>4.0</v>
      </c>
      <c r="X27" s="36">
        <v>20.0</v>
      </c>
      <c r="Y27" s="37" t="s">
        <v>462</v>
      </c>
      <c r="Z27" s="38" t="s">
        <v>513</v>
      </c>
      <c r="AA27" s="38" t="s">
        <v>514</v>
      </c>
      <c r="AB27" s="36">
        <v>0.0</v>
      </c>
      <c r="AC27" s="36">
        <v>0.0</v>
      </c>
    </row>
    <row r="28">
      <c r="A28" s="92">
        <v>20.0</v>
      </c>
      <c r="B28" s="92"/>
      <c r="C28" s="92">
        <v>5.0</v>
      </c>
      <c r="D28" s="92"/>
      <c r="E28" s="92">
        <v>19.0</v>
      </c>
      <c r="F28" s="66"/>
      <c r="I28" s="67"/>
      <c r="R28" s="76"/>
      <c r="X28" s="78"/>
      <c r="Y28" s="69" t="s">
        <v>515</v>
      </c>
      <c r="Z28" s="79" t="s">
        <v>516</v>
      </c>
      <c r="AA28" s="79" t="s">
        <v>517</v>
      </c>
      <c r="AB28" s="80">
        <v>80.0</v>
      </c>
      <c r="AC28" s="80">
        <v>32.0</v>
      </c>
    </row>
    <row r="29">
      <c r="A29" s="92">
        <v>25.0</v>
      </c>
      <c r="B29" s="66"/>
      <c r="C29" s="66"/>
      <c r="D29" s="66"/>
      <c r="E29" s="66"/>
      <c r="F29" s="66"/>
      <c r="I29" s="67"/>
      <c r="R29" s="77"/>
      <c r="X29" s="67"/>
    </row>
    <row r="30">
      <c r="A30" s="66"/>
      <c r="B30" s="66"/>
      <c r="C30" s="66"/>
      <c r="D30" s="66"/>
      <c r="E30" s="66"/>
      <c r="F30" s="66"/>
      <c r="I30" s="67"/>
      <c r="R30" s="76"/>
      <c r="X30" s="67"/>
    </row>
    <row r="31">
      <c r="A31" s="66"/>
      <c r="B31" s="66"/>
      <c r="C31" s="66"/>
      <c r="D31" s="66"/>
      <c r="E31" s="66"/>
      <c r="F31" s="66"/>
      <c r="I31" s="67"/>
      <c r="R31" s="77"/>
      <c r="X31" s="67"/>
    </row>
    <row r="32">
      <c r="A32" s="66"/>
      <c r="B32" s="66"/>
      <c r="C32" s="66"/>
      <c r="D32" s="66"/>
      <c r="E32" s="66"/>
      <c r="F32" s="66"/>
      <c r="I32" s="67"/>
      <c r="R32" s="76"/>
      <c r="X32" s="67"/>
    </row>
    <row r="33">
      <c r="A33" s="66"/>
      <c r="B33" s="66"/>
      <c r="C33" s="66"/>
      <c r="D33" s="66"/>
      <c r="E33" s="66"/>
      <c r="F33" s="66"/>
      <c r="I33" s="67"/>
      <c r="R33" s="76"/>
      <c r="X33" s="67"/>
    </row>
    <row r="34">
      <c r="A34" s="66"/>
      <c r="B34" s="66"/>
      <c r="C34" s="66"/>
      <c r="D34" s="66"/>
      <c r="E34" s="66"/>
      <c r="F34" s="66"/>
      <c r="I34" s="67"/>
      <c r="R34" s="76"/>
      <c r="X34" s="67"/>
    </row>
    <row r="35">
      <c r="A35" s="66"/>
      <c r="B35" s="66"/>
      <c r="C35" s="66"/>
      <c r="D35" s="66"/>
      <c r="E35" s="66"/>
      <c r="F35" s="66"/>
      <c r="I35" s="67"/>
      <c r="R35" s="76"/>
      <c r="X35" s="67"/>
    </row>
    <row r="36">
      <c r="A36" s="66"/>
      <c r="B36" s="66"/>
      <c r="C36" s="66"/>
      <c r="D36" s="66"/>
      <c r="E36" s="66"/>
      <c r="F36" s="66"/>
      <c r="I36" s="67"/>
      <c r="R36" s="77"/>
      <c r="X36" s="67"/>
    </row>
    <row r="37">
      <c r="A37" s="66"/>
      <c r="B37" s="66"/>
      <c r="C37" s="66"/>
      <c r="D37" s="66"/>
      <c r="E37" s="66"/>
      <c r="F37" s="66"/>
      <c r="I37" s="67"/>
      <c r="R37" s="76"/>
      <c r="X37" s="67"/>
    </row>
    <row r="38">
      <c r="A38" s="66"/>
      <c r="B38" s="66"/>
      <c r="C38" s="66"/>
      <c r="D38" s="66"/>
      <c r="E38" s="66"/>
      <c r="F38" s="66"/>
      <c r="I38" s="67"/>
      <c r="R38" s="77"/>
      <c r="X38" s="67"/>
    </row>
    <row r="39">
      <c r="A39" s="66"/>
      <c r="B39" s="66"/>
      <c r="C39" s="66"/>
      <c r="D39" s="66"/>
      <c r="E39" s="66"/>
      <c r="F39" s="66"/>
      <c r="I39" s="67"/>
      <c r="X39" s="67"/>
    </row>
    <row r="40">
      <c r="A40" s="66"/>
      <c r="B40" s="66"/>
      <c r="C40" s="66"/>
      <c r="D40" s="66"/>
      <c r="E40" s="66"/>
      <c r="F40" s="66"/>
      <c r="I40" s="67"/>
      <c r="R40" s="76"/>
      <c r="X40" s="67"/>
    </row>
    <row r="41">
      <c r="A41" s="66"/>
      <c r="B41" s="66"/>
      <c r="C41" s="66"/>
      <c r="D41" s="66"/>
      <c r="E41" s="66"/>
      <c r="F41" s="66"/>
      <c r="I41" s="67"/>
      <c r="R41" s="76"/>
      <c r="X41" s="67"/>
    </row>
    <row r="42">
      <c r="A42" s="66"/>
      <c r="B42" s="66"/>
      <c r="C42" s="66"/>
      <c r="D42" s="66"/>
      <c r="E42" s="66"/>
      <c r="F42" s="66"/>
      <c r="I42" s="67"/>
      <c r="R42" s="76"/>
      <c r="X42" s="67"/>
    </row>
    <row r="43">
      <c r="A43" s="66"/>
      <c r="B43" s="66"/>
      <c r="C43" s="66"/>
      <c r="D43" s="66"/>
      <c r="E43" s="66"/>
      <c r="F43" s="66"/>
      <c r="I43" s="67"/>
      <c r="R43" s="77"/>
      <c r="X43" s="67"/>
    </row>
    <row r="44">
      <c r="A44" s="66"/>
      <c r="B44" s="66"/>
      <c r="C44" s="66"/>
      <c r="D44" s="66"/>
      <c r="E44" s="66"/>
      <c r="F44" s="66"/>
      <c r="I44" s="67"/>
      <c r="R44" s="76"/>
      <c r="X44" s="67"/>
    </row>
    <row r="45">
      <c r="A45" s="66"/>
      <c r="B45" s="66"/>
      <c r="C45" s="66"/>
      <c r="D45" s="66"/>
      <c r="E45" s="66"/>
      <c r="F45" s="66"/>
      <c r="I45" s="67"/>
      <c r="R45" s="77"/>
      <c r="X45" s="67"/>
    </row>
    <row r="46">
      <c r="A46" s="66"/>
      <c r="B46" s="66"/>
      <c r="C46" s="66"/>
      <c r="D46" s="66"/>
      <c r="E46" s="66"/>
      <c r="F46" s="66"/>
      <c r="I46" s="67"/>
      <c r="X46" s="67"/>
    </row>
    <row r="47">
      <c r="A47" s="66"/>
      <c r="B47" s="66"/>
      <c r="C47" s="66"/>
      <c r="D47" s="66"/>
      <c r="E47" s="66"/>
      <c r="F47" s="66"/>
      <c r="I47" s="67"/>
      <c r="R47" s="76"/>
      <c r="X47" s="67"/>
    </row>
    <row r="48">
      <c r="A48" s="66"/>
      <c r="B48" s="66"/>
      <c r="C48" s="66"/>
      <c r="D48" s="66"/>
      <c r="E48" s="66"/>
      <c r="F48" s="66"/>
      <c r="I48" s="67"/>
      <c r="R48" s="76"/>
      <c r="X48" s="67"/>
    </row>
    <row r="49">
      <c r="A49" s="66"/>
      <c r="B49" s="66"/>
      <c r="C49" s="66"/>
      <c r="D49" s="66"/>
      <c r="E49" s="66"/>
      <c r="F49" s="66"/>
      <c r="I49" s="67"/>
      <c r="R49" s="76"/>
      <c r="X49" s="67"/>
    </row>
    <row r="50">
      <c r="A50" s="66"/>
      <c r="B50" s="66"/>
      <c r="C50" s="66"/>
      <c r="D50" s="66"/>
      <c r="E50" s="66"/>
      <c r="F50" s="66"/>
      <c r="I50" s="67"/>
      <c r="R50" s="77"/>
      <c r="X50" s="67"/>
    </row>
    <row r="51">
      <c r="A51" s="66"/>
      <c r="B51" s="66"/>
      <c r="C51" s="66"/>
      <c r="D51" s="66"/>
      <c r="E51" s="66"/>
      <c r="F51" s="66"/>
      <c r="I51" s="67"/>
      <c r="R51" s="76"/>
      <c r="X51" s="67"/>
    </row>
    <row r="52">
      <c r="A52" s="66"/>
      <c r="B52" s="66"/>
      <c r="C52" s="66"/>
      <c r="D52" s="66"/>
      <c r="E52" s="66"/>
      <c r="F52" s="66"/>
      <c r="I52" s="67"/>
      <c r="R52" s="77"/>
      <c r="X52" s="67"/>
    </row>
    <row r="53">
      <c r="A53" s="66"/>
      <c r="B53" s="66"/>
      <c r="C53" s="66"/>
      <c r="D53" s="66"/>
      <c r="E53" s="66"/>
      <c r="F53" s="66"/>
      <c r="I53" s="67"/>
      <c r="X53" s="67"/>
    </row>
    <row r="54">
      <c r="A54" s="66"/>
      <c r="B54" s="66"/>
      <c r="C54" s="66"/>
      <c r="D54" s="66"/>
      <c r="E54" s="66"/>
      <c r="F54" s="66"/>
      <c r="I54" s="67"/>
      <c r="R54" s="76"/>
      <c r="X54" s="67"/>
    </row>
    <row r="55">
      <c r="A55" s="66"/>
      <c r="B55" s="66"/>
      <c r="C55" s="66"/>
      <c r="D55" s="66"/>
      <c r="E55" s="66"/>
      <c r="F55" s="66"/>
      <c r="I55" s="67"/>
      <c r="R55" s="76"/>
      <c r="X55" s="67"/>
    </row>
    <row r="56">
      <c r="A56" s="66"/>
      <c r="B56" s="66"/>
      <c r="C56" s="66"/>
      <c r="D56" s="66"/>
      <c r="E56" s="66"/>
      <c r="F56" s="66"/>
      <c r="I56" s="67"/>
      <c r="R56" s="76"/>
      <c r="X56" s="67"/>
    </row>
    <row r="57">
      <c r="A57" s="66"/>
      <c r="B57" s="66"/>
      <c r="C57" s="66"/>
      <c r="D57" s="66"/>
      <c r="E57" s="66"/>
      <c r="F57" s="66"/>
      <c r="I57" s="67"/>
      <c r="R57" s="77"/>
      <c r="X57" s="67"/>
    </row>
    <row r="58">
      <c r="A58" s="66"/>
      <c r="B58" s="66"/>
      <c r="C58" s="66"/>
      <c r="D58" s="66"/>
      <c r="E58" s="66"/>
      <c r="F58" s="66"/>
      <c r="I58" s="67"/>
      <c r="R58" s="76"/>
      <c r="X58" s="67"/>
    </row>
    <row r="59">
      <c r="A59" s="66"/>
      <c r="B59" s="66"/>
      <c r="C59" s="66"/>
      <c r="D59" s="66"/>
      <c r="E59" s="66"/>
      <c r="F59" s="66"/>
      <c r="I59" s="67"/>
      <c r="R59" s="77"/>
      <c r="X59" s="67"/>
    </row>
    <row r="60">
      <c r="A60" s="66"/>
      <c r="B60" s="66"/>
      <c r="C60" s="66"/>
      <c r="D60" s="66"/>
      <c r="E60" s="66"/>
      <c r="F60" s="66"/>
      <c r="I60" s="67"/>
      <c r="X60" s="67"/>
    </row>
    <row r="61">
      <c r="A61" s="66"/>
      <c r="B61" s="66"/>
      <c r="C61" s="66"/>
      <c r="D61" s="66"/>
      <c r="E61" s="66"/>
      <c r="F61" s="66"/>
      <c r="I61" s="67"/>
      <c r="R61" s="76"/>
      <c r="X61" s="67"/>
    </row>
    <row r="62">
      <c r="A62" s="66"/>
      <c r="B62" s="66"/>
      <c r="C62" s="66"/>
      <c r="D62" s="66"/>
      <c r="E62" s="66"/>
      <c r="F62" s="66"/>
      <c r="I62" s="67"/>
      <c r="R62" s="76"/>
      <c r="X62" s="67"/>
    </row>
    <row r="63">
      <c r="A63" s="66"/>
      <c r="B63" s="66"/>
      <c r="C63" s="66"/>
      <c r="D63" s="66"/>
      <c r="E63" s="66"/>
      <c r="F63" s="66"/>
      <c r="I63" s="67"/>
      <c r="R63" s="76"/>
      <c r="X63" s="67"/>
    </row>
    <row r="64">
      <c r="A64" s="66"/>
      <c r="B64" s="66"/>
      <c r="C64" s="66"/>
      <c r="D64" s="66"/>
      <c r="E64" s="66"/>
      <c r="F64" s="66"/>
      <c r="I64" s="67"/>
      <c r="X64" s="67"/>
    </row>
    <row r="65">
      <c r="A65" s="66"/>
      <c r="B65" s="66"/>
      <c r="C65" s="66"/>
      <c r="D65" s="66"/>
      <c r="E65" s="66"/>
      <c r="F65" s="66"/>
      <c r="I65" s="67"/>
      <c r="X65" s="67"/>
    </row>
    <row r="66">
      <c r="A66" s="66"/>
      <c r="B66" s="66"/>
      <c r="C66" s="66"/>
      <c r="D66" s="66"/>
      <c r="E66" s="66"/>
      <c r="F66" s="66"/>
      <c r="I66" s="67"/>
      <c r="X66" s="67"/>
    </row>
    <row r="67">
      <c r="A67" s="66"/>
      <c r="B67" s="66"/>
      <c r="C67" s="66"/>
      <c r="D67" s="66"/>
      <c r="E67" s="66"/>
      <c r="F67" s="66"/>
      <c r="I67" s="67"/>
      <c r="X67" s="67"/>
    </row>
    <row r="68">
      <c r="A68" s="66"/>
      <c r="B68" s="66"/>
      <c r="C68" s="66"/>
      <c r="D68" s="66"/>
      <c r="E68" s="66"/>
      <c r="F68" s="66"/>
      <c r="I68" s="67"/>
      <c r="X68" s="67"/>
    </row>
    <row r="69">
      <c r="A69" s="66"/>
      <c r="B69" s="66"/>
      <c r="C69" s="66"/>
      <c r="D69" s="66"/>
      <c r="E69" s="66"/>
      <c r="F69" s="66"/>
      <c r="I69" s="67"/>
      <c r="X69" s="67"/>
    </row>
    <row r="70">
      <c r="A70" s="66"/>
      <c r="B70" s="66"/>
      <c r="C70" s="66"/>
      <c r="D70" s="66"/>
      <c r="E70" s="66"/>
      <c r="F70" s="66"/>
      <c r="I70" s="67"/>
      <c r="X70" s="67"/>
    </row>
    <row r="71">
      <c r="A71" s="66"/>
      <c r="B71" s="66"/>
      <c r="C71" s="66"/>
      <c r="D71" s="66"/>
      <c r="E71" s="66"/>
      <c r="F71" s="66"/>
      <c r="I71" s="67"/>
      <c r="X71" s="67"/>
    </row>
    <row r="72">
      <c r="A72" s="66"/>
      <c r="B72" s="66"/>
      <c r="C72" s="66"/>
      <c r="D72" s="66"/>
      <c r="E72" s="66"/>
      <c r="F72" s="66"/>
      <c r="I72" s="67"/>
      <c r="X72" s="67"/>
    </row>
    <row r="73">
      <c r="A73" s="66"/>
      <c r="B73" s="66"/>
      <c r="C73" s="66"/>
      <c r="D73" s="66"/>
      <c r="E73" s="66"/>
      <c r="F73" s="66"/>
      <c r="I73" s="67"/>
      <c r="X73" s="67"/>
    </row>
    <row r="74">
      <c r="A74" s="66"/>
      <c r="B74" s="66"/>
      <c r="C74" s="66"/>
      <c r="D74" s="66"/>
      <c r="E74" s="66"/>
      <c r="F74" s="66"/>
      <c r="I74" s="67"/>
      <c r="X74" s="67"/>
    </row>
    <row r="75">
      <c r="A75" s="66"/>
      <c r="B75" s="66"/>
      <c r="C75" s="66"/>
      <c r="D75" s="66"/>
      <c r="E75" s="66"/>
      <c r="F75" s="66"/>
      <c r="I75" s="67"/>
      <c r="X75" s="67"/>
    </row>
    <row r="76">
      <c r="A76" s="66"/>
      <c r="B76" s="66"/>
      <c r="C76" s="66"/>
      <c r="D76" s="66"/>
      <c r="E76" s="66"/>
      <c r="F76" s="66"/>
      <c r="I76" s="67"/>
      <c r="X76" s="67"/>
    </row>
    <row r="77">
      <c r="A77" s="66"/>
      <c r="B77" s="66"/>
      <c r="C77" s="66"/>
      <c r="D77" s="66"/>
      <c r="E77" s="66"/>
      <c r="F77" s="66"/>
      <c r="I77" s="67"/>
      <c r="X77" s="67"/>
    </row>
    <row r="78">
      <c r="A78" s="66"/>
      <c r="B78" s="66"/>
      <c r="C78" s="66"/>
      <c r="D78" s="66"/>
      <c r="E78" s="66"/>
      <c r="F78" s="66"/>
      <c r="I78" s="67"/>
      <c r="X78" s="67"/>
    </row>
    <row r="79">
      <c r="A79" s="66"/>
      <c r="B79" s="66"/>
      <c r="C79" s="66"/>
      <c r="D79" s="66"/>
      <c r="E79" s="66"/>
      <c r="F79" s="66"/>
      <c r="I79" s="67"/>
      <c r="X79" s="67"/>
    </row>
    <row r="80">
      <c r="A80" s="66"/>
      <c r="B80" s="66"/>
      <c r="C80" s="66"/>
      <c r="D80" s="66"/>
      <c r="E80" s="66"/>
      <c r="F80" s="66"/>
      <c r="I80" s="67"/>
      <c r="X80" s="67"/>
    </row>
    <row r="81">
      <c r="A81" s="66"/>
      <c r="B81" s="66"/>
      <c r="C81" s="66"/>
      <c r="D81" s="66"/>
      <c r="E81" s="66"/>
      <c r="F81" s="66"/>
      <c r="I81" s="67"/>
      <c r="X81" s="67"/>
    </row>
    <row r="82">
      <c r="A82" s="66"/>
      <c r="B82" s="66"/>
      <c r="C82" s="66"/>
      <c r="D82" s="66"/>
      <c r="E82" s="66"/>
      <c r="F82" s="66"/>
      <c r="I82" s="67"/>
      <c r="X82" s="67"/>
    </row>
    <row r="83">
      <c r="A83" s="66"/>
      <c r="B83" s="66"/>
      <c r="C83" s="66"/>
      <c r="D83" s="66"/>
      <c r="E83" s="66"/>
      <c r="F83" s="66"/>
      <c r="I83" s="67"/>
      <c r="X83" s="67"/>
    </row>
    <row r="84">
      <c r="A84" s="66"/>
      <c r="B84" s="66"/>
      <c r="C84" s="66"/>
      <c r="D84" s="66"/>
      <c r="E84" s="66"/>
      <c r="F84" s="66"/>
      <c r="I84" s="67"/>
      <c r="X84" s="67"/>
    </row>
    <row r="85">
      <c r="A85" s="66"/>
      <c r="B85" s="66"/>
      <c r="C85" s="66"/>
      <c r="D85" s="66"/>
      <c r="E85" s="66"/>
      <c r="F85" s="66"/>
      <c r="I85" s="67"/>
      <c r="X85" s="67"/>
    </row>
    <row r="86">
      <c r="A86" s="66"/>
      <c r="B86" s="66"/>
      <c r="C86" s="66"/>
      <c r="D86" s="66"/>
      <c r="E86" s="66"/>
      <c r="F86" s="66"/>
      <c r="I86" s="67"/>
      <c r="X86" s="67"/>
    </row>
    <row r="87">
      <c r="A87" s="66"/>
      <c r="B87" s="66"/>
      <c r="C87" s="66"/>
      <c r="D87" s="66"/>
      <c r="E87" s="66"/>
      <c r="F87" s="66"/>
      <c r="I87" s="67"/>
      <c r="X87" s="67"/>
    </row>
    <row r="88">
      <c r="A88" s="66"/>
      <c r="B88" s="66"/>
      <c r="C88" s="66"/>
      <c r="D88" s="66"/>
      <c r="E88" s="66"/>
      <c r="F88" s="66"/>
      <c r="I88" s="67"/>
      <c r="X88" s="67"/>
    </row>
    <row r="89">
      <c r="A89" s="66"/>
      <c r="B89" s="66"/>
      <c r="C89" s="66"/>
      <c r="D89" s="66"/>
      <c r="E89" s="66"/>
      <c r="F89" s="66"/>
      <c r="I89" s="67"/>
      <c r="X89" s="67"/>
    </row>
    <row r="90">
      <c r="A90" s="66"/>
      <c r="B90" s="66"/>
      <c r="C90" s="66"/>
      <c r="D90" s="66"/>
      <c r="E90" s="66"/>
      <c r="F90" s="66"/>
      <c r="I90" s="67"/>
      <c r="X90" s="67"/>
    </row>
    <row r="91">
      <c r="A91" s="66"/>
      <c r="B91" s="66"/>
      <c r="C91" s="66"/>
      <c r="D91" s="66"/>
      <c r="E91" s="66"/>
      <c r="F91" s="66"/>
      <c r="I91" s="67"/>
      <c r="X91" s="67"/>
    </row>
    <row r="92">
      <c r="A92" s="66"/>
      <c r="B92" s="66"/>
      <c r="C92" s="66"/>
      <c r="D92" s="66"/>
      <c r="E92" s="66"/>
      <c r="F92" s="66"/>
      <c r="I92" s="67"/>
      <c r="X92" s="67"/>
    </row>
    <row r="93">
      <c r="A93" s="66"/>
      <c r="B93" s="66"/>
      <c r="C93" s="66"/>
      <c r="D93" s="66"/>
      <c r="E93" s="66"/>
      <c r="F93" s="66"/>
      <c r="I93" s="67"/>
      <c r="X93" s="67"/>
    </row>
    <row r="94">
      <c r="A94" s="66"/>
      <c r="B94" s="66"/>
      <c r="C94" s="66"/>
      <c r="D94" s="66"/>
      <c r="E94" s="66"/>
      <c r="F94" s="66"/>
      <c r="I94" s="67"/>
      <c r="X94" s="67"/>
    </row>
    <row r="95">
      <c r="A95" s="66"/>
      <c r="B95" s="66"/>
      <c r="C95" s="66"/>
      <c r="D95" s="66"/>
      <c r="E95" s="66"/>
      <c r="F95" s="66"/>
      <c r="I95" s="67"/>
      <c r="X95" s="67"/>
    </row>
    <row r="96">
      <c r="A96" s="66"/>
      <c r="B96" s="66"/>
      <c r="C96" s="66"/>
      <c r="D96" s="66"/>
      <c r="E96" s="66"/>
      <c r="F96" s="66"/>
      <c r="I96" s="67"/>
      <c r="X96" s="67"/>
    </row>
    <row r="97">
      <c r="A97" s="66"/>
      <c r="B97" s="66"/>
      <c r="C97" s="66"/>
      <c r="D97" s="66"/>
      <c r="E97" s="66"/>
      <c r="F97" s="66"/>
      <c r="I97" s="67"/>
      <c r="X97" s="67"/>
    </row>
    <row r="98">
      <c r="A98" s="66"/>
      <c r="B98" s="66"/>
      <c r="C98" s="66"/>
      <c r="D98" s="66"/>
      <c r="E98" s="66"/>
      <c r="F98" s="66"/>
      <c r="I98" s="67"/>
      <c r="X98" s="67"/>
    </row>
    <row r="99">
      <c r="A99" s="66"/>
      <c r="B99" s="66"/>
      <c r="C99" s="66"/>
      <c r="D99" s="66"/>
      <c r="E99" s="66"/>
      <c r="F99" s="66"/>
      <c r="I99" s="67"/>
      <c r="X99" s="67"/>
    </row>
    <row r="100">
      <c r="A100" s="66"/>
      <c r="B100" s="66"/>
      <c r="C100" s="66"/>
      <c r="D100" s="66"/>
      <c r="E100" s="66"/>
      <c r="F100" s="66"/>
      <c r="I100" s="67"/>
      <c r="X100" s="67"/>
    </row>
    <row r="101">
      <c r="A101" s="66"/>
      <c r="B101" s="66"/>
      <c r="C101" s="66"/>
      <c r="D101" s="66"/>
      <c r="E101" s="66"/>
      <c r="F101" s="66"/>
      <c r="I101" s="67"/>
      <c r="X101" s="67"/>
    </row>
    <row r="102">
      <c r="A102" s="66"/>
      <c r="B102" s="66"/>
      <c r="C102" s="66"/>
      <c r="D102" s="66"/>
      <c r="E102" s="66"/>
      <c r="F102" s="66"/>
      <c r="I102" s="67"/>
      <c r="X102" s="67"/>
    </row>
    <row r="103">
      <c r="A103" s="66"/>
      <c r="B103" s="66"/>
      <c r="C103" s="66"/>
      <c r="D103" s="66"/>
      <c r="E103" s="66"/>
      <c r="F103" s="66"/>
      <c r="I103" s="67"/>
      <c r="X103" s="67"/>
    </row>
    <row r="104">
      <c r="A104" s="66"/>
      <c r="B104" s="66"/>
      <c r="C104" s="66"/>
      <c r="D104" s="66"/>
      <c r="E104" s="66"/>
      <c r="F104" s="66"/>
      <c r="I104" s="67"/>
      <c r="X104" s="67"/>
    </row>
    <row r="105">
      <c r="A105" s="66"/>
      <c r="B105" s="66"/>
      <c r="C105" s="66"/>
      <c r="D105" s="66"/>
      <c r="E105" s="66"/>
      <c r="F105" s="66"/>
      <c r="I105" s="67"/>
      <c r="X105" s="67"/>
    </row>
    <row r="106">
      <c r="A106" s="66"/>
      <c r="B106" s="66"/>
      <c r="C106" s="66"/>
      <c r="D106" s="66"/>
      <c r="E106" s="66"/>
      <c r="F106" s="66"/>
      <c r="I106" s="67"/>
      <c r="X106" s="67"/>
    </row>
    <row r="107">
      <c r="A107" s="66"/>
      <c r="B107" s="66"/>
      <c r="C107" s="66"/>
      <c r="D107" s="66"/>
      <c r="E107" s="66"/>
      <c r="F107" s="66"/>
      <c r="I107" s="67"/>
      <c r="X107" s="67"/>
    </row>
    <row r="108">
      <c r="A108" s="66"/>
      <c r="B108" s="66"/>
      <c r="C108" s="66"/>
      <c r="D108" s="66"/>
      <c r="E108" s="66"/>
      <c r="F108" s="66"/>
      <c r="I108" s="67"/>
      <c r="X108" s="67"/>
    </row>
    <row r="109">
      <c r="A109" s="66"/>
      <c r="B109" s="66"/>
      <c r="C109" s="66"/>
      <c r="D109" s="66"/>
      <c r="E109" s="66"/>
      <c r="F109" s="66"/>
      <c r="I109" s="67"/>
      <c r="X109" s="67"/>
    </row>
    <row r="110">
      <c r="A110" s="66"/>
      <c r="B110" s="66"/>
      <c r="C110" s="66"/>
      <c r="D110" s="66"/>
      <c r="E110" s="66"/>
      <c r="F110" s="66"/>
      <c r="I110" s="67"/>
      <c r="X110" s="67"/>
    </row>
    <row r="111">
      <c r="A111" s="66"/>
      <c r="B111" s="66"/>
      <c r="C111" s="66"/>
      <c r="D111" s="66"/>
      <c r="E111" s="66"/>
      <c r="F111" s="66"/>
      <c r="I111" s="67"/>
      <c r="X111" s="67"/>
    </row>
    <row r="112">
      <c r="A112" s="66"/>
      <c r="B112" s="66"/>
      <c r="C112" s="66"/>
      <c r="D112" s="66"/>
      <c r="E112" s="66"/>
      <c r="F112" s="66"/>
      <c r="I112" s="67"/>
      <c r="X112" s="67"/>
    </row>
    <row r="113">
      <c r="A113" s="66"/>
      <c r="B113" s="66"/>
      <c r="C113" s="66"/>
      <c r="D113" s="66"/>
      <c r="E113" s="66"/>
      <c r="F113" s="66"/>
      <c r="I113" s="67"/>
      <c r="X113" s="67"/>
    </row>
    <row r="114">
      <c r="A114" s="66"/>
      <c r="B114" s="66"/>
      <c r="C114" s="66"/>
      <c r="D114" s="66"/>
      <c r="E114" s="66"/>
      <c r="F114" s="66"/>
      <c r="I114" s="67"/>
      <c r="X114" s="67"/>
    </row>
    <row r="115">
      <c r="A115" s="66"/>
      <c r="B115" s="66"/>
      <c r="C115" s="66"/>
      <c r="D115" s="66"/>
      <c r="E115" s="66"/>
      <c r="F115" s="66"/>
      <c r="I115" s="67"/>
      <c r="X115" s="67"/>
    </row>
    <row r="116">
      <c r="A116" s="66"/>
      <c r="B116" s="66"/>
      <c r="C116" s="66"/>
      <c r="D116" s="66"/>
      <c r="E116" s="66"/>
      <c r="F116" s="66"/>
      <c r="I116" s="67"/>
      <c r="X116" s="67"/>
    </row>
    <row r="117">
      <c r="A117" s="66"/>
      <c r="B117" s="66"/>
      <c r="C117" s="66"/>
      <c r="D117" s="66"/>
      <c r="E117" s="66"/>
      <c r="F117" s="66"/>
      <c r="I117" s="67"/>
      <c r="X117" s="67"/>
    </row>
    <row r="118">
      <c r="A118" s="66"/>
      <c r="B118" s="66"/>
      <c r="C118" s="66"/>
      <c r="D118" s="66"/>
      <c r="E118" s="66"/>
      <c r="F118" s="66"/>
      <c r="I118" s="67"/>
      <c r="X118" s="67"/>
    </row>
    <row r="119">
      <c r="A119" s="66"/>
      <c r="B119" s="66"/>
      <c r="C119" s="66"/>
      <c r="D119" s="66"/>
      <c r="E119" s="66"/>
      <c r="F119" s="66"/>
      <c r="I119" s="67"/>
      <c r="X119" s="67"/>
    </row>
    <row r="120">
      <c r="A120" s="66"/>
      <c r="B120" s="66"/>
      <c r="C120" s="66"/>
      <c r="D120" s="66"/>
      <c r="E120" s="66"/>
      <c r="F120" s="66"/>
      <c r="I120" s="67"/>
      <c r="X120" s="67"/>
    </row>
    <row r="121">
      <c r="A121" s="66"/>
      <c r="B121" s="66"/>
      <c r="C121" s="66"/>
      <c r="D121" s="66"/>
      <c r="E121" s="66"/>
      <c r="F121" s="66"/>
      <c r="I121" s="67"/>
      <c r="X121" s="67"/>
    </row>
    <row r="122">
      <c r="A122" s="66"/>
      <c r="B122" s="66"/>
      <c r="C122" s="66"/>
      <c r="D122" s="66"/>
      <c r="E122" s="66"/>
      <c r="F122" s="66"/>
      <c r="I122" s="67"/>
      <c r="X122" s="67"/>
    </row>
    <row r="123">
      <c r="A123" s="66"/>
      <c r="B123" s="66"/>
      <c r="C123" s="66"/>
      <c r="D123" s="66"/>
      <c r="E123" s="66"/>
      <c r="F123" s="66"/>
      <c r="I123" s="67"/>
      <c r="X123" s="67"/>
    </row>
    <row r="124">
      <c r="A124" s="66"/>
      <c r="B124" s="66"/>
      <c r="C124" s="66"/>
      <c r="D124" s="66"/>
      <c r="E124" s="66"/>
      <c r="F124" s="66"/>
      <c r="I124" s="67"/>
      <c r="X124" s="67"/>
    </row>
    <row r="125">
      <c r="A125" s="66"/>
      <c r="B125" s="66"/>
      <c r="C125" s="66"/>
      <c r="D125" s="66"/>
      <c r="E125" s="66"/>
      <c r="F125" s="66"/>
      <c r="I125" s="67"/>
      <c r="X125" s="67"/>
    </row>
    <row r="126">
      <c r="A126" s="66"/>
      <c r="B126" s="66"/>
      <c r="C126" s="66"/>
      <c r="D126" s="66"/>
      <c r="E126" s="66"/>
      <c r="F126" s="66"/>
      <c r="I126" s="67"/>
      <c r="X126" s="67"/>
    </row>
    <row r="127">
      <c r="A127" s="66"/>
      <c r="B127" s="66"/>
      <c r="C127" s="66"/>
      <c r="D127" s="66"/>
      <c r="E127" s="66"/>
      <c r="F127" s="66"/>
      <c r="I127" s="67"/>
      <c r="X127" s="67"/>
    </row>
    <row r="128">
      <c r="A128" s="66"/>
      <c r="B128" s="66"/>
      <c r="C128" s="66"/>
      <c r="D128" s="66"/>
      <c r="E128" s="66"/>
      <c r="F128" s="66"/>
      <c r="I128" s="67"/>
      <c r="X128" s="67"/>
    </row>
    <row r="129">
      <c r="A129" s="66"/>
      <c r="B129" s="66"/>
      <c r="C129" s="66"/>
      <c r="D129" s="66"/>
      <c r="E129" s="66"/>
      <c r="F129" s="66"/>
      <c r="I129" s="67"/>
      <c r="X129" s="67"/>
    </row>
    <row r="130">
      <c r="A130" s="66"/>
      <c r="B130" s="66"/>
      <c r="C130" s="66"/>
      <c r="D130" s="66"/>
      <c r="E130" s="66"/>
      <c r="F130" s="66"/>
      <c r="I130" s="67"/>
      <c r="X130" s="67"/>
    </row>
    <row r="131">
      <c r="A131" s="66"/>
      <c r="B131" s="66"/>
      <c r="C131" s="66"/>
      <c r="D131" s="66"/>
      <c r="E131" s="66"/>
      <c r="F131" s="66"/>
      <c r="I131" s="67"/>
      <c r="X131" s="67"/>
    </row>
    <row r="132">
      <c r="A132" s="66"/>
      <c r="B132" s="66"/>
      <c r="C132" s="66"/>
      <c r="D132" s="66"/>
      <c r="E132" s="66"/>
      <c r="F132" s="66"/>
      <c r="I132" s="67"/>
      <c r="X132" s="67"/>
    </row>
    <row r="133">
      <c r="A133" s="66"/>
      <c r="B133" s="66"/>
      <c r="C133" s="66"/>
      <c r="D133" s="66"/>
      <c r="E133" s="66"/>
      <c r="F133" s="66"/>
      <c r="I133" s="67"/>
      <c r="X133" s="67"/>
    </row>
    <row r="134">
      <c r="A134" s="66"/>
      <c r="B134" s="66"/>
      <c r="C134" s="66"/>
      <c r="D134" s="66"/>
      <c r="E134" s="66"/>
      <c r="F134" s="66"/>
      <c r="I134" s="67"/>
      <c r="X134" s="67"/>
    </row>
    <row r="135">
      <c r="A135" s="66"/>
      <c r="B135" s="66"/>
      <c r="C135" s="66"/>
      <c r="D135" s="66"/>
      <c r="E135" s="66"/>
      <c r="F135" s="66"/>
      <c r="I135" s="67"/>
      <c r="X135" s="67"/>
    </row>
    <row r="136">
      <c r="A136" s="66"/>
      <c r="B136" s="66"/>
      <c r="C136" s="66"/>
      <c r="D136" s="66"/>
      <c r="E136" s="66"/>
      <c r="F136" s="66"/>
      <c r="I136" s="67"/>
      <c r="X136" s="67"/>
    </row>
    <row r="137">
      <c r="A137" s="66"/>
      <c r="B137" s="66"/>
      <c r="C137" s="66"/>
      <c r="D137" s="66"/>
      <c r="E137" s="66"/>
      <c r="F137" s="66"/>
      <c r="I137" s="67"/>
      <c r="X137" s="67"/>
    </row>
    <row r="138">
      <c r="A138" s="66"/>
      <c r="B138" s="66"/>
      <c r="C138" s="66"/>
      <c r="D138" s="66"/>
      <c r="E138" s="66"/>
      <c r="F138" s="66"/>
      <c r="I138" s="67"/>
      <c r="X138" s="67"/>
    </row>
    <row r="139">
      <c r="A139" s="66"/>
      <c r="B139" s="66"/>
      <c r="C139" s="66"/>
      <c r="D139" s="66"/>
      <c r="E139" s="66"/>
      <c r="F139" s="66"/>
      <c r="I139" s="67"/>
      <c r="X139" s="67"/>
    </row>
    <row r="140">
      <c r="A140" s="66"/>
      <c r="B140" s="66"/>
      <c r="C140" s="66"/>
      <c r="D140" s="66"/>
      <c r="E140" s="66"/>
      <c r="F140" s="66"/>
      <c r="I140" s="67"/>
      <c r="X140" s="67"/>
    </row>
    <row r="141">
      <c r="A141" s="66"/>
      <c r="B141" s="66"/>
      <c r="C141" s="66"/>
      <c r="D141" s="66"/>
      <c r="E141" s="66"/>
      <c r="F141" s="66"/>
      <c r="I141" s="67"/>
      <c r="X141" s="67"/>
    </row>
    <row r="142">
      <c r="A142" s="66"/>
      <c r="B142" s="66"/>
      <c r="C142" s="66"/>
      <c r="D142" s="66"/>
      <c r="E142" s="66"/>
      <c r="F142" s="66"/>
      <c r="I142" s="67"/>
      <c r="X142" s="67"/>
    </row>
    <row r="143">
      <c r="A143" s="66"/>
      <c r="B143" s="66"/>
      <c r="C143" s="66"/>
      <c r="D143" s="66"/>
      <c r="E143" s="66"/>
      <c r="F143" s="66"/>
      <c r="I143" s="67"/>
      <c r="X143" s="67"/>
    </row>
    <row r="144">
      <c r="A144" s="66"/>
      <c r="B144" s="66"/>
      <c r="C144" s="66"/>
      <c r="D144" s="66"/>
      <c r="E144" s="66"/>
      <c r="F144" s="66"/>
      <c r="I144" s="67"/>
      <c r="X144" s="67"/>
    </row>
    <row r="145">
      <c r="A145" s="66"/>
      <c r="B145" s="66"/>
      <c r="C145" s="66"/>
      <c r="D145" s="66"/>
      <c r="E145" s="66"/>
      <c r="F145" s="66"/>
      <c r="I145" s="67"/>
      <c r="X145" s="67"/>
    </row>
    <row r="146">
      <c r="A146" s="66"/>
      <c r="B146" s="66"/>
      <c r="C146" s="66"/>
      <c r="D146" s="66"/>
      <c r="E146" s="66"/>
      <c r="F146" s="66"/>
      <c r="I146" s="67"/>
      <c r="X146" s="67"/>
    </row>
    <row r="147">
      <c r="A147" s="66"/>
      <c r="B147" s="66"/>
      <c r="C147" s="66"/>
      <c r="D147" s="66"/>
      <c r="E147" s="66"/>
      <c r="F147" s="66"/>
      <c r="I147" s="67"/>
      <c r="X147" s="67"/>
    </row>
    <row r="148">
      <c r="A148" s="66"/>
      <c r="B148" s="66"/>
      <c r="C148" s="66"/>
      <c r="D148" s="66"/>
      <c r="E148" s="66"/>
      <c r="F148" s="66"/>
      <c r="I148" s="67"/>
      <c r="X148" s="67"/>
    </row>
    <row r="149">
      <c r="A149" s="66"/>
      <c r="B149" s="66"/>
      <c r="C149" s="66"/>
      <c r="D149" s="66"/>
      <c r="E149" s="66"/>
      <c r="F149" s="66"/>
      <c r="I149" s="67"/>
      <c r="X149" s="67"/>
    </row>
    <row r="150">
      <c r="A150" s="66"/>
      <c r="B150" s="66"/>
      <c r="C150" s="66"/>
      <c r="D150" s="66"/>
      <c r="E150" s="66"/>
      <c r="F150" s="66"/>
      <c r="I150" s="67"/>
      <c r="X150" s="67"/>
    </row>
    <row r="151">
      <c r="A151" s="66"/>
      <c r="B151" s="66"/>
      <c r="C151" s="66"/>
      <c r="D151" s="66"/>
      <c r="E151" s="66"/>
      <c r="F151" s="66"/>
      <c r="I151" s="67"/>
      <c r="X151" s="67"/>
    </row>
    <row r="152">
      <c r="A152" s="66"/>
      <c r="B152" s="66"/>
      <c r="C152" s="66"/>
      <c r="D152" s="66"/>
      <c r="E152" s="66"/>
      <c r="F152" s="66"/>
      <c r="I152" s="67"/>
      <c r="X152" s="67"/>
    </row>
    <row r="153">
      <c r="A153" s="66"/>
      <c r="B153" s="66"/>
      <c r="C153" s="66"/>
      <c r="D153" s="66"/>
      <c r="E153" s="66"/>
      <c r="F153" s="66"/>
      <c r="I153" s="67"/>
      <c r="X153" s="67"/>
    </row>
    <row r="154">
      <c r="A154" s="66"/>
      <c r="B154" s="66"/>
      <c r="C154" s="66"/>
      <c r="D154" s="66"/>
      <c r="E154" s="66"/>
      <c r="F154" s="66"/>
      <c r="I154" s="67"/>
      <c r="X154" s="67"/>
    </row>
    <row r="155">
      <c r="A155" s="66"/>
      <c r="B155" s="66"/>
      <c r="C155" s="66"/>
      <c r="D155" s="66"/>
      <c r="E155" s="66"/>
      <c r="F155" s="66"/>
      <c r="I155" s="67"/>
      <c r="X155" s="67"/>
    </row>
    <row r="156">
      <c r="A156" s="66"/>
      <c r="B156" s="66"/>
      <c r="C156" s="66"/>
      <c r="D156" s="66"/>
      <c r="E156" s="66"/>
      <c r="F156" s="66"/>
      <c r="I156" s="67"/>
      <c r="X156" s="67"/>
    </row>
    <row r="157">
      <c r="A157" s="66"/>
      <c r="B157" s="66"/>
      <c r="C157" s="66"/>
      <c r="D157" s="66"/>
      <c r="E157" s="66"/>
      <c r="F157" s="66"/>
      <c r="I157" s="67"/>
      <c r="X157" s="67"/>
    </row>
    <row r="158">
      <c r="A158" s="66"/>
      <c r="B158" s="66"/>
      <c r="C158" s="66"/>
      <c r="D158" s="66"/>
      <c r="E158" s="66"/>
      <c r="F158" s="66"/>
      <c r="I158" s="67"/>
      <c r="X158" s="67"/>
    </row>
    <row r="159">
      <c r="A159" s="66"/>
      <c r="B159" s="66"/>
      <c r="C159" s="66"/>
      <c r="D159" s="66"/>
      <c r="E159" s="66"/>
      <c r="F159" s="66"/>
      <c r="I159" s="67"/>
      <c r="X159" s="67"/>
    </row>
    <row r="160">
      <c r="A160" s="66"/>
      <c r="B160" s="66"/>
      <c r="C160" s="66"/>
      <c r="D160" s="66"/>
      <c r="E160" s="66"/>
      <c r="F160" s="66"/>
      <c r="I160" s="67"/>
      <c r="X160" s="67"/>
    </row>
    <row r="161">
      <c r="A161" s="66"/>
      <c r="B161" s="66"/>
      <c r="C161" s="66"/>
      <c r="D161" s="66"/>
      <c r="E161" s="66"/>
      <c r="F161" s="66"/>
      <c r="I161" s="67"/>
      <c r="X161" s="67"/>
    </row>
    <row r="162">
      <c r="A162" s="66"/>
      <c r="B162" s="66"/>
      <c r="C162" s="66"/>
      <c r="D162" s="66"/>
      <c r="E162" s="66"/>
      <c r="F162" s="66"/>
      <c r="I162" s="67"/>
      <c r="X162" s="67"/>
    </row>
    <row r="163">
      <c r="A163" s="66"/>
      <c r="B163" s="66"/>
      <c r="C163" s="66"/>
      <c r="D163" s="66"/>
      <c r="E163" s="66"/>
      <c r="F163" s="66"/>
      <c r="I163" s="67"/>
      <c r="X163" s="67"/>
    </row>
    <row r="164">
      <c r="A164" s="66"/>
      <c r="B164" s="66"/>
      <c r="C164" s="66"/>
      <c r="D164" s="66"/>
      <c r="E164" s="66"/>
      <c r="F164" s="66"/>
      <c r="I164" s="67"/>
      <c r="X164" s="67"/>
    </row>
    <row r="165">
      <c r="A165" s="66"/>
      <c r="B165" s="66"/>
      <c r="C165" s="66"/>
      <c r="D165" s="66"/>
      <c r="E165" s="66"/>
      <c r="F165" s="66"/>
      <c r="I165" s="67"/>
      <c r="X165" s="67"/>
    </row>
    <row r="166">
      <c r="A166" s="66"/>
      <c r="B166" s="66"/>
      <c r="C166" s="66"/>
      <c r="D166" s="66"/>
      <c r="E166" s="66"/>
      <c r="F166" s="66"/>
      <c r="I166" s="67"/>
      <c r="X166" s="67"/>
    </row>
    <row r="167">
      <c r="A167" s="66"/>
      <c r="B167" s="66"/>
      <c r="C167" s="66"/>
      <c r="D167" s="66"/>
      <c r="E167" s="66"/>
      <c r="F167" s="66"/>
      <c r="I167" s="67"/>
      <c r="X167" s="67"/>
    </row>
    <row r="168">
      <c r="A168" s="66"/>
      <c r="B168" s="66"/>
      <c r="C168" s="66"/>
      <c r="D168" s="66"/>
      <c r="E168" s="66"/>
      <c r="F168" s="66"/>
      <c r="I168" s="67"/>
      <c r="X168" s="67"/>
    </row>
    <row r="169">
      <c r="A169" s="66"/>
      <c r="B169" s="66"/>
      <c r="C169" s="66"/>
      <c r="D169" s="66"/>
      <c r="E169" s="66"/>
      <c r="F169" s="66"/>
      <c r="I169" s="67"/>
      <c r="X169" s="67"/>
    </row>
    <row r="170">
      <c r="A170" s="66"/>
      <c r="B170" s="66"/>
      <c r="C170" s="66"/>
      <c r="D170" s="66"/>
      <c r="E170" s="66"/>
      <c r="F170" s="66"/>
      <c r="I170" s="67"/>
      <c r="X170" s="67"/>
    </row>
    <row r="171">
      <c r="A171" s="66"/>
      <c r="B171" s="66"/>
      <c r="C171" s="66"/>
      <c r="D171" s="66"/>
      <c r="E171" s="66"/>
      <c r="F171" s="66"/>
      <c r="I171" s="67"/>
      <c r="X171" s="67"/>
    </row>
    <row r="172">
      <c r="A172" s="66"/>
      <c r="B172" s="66"/>
      <c r="C172" s="66"/>
      <c r="D172" s="66"/>
      <c r="E172" s="66"/>
      <c r="F172" s="66"/>
      <c r="I172" s="67"/>
      <c r="X172" s="67"/>
    </row>
    <row r="173">
      <c r="A173" s="66"/>
      <c r="B173" s="66"/>
      <c r="C173" s="66"/>
      <c r="D173" s="66"/>
      <c r="E173" s="66"/>
      <c r="F173" s="66"/>
      <c r="I173" s="67"/>
      <c r="X173" s="67"/>
    </row>
    <row r="174">
      <c r="A174" s="66"/>
      <c r="B174" s="66"/>
      <c r="C174" s="66"/>
      <c r="D174" s="66"/>
      <c r="E174" s="66"/>
      <c r="F174" s="66"/>
      <c r="I174" s="67"/>
      <c r="X174" s="67"/>
    </row>
    <row r="175">
      <c r="A175" s="66"/>
      <c r="B175" s="66"/>
      <c r="C175" s="66"/>
      <c r="D175" s="66"/>
      <c r="E175" s="66"/>
      <c r="F175" s="66"/>
      <c r="I175" s="67"/>
      <c r="X175" s="67"/>
    </row>
    <row r="176">
      <c r="A176" s="66"/>
      <c r="B176" s="66"/>
      <c r="C176" s="66"/>
      <c r="D176" s="66"/>
      <c r="E176" s="66"/>
      <c r="F176" s="66"/>
      <c r="I176" s="67"/>
      <c r="X176" s="67"/>
    </row>
    <row r="177">
      <c r="A177" s="66"/>
      <c r="B177" s="66"/>
      <c r="C177" s="66"/>
      <c r="D177" s="66"/>
      <c r="E177" s="66"/>
      <c r="F177" s="66"/>
      <c r="I177" s="67"/>
      <c r="X177" s="67"/>
    </row>
    <row r="178">
      <c r="A178" s="66"/>
      <c r="B178" s="66"/>
      <c r="C178" s="66"/>
      <c r="D178" s="66"/>
      <c r="E178" s="66"/>
      <c r="F178" s="66"/>
      <c r="I178" s="67"/>
      <c r="X178" s="67"/>
    </row>
    <row r="179">
      <c r="A179" s="66"/>
      <c r="B179" s="66"/>
      <c r="C179" s="66"/>
      <c r="D179" s="66"/>
      <c r="E179" s="66"/>
      <c r="F179" s="66"/>
      <c r="I179" s="67"/>
      <c r="X179" s="67"/>
    </row>
    <row r="180">
      <c r="A180" s="66"/>
      <c r="B180" s="66"/>
      <c r="C180" s="66"/>
      <c r="D180" s="66"/>
      <c r="E180" s="66"/>
      <c r="F180" s="66"/>
      <c r="I180" s="67"/>
      <c r="X180" s="67"/>
    </row>
    <row r="181">
      <c r="A181" s="66"/>
      <c r="B181" s="66"/>
      <c r="C181" s="66"/>
      <c r="D181" s="66"/>
      <c r="E181" s="66"/>
      <c r="F181" s="66"/>
      <c r="I181" s="67"/>
      <c r="X181" s="67"/>
    </row>
    <row r="182">
      <c r="A182" s="66"/>
      <c r="B182" s="66"/>
      <c r="C182" s="66"/>
      <c r="D182" s="66"/>
      <c r="E182" s="66"/>
      <c r="F182" s="66"/>
      <c r="I182" s="67"/>
      <c r="X182" s="67"/>
    </row>
    <row r="183">
      <c r="A183" s="66"/>
      <c r="B183" s="66"/>
      <c r="C183" s="66"/>
      <c r="D183" s="66"/>
      <c r="E183" s="66"/>
      <c r="F183" s="66"/>
      <c r="I183" s="67"/>
      <c r="X183" s="67"/>
    </row>
    <row r="184">
      <c r="A184" s="66"/>
      <c r="B184" s="66"/>
      <c r="C184" s="66"/>
      <c r="D184" s="66"/>
      <c r="E184" s="66"/>
      <c r="F184" s="66"/>
      <c r="I184" s="67"/>
      <c r="X184" s="67"/>
    </row>
    <row r="185">
      <c r="A185" s="66"/>
      <c r="B185" s="66"/>
      <c r="C185" s="66"/>
      <c r="D185" s="66"/>
      <c r="E185" s="66"/>
      <c r="F185" s="66"/>
      <c r="I185" s="67"/>
      <c r="X185" s="67"/>
    </row>
    <row r="186">
      <c r="A186" s="66"/>
      <c r="B186" s="66"/>
      <c r="C186" s="66"/>
      <c r="D186" s="66"/>
      <c r="E186" s="66"/>
      <c r="F186" s="66"/>
      <c r="I186" s="67"/>
      <c r="X186" s="67"/>
    </row>
    <row r="187">
      <c r="A187" s="66"/>
      <c r="B187" s="66"/>
      <c r="C187" s="66"/>
      <c r="D187" s="66"/>
      <c r="E187" s="66"/>
      <c r="F187" s="66"/>
      <c r="I187" s="67"/>
      <c r="X187" s="67"/>
    </row>
    <row r="188">
      <c r="A188" s="66"/>
      <c r="B188" s="66"/>
      <c r="C188" s="66"/>
      <c r="D188" s="66"/>
      <c r="E188" s="66"/>
      <c r="F188" s="66"/>
      <c r="I188" s="67"/>
      <c r="X188" s="67"/>
    </row>
    <row r="189">
      <c r="A189" s="66"/>
      <c r="B189" s="66"/>
      <c r="C189" s="66"/>
      <c r="D189" s="66"/>
      <c r="E189" s="66"/>
      <c r="F189" s="66"/>
      <c r="I189" s="67"/>
      <c r="X189" s="67"/>
    </row>
    <row r="190">
      <c r="A190" s="66"/>
      <c r="B190" s="66"/>
      <c r="C190" s="66"/>
      <c r="D190" s="66"/>
      <c r="E190" s="66"/>
      <c r="F190" s="66"/>
      <c r="I190" s="67"/>
      <c r="X190" s="67"/>
    </row>
    <row r="191">
      <c r="A191" s="66"/>
      <c r="B191" s="66"/>
      <c r="C191" s="66"/>
      <c r="D191" s="66"/>
      <c r="E191" s="66"/>
      <c r="F191" s="66"/>
      <c r="I191" s="67"/>
      <c r="X191" s="67"/>
    </row>
    <row r="192">
      <c r="A192" s="66"/>
      <c r="B192" s="66"/>
      <c r="C192" s="66"/>
      <c r="D192" s="66"/>
      <c r="E192" s="66"/>
      <c r="F192" s="66"/>
      <c r="I192" s="67"/>
      <c r="X192" s="67"/>
    </row>
    <row r="193">
      <c r="A193" s="66"/>
      <c r="B193" s="66"/>
      <c r="C193" s="66"/>
      <c r="D193" s="66"/>
      <c r="E193" s="66"/>
      <c r="F193" s="66"/>
      <c r="I193" s="67"/>
      <c r="X193" s="67"/>
    </row>
    <row r="194">
      <c r="A194" s="66"/>
      <c r="B194" s="66"/>
      <c r="C194" s="66"/>
      <c r="D194" s="66"/>
      <c r="E194" s="66"/>
      <c r="F194" s="66"/>
      <c r="I194" s="67"/>
      <c r="X194" s="67"/>
    </row>
    <row r="195">
      <c r="A195" s="66"/>
      <c r="B195" s="66"/>
      <c r="C195" s="66"/>
      <c r="D195" s="66"/>
      <c r="E195" s="66"/>
      <c r="F195" s="66"/>
      <c r="I195" s="67"/>
      <c r="X195" s="67"/>
    </row>
    <row r="196">
      <c r="A196" s="66"/>
      <c r="B196" s="66"/>
      <c r="C196" s="66"/>
      <c r="D196" s="66"/>
      <c r="E196" s="66"/>
      <c r="F196" s="66"/>
      <c r="I196" s="67"/>
      <c r="X196" s="67"/>
    </row>
    <row r="197">
      <c r="A197" s="66"/>
      <c r="B197" s="66"/>
      <c r="C197" s="66"/>
      <c r="D197" s="66"/>
      <c r="E197" s="66"/>
      <c r="F197" s="66"/>
      <c r="I197" s="67"/>
      <c r="X197" s="67"/>
    </row>
    <row r="198">
      <c r="A198" s="66"/>
      <c r="B198" s="66"/>
      <c r="C198" s="66"/>
      <c r="D198" s="66"/>
      <c r="E198" s="66"/>
      <c r="F198" s="66"/>
      <c r="I198" s="67"/>
      <c r="X198" s="67"/>
    </row>
    <row r="199">
      <c r="A199" s="66"/>
      <c r="B199" s="66"/>
      <c r="C199" s="66"/>
      <c r="D199" s="66"/>
      <c r="E199" s="66"/>
      <c r="F199" s="66"/>
      <c r="I199" s="67"/>
      <c r="X199" s="67"/>
    </row>
    <row r="200">
      <c r="A200" s="66"/>
      <c r="B200" s="66"/>
      <c r="C200" s="66"/>
      <c r="D200" s="66"/>
      <c r="E200" s="66"/>
      <c r="F200" s="66"/>
      <c r="I200" s="67"/>
      <c r="X200" s="67"/>
    </row>
    <row r="201">
      <c r="A201" s="66"/>
      <c r="B201" s="66"/>
      <c r="C201" s="66"/>
      <c r="D201" s="66"/>
      <c r="E201" s="66"/>
      <c r="F201" s="66"/>
      <c r="I201" s="67"/>
      <c r="X201" s="67"/>
    </row>
    <row r="202">
      <c r="A202" s="66"/>
      <c r="B202" s="66"/>
      <c r="C202" s="66"/>
      <c r="D202" s="66"/>
      <c r="E202" s="66"/>
      <c r="F202" s="66"/>
      <c r="I202" s="67"/>
      <c r="X202" s="67"/>
    </row>
    <row r="203">
      <c r="A203" s="66"/>
      <c r="B203" s="66"/>
      <c r="C203" s="66"/>
      <c r="D203" s="66"/>
      <c r="E203" s="66"/>
      <c r="F203" s="66"/>
      <c r="I203" s="67"/>
      <c r="X203" s="67"/>
    </row>
    <row r="204">
      <c r="A204" s="66"/>
      <c r="B204" s="66"/>
      <c r="C204" s="66"/>
      <c r="D204" s="66"/>
      <c r="E204" s="66"/>
      <c r="F204" s="66"/>
      <c r="I204" s="67"/>
      <c r="X204" s="67"/>
    </row>
    <row r="205">
      <c r="A205" s="66"/>
      <c r="B205" s="66"/>
      <c r="C205" s="66"/>
      <c r="D205" s="66"/>
      <c r="E205" s="66"/>
      <c r="F205" s="66"/>
      <c r="I205" s="67"/>
      <c r="X205" s="67"/>
    </row>
    <row r="206">
      <c r="A206" s="66"/>
      <c r="B206" s="66"/>
      <c r="C206" s="66"/>
      <c r="D206" s="66"/>
      <c r="E206" s="66"/>
      <c r="F206" s="66"/>
      <c r="I206" s="67"/>
      <c r="X206" s="67"/>
    </row>
    <row r="207">
      <c r="A207" s="66"/>
      <c r="B207" s="66"/>
      <c r="C207" s="66"/>
      <c r="D207" s="66"/>
      <c r="E207" s="66"/>
      <c r="F207" s="66"/>
      <c r="I207" s="67"/>
      <c r="X207" s="67"/>
    </row>
    <row r="208">
      <c r="A208" s="66"/>
      <c r="B208" s="66"/>
      <c r="C208" s="66"/>
      <c r="D208" s="66"/>
      <c r="E208" s="66"/>
      <c r="F208" s="66"/>
      <c r="I208" s="67"/>
      <c r="X208" s="67"/>
    </row>
    <row r="209">
      <c r="A209" s="66"/>
      <c r="B209" s="66"/>
      <c r="C209" s="66"/>
      <c r="D209" s="66"/>
      <c r="E209" s="66"/>
      <c r="F209" s="66"/>
      <c r="I209" s="67"/>
      <c r="X209" s="67"/>
    </row>
    <row r="210">
      <c r="A210" s="66"/>
      <c r="B210" s="66"/>
      <c r="C210" s="66"/>
      <c r="D210" s="66"/>
      <c r="E210" s="66"/>
      <c r="F210" s="66"/>
      <c r="I210" s="67"/>
      <c r="X210" s="67"/>
    </row>
    <row r="211">
      <c r="A211" s="66"/>
      <c r="B211" s="66"/>
      <c r="C211" s="66"/>
      <c r="D211" s="66"/>
      <c r="E211" s="66"/>
      <c r="F211" s="66"/>
      <c r="I211" s="67"/>
      <c r="X211" s="67"/>
    </row>
    <row r="212">
      <c r="A212" s="66"/>
      <c r="B212" s="66"/>
      <c r="C212" s="66"/>
      <c r="D212" s="66"/>
      <c r="E212" s="66"/>
      <c r="F212" s="66"/>
      <c r="I212" s="67"/>
      <c r="X212" s="67"/>
    </row>
    <row r="213">
      <c r="A213" s="66"/>
      <c r="B213" s="66"/>
      <c r="C213" s="66"/>
      <c r="D213" s="66"/>
      <c r="E213" s="66"/>
      <c r="F213" s="66"/>
      <c r="I213" s="67"/>
      <c r="X213" s="67"/>
    </row>
    <row r="214">
      <c r="A214" s="66"/>
      <c r="B214" s="66"/>
      <c r="C214" s="66"/>
      <c r="D214" s="66"/>
      <c r="E214" s="66"/>
      <c r="F214" s="66"/>
      <c r="I214" s="67"/>
      <c r="X214" s="67"/>
    </row>
    <row r="215">
      <c r="A215" s="66"/>
      <c r="B215" s="66"/>
      <c r="C215" s="66"/>
      <c r="D215" s="66"/>
      <c r="E215" s="66"/>
      <c r="F215" s="66"/>
      <c r="I215" s="67"/>
      <c r="X215" s="67"/>
    </row>
    <row r="216">
      <c r="A216" s="66"/>
      <c r="B216" s="66"/>
      <c r="C216" s="66"/>
      <c r="D216" s="66"/>
      <c r="E216" s="66"/>
      <c r="F216" s="66"/>
      <c r="I216" s="67"/>
      <c r="X216" s="67"/>
    </row>
    <row r="217">
      <c r="A217" s="66"/>
      <c r="B217" s="66"/>
      <c r="C217" s="66"/>
      <c r="D217" s="66"/>
      <c r="E217" s="66"/>
      <c r="F217" s="66"/>
      <c r="I217" s="67"/>
      <c r="X217" s="67"/>
    </row>
    <row r="218">
      <c r="A218" s="66"/>
      <c r="B218" s="66"/>
      <c r="C218" s="66"/>
      <c r="D218" s="66"/>
      <c r="E218" s="66"/>
      <c r="F218" s="66"/>
      <c r="I218" s="67"/>
      <c r="X218" s="67"/>
    </row>
    <row r="219">
      <c r="A219" s="66"/>
      <c r="B219" s="66"/>
      <c r="C219" s="66"/>
      <c r="D219" s="66"/>
      <c r="E219" s="66"/>
      <c r="F219" s="66"/>
      <c r="I219" s="67"/>
      <c r="X219" s="67"/>
    </row>
    <row r="220">
      <c r="A220" s="66"/>
      <c r="B220" s="66"/>
      <c r="C220" s="66"/>
      <c r="D220" s="66"/>
      <c r="E220" s="66"/>
      <c r="F220" s="66"/>
      <c r="I220" s="67"/>
      <c r="X220" s="67"/>
    </row>
    <row r="221">
      <c r="A221" s="66"/>
      <c r="B221" s="66"/>
      <c r="C221" s="66"/>
      <c r="D221" s="66"/>
      <c r="E221" s="66"/>
      <c r="F221" s="66"/>
      <c r="I221" s="67"/>
      <c r="X221" s="67"/>
    </row>
    <row r="222">
      <c r="A222" s="66"/>
      <c r="B222" s="66"/>
      <c r="C222" s="66"/>
      <c r="D222" s="66"/>
      <c r="E222" s="66"/>
      <c r="F222" s="66"/>
      <c r="I222" s="67"/>
      <c r="X222" s="67"/>
    </row>
    <row r="223">
      <c r="A223" s="66"/>
      <c r="B223" s="66"/>
      <c r="C223" s="66"/>
      <c r="D223" s="66"/>
      <c r="E223" s="66"/>
      <c r="F223" s="66"/>
      <c r="I223" s="67"/>
      <c r="X223" s="67"/>
    </row>
    <row r="224">
      <c r="A224" s="66"/>
      <c r="B224" s="66"/>
      <c r="C224" s="66"/>
      <c r="D224" s="66"/>
      <c r="E224" s="66"/>
      <c r="F224" s="66"/>
      <c r="I224" s="67"/>
      <c r="X224" s="67"/>
    </row>
    <row r="225">
      <c r="A225" s="66"/>
      <c r="B225" s="66"/>
      <c r="C225" s="66"/>
      <c r="D225" s="66"/>
      <c r="E225" s="66"/>
      <c r="F225" s="66"/>
      <c r="I225" s="67"/>
      <c r="X225" s="67"/>
    </row>
    <row r="226">
      <c r="A226" s="66"/>
      <c r="B226" s="66"/>
      <c r="C226" s="66"/>
      <c r="D226" s="66"/>
      <c r="E226" s="66"/>
      <c r="F226" s="66"/>
      <c r="I226" s="67"/>
      <c r="X226" s="67"/>
    </row>
    <row r="227">
      <c r="A227" s="66"/>
      <c r="B227" s="66"/>
      <c r="C227" s="66"/>
      <c r="D227" s="66"/>
      <c r="E227" s="66"/>
      <c r="F227" s="66"/>
      <c r="I227" s="67"/>
      <c r="X227" s="67"/>
    </row>
    <row r="228">
      <c r="A228" s="66"/>
      <c r="B228" s="66"/>
      <c r="C228" s="66"/>
      <c r="D228" s="66"/>
      <c r="E228" s="66"/>
      <c r="F228" s="66"/>
      <c r="I228" s="67"/>
      <c r="X228" s="67"/>
    </row>
    <row r="229">
      <c r="A229" s="66"/>
      <c r="B229" s="66"/>
      <c r="C229" s="66"/>
      <c r="D229" s="66"/>
      <c r="E229" s="66"/>
      <c r="F229" s="66"/>
      <c r="I229" s="67"/>
      <c r="X229" s="67"/>
    </row>
    <row r="230">
      <c r="A230" s="66"/>
      <c r="B230" s="66"/>
      <c r="C230" s="66"/>
      <c r="D230" s="66"/>
      <c r="E230" s="66"/>
      <c r="F230" s="66"/>
      <c r="I230" s="67"/>
      <c r="X230" s="67"/>
    </row>
    <row r="231">
      <c r="A231" s="66"/>
      <c r="B231" s="66"/>
      <c r="C231" s="66"/>
      <c r="D231" s="66"/>
      <c r="E231" s="66"/>
      <c r="F231" s="66"/>
      <c r="I231" s="67"/>
      <c r="X231" s="67"/>
    </row>
    <row r="232">
      <c r="A232" s="66"/>
      <c r="B232" s="66"/>
      <c r="C232" s="66"/>
      <c r="D232" s="66"/>
      <c r="E232" s="66"/>
      <c r="F232" s="66"/>
      <c r="I232" s="67"/>
      <c r="X232" s="67"/>
    </row>
    <row r="233">
      <c r="A233" s="66"/>
      <c r="B233" s="66"/>
      <c r="C233" s="66"/>
      <c r="D233" s="66"/>
      <c r="E233" s="66"/>
      <c r="F233" s="66"/>
      <c r="I233" s="67"/>
      <c r="X233" s="67"/>
    </row>
    <row r="234">
      <c r="A234" s="66"/>
      <c r="B234" s="66"/>
      <c r="C234" s="66"/>
      <c r="D234" s="66"/>
      <c r="E234" s="66"/>
      <c r="F234" s="66"/>
      <c r="I234" s="67"/>
      <c r="X234" s="67"/>
    </row>
    <row r="235">
      <c r="A235" s="66"/>
      <c r="B235" s="66"/>
      <c r="C235" s="66"/>
      <c r="D235" s="66"/>
      <c r="E235" s="66"/>
      <c r="F235" s="66"/>
      <c r="I235" s="67"/>
      <c r="X235" s="67"/>
    </row>
    <row r="236">
      <c r="A236" s="66"/>
      <c r="B236" s="66"/>
      <c r="C236" s="66"/>
      <c r="D236" s="66"/>
      <c r="E236" s="66"/>
      <c r="F236" s="66"/>
      <c r="I236" s="67"/>
      <c r="X236" s="67"/>
    </row>
    <row r="237">
      <c r="A237" s="66"/>
      <c r="B237" s="66"/>
      <c r="C237" s="66"/>
      <c r="D237" s="66"/>
      <c r="E237" s="66"/>
      <c r="F237" s="66"/>
      <c r="I237" s="67"/>
      <c r="X237" s="67"/>
    </row>
    <row r="238">
      <c r="A238" s="66"/>
      <c r="B238" s="66"/>
      <c r="C238" s="66"/>
      <c r="D238" s="66"/>
      <c r="E238" s="66"/>
      <c r="F238" s="66"/>
      <c r="I238" s="67"/>
      <c r="X238" s="67"/>
    </row>
    <row r="239">
      <c r="A239" s="66"/>
      <c r="B239" s="66"/>
      <c r="C239" s="66"/>
      <c r="D239" s="66"/>
      <c r="E239" s="66"/>
      <c r="F239" s="66"/>
      <c r="I239" s="67"/>
      <c r="X239" s="67"/>
    </row>
    <row r="240">
      <c r="A240" s="66"/>
      <c r="B240" s="66"/>
      <c r="C240" s="66"/>
      <c r="D240" s="66"/>
      <c r="E240" s="66"/>
      <c r="F240" s="66"/>
      <c r="I240" s="67"/>
      <c r="X240" s="67"/>
    </row>
    <row r="241">
      <c r="A241" s="66"/>
      <c r="B241" s="66"/>
      <c r="C241" s="66"/>
      <c r="D241" s="66"/>
      <c r="E241" s="66"/>
      <c r="F241" s="66"/>
      <c r="I241" s="67"/>
      <c r="X241" s="67"/>
    </row>
    <row r="242">
      <c r="A242" s="66"/>
      <c r="B242" s="66"/>
      <c r="C242" s="66"/>
      <c r="D242" s="66"/>
      <c r="E242" s="66"/>
      <c r="F242" s="66"/>
      <c r="I242" s="67"/>
      <c r="X242" s="67"/>
    </row>
    <row r="243">
      <c r="A243" s="66"/>
      <c r="B243" s="66"/>
      <c r="C243" s="66"/>
      <c r="D243" s="66"/>
      <c r="E243" s="66"/>
      <c r="F243" s="66"/>
      <c r="I243" s="67"/>
      <c r="X243" s="67"/>
    </row>
    <row r="244">
      <c r="A244" s="66"/>
      <c r="B244" s="66"/>
      <c r="C244" s="66"/>
      <c r="D244" s="66"/>
      <c r="E244" s="66"/>
      <c r="F244" s="66"/>
      <c r="I244" s="67"/>
      <c r="X244" s="67"/>
    </row>
    <row r="245">
      <c r="A245" s="66"/>
      <c r="B245" s="66"/>
      <c r="C245" s="66"/>
      <c r="D245" s="66"/>
      <c r="E245" s="66"/>
      <c r="F245" s="66"/>
      <c r="I245" s="67"/>
      <c r="X245" s="67"/>
    </row>
    <row r="246">
      <c r="A246" s="66"/>
      <c r="B246" s="66"/>
      <c r="C246" s="66"/>
      <c r="D246" s="66"/>
      <c r="E246" s="66"/>
      <c r="F246" s="66"/>
      <c r="I246" s="67"/>
      <c r="X246" s="67"/>
    </row>
    <row r="247">
      <c r="A247" s="66"/>
      <c r="B247" s="66"/>
      <c r="C247" s="66"/>
      <c r="D247" s="66"/>
      <c r="E247" s="66"/>
      <c r="F247" s="66"/>
      <c r="I247" s="67"/>
      <c r="X247" s="67"/>
    </row>
    <row r="248">
      <c r="A248" s="66"/>
      <c r="B248" s="66"/>
      <c r="C248" s="66"/>
      <c r="D248" s="66"/>
      <c r="E248" s="66"/>
      <c r="F248" s="66"/>
      <c r="I248" s="67"/>
      <c r="X248" s="67"/>
    </row>
    <row r="249">
      <c r="A249" s="66"/>
      <c r="B249" s="66"/>
      <c r="C249" s="66"/>
      <c r="D249" s="66"/>
      <c r="E249" s="66"/>
      <c r="F249" s="66"/>
      <c r="I249" s="67"/>
      <c r="X249" s="67"/>
    </row>
    <row r="250">
      <c r="A250" s="66"/>
      <c r="B250" s="66"/>
      <c r="C250" s="66"/>
      <c r="D250" s="66"/>
      <c r="E250" s="66"/>
      <c r="F250" s="66"/>
      <c r="I250" s="67"/>
      <c r="X250" s="67"/>
    </row>
    <row r="251">
      <c r="A251" s="66"/>
      <c r="B251" s="66"/>
      <c r="C251" s="66"/>
      <c r="D251" s="66"/>
      <c r="E251" s="66"/>
      <c r="F251" s="66"/>
      <c r="I251" s="67"/>
      <c r="X251" s="67"/>
    </row>
    <row r="252">
      <c r="A252" s="66"/>
      <c r="B252" s="66"/>
      <c r="C252" s="66"/>
      <c r="D252" s="66"/>
      <c r="E252" s="66"/>
      <c r="F252" s="66"/>
      <c r="I252" s="67"/>
      <c r="X252" s="67"/>
    </row>
    <row r="253">
      <c r="A253" s="66"/>
      <c r="B253" s="66"/>
      <c r="C253" s="66"/>
      <c r="D253" s="66"/>
      <c r="E253" s="66"/>
      <c r="F253" s="66"/>
      <c r="I253" s="67"/>
      <c r="X253" s="67"/>
    </row>
    <row r="254">
      <c r="A254" s="66"/>
      <c r="B254" s="66"/>
      <c r="C254" s="66"/>
      <c r="D254" s="66"/>
      <c r="E254" s="66"/>
      <c r="F254" s="66"/>
      <c r="I254" s="67"/>
      <c r="X254" s="67"/>
    </row>
    <row r="255">
      <c r="A255" s="66"/>
      <c r="B255" s="66"/>
      <c r="C255" s="66"/>
      <c r="D255" s="66"/>
      <c r="E255" s="66"/>
      <c r="F255" s="66"/>
      <c r="I255" s="67"/>
      <c r="X255" s="67"/>
    </row>
    <row r="256">
      <c r="A256" s="66"/>
      <c r="B256" s="66"/>
      <c r="C256" s="66"/>
      <c r="D256" s="66"/>
      <c r="E256" s="66"/>
      <c r="F256" s="66"/>
      <c r="I256" s="67"/>
      <c r="X256" s="67"/>
    </row>
    <row r="257">
      <c r="A257" s="66"/>
      <c r="B257" s="66"/>
      <c r="C257" s="66"/>
      <c r="D257" s="66"/>
      <c r="E257" s="66"/>
      <c r="F257" s="66"/>
      <c r="I257" s="67"/>
      <c r="X257" s="67"/>
    </row>
    <row r="258">
      <c r="A258" s="66"/>
      <c r="B258" s="66"/>
      <c r="C258" s="66"/>
      <c r="D258" s="66"/>
      <c r="E258" s="66"/>
      <c r="F258" s="66"/>
      <c r="I258" s="67"/>
      <c r="X258" s="67"/>
    </row>
    <row r="259">
      <c r="A259" s="66"/>
      <c r="B259" s="66"/>
      <c r="C259" s="66"/>
      <c r="D259" s="66"/>
      <c r="E259" s="66"/>
      <c r="F259" s="66"/>
      <c r="I259" s="67"/>
      <c r="X259" s="67"/>
    </row>
    <row r="260">
      <c r="A260" s="66"/>
      <c r="B260" s="66"/>
      <c r="C260" s="66"/>
      <c r="D260" s="66"/>
      <c r="E260" s="66"/>
      <c r="F260" s="66"/>
      <c r="I260" s="67"/>
      <c r="X260" s="67"/>
    </row>
    <row r="261">
      <c r="A261" s="66"/>
      <c r="B261" s="66"/>
      <c r="C261" s="66"/>
      <c r="D261" s="66"/>
      <c r="E261" s="66"/>
      <c r="F261" s="66"/>
      <c r="I261" s="67"/>
      <c r="X261" s="67"/>
    </row>
    <row r="262">
      <c r="A262" s="66"/>
      <c r="B262" s="66"/>
      <c r="C262" s="66"/>
      <c r="D262" s="66"/>
      <c r="E262" s="66"/>
      <c r="F262" s="66"/>
      <c r="I262" s="67"/>
      <c r="X262" s="67"/>
    </row>
    <row r="263">
      <c r="A263" s="66"/>
      <c r="B263" s="66"/>
      <c r="C263" s="66"/>
      <c r="D263" s="66"/>
      <c r="E263" s="66"/>
      <c r="F263" s="66"/>
      <c r="I263" s="67"/>
      <c r="X263" s="67"/>
    </row>
    <row r="264">
      <c r="A264" s="66"/>
      <c r="B264" s="66"/>
      <c r="C264" s="66"/>
      <c r="D264" s="66"/>
      <c r="E264" s="66"/>
      <c r="F264" s="66"/>
      <c r="I264" s="67"/>
      <c r="X264" s="67"/>
    </row>
    <row r="265">
      <c r="A265" s="66"/>
      <c r="B265" s="66"/>
      <c r="C265" s="66"/>
      <c r="D265" s="66"/>
      <c r="E265" s="66"/>
      <c r="F265" s="66"/>
      <c r="I265" s="67"/>
      <c r="X265" s="67"/>
    </row>
    <row r="266">
      <c r="A266" s="66"/>
      <c r="B266" s="66"/>
      <c r="C266" s="66"/>
      <c r="D266" s="66"/>
      <c r="E266" s="66"/>
      <c r="F266" s="66"/>
      <c r="I266" s="67"/>
      <c r="X266" s="67"/>
    </row>
    <row r="267">
      <c r="A267" s="66"/>
      <c r="B267" s="66"/>
      <c r="C267" s="66"/>
      <c r="D267" s="66"/>
      <c r="E267" s="66"/>
      <c r="F267" s="66"/>
      <c r="I267" s="67"/>
      <c r="X267" s="67"/>
    </row>
    <row r="268">
      <c r="A268" s="66"/>
      <c r="B268" s="66"/>
      <c r="C268" s="66"/>
      <c r="D268" s="66"/>
      <c r="E268" s="66"/>
      <c r="F268" s="66"/>
      <c r="I268" s="67"/>
      <c r="X268" s="67"/>
    </row>
    <row r="269">
      <c r="A269" s="66"/>
      <c r="B269" s="66"/>
      <c r="C269" s="66"/>
      <c r="D269" s="66"/>
      <c r="E269" s="66"/>
      <c r="F269" s="66"/>
      <c r="I269" s="67"/>
      <c r="X269" s="67"/>
    </row>
    <row r="270">
      <c r="A270" s="66"/>
      <c r="B270" s="66"/>
      <c r="C270" s="66"/>
      <c r="D270" s="66"/>
      <c r="E270" s="66"/>
      <c r="F270" s="66"/>
      <c r="I270" s="67"/>
      <c r="X270" s="67"/>
    </row>
    <row r="271">
      <c r="A271" s="66"/>
      <c r="B271" s="66"/>
      <c r="C271" s="66"/>
      <c r="D271" s="66"/>
      <c r="E271" s="66"/>
      <c r="F271" s="66"/>
      <c r="I271" s="67"/>
      <c r="X271" s="67"/>
    </row>
    <row r="272">
      <c r="A272" s="66"/>
      <c r="B272" s="66"/>
      <c r="C272" s="66"/>
      <c r="D272" s="66"/>
      <c r="E272" s="66"/>
      <c r="F272" s="66"/>
      <c r="I272" s="67"/>
      <c r="X272" s="67"/>
    </row>
    <row r="273">
      <c r="A273" s="66"/>
      <c r="B273" s="66"/>
      <c r="C273" s="66"/>
      <c r="D273" s="66"/>
      <c r="E273" s="66"/>
      <c r="F273" s="66"/>
      <c r="I273" s="67"/>
      <c r="X273" s="67"/>
    </row>
    <row r="274">
      <c r="A274" s="66"/>
      <c r="B274" s="66"/>
      <c r="C274" s="66"/>
      <c r="D274" s="66"/>
      <c r="E274" s="66"/>
      <c r="F274" s="66"/>
      <c r="I274" s="67"/>
      <c r="X274" s="67"/>
    </row>
    <row r="275">
      <c r="A275" s="66"/>
      <c r="B275" s="66"/>
      <c r="C275" s="66"/>
      <c r="D275" s="66"/>
      <c r="E275" s="66"/>
      <c r="F275" s="66"/>
      <c r="I275" s="67"/>
      <c r="X275" s="67"/>
    </row>
    <row r="276">
      <c r="A276" s="66"/>
      <c r="B276" s="66"/>
      <c r="C276" s="66"/>
      <c r="D276" s="66"/>
      <c r="E276" s="66"/>
      <c r="F276" s="66"/>
      <c r="I276" s="67"/>
      <c r="X276" s="67"/>
    </row>
    <row r="277">
      <c r="A277" s="66"/>
      <c r="B277" s="66"/>
      <c r="C277" s="66"/>
      <c r="D277" s="66"/>
      <c r="E277" s="66"/>
      <c r="F277" s="66"/>
      <c r="I277" s="67"/>
      <c r="X277" s="67"/>
    </row>
    <row r="278">
      <c r="A278" s="66"/>
      <c r="B278" s="66"/>
      <c r="C278" s="66"/>
      <c r="D278" s="66"/>
      <c r="E278" s="66"/>
      <c r="F278" s="66"/>
      <c r="I278" s="67"/>
      <c r="X278" s="67"/>
    </row>
    <row r="279">
      <c r="A279" s="66"/>
      <c r="B279" s="66"/>
      <c r="C279" s="66"/>
      <c r="D279" s="66"/>
      <c r="E279" s="66"/>
      <c r="F279" s="66"/>
      <c r="I279" s="67"/>
      <c r="X279" s="67"/>
    </row>
    <row r="280">
      <c r="A280" s="66"/>
      <c r="B280" s="66"/>
      <c r="C280" s="66"/>
      <c r="D280" s="66"/>
      <c r="E280" s="66"/>
      <c r="F280" s="66"/>
      <c r="I280" s="67"/>
      <c r="X280" s="67"/>
    </row>
    <row r="281">
      <c r="A281" s="66"/>
      <c r="B281" s="66"/>
      <c r="C281" s="66"/>
      <c r="D281" s="66"/>
      <c r="E281" s="66"/>
      <c r="F281" s="66"/>
      <c r="I281" s="67"/>
      <c r="X281" s="67"/>
    </row>
    <row r="282">
      <c r="A282" s="66"/>
      <c r="B282" s="66"/>
      <c r="C282" s="66"/>
      <c r="D282" s="66"/>
      <c r="E282" s="66"/>
      <c r="F282" s="66"/>
      <c r="I282" s="67"/>
      <c r="X282" s="67"/>
    </row>
    <row r="283">
      <c r="A283" s="66"/>
      <c r="B283" s="66"/>
      <c r="C283" s="66"/>
      <c r="D283" s="66"/>
      <c r="E283" s="66"/>
      <c r="F283" s="66"/>
      <c r="I283" s="67"/>
      <c r="X283" s="67"/>
    </row>
    <row r="284">
      <c r="A284" s="66"/>
      <c r="B284" s="66"/>
      <c r="C284" s="66"/>
      <c r="D284" s="66"/>
      <c r="E284" s="66"/>
      <c r="F284" s="66"/>
      <c r="I284" s="67"/>
      <c r="X284" s="67"/>
    </row>
    <row r="285">
      <c r="A285" s="66"/>
      <c r="B285" s="66"/>
      <c r="C285" s="66"/>
      <c r="D285" s="66"/>
      <c r="E285" s="66"/>
      <c r="F285" s="66"/>
      <c r="I285" s="67"/>
      <c r="X285" s="67"/>
    </row>
    <row r="286">
      <c r="A286" s="66"/>
      <c r="B286" s="66"/>
      <c r="C286" s="66"/>
      <c r="D286" s="66"/>
      <c r="E286" s="66"/>
      <c r="F286" s="66"/>
      <c r="I286" s="67"/>
      <c r="X286" s="67"/>
    </row>
    <row r="287">
      <c r="A287" s="66"/>
      <c r="B287" s="66"/>
      <c r="C287" s="66"/>
      <c r="D287" s="66"/>
      <c r="E287" s="66"/>
      <c r="F287" s="66"/>
      <c r="I287" s="67"/>
      <c r="X287" s="67"/>
    </row>
    <row r="288">
      <c r="A288" s="66"/>
      <c r="B288" s="66"/>
      <c r="C288" s="66"/>
      <c r="D288" s="66"/>
      <c r="E288" s="66"/>
      <c r="F288" s="66"/>
      <c r="I288" s="67"/>
      <c r="X288" s="67"/>
    </row>
    <row r="289">
      <c r="A289" s="66"/>
      <c r="B289" s="66"/>
      <c r="C289" s="66"/>
      <c r="D289" s="66"/>
      <c r="E289" s="66"/>
      <c r="F289" s="66"/>
      <c r="I289" s="67"/>
      <c r="X289" s="67"/>
    </row>
    <row r="290">
      <c r="A290" s="66"/>
      <c r="B290" s="66"/>
      <c r="C290" s="66"/>
      <c r="D290" s="66"/>
      <c r="E290" s="66"/>
      <c r="F290" s="66"/>
      <c r="I290" s="67"/>
      <c r="X290" s="67"/>
    </row>
    <row r="291">
      <c r="A291" s="66"/>
      <c r="B291" s="66"/>
      <c r="C291" s="66"/>
      <c r="D291" s="66"/>
      <c r="E291" s="66"/>
      <c r="F291" s="66"/>
      <c r="I291" s="67"/>
      <c r="X291" s="67"/>
    </row>
    <row r="292">
      <c r="A292" s="66"/>
      <c r="B292" s="66"/>
      <c r="C292" s="66"/>
      <c r="D292" s="66"/>
      <c r="E292" s="66"/>
      <c r="F292" s="66"/>
      <c r="I292" s="67"/>
      <c r="X292" s="67"/>
    </row>
    <row r="293">
      <c r="A293" s="66"/>
      <c r="B293" s="66"/>
      <c r="C293" s="66"/>
      <c r="D293" s="66"/>
      <c r="E293" s="66"/>
      <c r="F293" s="66"/>
      <c r="I293" s="67"/>
      <c r="X293" s="67"/>
    </row>
    <row r="294">
      <c r="A294" s="66"/>
      <c r="B294" s="66"/>
      <c r="C294" s="66"/>
      <c r="D294" s="66"/>
      <c r="E294" s="66"/>
      <c r="F294" s="66"/>
      <c r="I294" s="67"/>
      <c r="X294" s="67"/>
    </row>
    <row r="295">
      <c r="A295" s="66"/>
      <c r="B295" s="66"/>
      <c r="C295" s="66"/>
      <c r="D295" s="66"/>
      <c r="E295" s="66"/>
      <c r="F295" s="66"/>
      <c r="I295" s="67"/>
      <c r="X295" s="67"/>
    </row>
    <row r="296">
      <c r="A296" s="66"/>
      <c r="B296" s="66"/>
      <c r="C296" s="66"/>
      <c r="D296" s="66"/>
      <c r="E296" s="66"/>
      <c r="F296" s="66"/>
      <c r="I296" s="67"/>
      <c r="X296" s="67"/>
    </row>
    <row r="297">
      <c r="A297" s="66"/>
      <c r="B297" s="66"/>
      <c r="C297" s="66"/>
      <c r="D297" s="66"/>
      <c r="E297" s="66"/>
      <c r="F297" s="66"/>
      <c r="I297" s="67"/>
      <c r="X297" s="67"/>
    </row>
    <row r="298">
      <c r="A298" s="66"/>
      <c r="B298" s="66"/>
      <c r="C298" s="66"/>
      <c r="D298" s="66"/>
      <c r="E298" s="66"/>
      <c r="F298" s="66"/>
      <c r="I298" s="67"/>
      <c r="X298" s="67"/>
    </row>
    <row r="299">
      <c r="A299" s="66"/>
      <c r="B299" s="66"/>
      <c r="C299" s="66"/>
      <c r="D299" s="66"/>
      <c r="E299" s="66"/>
      <c r="F299" s="66"/>
      <c r="I299" s="67"/>
      <c r="X299" s="67"/>
    </row>
    <row r="300">
      <c r="A300" s="66"/>
      <c r="B300" s="66"/>
      <c r="C300" s="66"/>
      <c r="D300" s="66"/>
      <c r="E300" s="66"/>
      <c r="F300" s="66"/>
      <c r="I300" s="67"/>
      <c r="X300" s="67"/>
    </row>
    <row r="301">
      <c r="A301" s="66"/>
      <c r="B301" s="66"/>
      <c r="C301" s="66"/>
      <c r="D301" s="66"/>
      <c r="E301" s="66"/>
      <c r="F301" s="66"/>
      <c r="I301" s="67"/>
      <c r="X301" s="67"/>
    </row>
    <row r="302">
      <c r="A302" s="66"/>
      <c r="B302" s="66"/>
      <c r="C302" s="66"/>
      <c r="D302" s="66"/>
      <c r="E302" s="66"/>
      <c r="F302" s="66"/>
      <c r="I302" s="67"/>
      <c r="X302" s="67"/>
    </row>
    <row r="303">
      <c r="A303" s="66"/>
      <c r="B303" s="66"/>
      <c r="C303" s="66"/>
      <c r="D303" s="66"/>
      <c r="E303" s="66"/>
      <c r="F303" s="66"/>
      <c r="I303" s="67"/>
      <c r="X303" s="67"/>
    </row>
    <row r="304">
      <c r="A304" s="66"/>
      <c r="B304" s="66"/>
      <c r="C304" s="66"/>
      <c r="D304" s="66"/>
      <c r="E304" s="66"/>
      <c r="F304" s="66"/>
      <c r="I304" s="67"/>
      <c r="X304" s="67"/>
    </row>
    <row r="305">
      <c r="A305" s="66"/>
      <c r="B305" s="66"/>
      <c r="C305" s="66"/>
      <c r="D305" s="66"/>
      <c r="E305" s="66"/>
      <c r="F305" s="66"/>
      <c r="I305" s="67"/>
      <c r="X305" s="67"/>
    </row>
    <row r="306">
      <c r="A306" s="66"/>
      <c r="B306" s="66"/>
      <c r="C306" s="66"/>
      <c r="D306" s="66"/>
      <c r="E306" s="66"/>
      <c r="F306" s="66"/>
      <c r="I306" s="67"/>
      <c r="X306" s="67"/>
    </row>
    <row r="307">
      <c r="A307" s="66"/>
      <c r="B307" s="66"/>
      <c r="C307" s="66"/>
      <c r="D307" s="66"/>
      <c r="E307" s="66"/>
      <c r="F307" s="66"/>
      <c r="I307" s="67"/>
      <c r="X307" s="67"/>
    </row>
    <row r="308">
      <c r="A308" s="66"/>
      <c r="B308" s="66"/>
      <c r="C308" s="66"/>
      <c r="D308" s="66"/>
      <c r="E308" s="66"/>
      <c r="F308" s="66"/>
      <c r="I308" s="67"/>
      <c r="X308" s="67"/>
    </row>
    <row r="309">
      <c r="A309" s="66"/>
      <c r="B309" s="66"/>
      <c r="C309" s="66"/>
      <c r="D309" s="66"/>
      <c r="E309" s="66"/>
      <c r="F309" s="66"/>
      <c r="I309" s="67"/>
      <c r="X309" s="67"/>
    </row>
    <row r="310">
      <c r="A310" s="66"/>
      <c r="B310" s="66"/>
      <c r="C310" s="66"/>
      <c r="D310" s="66"/>
      <c r="E310" s="66"/>
      <c r="F310" s="66"/>
      <c r="I310" s="67"/>
      <c r="X310" s="67"/>
    </row>
    <row r="311">
      <c r="A311" s="66"/>
      <c r="B311" s="66"/>
      <c r="C311" s="66"/>
      <c r="D311" s="66"/>
      <c r="E311" s="66"/>
      <c r="F311" s="66"/>
      <c r="I311" s="67"/>
      <c r="X311" s="67"/>
    </row>
    <row r="312">
      <c r="A312" s="66"/>
      <c r="B312" s="66"/>
      <c r="C312" s="66"/>
      <c r="D312" s="66"/>
      <c r="E312" s="66"/>
      <c r="F312" s="66"/>
      <c r="I312" s="67"/>
      <c r="X312" s="67"/>
    </row>
    <row r="313">
      <c r="A313" s="66"/>
      <c r="B313" s="66"/>
      <c r="C313" s="66"/>
      <c r="D313" s="66"/>
      <c r="E313" s="66"/>
      <c r="F313" s="66"/>
      <c r="I313" s="67"/>
      <c r="X313" s="67"/>
    </row>
    <row r="314">
      <c r="A314" s="66"/>
      <c r="B314" s="66"/>
      <c r="C314" s="66"/>
      <c r="D314" s="66"/>
      <c r="E314" s="66"/>
      <c r="F314" s="66"/>
      <c r="I314" s="67"/>
      <c r="X314" s="67"/>
    </row>
    <row r="315">
      <c r="A315" s="66"/>
      <c r="B315" s="66"/>
      <c r="C315" s="66"/>
      <c r="D315" s="66"/>
      <c r="E315" s="66"/>
      <c r="F315" s="66"/>
      <c r="I315" s="67"/>
      <c r="X315" s="67"/>
    </row>
    <row r="316">
      <c r="A316" s="66"/>
      <c r="B316" s="66"/>
      <c r="C316" s="66"/>
      <c r="D316" s="66"/>
      <c r="E316" s="66"/>
      <c r="F316" s="66"/>
      <c r="I316" s="67"/>
      <c r="X316" s="67"/>
    </row>
    <row r="317">
      <c r="A317" s="66"/>
      <c r="B317" s="66"/>
      <c r="C317" s="66"/>
      <c r="D317" s="66"/>
      <c r="E317" s="66"/>
      <c r="F317" s="66"/>
      <c r="I317" s="67"/>
      <c r="X317" s="67"/>
    </row>
    <row r="318">
      <c r="A318" s="66"/>
      <c r="B318" s="66"/>
      <c r="C318" s="66"/>
      <c r="D318" s="66"/>
      <c r="E318" s="66"/>
      <c r="F318" s="66"/>
      <c r="I318" s="67"/>
      <c r="X318" s="67"/>
    </row>
    <row r="319">
      <c r="A319" s="66"/>
      <c r="B319" s="66"/>
      <c r="C319" s="66"/>
      <c r="D319" s="66"/>
      <c r="E319" s="66"/>
      <c r="F319" s="66"/>
      <c r="I319" s="67"/>
      <c r="X319" s="67"/>
    </row>
    <row r="320">
      <c r="A320" s="66"/>
      <c r="B320" s="66"/>
      <c r="C320" s="66"/>
      <c r="D320" s="66"/>
      <c r="E320" s="66"/>
      <c r="F320" s="66"/>
      <c r="I320" s="67"/>
      <c r="X320" s="67"/>
    </row>
    <row r="321">
      <c r="A321" s="66"/>
      <c r="B321" s="66"/>
      <c r="C321" s="66"/>
      <c r="D321" s="66"/>
      <c r="E321" s="66"/>
      <c r="F321" s="66"/>
      <c r="I321" s="67"/>
      <c r="X321" s="67"/>
    </row>
    <row r="322">
      <c r="A322" s="66"/>
      <c r="B322" s="66"/>
      <c r="C322" s="66"/>
      <c r="D322" s="66"/>
      <c r="E322" s="66"/>
      <c r="F322" s="66"/>
      <c r="I322" s="67"/>
      <c r="X322" s="67"/>
    </row>
    <row r="323">
      <c r="A323" s="66"/>
      <c r="B323" s="66"/>
      <c r="C323" s="66"/>
      <c r="D323" s="66"/>
      <c r="E323" s="66"/>
      <c r="F323" s="66"/>
      <c r="I323" s="67"/>
      <c r="X323" s="67"/>
    </row>
    <row r="324">
      <c r="A324" s="66"/>
      <c r="B324" s="66"/>
      <c r="C324" s="66"/>
      <c r="D324" s="66"/>
      <c r="E324" s="66"/>
      <c r="F324" s="66"/>
      <c r="I324" s="67"/>
      <c r="X324" s="67"/>
    </row>
    <row r="325">
      <c r="A325" s="66"/>
      <c r="B325" s="66"/>
      <c r="C325" s="66"/>
      <c r="D325" s="66"/>
      <c r="E325" s="66"/>
      <c r="F325" s="66"/>
      <c r="I325" s="67"/>
      <c r="X325" s="67"/>
    </row>
    <row r="326">
      <c r="A326" s="66"/>
      <c r="B326" s="66"/>
      <c r="C326" s="66"/>
      <c r="D326" s="66"/>
      <c r="E326" s="66"/>
      <c r="F326" s="66"/>
      <c r="I326" s="67"/>
      <c r="X326" s="67"/>
    </row>
    <row r="327">
      <c r="A327" s="66"/>
      <c r="B327" s="66"/>
      <c r="C327" s="66"/>
      <c r="D327" s="66"/>
      <c r="E327" s="66"/>
      <c r="F327" s="66"/>
      <c r="I327" s="67"/>
      <c r="X327" s="67"/>
    </row>
    <row r="328">
      <c r="A328" s="66"/>
      <c r="B328" s="66"/>
      <c r="C328" s="66"/>
      <c r="D328" s="66"/>
      <c r="E328" s="66"/>
      <c r="F328" s="66"/>
      <c r="I328" s="67"/>
      <c r="X328" s="67"/>
    </row>
    <row r="329">
      <c r="A329" s="66"/>
      <c r="B329" s="66"/>
      <c r="C329" s="66"/>
      <c r="D329" s="66"/>
      <c r="E329" s="66"/>
      <c r="F329" s="66"/>
      <c r="I329" s="67"/>
      <c r="X329" s="67"/>
    </row>
    <row r="330">
      <c r="A330" s="66"/>
      <c r="B330" s="66"/>
      <c r="C330" s="66"/>
      <c r="D330" s="66"/>
      <c r="E330" s="66"/>
      <c r="F330" s="66"/>
      <c r="I330" s="67"/>
      <c r="X330" s="67"/>
    </row>
    <row r="331">
      <c r="A331" s="66"/>
      <c r="B331" s="66"/>
      <c r="C331" s="66"/>
      <c r="D331" s="66"/>
      <c r="E331" s="66"/>
      <c r="F331" s="66"/>
      <c r="I331" s="67"/>
      <c r="X331" s="67"/>
    </row>
    <row r="332">
      <c r="A332" s="66"/>
      <c r="B332" s="66"/>
      <c r="C332" s="66"/>
      <c r="D332" s="66"/>
      <c r="E332" s="66"/>
      <c r="F332" s="66"/>
      <c r="I332" s="67"/>
      <c r="X332" s="67"/>
    </row>
    <row r="333">
      <c r="A333" s="66"/>
      <c r="B333" s="66"/>
      <c r="C333" s="66"/>
      <c r="D333" s="66"/>
      <c r="E333" s="66"/>
      <c r="F333" s="66"/>
      <c r="I333" s="67"/>
      <c r="X333" s="67"/>
    </row>
    <row r="334">
      <c r="A334" s="66"/>
      <c r="B334" s="66"/>
      <c r="C334" s="66"/>
      <c r="D334" s="66"/>
      <c r="E334" s="66"/>
      <c r="F334" s="66"/>
      <c r="I334" s="67"/>
      <c r="X334" s="67"/>
    </row>
    <row r="335">
      <c r="A335" s="66"/>
      <c r="B335" s="66"/>
      <c r="C335" s="66"/>
      <c r="D335" s="66"/>
      <c r="E335" s="66"/>
      <c r="F335" s="66"/>
      <c r="I335" s="67"/>
      <c r="X335" s="67"/>
    </row>
    <row r="336">
      <c r="A336" s="66"/>
      <c r="B336" s="66"/>
      <c r="C336" s="66"/>
      <c r="D336" s="66"/>
      <c r="E336" s="66"/>
      <c r="F336" s="66"/>
      <c r="I336" s="67"/>
      <c r="X336" s="67"/>
    </row>
    <row r="337">
      <c r="A337" s="66"/>
      <c r="B337" s="66"/>
      <c r="C337" s="66"/>
      <c r="D337" s="66"/>
      <c r="E337" s="66"/>
      <c r="F337" s="66"/>
      <c r="I337" s="67"/>
      <c r="X337" s="67"/>
    </row>
    <row r="338">
      <c r="A338" s="66"/>
      <c r="B338" s="66"/>
      <c r="C338" s="66"/>
      <c r="D338" s="66"/>
      <c r="E338" s="66"/>
      <c r="F338" s="66"/>
      <c r="I338" s="67"/>
      <c r="X338" s="67"/>
    </row>
    <row r="339">
      <c r="A339" s="66"/>
      <c r="B339" s="66"/>
      <c r="C339" s="66"/>
      <c r="D339" s="66"/>
      <c r="E339" s="66"/>
      <c r="F339" s="66"/>
      <c r="I339" s="67"/>
      <c r="X339" s="67"/>
    </row>
    <row r="340">
      <c r="A340" s="66"/>
      <c r="B340" s="66"/>
      <c r="C340" s="66"/>
      <c r="D340" s="66"/>
      <c r="E340" s="66"/>
      <c r="F340" s="66"/>
      <c r="I340" s="67"/>
      <c r="X340" s="67"/>
    </row>
    <row r="341">
      <c r="A341" s="66"/>
      <c r="B341" s="66"/>
      <c r="C341" s="66"/>
      <c r="D341" s="66"/>
      <c r="E341" s="66"/>
      <c r="F341" s="66"/>
      <c r="I341" s="67"/>
      <c r="X341" s="67"/>
    </row>
    <row r="342">
      <c r="A342" s="66"/>
      <c r="B342" s="66"/>
      <c r="C342" s="66"/>
      <c r="D342" s="66"/>
      <c r="E342" s="66"/>
      <c r="F342" s="66"/>
      <c r="I342" s="67"/>
      <c r="X342" s="67"/>
    </row>
    <row r="343">
      <c r="A343" s="66"/>
      <c r="B343" s="66"/>
      <c r="C343" s="66"/>
      <c r="D343" s="66"/>
      <c r="E343" s="66"/>
      <c r="F343" s="66"/>
      <c r="I343" s="67"/>
      <c r="X343" s="67"/>
    </row>
    <row r="344">
      <c r="A344" s="66"/>
      <c r="B344" s="66"/>
      <c r="C344" s="66"/>
      <c r="D344" s="66"/>
      <c r="E344" s="66"/>
      <c r="F344" s="66"/>
      <c r="I344" s="67"/>
      <c r="X344" s="67"/>
    </row>
    <row r="345">
      <c r="A345" s="66"/>
      <c r="B345" s="66"/>
      <c r="C345" s="66"/>
      <c r="D345" s="66"/>
      <c r="E345" s="66"/>
      <c r="F345" s="66"/>
      <c r="I345" s="67"/>
      <c r="X345" s="67"/>
    </row>
    <row r="346">
      <c r="A346" s="66"/>
      <c r="B346" s="66"/>
      <c r="C346" s="66"/>
      <c r="D346" s="66"/>
      <c r="E346" s="66"/>
      <c r="F346" s="66"/>
      <c r="I346" s="67"/>
      <c r="X346" s="67"/>
    </row>
    <row r="347">
      <c r="A347" s="66"/>
      <c r="B347" s="66"/>
      <c r="C347" s="66"/>
      <c r="D347" s="66"/>
      <c r="E347" s="66"/>
      <c r="F347" s="66"/>
      <c r="I347" s="67"/>
      <c r="X347" s="67"/>
    </row>
    <row r="348">
      <c r="A348" s="66"/>
      <c r="B348" s="66"/>
      <c r="C348" s="66"/>
      <c r="D348" s="66"/>
      <c r="E348" s="66"/>
      <c r="F348" s="66"/>
      <c r="I348" s="67"/>
      <c r="X348" s="67"/>
    </row>
    <row r="349">
      <c r="A349" s="66"/>
      <c r="B349" s="66"/>
      <c r="C349" s="66"/>
      <c r="D349" s="66"/>
      <c r="E349" s="66"/>
      <c r="F349" s="66"/>
      <c r="I349" s="67"/>
      <c r="X349" s="67"/>
    </row>
    <row r="350">
      <c r="A350" s="66"/>
      <c r="B350" s="66"/>
      <c r="C350" s="66"/>
      <c r="D350" s="66"/>
      <c r="E350" s="66"/>
      <c r="F350" s="66"/>
      <c r="I350" s="67"/>
      <c r="X350" s="67"/>
    </row>
    <row r="351">
      <c r="A351" s="66"/>
      <c r="B351" s="66"/>
      <c r="C351" s="66"/>
      <c r="D351" s="66"/>
      <c r="E351" s="66"/>
      <c r="F351" s="66"/>
      <c r="I351" s="67"/>
      <c r="X351" s="67"/>
    </row>
    <row r="352">
      <c r="A352" s="66"/>
      <c r="B352" s="66"/>
      <c r="C352" s="66"/>
      <c r="D352" s="66"/>
      <c r="E352" s="66"/>
      <c r="F352" s="66"/>
      <c r="I352" s="67"/>
      <c r="X352" s="67"/>
    </row>
    <row r="353">
      <c r="A353" s="66"/>
      <c r="B353" s="66"/>
      <c r="C353" s="66"/>
      <c r="D353" s="66"/>
      <c r="E353" s="66"/>
      <c r="F353" s="66"/>
      <c r="I353" s="67"/>
      <c r="X353" s="67"/>
    </row>
    <row r="354">
      <c r="A354" s="66"/>
      <c r="B354" s="66"/>
      <c r="C354" s="66"/>
      <c r="D354" s="66"/>
      <c r="E354" s="66"/>
      <c r="F354" s="66"/>
      <c r="I354" s="67"/>
      <c r="X354" s="67"/>
    </row>
    <row r="355">
      <c r="A355" s="66"/>
      <c r="B355" s="66"/>
      <c r="C355" s="66"/>
      <c r="D355" s="66"/>
      <c r="E355" s="66"/>
      <c r="F355" s="66"/>
      <c r="I355" s="67"/>
      <c r="X355" s="67"/>
    </row>
    <row r="356">
      <c r="A356" s="66"/>
      <c r="B356" s="66"/>
      <c r="C356" s="66"/>
      <c r="D356" s="66"/>
      <c r="E356" s="66"/>
      <c r="F356" s="66"/>
      <c r="I356" s="67"/>
      <c r="X356" s="67"/>
    </row>
    <row r="357">
      <c r="A357" s="66"/>
      <c r="B357" s="66"/>
      <c r="C357" s="66"/>
      <c r="D357" s="66"/>
      <c r="E357" s="66"/>
      <c r="F357" s="66"/>
      <c r="I357" s="67"/>
      <c r="X357" s="67"/>
    </row>
    <row r="358">
      <c r="A358" s="66"/>
      <c r="B358" s="66"/>
      <c r="C358" s="66"/>
      <c r="D358" s="66"/>
      <c r="E358" s="66"/>
      <c r="F358" s="66"/>
      <c r="I358" s="67"/>
      <c r="X358" s="67"/>
    </row>
    <row r="359">
      <c r="A359" s="66"/>
      <c r="B359" s="66"/>
      <c r="C359" s="66"/>
      <c r="D359" s="66"/>
      <c r="E359" s="66"/>
      <c r="F359" s="66"/>
      <c r="I359" s="67"/>
      <c r="X359" s="67"/>
    </row>
    <row r="360">
      <c r="A360" s="66"/>
      <c r="B360" s="66"/>
      <c r="C360" s="66"/>
      <c r="D360" s="66"/>
      <c r="E360" s="66"/>
      <c r="F360" s="66"/>
      <c r="I360" s="67"/>
      <c r="X360" s="67"/>
    </row>
    <row r="361">
      <c r="A361" s="66"/>
      <c r="B361" s="66"/>
      <c r="C361" s="66"/>
      <c r="D361" s="66"/>
      <c r="E361" s="66"/>
      <c r="F361" s="66"/>
      <c r="I361" s="67"/>
      <c r="X361" s="67"/>
    </row>
    <row r="362">
      <c r="A362" s="66"/>
      <c r="B362" s="66"/>
      <c r="C362" s="66"/>
      <c r="D362" s="66"/>
      <c r="E362" s="66"/>
      <c r="F362" s="66"/>
      <c r="I362" s="67"/>
      <c r="X362" s="67"/>
    </row>
    <row r="363">
      <c r="A363" s="66"/>
      <c r="B363" s="66"/>
      <c r="C363" s="66"/>
      <c r="D363" s="66"/>
      <c r="E363" s="66"/>
      <c r="F363" s="66"/>
      <c r="I363" s="67"/>
      <c r="X363" s="67"/>
    </row>
    <row r="364">
      <c r="A364" s="66"/>
      <c r="B364" s="66"/>
      <c r="C364" s="66"/>
      <c r="D364" s="66"/>
      <c r="E364" s="66"/>
      <c r="F364" s="66"/>
      <c r="I364" s="67"/>
      <c r="X364" s="67"/>
    </row>
    <row r="365">
      <c r="A365" s="66"/>
      <c r="B365" s="66"/>
      <c r="C365" s="66"/>
      <c r="D365" s="66"/>
      <c r="E365" s="66"/>
      <c r="F365" s="66"/>
      <c r="I365" s="67"/>
      <c r="X365" s="67"/>
    </row>
    <row r="366">
      <c r="A366" s="66"/>
      <c r="B366" s="66"/>
      <c r="C366" s="66"/>
      <c r="D366" s="66"/>
      <c r="E366" s="66"/>
      <c r="F366" s="66"/>
      <c r="I366" s="67"/>
      <c r="X366" s="67"/>
    </row>
    <row r="367">
      <c r="A367" s="66"/>
      <c r="B367" s="66"/>
      <c r="C367" s="66"/>
      <c r="D367" s="66"/>
      <c r="E367" s="66"/>
      <c r="F367" s="66"/>
      <c r="I367" s="67"/>
      <c r="X367" s="67"/>
    </row>
    <row r="368">
      <c r="A368" s="66"/>
      <c r="B368" s="66"/>
      <c r="C368" s="66"/>
      <c r="D368" s="66"/>
      <c r="E368" s="66"/>
      <c r="F368" s="66"/>
      <c r="I368" s="67"/>
      <c r="X368" s="67"/>
    </row>
    <row r="369">
      <c r="A369" s="66"/>
      <c r="B369" s="66"/>
      <c r="C369" s="66"/>
      <c r="D369" s="66"/>
      <c r="E369" s="66"/>
      <c r="F369" s="66"/>
      <c r="I369" s="67"/>
      <c r="X369" s="67"/>
    </row>
    <row r="370">
      <c r="A370" s="66"/>
      <c r="B370" s="66"/>
      <c r="C370" s="66"/>
      <c r="D370" s="66"/>
      <c r="E370" s="66"/>
      <c r="F370" s="66"/>
      <c r="I370" s="67"/>
      <c r="X370" s="67"/>
    </row>
    <row r="371">
      <c r="A371" s="66"/>
      <c r="B371" s="66"/>
      <c r="C371" s="66"/>
      <c r="D371" s="66"/>
      <c r="E371" s="66"/>
      <c r="F371" s="66"/>
      <c r="I371" s="67"/>
      <c r="X371" s="67"/>
    </row>
    <row r="372">
      <c r="A372" s="66"/>
      <c r="B372" s="66"/>
      <c r="C372" s="66"/>
      <c r="D372" s="66"/>
      <c r="E372" s="66"/>
      <c r="F372" s="66"/>
      <c r="I372" s="67"/>
      <c r="X372" s="67"/>
    </row>
    <row r="373">
      <c r="A373" s="66"/>
      <c r="B373" s="66"/>
      <c r="C373" s="66"/>
      <c r="D373" s="66"/>
      <c r="E373" s="66"/>
      <c r="F373" s="66"/>
      <c r="I373" s="67"/>
      <c r="X373" s="67"/>
    </row>
    <row r="374">
      <c r="A374" s="66"/>
      <c r="B374" s="66"/>
      <c r="C374" s="66"/>
      <c r="D374" s="66"/>
      <c r="E374" s="66"/>
      <c r="F374" s="66"/>
      <c r="I374" s="67"/>
      <c r="X374" s="67"/>
    </row>
    <row r="375">
      <c r="A375" s="66"/>
      <c r="B375" s="66"/>
      <c r="C375" s="66"/>
      <c r="D375" s="66"/>
      <c r="E375" s="66"/>
      <c r="F375" s="66"/>
      <c r="I375" s="67"/>
      <c r="X375" s="67"/>
    </row>
    <row r="376">
      <c r="A376" s="66"/>
      <c r="B376" s="66"/>
      <c r="C376" s="66"/>
      <c r="D376" s="66"/>
      <c r="E376" s="66"/>
      <c r="F376" s="66"/>
      <c r="I376" s="67"/>
      <c r="X376" s="67"/>
    </row>
    <row r="377">
      <c r="A377" s="66"/>
      <c r="B377" s="66"/>
      <c r="C377" s="66"/>
      <c r="D377" s="66"/>
      <c r="E377" s="66"/>
      <c r="F377" s="66"/>
      <c r="I377" s="67"/>
      <c r="X377" s="67"/>
    </row>
    <row r="378">
      <c r="A378" s="66"/>
      <c r="B378" s="66"/>
      <c r="C378" s="66"/>
      <c r="D378" s="66"/>
      <c r="E378" s="66"/>
      <c r="F378" s="66"/>
      <c r="I378" s="67"/>
      <c r="X378" s="67"/>
    </row>
    <row r="379">
      <c r="A379" s="66"/>
      <c r="B379" s="66"/>
      <c r="C379" s="66"/>
      <c r="D379" s="66"/>
      <c r="E379" s="66"/>
      <c r="F379" s="66"/>
      <c r="I379" s="67"/>
      <c r="X379" s="67"/>
    </row>
    <row r="380">
      <c r="A380" s="66"/>
      <c r="B380" s="66"/>
      <c r="C380" s="66"/>
      <c r="D380" s="66"/>
      <c r="E380" s="66"/>
      <c r="F380" s="66"/>
      <c r="I380" s="67"/>
      <c r="X380" s="67"/>
    </row>
    <row r="381">
      <c r="A381" s="66"/>
      <c r="B381" s="66"/>
      <c r="C381" s="66"/>
      <c r="D381" s="66"/>
      <c r="E381" s="66"/>
      <c r="F381" s="66"/>
      <c r="I381" s="67"/>
      <c r="X381" s="67"/>
    </row>
    <row r="382">
      <c r="A382" s="66"/>
      <c r="B382" s="66"/>
      <c r="C382" s="66"/>
      <c r="D382" s="66"/>
      <c r="E382" s="66"/>
      <c r="F382" s="66"/>
      <c r="I382" s="67"/>
      <c r="X382" s="67"/>
    </row>
    <row r="383">
      <c r="A383" s="66"/>
      <c r="B383" s="66"/>
      <c r="C383" s="66"/>
      <c r="D383" s="66"/>
      <c r="E383" s="66"/>
      <c r="F383" s="66"/>
      <c r="I383" s="67"/>
      <c r="X383" s="67"/>
    </row>
    <row r="384">
      <c r="A384" s="66"/>
      <c r="B384" s="66"/>
      <c r="C384" s="66"/>
      <c r="D384" s="66"/>
      <c r="E384" s="66"/>
      <c r="F384" s="66"/>
      <c r="I384" s="67"/>
      <c r="X384" s="67"/>
    </row>
    <row r="385">
      <c r="A385" s="66"/>
      <c r="B385" s="66"/>
      <c r="C385" s="66"/>
      <c r="D385" s="66"/>
      <c r="E385" s="66"/>
      <c r="F385" s="66"/>
      <c r="I385" s="67"/>
      <c r="X385" s="67"/>
    </row>
    <row r="386">
      <c r="A386" s="66"/>
      <c r="B386" s="66"/>
      <c r="C386" s="66"/>
      <c r="D386" s="66"/>
      <c r="E386" s="66"/>
      <c r="F386" s="66"/>
      <c r="I386" s="67"/>
      <c r="X386" s="67"/>
    </row>
    <row r="387">
      <c r="A387" s="66"/>
      <c r="B387" s="66"/>
      <c r="C387" s="66"/>
      <c r="D387" s="66"/>
      <c r="E387" s="66"/>
      <c r="F387" s="66"/>
      <c r="I387" s="67"/>
      <c r="X387" s="67"/>
    </row>
    <row r="388">
      <c r="A388" s="66"/>
      <c r="B388" s="66"/>
      <c r="C388" s="66"/>
      <c r="D388" s="66"/>
      <c r="E388" s="66"/>
      <c r="F388" s="66"/>
      <c r="I388" s="67"/>
      <c r="X388" s="67"/>
    </row>
    <row r="389">
      <c r="A389" s="66"/>
      <c r="B389" s="66"/>
      <c r="C389" s="66"/>
      <c r="D389" s="66"/>
      <c r="E389" s="66"/>
      <c r="F389" s="66"/>
      <c r="I389" s="67"/>
      <c r="X389" s="67"/>
    </row>
    <row r="390">
      <c r="A390" s="66"/>
      <c r="B390" s="66"/>
      <c r="C390" s="66"/>
      <c r="D390" s="66"/>
      <c r="E390" s="66"/>
      <c r="F390" s="66"/>
      <c r="I390" s="67"/>
      <c r="X390" s="67"/>
    </row>
    <row r="391">
      <c r="A391" s="66"/>
      <c r="B391" s="66"/>
      <c r="C391" s="66"/>
      <c r="D391" s="66"/>
      <c r="E391" s="66"/>
      <c r="F391" s="66"/>
      <c r="I391" s="67"/>
      <c r="X391" s="67"/>
    </row>
    <row r="392">
      <c r="A392" s="66"/>
      <c r="B392" s="66"/>
      <c r="C392" s="66"/>
      <c r="D392" s="66"/>
      <c r="E392" s="66"/>
      <c r="F392" s="66"/>
      <c r="I392" s="67"/>
      <c r="X392" s="67"/>
    </row>
    <row r="393">
      <c r="A393" s="66"/>
      <c r="B393" s="66"/>
      <c r="C393" s="66"/>
      <c r="D393" s="66"/>
      <c r="E393" s="66"/>
      <c r="F393" s="66"/>
      <c r="I393" s="67"/>
      <c r="X393" s="67"/>
    </row>
    <row r="394">
      <c r="A394" s="66"/>
      <c r="B394" s="66"/>
      <c r="C394" s="66"/>
      <c r="D394" s="66"/>
      <c r="E394" s="66"/>
      <c r="F394" s="66"/>
      <c r="I394" s="67"/>
      <c r="X394" s="67"/>
    </row>
    <row r="395">
      <c r="A395" s="66"/>
      <c r="B395" s="66"/>
      <c r="C395" s="66"/>
      <c r="D395" s="66"/>
      <c r="E395" s="66"/>
      <c r="F395" s="66"/>
      <c r="I395" s="67"/>
      <c r="X395" s="67"/>
    </row>
    <row r="396">
      <c r="A396" s="66"/>
      <c r="B396" s="66"/>
      <c r="C396" s="66"/>
      <c r="D396" s="66"/>
      <c r="E396" s="66"/>
      <c r="F396" s="66"/>
      <c r="I396" s="67"/>
      <c r="X396" s="67"/>
    </row>
    <row r="397">
      <c r="A397" s="66"/>
      <c r="B397" s="66"/>
      <c r="C397" s="66"/>
      <c r="D397" s="66"/>
      <c r="E397" s="66"/>
      <c r="F397" s="66"/>
      <c r="I397" s="67"/>
      <c r="X397" s="67"/>
    </row>
    <row r="398">
      <c r="A398" s="66"/>
      <c r="B398" s="66"/>
      <c r="C398" s="66"/>
      <c r="D398" s="66"/>
      <c r="E398" s="66"/>
      <c r="F398" s="66"/>
      <c r="I398" s="67"/>
      <c r="X398" s="67"/>
    </row>
    <row r="399">
      <c r="A399" s="66"/>
      <c r="B399" s="66"/>
      <c r="C399" s="66"/>
      <c r="D399" s="66"/>
      <c r="E399" s="66"/>
      <c r="F399" s="66"/>
      <c r="I399" s="67"/>
      <c r="X399" s="67"/>
    </row>
    <row r="400">
      <c r="A400" s="66"/>
      <c r="B400" s="66"/>
      <c r="C400" s="66"/>
      <c r="D400" s="66"/>
      <c r="E400" s="66"/>
      <c r="F400" s="66"/>
      <c r="I400" s="67"/>
      <c r="X400" s="67"/>
    </row>
    <row r="401">
      <c r="A401" s="66"/>
      <c r="B401" s="66"/>
      <c r="C401" s="66"/>
      <c r="D401" s="66"/>
      <c r="E401" s="66"/>
      <c r="F401" s="66"/>
      <c r="I401" s="67"/>
      <c r="X401" s="67"/>
    </row>
    <row r="402">
      <c r="A402" s="66"/>
      <c r="B402" s="66"/>
      <c r="C402" s="66"/>
      <c r="D402" s="66"/>
      <c r="E402" s="66"/>
      <c r="F402" s="66"/>
      <c r="I402" s="67"/>
      <c r="X402" s="67"/>
    </row>
    <row r="403">
      <c r="A403" s="66"/>
      <c r="B403" s="66"/>
      <c r="C403" s="66"/>
      <c r="D403" s="66"/>
      <c r="E403" s="66"/>
      <c r="F403" s="66"/>
      <c r="I403" s="67"/>
      <c r="X403" s="67"/>
    </row>
    <row r="404">
      <c r="A404" s="66"/>
      <c r="B404" s="66"/>
      <c r="C404" s="66"/>
      <c r="D404" s="66"/>
      <c r="E404" s="66"/>
      <c r="F404" s="66"/>
      <c r="I404" s="67"/>
      <c r="X404" s="67"/>
    </row>
    <row r="405">
      <c r="A405" s="66"/>
      <c r="B405" s="66"/>
      <c r="C405" s="66"/>
      <c r="D405" s="66"/>
      <c r="E405" s="66"/>
      <c r="F405" s="66"/>
      <c r="I405" s="67"/>
      <c r="X405" s="67"/>
    </row>
    <row r="406">
      <c r="A406" s="66"/>
      <c r="B406" s="66"/>
      <c r="C406" s="66"/>
      <c r="D406" s="66"/>
      <c r="E406" s="66"/>
      <c r="F406" s="66"/>
      <c r="I406" s="67"/>
      <c r="X406" s="67"/>
    </row>
    <row r="407">
      <c r="A407" s="66"/>
      <c r="B407" s="66"/>
      <c r="C407" s="66"/>
      <c r="D407" s="66"/>
      <c r="E407" s="66"/>
      <c r="F407" s="66"/>
      <c r="I407" s="67"/>
      <c r="X407" s="67"/>
    </row>
    <row r="408">
      <c r="A408" s="66"/>
      <c r="B408" s="66"/>
      <c r="C408" s="66"/>
      <c r="D408" s="66"/>
      <c r="E408" s="66"/>
      <c r="F408" s="66"/>
      <c r="I408" s="67"/>
      <c r="X408" s="67"/>
    </row>
    <row r="409">
      <c r="A409" s="66"/>
      <c r="B409" s="66"/>
      <c r="C409" s="66"/>
      <c r="D409" s="66"/>
      <c r="E409" s="66"/>
      <c r="F409" s="66"/>
      <c r="I409" s="67"/>
      <c r="X409" s="67"/>
    </row>
    <row r="410">
      <c r="A410" s="66"/>
      <c r="B410" s="66"/>
      <c r="C410" s="66"/>
      <c r="D410" s="66"/>
      <c r="E410" s="66"/>
      <c r="F410" s="66"/>
      <c r="I410" s="67"/>
      <c r="X410" s="67"/>
    </row>
    <row r="411">
      <c r="A411" s="66"/>
      <c r="B411" s="66"/>
      <c r="C411" s="66"/>
      <c r="D411" s="66"/>
      <c r="E411" s="66"/>
      <c r="F411" s="66"/>
      <c r="I411" s="67"/>
      <c r="X411" s="67"/>
    </row>
    <row r="412">
      <c r="A412" s="66"/>
      <c r="B412" s="66"/>
      <c r="C412" s="66"/>
      <c r="D412" s="66"/>
      <c r="E412" s="66"/>
      <c r="F412" s="66"/>
      <c r="I412" s="67"/>
      <c r="X412" s="67"/>
    </row>
    <row r="413">
      <c r="A413" s="66"/>
      <c r="B413" s="66"/>
      <c r="C413" s="66"/>
      <c r="D413" s="66"/>
      <c r="E413" s="66"/>
      <c r="F413" s="66"/>
      <c r="I413" s="67"/>
      <c r="X413" s="67"/>
    </row>
    <row r="414">
      <c r="A414" s="66"/>
      <c r="B414" s="66"/>
      <c r="C414" s="66"/>
      <c r="D414" s="66"/>
      <c r="E414" s="66"/>
      <c r="F414" s="66"/>
      <c r="I414" s="67"/>
      <c r="X414" s="67"/>
    </row>
    <row r="415">
      <c r="A415" s="66"/>
      <c r="B415" s="66"/>
      <c r="C415" s="66"/>
      <c r="D415" s="66"/>
      <c r="E415" s="66"/>
      <c r="F415" s="66"/>
      <c r="I415" s="67"/>
      <c r="X415" s="67"/>
    </row>
    <row r="416">
      <c r="A416" s="66"/>
      <c r="B416" s="66"/>
      <c r="C416" s="66"/>
      <c r="D416" s="66"/>
      <c r="E416" s="66"/>
      <c r="F416" s="66"/>
      <c r="I416" s="67"/>
      <c r="X416" s="67"/>
    </row>
    <row r="417">
      <c r="A417" s="66"/>
      <c r="B417" s="66"/>
      <c r="C417" s="66"/>
      <c r="D417" s="66"/>
      <c r="E417" s="66"/>
      <c r="F417" s="66"/>
      <c r="I417" s="67"/>
      <c r="X417" s="67"/>
    </row>
    <row r="418">
      <c r="A418" s="66"/>
      <c r="B418" s="66"/>
      <c r="C418" s="66"/>
      <c r="D418" s="66"/>
      <c r="E418" s="66"/>
      <c r="F418" s="66"/>
      <c r="I418" s="67"/>
      <c r="X418" s="67"/>
    </row>
    <row r="419">
      <c r="A419" s="66"/>
      <c r="B419" s="66"/>
      <c r="C419" s="66"/>
      <c r="D419" s="66"/>
      <c r="E419" s="66"/>
      <c r="F419" s="66"/>
      <c r="I419" s="67"/>
      <c r="X419" s="67"/>
    </row>
    <row r="420">
      <c r="A420" s="66"/>
      <c r="B420" s="66"/>
      <c r="C420" s="66"/>
      <c r="D420" s="66"/>
      <c r="E420" s="66"/>
      <c r="F420" s="66"/>
      <c r="I420" s="67"/>
      <c r="X420" s="67"/>
    </row>
    <row r="421">
      <c r="A421" s="66"/>
      <c r="B421" s="66"/>
      <c r="C421" s="66"/>
      <c r="D421" s="66"/>
      <c r="E421" s="66"/>
      <c r="F421" s="66"/>
      <c r="I421" s="67"/>
      <c r="X421" s="67"/>
    </row>
    <row r="422">
      <c r="A422" s="66"/>
      <c r="B422" s="66"/>
      <c r="C422" s="66"/>
      <c r="D422" s="66"/>
      <c r="E422" s="66"/>
      <c r="F422" s="66"/>
      <c r="I422" s="67"/>
      <c r="X422" s="67"/>
    </row>
    <row r="423">
      <c r="A423" s="66"/>
      <c r="B423" s="66"/>
      <c r="C423" s="66"/>
      <c r="D423" s="66"/>
      <c r="E423" s="66"/>
      <c r="F423" s="66"/>
      <c r="I423" s="67"/>
      <c r="X423" s="67"/>
    </row>
    <row r="424">
      <c r="A424" s="66"/>
      <c r="B424" s="66"/>
      <c r="C424" s="66"/>
      <c r="D424" s="66"/>
      <c r="E424" s="66"/>
      <c r="F424" s="66"/>
      <c r="I424" s="67"/>
      <c r="X424" s="67"/>
    </row>
    <row r="425">
      <c r="A425" s="66"/>
      <c r="B425" s="66"/>
      <c r="C425" s="66"/>
      <c r="D425" s="66"/>
      <c r="E425" s="66"/>
      <c r="F425" s="66"/>
      <c r="I425" s="67"/>
      <c r="X425" s="67"/>
    </row>
    <row r="426">
      <c r="A426" s="66"/>
      <c r="B426" s="66"/>
      <c r="C426" s="66"/>
      <c r="D426" s="66"/>
      <c r="E426" s="66"/>
      <c r="F426" s="66"/>
      <c r="I426" s="67"/>
      <c r="X426" s="67"/>
    </row>
    <row r="427">
      <c r="A427" s="66"/>
      <c r="B427" s="66"/>
      <c r="C427" s="66"/>
      <c r="D427" s="66"/>
      <c r="E427" s="66"/>
      <c r="F427" s="66"/>
      <c r="I427" s="67"/>
      <c r="X427" s="67"/>
    </row>
    <row r="428">
      <c r="A428" s="66"/>
      <c r="B428" s="66"/>
      <c r="C428" s="66"/>
      <c r="D428" s="66"/>
      <c r="E428" s="66"/>
      <c r="F428" s="66"/>
      <c r="I428" s="67"/>
      <c r="X428" s="67"/>
    </row>
    <row r="429">
      <c r="A429" s="66"/>
      <c r="B429" s="66"/>
      <c r="C429" s="66"/>
      <c r="D429" s="66"/>
      <c r="E429" s="66"/>
      <c r="F429" s="66"/>
      <c r="I429" s="67"/>
      <c r="X429" s="67"/>
    </row>
    <row r="430">
      <c r="A430" s="66"/>
      <c r="B430" s="66"/>
      <c r="C430" s="66"/>
      <c r="D430" s="66"/>
      <c r="E430" s="66"/>
      <c r="F430" s="66"/>
      <c r="I430" s="67"/>
      <c r="X430" s="67"/>
    </row>
    <row r="431">
      <c r="A431" s="66"/>
      <c r="B431" s="66"/>
      <c r="C431" s="66"/>
      <c r="D431" s="66"/>
      <c r="E431" s="66"/>
      <c r="F431" s="66"/>
      <c r="I431" s="67"/>
      <c r="X431" s="67"/>
    </row>
    <row r="432">
      <c r="A432" s="66"/>
      <c r="B432" s="66"/>
      <c r="C432" s="66"/>
      <c r="D432" s="66"/>
      <c r="E432" s="66"/>
      <c r="F432" s="66"/>
      <c r="I432" s="67"/>
      <c r="X432" s="67"/>
    </row>
    <row r="433">
      <c r="A433" s="66"/>
      <c r="B433" s="66"/>
      <c r="C433" s="66"/>
      <c r="D433" s="66"/>
      <c r="E433" s="66"/>
      <c r="F433" s="66"/>
      <c r="I433" s="67"/>
      <c r="X433" s="67"/>
    </row>
    <row r="434">
      <c r="A434" s="66"/>
      <c r="B434" s="66"/>
      <c r="C434" s="66"/>
      <c r="D434" s="66"/>
      <c r="E434" s="66"/>
      <c r="F434" s="66"/>
      <c r="I434" s="67"/>
      <c r="X434" s="67"/>
    </row>
    <row r="435">
      <c r="A435" s="66"/>
      <c r="B435" s="66"/>
      <c r="C435" s="66"/>
      <c r="D435" s="66"/>
      <c r="E435" s="66"/>
      <c r="F435" s="66"/>
      <c r="I435" s="67"/>
      <c r="X435" s="67"/>
    </row>
    <row r="436">
      <c r="A436" s="66"/>
      <c r="B436" s="66"/>
      <c r="C436" s="66"/>
      <c r="D436" s="66"/>
      <c r="E436" s="66"/>
      <c r="F436" s="66"/>
      <c r="I436" s="67"/>
      <c r="X436" s="67"/>
    </row>
    <row r="437">
      <c r="A437" s="66"/>
      <c r="B437" s="66"/>
      <c r="C437" s="66"/>
      <c r="D437" s="66"/>
      <c r="E437" s="66"/>
      <c r="F437" s="66"/>
      <c r="I437" s="67"/>
      <c r="X437" s="67"/>
    </row>
    <row r="438">
      <c r="A438" s="66"/>
      <c r="B438" s="66"/>
      <c r="C438" s="66"/>
      <c r="D438" s="66"/>
      <c r="E438" s="66"/>
      <c r="F438" s="66"/>
      <c r="I438" s="67"/>
      <c r="X438" s="67"/>
    </row>
    <row r="439">
      <c r="A439" s="66"/>
      <c r="B439" s="66"/>
      <c r="C439" s="66"/>
      <c r="D439" s="66"/>
      <c r="E439" s="66"/>
      <c r="F439" s="66"/>
      <c r="I439" s="67"/>
      <c r="X439" s="67"/>
    </row>
    <row r="440">
      <c r="A440" s="66"/>
      <c r="B440" s="66"/>
      <c r="C440" s="66"/>
      <c r="D440" s="66"/>
      <c r="E440" s="66"/>
      <c r="F440" s="66"/>
      <c r="I440" s="67"/>
      <c r="X440" s="67"/>
    </row>
    <row r="441">
      <c r="A441" s="66"/>
      <c r="B441" s="66"/>
      <c r="C441" s="66"/>
      <c r="D441" s="66"/>
      <c r="E441" s="66"/>
      <c r="F441" s="66"/>
      <c r="I441" s="67"/>
      <c r="X441" s="67"/>
    </row>
    <row r="442">
      <c r="A442" s="66"/>
      <c r="B442" s="66"/>
      <c r="C442" s="66"/>
      <c r="D442" s="66"/>
      <c r="E442" s="66"/>
      <c r="F442" s="66"/>
      <c r="I442" s="67"/>
      <c r="X442" s="67"/>
    </row>
    <row r="443">
      <c r="A443" s="66"/>
      <c r="B443" s="66"/>
      <c r="C443" s="66"/>
      <c r="D443" s="66"/>
      <c r="E443" s="66"/>
      <c r="F443" s="66"/>
      <c r="I443" s="67"/>
      <c r="X443" s="67"/>
    </row>
    <row r="444">
      <c r="A444" s="66"/>
      <c r="B444" s="66"/>
      <c r="C444" s="66"/>
      <c r="D444" s="66"/>
      <c r="E444" s="66"/>
      <c r="F444" s="66"/>
      <c r="I444" s="67"/>
      <c r="X444" s="67"/>
    </row>
    <row r="445">
      <c r="A445" s="66"/>
      <c r="B445" s="66"/>
      <c r="C445" s="66"/>
      <c r="D445" s="66"/>
      <c r="E445" s="66"/>
      <c r="F445" s="66"/>
      <c r="I445" s="67"/>
      <c r="X445" s="67"/>
    </row>
    <row r="446">
      <c r="A446" s="66"/>
      <c r="B446" s="66"/>
      <c r="C446" s="66"/>
      <c r="D446" s="66"/>
      <c r="E446" s="66"/>
      <c r="F446" s="66"/>
      <c r="I446" s="67"/>
      <c r="X446" s="67"/>
    </row>
    <row r="447">
      <c r="A447" s="66"/>
      <c r="B447" s="66"/>
      <c r="C447" s="66"/>
      <c r="D447" s="66"/>
      <c r="E447" s="66"/>
      <c r="F447" s="66"/>
      <c r="I447" s="67"/>
      <c r="X447" s="67"/>
    </row>
    <row r="448">
      <c r="A448" s="66"/>
      <c r="B448" s="66"/>
      <c r="C448" s="66"/>
      <c r="D448" s="66"/>
      <c r="E448" s="66"/>
      <c r="F448" s="66"/>
      <c r="I448" s="67"/>
      <c r="X448" s="67"/>
    </row>
    <row r="449">
      <c r="A449" s="66"/>
      <c r="B449" s="66"/>
      <c r="C449" s="66"/>
      <c r="D449" s="66"/>
      <c r="E449" s="66"/>
      <c r="F449" s="66"/>
      <c r="I449" s="67"/>
      <c r="X449" s="67"/>
    </row>
    <row r="450">
      <c r="A450" s="66"/>
      <c r="B450" s="66"/>
      <c r="C450" s="66"/>
      <c r="D450" s="66"/>
      <c r="E450" s="66"/>
      <c r="F450" s="66"/>
      <c r="I450" s="67"/>
      <c r="X450" s="67"/>
    </row>
    <row r="451">
      <c r="A451" s="66"/>
      <c r="B451" s="66"/>
      <c r="C451" s="66"/>
      <c r="D451" s="66"/>
      <c r="E451" s="66"/>
      <c r="F451" s="66"/>
      <c r="I451" s="67"/>
      <c r="X451" s="67"/>
    </row>
    <row r="452">
      <c r="A452" s="66"/>
      <c r="B452" s="66"/>
      <c r="C452" s="66"/>
      <c r="D452" s="66"/>
      <c r="E452" s="66"/>
      <c r="F452" s="66"/>
      <c r="I452" s="67"/>
      <c r="X452" s="67"/>
    </row>
    <row r="453">
      <c r="A453" s="66"/>
      <c r="B453" s="66"/>
      <c r="C453" s="66"/>
      <c r="D453" s="66"/>
      <c r="E453" s="66"/>
      <c r="F453" s="66"/>
      <c r="I453" s="67"/>
      <c r="X453" s="67"/>
    </row>
    <row r="454">
      <c r="A454" s="66"/>
      <c r="B454" s="66"/>
      <c r="C454" s="66"/>
      <c r="D454" s="66"/>
      <c r="E454" s="66"/>
      <c r="F454" s="66"/>
      <c r="I454" s="67"/>
      <c r="X454" s="67"/>
    </row>
    <row r="455">
      <c r="A455" s="66"/>
      <c r="B455" s="66"/>
      <c r="C455" s="66"/>
      <c r="D455" s="66"/>
      <c r="E455" s="66"/>
      <c r="F455" s="66"/>
      <c r="I455" s="67"/>
      <c r="X455" s="67"/>
    </row>
    <row r="456">
      <c r="A456" s="66"/>
      <c r="B456" s="66"/>
      <c r="C456" s="66"/>
      <c r="D456" s="66"/>
      <c r="E456" s="66"/>
      <c r="F456" s="66"/>
      <c r="I456" s="67"/>
      <c r="X456" s="67"/>
    </row>
    <row r="457">
      <c r="A457" s="66"/>
      <c r="B457" s="66"/>
      <c r="C457" s="66"/>
      <c r="D457" s="66"/>
      <c r="E457" s="66"/>
      <c r="F457" s="66"/>
      <c r="I457" s="67"/>
      <c r="X457" s="67"/>
    </row>
    <row r="458">
      <c r="A458" s="66"/>
      <c r="B458" s="66"/>
      <c r="C458" s="66"/>
      <c r="D458" s="66"/>
      <c r="E458" s="66"/>
      <c r="F458" s="66"/>
      <c r="I458" s="67"/>
      <c r="X458" s="67"/>
    </row>
    <row r="459">
      <c r="A459" s="66"/>
      <c r="B459" s="66"/>
      <c r="C459" s="66"/>
      <c r="D459" s="66"/>
      <c r="E459" s="66"/>
      <c r="F459" s="66"/>
      <c r="I459" s="67"/>
      <c r="X459" s="67"/>
    </row>
    <row r="460">
      <c r="A460" s="66"/>
      <c r="B460" s="66"/>
      <c r="C460" s="66"/>
      <c r="D460" s="66"/>
      <c r="E460" s="66"/>
      <c r="F460" s="66"/>
      <c r="I460" s="67"/>
      <c r="X460" s="67"/>
    </row>
    <row r="461">
      <c r="A461" s="66"/>
      <c r="B461" s="66"/>
      <c r="C461" s="66"/>
      <c r="D461" s="66"/>
      <c r="E461" s="66"/>
      <c r="F461" s="66"/>
      <c r="I461" s="67"/>
      <c r="X461" s="67"/>
    </row>
    <row r="462">
      <c r="A462" s="66"/>
      <c r="B462" s="66"/>
      <c r="C462" s="66"/>
      <c r="D462" s="66"/>
      <c r="E462" s="66"/>
      <c r="F462" s="66"/>
      <c r="I462" s="67"/>
      <c r="X462" s="67"/>
    </row>
    <row r="463">
      <c r="A463" s="66"/>
      <c r="B463" s="66"/>
      <c r="C463" s="66"/>
      <c r="D463" s="66"/>
      <c r="E463" s="66"/>
      <c r="F463" s="66"/>
      <c r="I463" s="67"/>
      <c r="X463" s="67"/>
    </row>
    <row r="464">
      <c r="A464" s="66"/>
      <c r="B464" s="66"/>
      <c r="C464" s="66"/>
      <c r="D464" s="66"/>
      <c r="E464" s="66"/>
      <c r="F464" s="66"/>
      <c r="I464" s="67"/>
      <c r="X464" s="67"/>
    </row>
    <row r="465">
      <c r="A465" s="66"/>
      <c r="B465" s="66"/>
      <c r="C465" s="66"/>
      <c r="D465" s="66"/>
      <c r="E465" s="66"/>
      <c r="F465" s="66"/>
      <c r="I465" s="67"/>
      <c r="X465" s="67"/>
    </row>
    <row r="466">
      <c r="A466" s="66"/>
      <c r="B466" s="66"/>
      <c r="C466" s="66"/>
      <c r="D466" s="66"/>
      <c r="E466" s="66"/>
      <c r="F466" s="66"/>
      <c r="I466" s="67"/>
      <c r="X466" s="67"/>
    </row>
    <row r="467">
      <c r="A467" s="66"/>
      <c r="B467" s="66"/>
      <c r="C467" s="66"/>
      <c r="D467" s="66"/>
      <c r="E467" s="66"/>
      <c r="F467" s="66"/>
      <c r="I467" s="67"/>
      <c r="X467" s="67"/>
    </row>
    <row r="468">
      <c r="A468" s="66"/>
      <c r="B468" s="66"/>
      <c r="C468" s="66"/>
      <c r="D468" s="66"/>
      <c r="E468" s="66"/>
      <c r="F468" s="66"/>
      <c r="I468" s="67"/>
      <c r="X468" s="67"/>
    </row>
    <row r="469">
      <c r="A469" s="66"/>
      <c r="B469" s="66"/>
      <c r="C469" s="66"/>
      <c r="D469" s="66"/>
      <c r="E469" s="66"/>
      <c r="F469" s="66"/>
      <c r="I469" s="67"/>
      <c r="X469" s="67"/>
    </row>
    <row r="470">
      <c r="A470" s="66"/>
      <c r="B470" s="66"/>
      <c r="C470" s="66"/>
      <c r="D470" s="66"/>
      <c r="E470" s="66"/>
      <c r="F470" s="66"/>
      <c r="I470" s="67"/>
      <c r="X470" s="67"/>
    </row>
    <row r="471">
      <c r="A471" s="66"/>
      <c r="B471" s="66"/>
      <c r="C471" s="66"/>
      <c r="D471" s="66"/>
      <c r="E471" s="66"/>
      <c r="F471" s="66"/>
      <c r="I471" s="67"/>
      <c r="X471" s="67"/>
    </row>
    <row r="472">
      <c r="A472" s="66"/>
      <c r="B472" s="66"/>
      <c r="C472" s="66"/>
      <c r="D472" s="66"/>
      <c r="E472" s="66"/>
      <c r="F472" s="66"/>
      <c r="I472" s="67"/>
      <c r="X472" s="67"/>
    </row>
    <row r="473">
      <c r="A473" s="66"/>
      <c r="B473" s="66"/>
      <c r="C473" s="66"/>
      <c r="D473" s="66"/>
      <c r="E473" s="66"/>
      <c r="F473" s="66"/>
      <c r="I473" s="67"/>
      <c r="X473" s="67"/>
    </row>
    <row r="474">
      <c r="A474" s="66"/>
      <c r="B474" s="66"/>
      <c r="C474" s="66"/>
      <c r="D474" s="66"/>
      <c r="E474" s="66"/>
      <c r="F474" s="66"/>
      <c r="I474" s="67"/>
      <c r="X474" s="67"/>
    </row>
    <row r="475">
      <c r="A475" s="66"/>
      <c r="B475" s="66"/>
      <c r="C475" s="66"/>
      <c r="D475" s="66"/>
      <c r="E475" s="66"/>
      <c r="F475" s="66"/>
      <c r="I475" s="67"/>
      <c r="X475" s="67"/>
    </row>
    <row r="476">
      <c r="A476" s="66"/>
      <c r="B476" s="66"/>
      <c r="C476" s="66"/>
      <c r="D476" s="66"/>
      <c r="E476" s="66"/>
      <c r="F476" s="66"/>
      <c r="I476" s="67"/>
      <c r="X476" s="67"/>
    </row>
    <row r="477">
      <c r="A477" s="66"/>
      <c r="B477" s="66"/>
      <c r="C477" s="66"/>
      <c r="D477" s="66"/>
      <c r="E477" s="66"/>
      <c r="F477" s="66"/>
      <c r="I477" s="67"/>
      <c r="X477" s="67"/>
    </row>
    <row r="478">
      <c r="A478" s="66"/>
      <c r="B478" s="66"/>
      <c r="C478" s="66"/>
      <c r="D478" s="66"/>
      <c r="E478" s="66"/>
      <c r="F478" s="66"/>
      <c r="I478" s="67"/>
      <c r="X478" s="67"/>
    </row>
    <row r="479">
      <c r="A479" s="66"/>
      <c r="B479" s="66"/>
      <c r="C479" s="66"/>
      <c r="D479" s="66"/>
      <c r="E479" s="66"/>
      <c r="F479" s="66"/>
      <c r="I479" s="67"/>
      <c r="X479" s="67"/>
    </row>
    <row r="480">
      <c r="A480" s="66"/>
      <c r="B480" s="66"/>
      <c r="C480" s="66"/>
      <c r="D480" s="66"/>
      <c r="E480" s="66"/>
      <c r="F480" s="66"/>
      <c r="I480" s="67"/>
      <c r="X480" s="67"/>
    </row>
    <row r="481">
      <c r="A481" s="66"/>
      <c r="B481" s="66"/>
      <c r="C481" s="66"/>
      <c r="D481" s="66"/>
      <c r="E481" s="66"/>
      <c r="F481" s="66"/>
      <c r="I481" s="67"/>
      <c r="X481" s="67"/>
    </row>
    <row r="482">
      <c r="A482" s="66"/>
      <c r="B482" s="66"/>
      <c r="C482" s="66"/>
      <c r="D482" s="66"/>
      <c r="E482" s="66"/>
      <c r="F482" s="66"/>
      <c r="I482" s="67"/>
      <c r="X482" s="67"/>
    </row>
    <row r="483">
      <c r="A483" s="66"/>
      <c r="B483" s="66"/>
      <c r="C483" s="66"/>
      <c r="D483" s="66"/>
      <c r="E483" s="66"/>
      <c r="F483" s="66"/>
      <c r="I483" s="67"/>
      <c r="X483" s="67"/>
    </row>
    <row r="484">
      <c r="A484" s="66"/>
      <c r="B484" s="66"/>
      <c r="C484" s="66"/>
      <c r="D484" s="66"/>
      <c r="E484" s="66"/>
      <c r="F484" s="66"/>
      <c r="I484" s="67"/>
      <c r="X484" s="67"/>
    </row>
    <row r="485">
      <c r="A485" s="66"/>
      <c r="B485" s="66"/>
      <c r="C485" s="66"/>
      <c r="D485" s="66"/>
      <c r="E485" s="66"/>
      <c r="F485" s="66"/>
      <c r="I485" s="67"/>
      <c r="X485" s="67"/>
    </row>
    <row r="486">
      <c r="A486" s="66"/>
      <c r="B486" s="66"/>
      <c r="C486" s="66"/>
      <c r="D486" s="66"/>
      <c r="E486" s="66"/>
      <c r="F486" s="66"/>
      <c r="I486" s="67"/>
      <c r="X486" s="67"/>
    </row>
    <row r="487">
      <c r="A487" s="66"/>
      <c r="B487" s="66"/>
      <c r="C487" s="66"/>
      <c r="D487" s="66"/>
      <c r="E487" s="66"/>
      <c r="F487" s="66"/>
      <c r="I487" s="67"/>
      <c r="X487" s="67"/>
    </row>
    <row r="488">
      <c r="A488" s="66"/>
      <c r="B488" s="66"/>
      <c r="C488" s="66"/>
      <c r="D488" s="66"/>
      <c r="E488" s="66"/>
      <c r="F488" s="66"/>
      <c r="I488" s="67"/>
      <c r="X488" s="67"/>
    </row>
    <row r="489">
      <c r="A489" s="66"/>
      <c r="B489" s="66"/>
      <c r="C489" s="66"/>
      <c r="D489" s="66"/>
      <c r="E489" s="66"/>
      <c r="F489" s="66"/>
      <c r="I489" s="67"/>
      <c r="X489" s="67"/>
    </row>
    <row r="490">
      <c r="A490" s="66"/>
      <c r="B490" s="66"/>
      <c r="C490" s="66"/>
      <c r="D490" s="66"/>
      <c r="E490" s="66"/>
      <c r="F490" s="66"/>
      <c r="I490" s="67"/>
      <c r="X490" s="67"/>
    </row>
    <row r="491">
      <c r="A491" s="66"/>
      <c r="B491" s="66"/>
      <c r="C491" s="66"/>
      <c r="D491" s="66"/>
      <c r="E491" s="66"/>
      <c r="F491" s="66"/>
      <c r="I491" s="67"/>
      <c r="X491" s="67"/>
    </row>
    <row r="492">
      <c r="A492" s="66"/>
      <c r="B492" s="66"/>
      <c r="C492" s="66"/>
      <c r="D492" s="66"/>
      <c r="E492" s="66"/>
      <c r="F492" s="66"/>
      <c r="I492" s="67"/>
      <c r="X492" s="67"/>
    </row>
    <row r="493">
      <c r="A493" s="66"/>
      <c r="B493" s="66"/>
      <c r="C493" s="66"/>
      <c r="D493" s="66"/>
      <c r="E493" s="66"/>
      <c r="F493" s="66"/>
      <c r="I493" s="67"/>
      <c r="X493" s="67"/>
    </row>
    <row r="494">
      <c r="A494" s="66"/>
      <c r="B494" s="66"/>
      <c r="C494" s="66"/>
      <c r="D494" s="66"/>
      <c r="E494" s="66"/>
      <c r="F494" s="66"/>
      <c r="I494" s="67"/>
      <c r="X494" s="67"/>
    </row>
    <row r="495">
      <c r="A495" s="66"/>
      <c r="B495" s="66"/>
      <c r="C495" s="66"/>
      <c r="D495" s="66"/>
      <c r="E495" s="66"/>
      <c r="F495" s="66"/>
      <c r="I495" s="67"/>
      <c r="X495" s="67"/>
    </row>
    <row r="496">
      <c r="A496" s="66"/>
      <c r="B496" s="66"/>
      <c r="C496" s="66"/>
      <c r="D496" s="66"/>
      <c r="E496" s="66"/>
      <c r="F496" s="66"/>
      <c r="I496" s="67"/>
      <c r="X496" s="67"/>
    </row>
    <row r="497">
      <c r="A497" s="66"/>
      <c r="B497" s="66"/>
      <c r="C497" s="66"/>
      <c r="D497" s="66"/>
      <c r="E497" s="66"/>
      <c r="F497" s="66"/>
      <c r="I497" s="67"/>
      <c r="X497" s="67"/>
    </row>
    <row r="498">
      <c r="A498" s="66"/>
      <c r="B498" s="66"/>
      <c r="C498" s="66"/>
      <c r="D498" s="66"/>
      <c r="E498" s="66"/>
      <c r="F498" s="66"/>
      <c r="I498" s="67"/>
      <c r="X498" s="67"/>
    </row>
    <row r="499">
      <c r="A499" s="66"/>
      <c r="B499" s="66"/>
      <c r="C499" s="66"/>
      <c r="D499" s="66"/>
      <c r="E499" s="66"/>
      <c r="F499" s="66"/>
      <c r="I499" s="67"/>
      <c r="X499" s="67"/>
    </row>
    <row r="500">
      <c r="A500" s="66"/>
      <c r="B500" s="66"/>
      <c r="C500" s="66"/>
      <c r="D500" s="66"/>
      <c r="E500" s="66"/>
      <c r="F500" s="66"/>
      <c r="I500" s="67"/>
      <c r="X500" s="67"/>
    </row>
    <row r="501">
      <c r="A501" s="66"/>
      <c r="B501" s="66"/>
      <c r="C501" s="66"/>
      <c r="D501" s="66"/>
      <c r="E501" s="66"/>
      <c r="F501" s="66"/>
      <c r="I501" s="67"/>
      <c r="X501" s="67"/>
    </row>
    <row r="502">
      <c r="A502" s="66"/>
      <c r="B502" s="66"/>
      <c r="C502" s="66"/>
      <c r="D502" s="66"/>
      <c r="E502" s="66"/>
      <c r="F502" s="66"/>
      <c r="I502" s="67"/>
      <c r="X502" s="67"/>
    </row>
    <row r="503">
      <c r="A503" s="66"/>
      <c r="B503" s="66"/>
      <c r="C503" s="66"/>
      <c r="D503" s="66"/>
      <c r="E503" s="66"/>
      <c r="F503" s="66"/>
      <c r="I503" s="67"/>
      <c r="X503" s="67"/>
    </row>
    <row r="504">
      <c r="A504" s="66"/>
      <c r="B504" s="66"/>
      <c r="C504" s="66"/>
      <c r="D504" s="66"/>
      <c r="E504" s="66"/>
      <c r="F504" s="66"/>
      <c r="I504" s="67"/>
      <c r="X504" s="67"/>
    </row>
    <row r="505">
      <c r="A505" s="66"/>
      <c r="B505" s="66"/>
      <c r="C505" s="66"/>
      <c r="D505" s="66"/>
      <c r="E505" s="66"/>
      <c r="F505" s="66"/>
      <c r="I505" s="67"/>
      <c r="X505" s="67"/>
    </row>
    <row r="506">
      <c r="A506" s="66"/>
      <c r="B506" s="66"/>
      <c r="C506" s="66"/>
      <c r="D506" s="66"/>
      <c r="E506" s="66"/>
      <c r="F506" s="66"/>
      <c r="I506" s="67"/>
      <c r="X506" s="67"/>
    </row>
    <row r="507">
      <c r="A507" s="66"/>
      <c r="B507" s="66"/>
      <c r="C507" s="66"/>
      <c r="D507" s="66"/>
      <c r="E507" s="66"/>
      <c r="F507" s="66"/>
      <c r="I507" s="67"/>
      <c r="X507" s="67"/>
    </row>
    <row r="508">
      <c r="A508" s="66"/>
      <c r="B508" s="66"/>
      <c r="C508" s="66"/>
      <c r="D508" s="66"/>
      <c r="E508" s="66"/>
      <c r="F508" s="66"/>
      <c r="I508" s="67"/>
      <c r="X508" s="67"/>
    </row>
    <row r="509">
      <c r="A509" s="66"/>
      <c r="B509" s="66"/>
      <c r="C509" s="66"/>
      <c r="D509" s="66"/>
      <c r="E509" s="66"/>
      <c r="F509" s="66"/>
      <c r="I509" s="67"/>
      <c r="X509" s="67"/>
    </row>
    <row r="510">
      <c r="A510" s="66"/>
      <c r="B510" s="66"/>
      <c r="C510" s="66"/>
      <c r="D510" s="66"/>
      <c r="E510" s="66"/>
      <c r="F510" s="66"/>
      <c r="I510" s="67"/>
      <c r="X510" s="67"/>
    </row>
    <row r="511">
      <c r="A511" s="66"/>
      <c r="B511" s="66"/>
      <c r="C511" s="66"/>
      <c r="D511" s="66"/>
      <c r="E511" s="66"/>
      <c r="F511" s="66"/>
      <c r="I511" s="67"/>
      <c r="X511" s="67"/>
    </row>
    <row r="512">
      <c r="A512" s="66"/>
      <c r="B512" s="66"/>
      <c r="C512" s="66"/>
      <c r="D512" s="66"/>
      <c r="E512" s="66"/>
      <c r="F512" s="66"/>
      <c r="I512" s="67"/>
      <c r="X512" s="67"/>
    </row>
    <row r="513">
      <c r="A513" s="66"/>
      <c r="B513" s="66"/>
      <c r="C513" s="66"/>
      <c r="D513" s="66"/>
      <c r="E513" s="66"/>
      <c r="F513" s="66"/>
      <c r="I513" s="67"/>
      <c r="X513" s="67"/>
    </row>
    <row r="514">
      <c r="A514" s="66"/>
      <c r="B514" s="66"/>
      <c r="C514" s="66"/>
      <c r="D514" s="66"/>
      <c r="E514" s="66"/>
      <c r="F514" s="66"/>
      <c r="I514" s="67"/>
      <c r="X514" s="67"/>
    </row>
    <row r="515">
      <c r="A515" s="66"/>
      <c r="B515" s="66"/>
      <c r="C515" s="66"/>
      <c r="D515" s="66"/>
      <c r="E515" s="66"/>
      <c r="F515" s="66"/>
      <c r="I515" s="67"/>
      <c r="X515" s="67"/>
    </row>
    <row r="516">
      <c r="A516" s="66"/>
      <c r="B516" s="66"/>
      <c r="C516" s="66"/>
      <c r="D516" s="66"/>
      <c r="E516" s="66"/>
      <c r="F516" s="66"/>
      <c r="I516" s="67"/>
      <c r="X516" s="67"/>
    </row>
    <row r="517">
      <c r="A517" s="66"/>
      <c r="B517" s="66"/>
      <c r="C517" s="66"/>
      <c r="D517" s="66"/>
      <c r="E517" s="66"/>
      <c r="F517" s="66"/>
      <c r="I517" s="67"/>
      <c r="X517" s="67"/>
    </row>
    <row r="518">
      <c r="A518" s="66"/>
      <c r="B518" s="66"/>
      <c r="C518" s="66"/>
      <c r="D518" s="66"/>
      <c r="E518" s="66"/>
      <c r="F518" s="66"/>
      <c r="I518" s="67"/>
      <c r="X518" s="67"/>
    </row>
    <row r="519">
      <c r="A519" s="66"/>
      <c r="B519" s="66"/>
      <c r="C519" s="66"/>
      <c r="D519" s="66"/>
      <c r="E519" s="66"/>
      <c r="F519" s="66"/>
      <c r="I519" s="67"/>
      <c r="X519" s="67"/>
    </row>
    <row r="520">
      <c r="A520" s="66"/>
      <c r="B520" s="66"/>
      <c r="C520" s="66"/>
      <c r="D520" s="66"/>
      <c r="E520" s="66"/>
      <c r="F520" s="66"/>
      <c r="I520" s="67"/>
      <c r="X520" s="67"/>
    </row>
    <row r="521">
      <c r="A521" s="66"/>
      <c r="B521" s="66"/>
      <c r="C521" s="66"/>
      <c r="D521" s="66"/>
      <c r="E521" s="66"/>
      <c r="F521" s="66"/>
      <c r="I521" s="67"/>
      <c r="X521" s="67"/>
    </row>
    <row r="522">
      <c r="A522" s="66"/>
      <c r="B522" s="66"/>
      <c r="C522" s="66"/>
      <c r="D522" s="66"/>
      <c r="E522" s="66"/>
      <c r="F522" s="66"/>
      <c r="I522" s="67"/>
      <c r="X522" s="67"/>
    </row>
    <row r="523">
      <c r="A523" s="66"/>
      <c r="B523" s="66"/>
      <c r="C523" s="66"/>
      <c r="D523" s="66"/>
      <c r="E523" s="66"/>
      <c r="F523" s="66"/>
      <c r="I523" s="67"/>
      <c r="X523" s="67"/>
    </row>
    <row r="524">
      <c r="A524" s="66"/>
      <c r="B524" s="66"/>
      <c r="C524" s="66"/>
      <c r="D524" s="66"/>
      <c r="E524" s="66"/>
      <c r="F524" s="66"/>
      <c r="I524" s="67"/>
      <c r="X524" s="67"/>
    </row>
    <row r="525">
      <c r="A525" s="66"/>
      <c r="B525" s="66"/>
      <c r="C525" s="66"/>
      <c r="D525" s="66"/>
      <c r="E525" s="66"/>
      <c r="F525" s="66"/>
      <c r="I525" s="67"/>
      <c r="X525" s="67"/>
    </row>
    <row r="526">
      <c r="A526" s="66"/>
      <c r="B526" s="66"/>
      <c r="C526" s="66"/>
      <c r="D526" s="66"/>
      <c r="E526" s="66"/>
      <c r="F526" s="66"/>
      <c r="I526" s="67"/>
      <c r="X526" s="67"/>
    </row>
    <row r="527">
      <c r="A527" s="66"/>
      <c r="B527" s="66"/>
      <c r="C527" s="66"/>
      <c r="D527" s="66"/>
      <c r="E527" s="66"/>
      <c r="F527" s="66"/>
      <c r="I527" s="67"/>
      <c r="X527" s="67"/>
    </row>
    <row r="528">
      <c r="A528" s="66"/>
      <c r="B528" s="66"/>
      <c r="C528" s="66"/>
      <c r="D528" s="66"/>
      <c r="E528" s="66"/>
      <c r="F528" s="66"/>
      <c r="I528" s="67"/>
      <c r="X528" s="67"/>
    </row>
    <row r="529">
      <c r="A529" s="66"/>
      <c r="B529" s="66"/>
      <c r="C529" s="66"/>
      <c r="D529" s="66"/>
      <c r="E529" s="66"/>
      <c r="F529" s="66"/>
      <c r="I529" s="67"/>
      <c r="X529" s="67"/>
    </row>
    <row r="530">
      <c r="A530" s="66"/>
      <c r="B530" s="66"/>
      <c r="C530" s="66"/>
      <c r="D530" s="66"/>
      <c r="E530" s="66"/>
      <c r="F530" s="66"/>
      <c r="I530" s="67"/>
      <c r="X530" s="67"/>
    </row>
    <row r="531">
      <c r="A531" s="66"/>
      <c r="B531" s="66"/>
      <c r="C531" s="66"/>
      <c r="D531" s="66"/>
      <c r="E531" s="66"/>
      <c r="F531" s="66"/>
      <c r="I531" s="67"/>
      <c r="X531" s="67"/>
    </row>
    <row r="532">
      <c r="A532" s="66"/>
      <c r="B532" s="66"/>
      <c r="C532" s="66"/>
      <c r="D532" s="66"/>
      <c r="E532" s="66"/>
      <c r="F532" s="66"/>
      <c r="I532" s="67"/>
      <c r="X532" s="67"/>
    </row>
    <row r="533">
      <c r="A533" s="66"/>
      <c r="B533" s="66"/>
      <c r="C533" s="66"/>
      <c r="D533" s="66"/>
      <c r="E533" s="66"/>
      <c r="F533" s="66"/>
      <c r="I533" s="67"/>
      <c r="X533" s="67"/>
    </row>
    <row r="534">
      <c r="A534" s="66"/>
      <c r="B534" s="66"/>
      <c r="C534" s="66"/>
      <c r="D534" s="66"/>
      <c r="E534" s="66"/>
      <c r="F534" s="66"/>
      <c r="I534" s="67"/>
      <c r="X534" s="67"/>
    </row>
    <row r="535">
      <c r="A535" s="66"/>
      <c r="B535" s="66"/>
      <c r="C535" s="66"/>
      <c r="D535" s="66"/>
      <c r="E535" s="66"/>
      <c r="F535" s="66"/>
      <c r="I535" s="67"/>
      <c r="X535" s="67"/>
    </row>
    <row r="536">
      <c r="A536" s="66"/>
      <c r="B536" s="66"/>
      <c r="C536" s="66"/>
      <c r="D536" s="66"/>
      <c r="E536" s="66"/>
      <c r="F536" s="66"/>
      <c r="I536" s="67"/>
      <c r="X536" s="67"/>
    </row>
    <row r="537">
      <c r="A537" s="66"/>
      <c r="B537" s="66"/>
      <c r="C537" s="66"/>
      <c r="D537" s="66"/>
      <c r="E537" s="66"/>
      <c r="F537" s="66"/>
      <c r="I537" s="67"/>
      <c r="X537" s="67"/>
    </row>
    <row r="538">
      <c r="A538" s="66"/>
      <c r="B538" s="66"/>
      <c r="C538" s="66"/>
      <c r="D538" s="66"/>
      <c r="E538" s="66"/>
      <c r="F538" s="66"/>
      <c r="I538" s="67"/>
      <c r="X538" s="67"/>
    </row>
    <row r="539">
      <c r="A539" s="66"/>
      <c r="B539" s="66"/>
      <c r="C539" s="66"/>
      <c r="D539" s="66"/>
      <c r="E539" s="66"/>
      <c r="F539" s="66"/>
      <c r="I539" s="67"/>
      <c r="X539" s="67"/>
    </row>
    <row r="540">
      <c r="A540" s="66"/>
      <c r="B540" s="66"/>
      <c r="C540" s="66"/>
      <c r="D540" s="66"/>
      <c r="E540" s="66"/>
      <c r="F540" s="66"/>
      <c r="I540" s="67"/>
      <c r="X540" s="67"/>
    </row>
    <row r="541">
      <c r="A541" s="66"/>
      <c r="B541" s="66"/>
      <c r="C541" s="66"/>
      <c r="D541" s="66"/>
      <c r="E541" s="66"/>
      <c r="F541" s="66"/>
      <c r="I541" s="67"/>
      <c r="X541" s="67"/>
    </row>
    <row r="542">
      <c r="A542" s="66"/>
      <c r="B542" s="66"/>
      <c r="C542" s="66"/>
      <c r="D542" s="66"/>
      <c r="E542" s="66"/>
      <c r="F542" s="66"/>
      <c r="I542" s="67"/>
      <c r="X542" s="67"/>
    </row>
    <row r="543">
      <c r="A543" s="66"/>
      <c r="B543" s="66"/>
      <c r="C543" s="66"/>
      <c r="D543" s="66"/>
      <c r="E543" s="66"/>
      <c r="F543" s="66"/>
      <c r="I543" s="67"/>
      <c r="X543" s="67"/>
    </row>
    <row r="544">
      <c r="A544" s="66"/>
      <c r="B544" s="66"/>
      <c r="C544" s="66"/>
      <c r="D544" s="66"/>
      <c r="E544" s="66"/>
      <c r="F544" s="66"/>
      <c r="I544" s="67"/>
      <c r="X544" s="67"/>
    </row>
    <row r="545">
      <c r="A545" s="66"/>
      <c r="B545" s="66"/>
      <c r="C545" s="66"/>
      <c r="D545" s="66"/>
      <c r="E545" s="66"/>
      <c r="F545" s="66"/>
      <c r="I545" s="67"/>
      <c r="X545" s="67"/>
    </row>
    <row r="546">
      <c r="A546" s="66"/>
      <c r="B546" s="66"/>
      <c r="C546" s="66"/>
      <c r="D546" s="66"/>
      <c r="E546" s="66"/>
      <c r="F546" s="66"/>
      <c r="I546" s="67"/>
      <c r="X546" s="67"/>
    </row>
    <row r="547">
      <c r="A547" s="66"/>
      <c r="B547" s="66"/>
      <c r="C547" s="66"/>
      <c r="D547" s="66"/>
      <c r="E547" s="66"/>
      <c r="F547" s="66"/>
      <c r="I547" s="67"/>
      <c r="X547" s="67"/>
    </row>
    <row r="548">
      <c r="A548" s="66"/>
      <c r="B548" s="66"/>
      <c r="C548" s="66"/>
      <c r="D548" s="66"/>
      <c r="E548" s="66"/>
      <c r="F548" s="66"/>
      <c r="I548" s="67"/>
      <c r="X548" s="67"/>
    </row>
    <row r="549">
      <c r="A549" s="66"/>
      <c r="B549" s="66"/>
      <c r="C549" s="66"/>
      <c r="D549" s="66"/>
      <c r="E549" s="66"/>
      <c r="F549" s="66"/>
      <c r="I549" s="67"/>
      <c r="X549" s="67"/>
    </row>
    <row r="550">
      <c r="A550" s="66"/>
      <c r="B550" s="66"/>
      <c r="C550" s="66"/>
      <c r="D550" s="66"/>
      <c r="E550" s="66"/>
      <c r="F550" s="66"/>
      <c r="I550" s="67"/>
      <c r="X550" s="67"/>
    </row>
    <row r="551">
      <c r="A551" s="66"/>
      <c r="B551" s="66"/>
      <c r="C551" s="66"/>
      <c r="D551" s="66"/>
      <c r="E551" s="66"/>
      <c r="F551" s="66"/>
      <c r="I551" s="67"/>
      <c r="X551" s="67"/>
    </row>
    <row r="552">
      <c r="A552" s="66"/>
      <c r="B552" s="66"/>
      <c r="C552" s="66"/>
      <c r="D552" s="66"/>
      <c r="E552" s="66"/>
      <c r="F552" s="66"/>
      <c r="I552" s="67"/>
      <c r="X552" s="67"/>
    </row>
    <row r="553">
      <c r="A553" s="66"/>
      <c r="B553" s="66"/>
      <c r="C553" s="66"/>
      <c r="D553" s="66"/>
      <c r="E553" s="66"/>
      <c r="F553" s="66"/>
      <c r="I553" s="67"/>
      <c r="X553" s="67"/>
    </row>
    <row r="554">
      <c r="A554" s="66"/>
      <c r="B554" s="66"/>
      <c r="C554" s="66"/>
      <c r="D554" s="66"/>
      <c r="E554" s="66"/>
      <c r="F554" s="66"/>
      <c r="I554" s="67"/>
      <c r="X554" s="67"/>
    </row>
    <row r="555">
      <c r="A555" s="66"/>
      <c r="B555" s="66"/>
      <c r="C555" s="66"/>
      <c r="D555" s="66"/>
      <c r="E555" s="66"/>
      <c r="F555" s="66"/>
      <c r="I555" s="67"/>
      <c r="X555" s="67"/>
    </row>
    <row r="556">
      <c r="A556" s="66"/>
      <c r="B556" s="66"/>
      <c r="C556" s="66"/>
      <c r="D556" s="66"/>
      <c r="E556" s="66"/>
      <c r="F556" s="66"/>
      <c r="I556" s="67"/>
      <c r="X556" s="67"/>
    </row>
    <row r="557">
      <c r="A557" s="66"/>
      <c r="B557" s="66"/>
      <c r="C557" s="66"/>
      <c r="D557" s="66"/>
      <c r="E557" s="66"/>
      <c r="F557" s="66"/>
      <c r="I557" s="67"/>
      <c r="X557" s="67"/>
    </row>
    <row r="558">
      <c r="A558" s="66"/>
      <c r="B558" s="66"/>
      <c r="C558" s="66"/>
      <c r="D558" s="66"/>
      <c r="E558" s="66"/>
      <c r="F558" s="66"/>
      <c r="I558" s="67"/>
      <c r="X558" s="67"/>
    </row>
    <row r="559">
      <c r="A559" s="66"/>
      <c r="B559" s="66"/>
      <c r="C559" s="66"/>
      <c r="D559" s="66"/>
      <c r="E559" s="66"/>
      <c r="F559" s="66"/>
      <c r="I559" s="67"/>
      <c r="X559" s="67"/>
    </row>
    <row r="560">
      <c r="A560" s="66"/>
      <c r="B560" s="66"/>
      <c r="C560" s="66"/>
      <c r="D560" s="66"/>
      <c r="E560" s="66"/>
      <c r="F560" s="66"/>
      <c r="I560" s="67"/>
      <c r="X560" s="67"/>
    </row>
    <row r="561">
      <c r="A561" s="66"/>
      <c r="B561" s="66"/>
      <c r="C561" s="66"/>
      <c r="D561" s="66"/>
      <c r="E561" s="66"/>
      <c r="F561" s="66"/>
      <c r="I561" s="67"/>
      <c r="X561" s="67"/>
    </row>
    <row r="562">
      <c r="A562" s="66"/>
      <c r="B562" s="66"/>
      <c r="C562" s="66"/>
      <c r="D562" s="66"/>
      <c r="E562" s="66"/>
      <c r="F562" s="66"/>
      <c r="I562" s="67"/>
      <c r="X562" s="67"/>
    </row>
    <row r="563">
      <c r="A563" s="66"/>
      <c r="B563" s="66"/>
      <c r="C563" s="66"/>
      <c r="D563" s="66"/>
      <c r="E563" s="66"/>
      <c r="F563" s="66"/>
      <c r="I563" s="67"/>
      <c r="X563" s="67"/>
    </row>
    <row r="564">
      <c r="A564" s="66"/>
      <c r="B564" s="66"/>
      <c r="C564" s="66"/>
      <c r="D564" s="66"/>
      <c r="E564" s="66"/>
      <c r="F564" s="66"/>
      <c r="I564" s="67"/>
      <c r="X564" s="67"/>
    </row>
    <row r="565">
      <c r="A565" s="66"/>
      <c r="B565" s="66"/>
      <c r="C565" s="66"/>
      <c r="D565" s="66"/>
      <c r="E565" s="66"/>
      <c r="F565" s="66"/>
      <c r="I565" s="67"/>
      <c r="X565" s="67"/>
    </row>
    <row r="566">
      <c r="A566" s="66"/>
      <c r="B566" s="66"/>
      <c r="C566" s="66"/>
      <c r="D566" s="66"/>
      <c r="E566" s="66"/>
      <c r="F566" s="66"/>
      <c r="I566" s="67"/>
      <c r="X566" s="67"/>
    </row>
    <row r="567">
      <c r="A567" s="66"/>
      <c r="B567" s="66"/>
      <c r="C567" s="66"/>
      <c r="D567" s="66"/>
      <c r="E567" s="66"/>
      <c r="F567" s="66"/>
      <c r="I567" s="67"/>
      <c r="X567" s="67"/>
    </row>
    <row r="568">
      <c r="A568" s="66"/>
      <c r="B568" s="66"/>
      <c r="C568" s="66"/>
      <c r="D568" s="66"/>
      <c r="E568" s="66"/>
      <c r="F568" s="66"/>
      <c r="I568" s="67"/>
      <c r="X568" s="67"/>
    </row>
    <row r="569">
      <c r="A569" s="66"/>
      <c r="B569" s="66"/>
      <c r="C569" s="66"/>
      <c r="D569" s="66"/>
      <c r="E569" s="66"/>
      <c r="F569" s="66"/>
      <c r="I569" s="67"/>
      <c r="X569" s="67"/>
    </row>
    <row r="570">
      <c r="A570" s="66"/>
      <c r="B570" s="66"/>
      <c r="C570" s="66"/>
      <c r="D570" s="66"/>
      <c r="E570" s="66"/>
      <c r="F570" s="66"/>
      <c r="I570" s="67"/>
      <c r="X570" s="67"/>
    </row>
    <row r="571">
      <c r="A571" s="66"/>
      <c r="B571" s="66"/>
      <c r="C571" s="66"/>
      <c r="D571" s="66"/>
      <c r="E571" s="66"/>
      <c r="F571" s="66"/>
      <c r="I571" s="67"/>
      <c r="X571" s="67"/>
    </row>
    <row r="572">
      <c r="A572" s="66"/>
      <c r="B572" s="66"/>
      <c r="C572" s="66"/>
      <c r="D572" s="66"/>
      <c r="E572" s="66"/>
      <c r="F572" s="66"/>
      <c r="I572" s="67"/>
      <c r="X572" s="67"/>
    </row>
    <row r="573">
      <c r="A573" s="66"/>
      <c r="B573" s="66"/>
      <c r="C573" s="66"/>
      <c r="D573" s="66"/>
      <c r="E573" s="66"/>
      <c r="F573" s="66"/>
      <c r="I573" s="67"/>
      <c r="X573" s="67"/>
    </row>
    <row r="574">
      <c r="A574" s="66"/>
      <c r="B574" s="66"/>
      <c r="C574" s="66"/>
      <c r="D574" s="66"/>
      <c r="E574" s="66"/>
      <c r="F574" s="66"/>
      <c r="I574" s="67"/>
      <c r="X574" s="67"/>
    </row>
    <row r="575">
      <c r="A575" s="66"/>
      <c r="B575" s="66"/>
      <c r="C575" s="66"/>
      <c r="D575" s="66"/>
      <c r="E575" s="66"/>
      <c r="F575" s="66"/>
      <c r="I575" s="67"/>
      <c r="X575" s="67"/>
    </row>
    <row r="576">
      <c r="A576" s="66"/>
      <c r="B576" s="66"/>
      <c r="C576" s="66"/>
      <c r="D576" s="66"/>
      <c r="E576" s="66"/>
      <c r="F576" s="66"/>
      <c r="I576" s="67"/>
      <c r="X576" s="67"/>
    </row>
    <row r="577">
      <c r="A577" s="66"/>
      <c r="B577" s="66"/>
      <c r="C577" s="66"/>
      <c r="D577" s="66"/>
      <c r="E577" s="66"/>
      <c r="F577" s="66"/>
      <c r="I577" s="67"/>
      <c r="X577" s="67"/>
    </row>
    <row r="578">
      <c r="A578" s="66"/>
      <c r="B578" s="66"/>
      <c r="C578" s="66"/>
      <c r="D578" s="66"/>
      <c r="E578" s="66"/>
      <c r="F578" s="66"/>
      <c r="I578" s="67"/>
      <c r="X578" s="67"/>
    </row>
    <row r="579">
      <c r="A579" s="66"/>
      <c r="B579" s="66"/>
      <c r="C579" s="66"/>
      <c r="D579" s="66"/>
      <c r="E579" s="66"/>
      <c r="F579" s="66"/>
      <c r="I579" s="67"/>
      <c r="X579" s="67"/>
    </row>
    <row r="580">
      <c r="A580" s="66"/>
      <c r="B580" s="66"/>
      <c r="C580" s="66"/>
      <c r="D580" s="66"/>
      <c r="E580" s="66"/>
      <c r="F580" s="66"/>
      <c r="I580" s="67"/>
      <c r="X580" s="67"/>
    </row>
    <row r="581">
      <c r="A581" s="66"/>
      <c r="B581" s="66"/>
      <c r="C581" s="66"/>
      <c r="D581" s="66"/>
      <c r="E581" s="66"/>
      <c r="F581" s="66"/>
      <c r="I581" s="67"/>
      <c r="X581" s="67"/>
    </row>
    <row r="582">
      <c r="A582" s="66"/>
      <c r="B582" s="66"/>
      <c r="C582" s="66"/>
      <c r="D582" s="66"/>
      <c r="E582" s="66"/>
      <c r="F582" s="66"/>
      <c r="I582" s="67"/>
      <c r="X582" s="67"/>
    </row>
    <row r="583">
      <c r="A583" s="66"/>
      <c r="B583" s="66"/>
      <c r="C583" s="66"/>
      <c r="D583" s="66"/>
      <c r="E583" s="66"/>
      <c r="F583" s="66"/>
      <c r="I583" s="67"/>
      <c r="X583" s="67"/>
    </row>
    <row r="584">
      <c r="A584" s="66"/>
      <c r="B584" s="66"/>
      <c r="C584" s="66"/>
      <c r="D584" s="66"/>
      <c r="E584" s="66"/>
      <c r="F584" s="66"/>
      <c r="I584" s="67"/>
      <c r="X584" s="67"/>
    </row>
    <row r="585">
      <c r="A585" s="66"/>
      <c r="B585" s="66"/>
      <c r="C585" s="66"/>
      <c r="D585" s="66"/>
      <c r="E585" s="66"/>
      <c r="F585" s="66"/>
      <c r="I585" s="67"/>
      <c r="X585" s="67"/>
    </row>
    <row r="586">
      <c r="A586" s="66"/>
      <c r="B586" s="66"/>
      <c r="C586" s="66"/>
      <c r="D586" s="66"/>
      <c r="E586" s="66"/>
      <c r="F586" s="66"/>
      <c r="I586" s="67"/>
      <c r="X586" s="67"/>
    </row>
    <row r="587">
      <c r="A587" s="66"/>
      <c r="B587" s="66"/>
      <c r="C587" s="66"/>
      <c r="D587" s="66"/>
      <c r="E587" s="66"/>
      <c r="F587" s="66"/>
      <c r="I587" s="67"/>
      <c r="X587" s="67"/>
    </row>
    <row r="588">
      <c r="A588" s="66"/>
      <c r="B588" s="66"/>
      <c r="C588" s="66"/>
      <c r="D588" s="66"/>
      <c r="E588" s="66"/>
      <c r="F588" s="66"/>
      <c r="I588" s="67"/>
      <c r="X588" s="67"/>
    </row>
    <row r="589">
      <c r="A589" s="66"/>
      <c r="B589" s="66"/>
      <c r="C589" s="66"/>
      <c r="D589" s="66"/>
      <c r="E589" s="66"/>
      <c r="F589" s="66"/>
      <c r="I589" s="67"/>
      <c r="X589" s="67"/>
    </row>
    <row r="590">
      <c r="A590" s="66"/>
      <c r="B590" s="66"/>
      <c r="C590" s="66"/>
      <c r="D590" s="66"/>
      <c r="E590" s="66"/>
      <c r="F590" s="66"/>
      <c r="I590" s="67"/>
      <c r="X590" s="67"/>
    </row>
    <row r="591">
      <c r="A591" s="66"/>
      <c r="B591" s="66"/>
      <c r="C591" s="66"/>
      <c r="D591" s="66"/>
      <c r="E591" s="66"/>
      <c r="F591" s="66"/>
      <c r="I591" s="67"/>
      <c r="X591" s="67"/>
    </row>
    <row r="592">
      <c r="A592" s="66"/>
      <c r="B592" s="66"/>
      <c r="C592" s="66"/>
      <c r="D592" s="66"/>
      <c r="E592" s="66"/>
      <c r="F592" s="66"/>
      <c r="I592" s="67"/>
      <c r="X592" s="67"/>
    </row>
    <row r="593">
      <c r="A593" s="66"/>
      <c r="B593" s="66"/>
      <c r="C593" s="66"/>
      <c r="D593" s="66"/>
      <c r="E593" s="66"/>
      <c r="F593" s="66"/>
      <c r="I593" s="67"/>
      <c r="X593" s="67"/>
    </row>
    <row r="594">
      <c r="A594" s="66"/>
      <c r="B594" s="66"/>
      <c r="C594" s="66"/>
      <c r="D594" s="66"/>
      <c r="E594" s="66"/>
      <c r="F594" s="66"/>
      <c r="I594" s="67"/>
      <c r="X594" s="67"/>
    </row>
    <row r="595">
      <c r="A595" s="66"/>
      <c r="B595" s="66"/>
      <c r="C595" s="66"/>
      <c r="D595" s="66"/>
      <c r="E595" s="66"/>
      <c r="F595" s="66"/>
      <c r="I595" s="67"/>
      <c r="X595" s="67"/>
    </row>
    <row r="596">
      <c r="A596" s="66"/>
      <c r="B596" s="66"/>
      <c r="C596" s="66"/>
      <c r="D596" s="66"/>
      <c r="E596" s="66"/>
      <c r="F596" s="66"/>
      <c r="I596" s="67"/>
      <c r="X596" s="67"/>
    </row>
    <row r="597">
      <c r="A597" s="66"/>
      <c r="B597" s="66"/>
      <c r="C597" s="66"/>
      <c r="D597" s="66"/>
      <c r="E597" s="66"/>
      <c r="F597" s="66"/>
      <c r="I597" s="67"/>
      <c r="X597" s="67"/>
    </row>
    <row r="598">
      <c r="A598" s="66"/>
      <c r="B598" s="66"/>
      <c r="C598" s="66"/>
      <c r="D598" s="66"/>
      <c r="E598" s="66"/>
      <c r="F598" s="66"/>
      <c r="I598" s="67"/>
      <c r="X598" s="67"/>
    </row>
    <row r="599">
      <c r="A599" s="66"/>
      <c r="B599" s="66"/>
      <c r="C599" s="66"/>
      <c r="D599" s="66"/>
      <c r="E599" s="66"/>
      <c r="F599" s="66"/>
      <c r="I599" s="67"/>
      <c r="X599" s="67"/>
    </row>
    <row r="600">
      <c r="A600" s="66"/>
      <c r="B600" s="66"/>
      <c r="C600" s="66"/>
      <c r="D600" s="66"/>
      <c r="E600" s="66"/>
      <c r="F600" s="66"/>
      <c r="I600" s="67"/>
      <c r="X600" s="67"/>
    </row>
    <row r="601">
      <c r="A601" s="66"/>
      <c r="B601" s="66"/>
      <c r="C601" s="66"/>
      <c r="D601" s="66"/>
      <c r="E601" s="66"/>
      <c r="F601" s="66"/>
      <c r="I601" s="67"/>
      <c r="X601" s="67"/>
    </row>
    <row r="602">
      <c r="A602" s="66"/>
      <c r="B602" s="66"/>
      <c r="C602" s="66"/>
      <c r="D602" s="66"/>
      <c r="E602" s="66"/>
      <c r="F602" s="66"/>
      <c r="I602" s="67"/>
      <c r="X602" s="67"/>
    </row>
    <row r="603">
      <c r="A603" s="66"/>
      <c r="B603" s="66"/>
      <c r="C603" s="66"/>
      <c r="D603" s="66"/>
      <c r="E603" s="66"/>
      <c r="F603" s="66"/>
      <c r="I603" s="67"/>
      <c r="X603" s="67"/>
    </row>
    <row r="604">
      <c r="A604" s="66"/>
      <c r="B604" s="66"/>
      <c r="C604" s="66"/>
      <c r="D604" s="66"/>
      <c r="E604" s="66"/>
      <c r="F604" s="66"/>
      <c r="I604" s="67"/>
      <c r="X604" s="67"/>
    </row>
    <row r="605">
      <c r="A605" s="66"/>
      <c r="B605" s="66"/>
      <c r="C605" s="66"/>
      <c r="D605" s="66"/>
      <c r="E605" s="66"/>
      <c r="F605" s="66"/>
      <c r="I605" s="67"/>
      <c r="X605" s="67"/>
    </row>
    <row r="606">
      <c r="A606" s="66"/>
      <c r="B606" s="66"/>
      <c r="C606" s="66"/>
      <c r="D606" s="66"/>
      <c r="E606" s="66"/>
      <c r="F606" s="66"/>
      <c r="I606" s="67"/>
      <c r="X606" s="67"/>
    </row>
    <row r="607">
      <c r="A607" s="66"/>
      <c r="B607" s="66"/>
      <c r="C607" s="66"/>
      <c r="D607" s="66"/>
      <c r="E607" s="66"/>
      <c r="F607" s="66"/>
      <c r="I607" s="67"/>
      <c r="X607" s="67"/>
    </row>
    <row r="608">
      <c r="A608" s="66"/>
      <c r="B608" s="66"/>
      <c r="C608" s="66"/>
      <c r="D608" s="66"/>
      <c r="E608" s="66"/>
      <c r="F608" s="66"/>
      <c r="I608" s="67"/>
      <c r="X608" s="67"/>
    </row>
    <row r="609">
      <c r="A609" s="66"/>
      <c r="B609" s="66"/>
      <c r="C609" s="66"/>
      <c r="D609" s="66"/>
      <c r="E609" s="66"/>
      <c r="F609" s="66"/>
      <c r="I609" s="67"/>
      <c r="X609" s="67"/>
    </row>
    <row r="610">
      <c r="A610" s="66"/>
      <c r="B610" s="66"/>
      <c r="C610" s="66"/>
      <c r="D610" s="66"/>
      <c r="E610" s="66"/>
      <c r="F610" s="66"/>
      <c r="I610" s="67"/>
      <c r="X610" s="67"/>
    </row>
    <row r="611">
      <c r="A611" s="66"/>
      <c r="B611" s="66"/>
      <c r="C611" s="66"/>
      <c r="D611" s="66"/>
      <c r="E611" s="66"/>
      <c r="F611" s="66"/>
      <c r="I611" s="67"/>
      <c r="X611" s="67"/>
    </row>
    <row r="612">
      <c r="A612" s="66"/>
      <c r="B612" s="66"/>
      <c r="C612" s="66"/>
      <c r="D612" s="66"/>
      <c r="E612" s="66"/>
      <c r="F612" s="66"/>
      <c r="I612" s="67"/>
      <c r="X612" s="67"/>
    </row>
    <row r="613">
      <c r="A613" s="66"/>
      <c r="B613" s="66"/>
      <c r="C613" s="66"/>
      <c r="D613" s="66"/>
      <c r="E613" s="66"/>
      <c r="F613" s="66"/>
      <c r="I613" s="67"/>
      <c r="X613" s="67"/>
    </row>
    <row r="614">
      <c r="A614" s="66"/>
      <c r="B614" s="66"/>
      <c r="C614" s="66"/>
      <c r="D614" s="66"/>
      <c r="E614" s="66"/>
      <c r="F614" s="66"/>
      <c r="I614" s="67"/>
      <c r="X614" s="67"/>
    </row>
    <row r="615">
      <c r="A615" s="66"/>
      <c r="B615" s="66"/>
      <c r="C615" s="66"/>
      <c r="D615" s="66"/>
      <c r="E615" s="66"/>
      <c r="F615" s="66"/>
      <c r="I615" s="67"/>
      <c r="X615" s="67"/>
    </row>
    <row r="616">
      <c r="A616" s="66"/>
      <c r="B616" s="66"/>
      <c r="C616" s="66"/>
      <c r="D616" s="66"/>
      <c r="E616" s="66"/>
      <c r="F616" s="66"/>
      <c r="I616" s="67"/>
      <c r="X616" s="67"/>
    </row>
    <row r="617">
      <c r="A617" s="66"/>
      <c r="B617" s="66"/>
      <c r="C617" s="66"/>
      <c r="D617" s="66"/>
      <c r="E617" s="66"/>
      <c r="F617" s="66"/>
      <c r="I617" s="67"/>
      <c r="X617" s="67"/>
    </row>
    <row r="618">
      <c r="A618" s="66"/>
      <c r="B618" s="66"/>
      <c r="C618" s="66"/>
      <c r="D618" s="66"/>
      <c r="E618" s="66"/>
      <c r="F618" s="66"/>
      <c r="I618" s="67"/>
      <c r="X618" s="67"/>
    </row>
    <row r="619">
      <c r="A619" s="66"/>
      <c r="B619" s="66"/>
      <c r="C619" s="66"/>
      <c r="D619" s="66"/>
      <c r="E619" s="66"/>
      <c r="F619" s="66"/>
      <c r="I619" s="67"/>
      <c r="X619" s="67"/>
    </row>
    <row r="620">
      <c r="A620" s="66"/>
      <c r="B620" s="66"/>
      <c r="C620" s="66"/>
      <c r="D620" s="66"/>
      <c r="E620" s="66"/>
      <c r="F620" s="66"/>
      <c r="I620" s="67"/>
      <c r="X620" s="67"/>
    </row>
    <row r="621">
      <c r="A621" s="66"/>
      <c r="B621" s="66"/>
      <c r="C621" s="66"/>
      <c r="D621" s="66"/>
      <c r="E621" s="66"/>
      <c r="F621" s="66"/>
      <c r="I621" s="67"/>
      <c r="X621" s="67"/>
    </row>
    <row r="622">
      <c r="A622" s="66"/>
      <c r="B622" s="66"/>
      <c r="C622" s="66"/>
      <c r="D622" s="66"/>
      <c r="E622" s="66"/>
      <c r="F622" s="66"/>
      <c r="I622" s="67"/>
      <c r="X622" s="67"/>
    </row>
    <row r="623">
      <c r="A623" s="66"/>
      <c r="B623" s="66"/>
      <c r="C623" s="66"/>
      <c r="D623" s="66"/>
      <c r="E623" s="66"/>
      <c r="F623" s="66"/>
      <c r="I623" s="67"/>
      <c r="X623" s="67"/>
    </row>
    <row r="624">
      <c r="A624" s="66"/>
      <c r="B624" s="66"/>
      <c r="C624" s="66"/>
      <c r="D624" s="66"/>
      <c r="E624" s="66"/>
      <c r="F624" s="66"/>
      <c r="I624" s="67"/>
      <c r="X624" s="67"/>
    </row>
    <row r="625">
      <c r="A625" s="66"/>
      <c r="B625" s="66"/>
      <c r="C625" s="66"/>
      <c r="D625" s="66"/>
      <c r="E625" s="66"/>
      <c r="F625" s="66"/>
      <c r="I625" s="67"/>
      <c r="X625" s="67"/>
    </row>
    <row r="626">
      <c r="A626" s="66"/>
      <c r="B626" s="66"/>
      <c r="C626" s="66"/>
      <c r="D626" s="66"/>
      <c r="E626" s="66"/>
      <c r="F626" s="66"/>
      <c r="I626" s="67"/>
      <c r="X626" s="67"/>
    </row>
    <row r="627">
      <c r="A627" s="66"/>
      <c r="B627" s="66"/>
      <c r="C627" s="66"/>
      <c r="D627" s="66"/>
      <c r="E627" s="66"/>
      <c r="F627" s="66"/>
      <c r="I627" s="67"/>
      <c r="X627" s="67"/>
    </row>
    <row r="628">
      <c r="A628" s="66"/>
      <c r="B628" s="66"/>
      <c r="C628" s="66"/>
      <c r="D628" s="66"/>
      <c r="E628" s="66"/>
      <c r="F628" s="66"/>
      <c r="I628" s="67"/>
      <c r="X628" s="67"/>
    </row>
    <row r="629">
      <c r="A629" s="66"/>
      <c r="B629" s="66"/>
      <c r="C629" s="66"/>
      <c r="D629" s="66"/>
      <c r="E629" s="66"/>
      <c r="F629" s="66"/>
      <c r="I629" s="67"/>
      <c r="X629" s="67"/>
    </row>
    <row r="630">
      <c r="A630" s="66"/>
      <c r="B630" s="66"/>
      <c r="C630" s="66"/>
      <c r="D630" s="66"/>
      <c r="E630" s="66"/>
      <c r="F630" s="66"/>
      <c r="I630" s="67"/>
      <c r="X630" s="67"/>
    </row>
    <row r="631">
      <c r="A631" s="66"/>
      <c r="B631" s="66"/>
      <c r="C631" s="66"/>
      <c r="D631" s="66"/>
      <c r="E631" s="66"/>
      <c r="F631" s="66"/>
      <c r="I631" s="67"/>
      <c r="X631" s="67"/>
    </row>
    <row r="632">
      <c r="A632" s="66"/>
      <c r="B632" s="66"/>
      <c r="C632" s="66"/>
      <c r="D632" s="66"/>
      <c r="E632" s="66"/>
      <c r="F632" s="66"/>
      <c r="I632" s="67"/>
      <c r="X632" s="67"/>
    </row>
    <row r="633">
      <c r="A633" s="66"/>
      <c r="B633" s="66"/>
      <c r="C633" s="66"/>
      <c r="D633" s="66"/>
      <c r="E633" s="66"/>
      <c r="F633" s="66"/>
      <c r="I633" s="67"/>
      <c r="X633" s="67"/>
    </row>
    <row r="634">
      <c r="A634" s="66"/>
      <c r="B634" s="66"/>
      <c r="C634" s="66"/>
      <c r="D634" s="66"/>
      <c r="E634" s="66"/>
      <c r="F634" s="66"/>
      <c r="I634" s="67"/>
      <c r="X634" s="67"/>
    </row>
    <row r="635">
      <c r="A635" s="66"/>
      <c r="B635" s="66"/>
      <c r="C635" s="66"/>
      <c r="D635" s="66"/>
      <c r="E635" s="66"/>
      <c r="F635" s="66"/>
      <c r="I635" s="67"/>
      <c r="X635" s="67"/>
    </row>
    <row r="636">
      <c r="A636" s="66"/>
      <c r="B636" s="66"/>
      <c r="C636" s="66"/>
      <c r="D636" s="66"/>
      <c r="E636" s="66"/>
      <c r="F636" s="66"/>
      <c r="I636" s="67"/>
      <c r="X636" s="67"/>
    </row>
    <row r="637">
      <c r="A637" s="66"/>
      <c r="B637" s="66"/>
      <c r="C637" s="66"/>
      <c r="D637" s="66"/>
      <c r="E637" s="66"/>
      <c r="F637" s="66"/>
      <c r="I637" s="67"/>
      <c r="X637" s="67"/>
    </row>
    <row r="638">
      <c r="A638" s="66"/>
      <c r="B638" s="66"/>
      <c r="C638" s="66"/>
      <c r="D638" s="66"/>
      <c r="E638" s="66"/>
      <c r="F638" s="66"/>
      <c r="I638" s="67"/>
      <c r="X638" s="67"/>
    </row>
    <row r="639">
      <c r="A639" s="66"/>
      <c r="B639" s="66"/>
      <c r="C639" s="66"/>
      <c r="D639" s="66"/>
      <c r="E639" s="66"/>
      <c r="F639" s="66"/>
      <c r="I639" s="67"/>
      <c r="X639" s="67"/>
    </row>
    <row r="640">
      <c r="A640" s="66"/>
      <c r="B640" s="66"/>
      <c r="C640" s="66"/>
      <c r="D640" s="66"/>
      <c r="E640" s="66"/>
      <c r="F640" s="66"/>
      <c r="I640" s="67"/>
      <c r="X640" s="67"/>
    </row>
    <row r="641">
      <c r="A641" s="66"/>
      <c r="B641" s="66"/>
      <c r="C641" s="66"/>
      <c r="D641" s="66"/>
      <c r="E641" s="66"/>
      <c r="F641" s="66"/>
      <c r="I641" s="67"/>
      <c r="X641" s="67"/>
    </row>
    <row r="642">
      <c r="A642" s="66"/>
      <c r="B642" s="66"/>
      <c r="C642" s="66"/>
      <c r="D642" s="66"/>
      <c r="E642" s="66"/>
      <c r="F642" s="66"/>
      <c r="I642" s="67"/>
      <c r="X642" s="67"/>
    </row>
    <row r="643">
      <c r="A643" s="66"/>
      <c r="B643" s="66"/>
      <c r="C643" s="66"/>
      <c r="D643" s="66"/>
      <c r="E643" s="66"/>
      <c r="F643" s="66"/>
      <c r="I643" s="67"/>
      <c r="X643" s="67"/>
    </row>
    <row r="644">
      <c r="A644" s="66"/>
      <c r="B644" s="66"/>
      <c r="C644" s="66"/>
      <c r="D644" s="66"/>
      <c r="E644" s="66"/>
      <c r="F644" s="66"/>
      <c r="I644" s="67"/>
      <c r="X644" s="67"/>
    </row>
    <row r="645">
      <c r="A645" s="66"/>
      <c r="B645" s="66"/>
      <c r="C645" s="66"/>
      <c r="D645" s="66"/>
      <c r="E645" s="66"/>
      <c r="F645" s="66"/>
      <c r="I645" s="67"/>
      <c r="X645" s="67"/>
    </row>
    <row r="646">
      <c r="A646" s="66"/>
      <c r="B646" s="66"/>
      <c r="C646" s="66"/>
      <c r="D646" s="66"/>
      <c r="E646" s="66"/>
      <c r="F646" s="66"/>
      <c r="I646" s="67"/>
      <c r="X646" s="67"/>
    </row>
    <row r="647">
      <c r="A647" s="66"/>
      <c r="B647" s="66"/>
      <c r="C647" s="66"/>
      <c r="D647" s="66"/>
      <c r="E647" s="66"/>
      <c r="F647" s="66"/>
      <c r="I647" s="67"/>
      <c r="X647" s="67"/>
    </row>
    <row r="648">
      <c r="A648" s="66"/>
      <c r="B648" s="66"/>
      <c r="C648" s="66"/>
      <c r="D648" s="66"/>
      <c r="E648" s="66"/>
      <c r="F648" s="66"/>
      <c r="I648" s="67"/>
      <c r="X648" s="67"/>
    </row>
    <row r="649">
      <c r="A649" s="66"/>
      <c r="B649" s="66"/>
      <c r="C649" s="66"/>
      <c r="D649" s="66"/>
      <c r="E649" s="66"/>
      <c r="F649" s="66"/>
      <c r="I649" s="67"/>
      <c r="X649" s="67"/>
    </row>
    <row r="650">
      <c r="A650" s="66"/>
      <c r="B650" s="66"/>
      <c r="C650" s="66"/>
      <c r="D650" s="66"/>
      <c r="E650" s="66"/>
      <c r="F650" s="66"/>
      <c r="I650" s="67"/>
      <c r="X650" s="67"/>
    </row>
    <row r="651">
      <c r="A651" s="66"/>
      <c r="B651" s="66"/>
      <c r="C651" s="66"/>
      <c r="D651" s="66"/>
      <c r="E651" s="66"/>
      <c r="F651" s="66"/>
      <c r="I651" s="67"/>
      <c r="X651" s="67"/>
    </row>
    <row r="652">
      <c r="A652" s="66"/>
      <c r="B652" s="66"/>
      <c r="C652" s="66"/>
      <c r="D652" s="66"/>
      <c r="E652" s="66"/>
      <c r="F652" s="66"/>
      <c r="I652" s="67"/>
      <c r="X652" s="67"/>
    </row>
    <row r="653">
      <c r="A653" s="66"/>
      <c r="B653" s="66"/>
      <c r="C653" s="66"/>
      <c r="D653" s="66"/>
      <c r="E653" s="66"/>
      <c r="F653" s="66"/>
      <c r="I653" s="67"/>
      <c r="X653" s="67"/>
    </row>
    <row r="654">
      <c r="A654" s="66"/>
      <c r="B654" s="66"/>
      <c r="C654" s="66"/>
      <c r="D654" s="66"/>
      <c r="E654" s="66"/>
      <c r="F654" s="66"/>
      <c r="I654" s="67"/>
      <c r="X654" s="67"/>
    </row>
    <row r="655">
      <c r="A655" s="66"/>
      <c r="B655" s="66"/>
      <c r="C655" s="66"/>
      <c r="D655" s="66"/>
      <c r="E655" s="66"/>
      <c r="F655" s="66"/>
      <c r="I655" s="67"/>
      <c r="X655" s="67"/>
    </row>
    <row r="656">
      <c r="A656" s="66"/>
      <c r="B656" s="66"/>
      <c r="C656" s="66"/>
      <c r="D656" s="66"/>
      <c r="E656" s="66"/>
      <c r="F656" s="66"/>
      <c r="I656" s="67"/>
      <c r="X656" s="67"/>
    </row>
    <row r="657">
      <c r="A657" s="66"/>
      <c r="B657" s="66"/>
      <c r="C657" s="66"/>
      <c r="D657" s="66"/>
      <c r="E657" s="66"/>
      <c r="F657" s="66"/>
      <c r="I657" s="67"/>
      <c r="X657" s="67"/>
    </row>
    <row r="658">
      <c r="A658" s="66"/>
      <c r="B658" s="66"/>
      <c r="C658" s="66"/>
      <c r="D658" s="66"/>
      <c r="E658" s="66"/>
      <c r="F658" s="66"/>
      <c r="I658" s="67"/>
      <c r="X658" s="67"/>
    </row>
    <row r="659">
      <c r="A659" s="66"/>
      <c r="B659" s="66"/>
      <c r="C659" s="66"/>
      <c r="D659" s="66"/>
      <c r="E659" s="66"/>
      <c r="F659" s="66"/>
      <c r="I659" s="67"/>
      <c r="X659" s="67"/>
    </row>
    <row r="660">
      <c r="A660" s="66"/>
      <c r="B660" s="66"/>
      <c r="C660" s="66"/>
      <c r="D660" s="66"/>
      <c r="E660" s="66"/>
      <c r="F660" s="66"/>
      <c r="I660" s="67"/>
      <c r="X660" s="67"/>
    </row>
    <row r="661">
      <c r="A661" s="66"/>
      <c r="B661" s="66"/>
      <c r="C661" s="66"/>
      <c r="D661" s="66"/>
      <c r="E661" s="66"/>
      <c r="F661" s="66"/>
      <c r="I661" s="67"/>
      <c r="X661" s="67"/>
    </row>
    <row r="662">
      <c r="A662" s="66"/>
      <c r="B662" s="66"/>
      <c r="C662" s="66"/>
      <c r="D662" s="66"/>
      <c r="E662" s="66"/>
      <c r="F662" s="66"/>
      <c r="I662" s="67"/>
      <c r="X662" s="67"/>
    </row>
    <row r="663">
      <c r="A663" s="66"/>
      <c r="B663" s="66"/>
      <c r="C663" s="66"/>
      <c r="D663" s="66"/>
      <c r="E663" s="66"/>
      <c r="F663" s="66"/>
      <c r="I663" s="67"/>
      <c r="X663" s="67"/>
    </row>
    <row r="664">
      <c r="A664" s="66"/>
      <c r="B664" s="66"/>
      <c r="C664" s="66"/>
      <c r="D664" s="66"/>
      <c r="E664" s="66"/>
      <c r="F664" s="66"/>
      <c r="I664" s="67"/>
      <c r="X664" s="67"/>
    </row>
    <row r="665">
      <c r="A665" s="66"/>
      <c r="B665" s="66"/>
      <c r="C665" s="66"/>
      <c r="D665" s="66"/>
      <c r="E665" s="66"/>
      <c r="F665" s="66"/>
      <c r="I665" s="67"/>
      <c r="X665" s="67"/>
    </row>
    <row r="666">
      <c r="A666" s="66"/>
      <c r="B666" s="66"/>
      <c r="C666" s="66"/>
      <c r="D666" s="66"/>
      <c r="E666" s="66"/>
      <c r="F666" s="66"/>
      <c r="I666" s="67"/>
      <c r="X666" s="67"/>
    </row>
    <row r="667">
      <c r="A667" s="66"/>
      <c r="B667" s="66"/>
      <c r="C667" s="66"/>
      <c r="D667" s="66"/>
      <c r="E667" s="66"/>
      <c r="F667" s="66"/>
      <c r="I667" s="67"/>
      <c r="X667" s="67"/>
    </row>
    <row r="668">
      <c r="A668" s="66"/>
      <c r="B668" s="66"/>
      <c r="C668" s="66"/>
      <c r="D668" s="66"/>
      <c r="E668" s="66"/>
      <c r="F668" s="66"/>
      <c r="I668" s="67"/>
      <c r="X668" s="67"/>
    </row>
    <row r="669">
      <c r="A669" s="66"/>
      <c r="B669" s="66"/>
      <c r="C669" s="66"/>
      <c r="D669" s="66"/>
      <c r="E669" s="66"/>
      <c r="F669" s="66"/>
      <c r="I669" s="67"/>
      <c r="X669" s="67"/>
    </row>
    <row r="670">
      <c r="A670" s="66"/>
      <c r="B670" s="66"/>
      <c r="C670" s="66"/>
      <c r="D670" s="66"/>
      <c r="E670" s="66"/>
      <c r="F670" s="66"/>
      <c r="I670" s="67"/>
      <c r="X670" s="67"/>
    </row>
    <row r="671">
      <c r="A671" s="66"/>
      <c r="B671" s="66"/>
      <c r="C671" s="66"/>
      <c r="D671" s="66"/>
      <c r="E671" s="66"/>
      <c r="F671" s="66"/>
      <c r="I671" s="67"/>
      <c r="X671" s="67"/>
    </row>
    <row r="672">
      <c r="A672" s="66"/>
      <c r="B672" s="66"/>
      <c r="C672" s="66"/>
      <c r="D672" s="66"/>
      <c r="E672" s="66"/>
      <c r="F672" s="66"/>
      <c r="I672" s="67"/>
      <c r="X672" s="67"/>
    </row>
    <row r="673">
      <c r="A673" s="66"/>
      <c r="B673" s="66"/>
      <c r="C673" s="66"/>
      <c r="D673" s="66"/>
      <c r="E673" s="66"/>
      <c r="F673" s="66"/>
      <c r="I673" s="67"/>
      <c r="X673" s="67"/>
    </row>
    <row r="674">
      <c r="A674" s="66"/>
      <c r="B674" s="66"/>
      <c r="C674" s="66"/>
      <c r="D674" s="66"/>
      <c r="E674" s="66"/>
      <c r="F674" s="66"/>
      <c r="I674" s="67"/>
      <c r="X674" s="67"/>
    </row>
    <row r="675">
      <c r="A675" s="66"/>
      <c r="B675" s="66"/>
      <c r="C675" s="66"/>
      <c r="D675" s="66"/>
      <c r="E675" s="66"/>
      <c r="F675" s="66"/>
      <c r="I675" s="67"/>
      <c r="X675" s="67"/>
    </row>
    <row r="676">
      <c r="A676" s="66"/>
      <c r="B676" s="66"/>
      <c r="C676" s="66"/>
      <c r="D676" s="66"/>
      <c r="E676" s="66"/>
      <c r="F676" s="66"/>
      <c r="I676" s="67"/>
      <c r="X676" s="67"/>
    </row>
    <row r="677">
      <c r="A677" s="66"/>
      <c r="B677" s="66"/>
      <c r="C677" s="66"/>
      <c r="D677" s="66"/>
      <c r="E677" s="66"/>
      <c r="F677" s="66"/>
      <c r="I677" s="67"/>
      <c r="X677" s="67"/>
    </row>
    <row r="678">
      <c r="A678" s="66"/>
      <c r="B678" s="66"/>
      <c r="C678" s="66"/>
      <c r="D678" s="66"/>
      <c r="E678" s="66"/>
      <c r="F678" s="66"/>
      <c r="I678" s="67"/>
      <c r="X678" s="67"/>
    </row>
    <row r="679">
      <c r="A679" s="66"/>
      <c r="B679" s="66"/>
      <c r="C679" s="66"/>
      <c r="D679" s="66"/>
      <c r="E679" s="66"/>
      <c r="F679" s="66"/>
      <c r="I679" s="67"/>
      <c r="X679" s="67"/>
    </row>
    <row r="680">
      <c r="A680" s="66"/>
      <c r="B680" s="66"/>
      <c r="C680" s="66"/>
      <c r="D680" s="66"/>
      <c r="E680" s="66"/>
      <c r="F680" s="66"/>
      <c r="I680" s="67"/>
      <c r="X680" s="67"/>
    </row>
    <row r="681">
      <c r="A681" s="66"/>
      <c r="B681" s="66"/>
      <c r="C681" s="66"/>
      <c r="D681" s="66"/>
      <c r="E681" s="66"/>
      <c r="F681" s="66"/>
      <c r="I681" s="67"/>
      <c r="X681" s="67"/>
    </row>
    <row r="682">
      <c r="A682" s="66"/>
      <c r="B682" s="66"/>
      <c r="C682" s="66"/>
      <c r="D682" s="66"/>
      <c r="E682" s="66"/>
      <c r="F682" s="66"/>
      <c r="I682" s="67"/>
      <c r="X682" s="67"/>
    </row>
    <row r="683">
      <c r="A683" s="66"/>
      <c r="B683" s="66"/>
      <c r="C683" s="66"/>
      <c r="D683" s="66"/>
      <c r="E683" s="66"/>
      <c r="F683" s="66"/>
      <c r="I683" s="67"/>
      <c r="X683" s="67"/>
    </row>
    <row r="684">
      <c r="A684" s="66"/>
      <c r="B684" s="66"/>
      <c r="C684" s="66"/>
      <c r="D684" s="66"/>
      <c r="E684" s="66"/>
      <c r="F684" s="66"/>
      <c r="I684" s="67"/>
      <c r="X684" s="67"/>
    </row>
    <row r="685">
      <c r="A685" s="66"/>
      <c r="B685" s="66"/>
      <c r="C685" s="66"/>
      <c r="D685" s="66"/>
      <c r="E685" s="66"/>
      <c r="F685" s="66"/>
      <c r="I685" s="67"/>
      <c r="X685" s="67"/>
    </row>
    <row r="686">
      <c r="A686" s="66"/>
      <c r="B686" s="66"/>
      <c r="C686" s="66"/>
      <c r="D686" s="66"/>
      <c r="E686" s="66"/>
      <c r="F686" s="66"/>
      <c r="I686" s="67"/>
      <c r="X686" s="67"/>
    </row>
    <row r="687">
      <c r="A687" s="66"/>
      <c r="B687" s="66"/>
      <c r="C687" s="66"/>
      <c r="D687" s="66"/>
      <c r="E687" s="66"/>
      <c r="F687" s="66"/>
      <c r="I687" s="67"/>
      <c r="X687" s="67"/>
    </row>
    <row r="688">
      <c r="A688" s="66"/>
      <c r="B688" s="66"/>
      <c r="C688" s="66"/>
      <c r="D688" s="66"/>
      <c r="E688" s="66"/>
      <c r="F688" s="66"/>
      <c r="I688" s="67"/>
      <c r="X688" s="67"/>
    </row>
    <row r="689">
      <c r="A689" s="66"/>
      <c r="B689" s="66"/>
      <c r="C689" s="66"/>
      <c r="D689" s="66"/>
      <c r="E689" s="66"/>
      <c r="F689" s="66"/>
      <c r="I689" s="67"/>
      <c r="X689" s="67"/>
    </row>
    <row r="690">
      <c r="A690" s="66"/>
      <c r="B690" s="66"/>
      <c r="C690" s="66"/>
      <c r="D690" s="66"/>
      <c r="E690" s="66"/>
      <c r="F690" s="66"/>
      <c r="I690" s="67"/>
      <c r="X690" s="67"/>
    </row>
    <row r="691">
      <c r="A691" s="66"/>
      <c r="B691" s="66"/>
      <c r="C691" s="66"/>
      <c r="D691" s="66"/>
      <c r="E691" s="66"/>
      <c r="F691" s="66"/>
      <c r="I691" s="67"/>
      <c r="X691" s="67"/>
    </row>
    <row r="692">
      <c r="A692" s="66"/>
      <c r="B692" s="66"/>
      <c r="C692" s="66"/>
      <c r="D692" s="66"/>
      <c r="E692" s="66"/>
      <c r="F692" s="66"/>
      <c r="I692" s="67"/>
      <c r="X692" s="67"/>
    </row>
    <row r="693">
      <c r="A693" s="66"/>
      <c r="B693" s="66"/>
      <c r="C693" s="66"/>
      <c r="D693" s="66"/>
      <c r="E693" s="66"/>
      <c r="F693" s="66"/>
      <c r="I693" s="67"/>
      <c r="X693" s="67"/>
    </row>
    <row r="694">
      <c r="A694" s="66"/>
      <c r="B694" s="66"/>
      <c r="C694" s="66"/>
      <c r="D694" s="66"/>
      <c r="E694" s="66"/>
      <c r="F694" s="66"/>
      <c r="I694" s="67"/>
      <c r="X694" s="67"/>
    </row>
    <row r="695">
      <c r="A695" s="66"/>
      <c r="B695" s="66"/>
      <c r="C695" s="66"/>
      <c r="D695" s="66"/>
      <c r="E695" s="66"/>
      <c r="F695" s="66"/>
      <c r="I695" s="67"/>
      <c r="X695" s="67"/>
    </row>
    <row r="696">
      <c r="A696" s="66"/>
      <c r="B696" s="66"/>
      <c r="C696" s="66"/>
      <c r="D696" s="66"/>
      <c r="E696" s="66"/>
      <c r="F696" s="66"/>
      <c r="I696" s="67"/>
      <c r="X696" s="67"/>
    </row>
    <row r="697">
      <c r="A697" s="66"/>
      <c r="B697" s="66"/>
      <c r="C697" s="66"/>
      <c r="D697" s="66"/>
      <c r="E697" s="66"/>
      <c r="F697" s="66"/>
      <c r="I697" s="67"/>
      <c r="X697" s="67"/>
    </row>
    <row r="698">
      <c r="A698" s="66"/>
      <c r="B698" s="66"/>
      <c r="C698" s="66"/>
      <c r="D698" s="66"/>
      <c r="E698" s="66"/>
      <c r="F698" s="66"/>
      <c r="I698" s="67"/>
      <c r="X698" s="67"/>
    </row>
    <row r="699">
      <c r="A699" s="66"/>
      <c r="B699" s="66"/>
      <c r="C699" s="66"/>
      <c r="D699" s="66"/>
      <c r="E699" s="66"/>
      <c r="F699" s="66"/>
      <c r="I699" s="67"/>
      <c r="X699" s="67"/>
    </row>
    <row r="700">
      <c r="A700" s="66"/>
      <c r="B700" s="66"/>
      <c r="C700" s="66"/>
      <c r="D700" s="66"/>
      <c r="E700" s="66"/>
      <c r="F700" s="66"/>
      <c r="I700" s="67"/>
      <c r="X700" s="67"/>
    </row>
    <row r="701">
      <c r="A701" s="66"/>
      <c r="B701" s="66"/>
      <c r="C701" s="66"/>
      <c r="D701" s="66"/>
      <c r="E701" s="66"/>
      <c r="F701" s="66"/>
      <c r="I701" s="67"/>
      <c r="X701" s="67"/>
    </row>
    <row r="702">
      <c r="A702" s="66"/>
      <c r="B702" s="66"/>
      <c r="C702" s="66"/>
      <c r="D702" s="66"/>
      <c r="E702" s="66"/>
      <c r="F702" s="66"/>
      <c r="I702" s="67"/>
      <c r="X702" s="67"/>
    </row>
    <row r="703">
      <c r="A703" s="66"/>
      <c r="B703" s="66"/>
      <c r="C703" s="66"/>
      <c r="D703" s="66"/>
      <c r="E703" s="66"/>
      <c r="F703" s="66"/>
      <c r="I703" s="67"/>
      <c r="X703" s="67"/>
    </row>
    <row r="704">
      <c r="A704" s="66"/>
      <c r="B704" s="66"/>
      <c r="C704" s="66"/>
      <c r="D704" s="66"/>
      <c r="E704" s="66"/>
      <c r="F704" s="66"/>
      <c r="I704" s="67"/>
      <c r="X704" s="67"/>
    </row>
    <row r="705">
      <c r="A705" s="66"/>
      <c r="B705" s="66"/>
      <c r="C705" s="66"/>
      <c r="D705" s="66"/>
      <c r="E705" s="66"/>
      <c r="F705" s="66"/>
      <c r="I705" s="67"/>
      <c r="X705" s="67"/>
    </row>
    <row r="706">
      <c r="A706" s="66"/>
      <c r="B706" s="66"/>
      <c r="C706" s="66"/>
      <c r="D706" s="66"/>
      <c r="E706" s="66"/>
      <c r="F706" s="66"/>
      <c r="I706" s="67"/>
      <c r="X706" s="67"/>
    </row>
    <row r="707">
      <c r="A707" s="66"/>
      <c r="B707" s="66"/>
      <c r="C707" s="66"/>
      <c r="D707" s="66"/>
      <c r="E707" s="66"/>
      <c r="F707" s="66"/>
      <c r="I707" s="67"/>
      <c r="X707" s="67"/>
    </row>
    <row r="708">
      <c r="A708" s="66"/>
      <c r="B708" s="66"/>
      <c r="C708" s="66"/>
      <c r="D708" s="66"/>
      <c r="E708" s="66"/>
      <c r="F708" s="66"/>
      <c r="I708" s="67"/>
      <c r="X708" s="67"/>
    </row>
    <row r="709">
      <c r="A709" s="66"/>
      <c r="B709" s="66"/>
      <c r="C709" s="66"/>
      <c r="D709" s="66"/>
      <c r="E709" s="66"/>
      <c r="F709" s="66"/>
      <c r="I709" s="67"/>
      <c r="X709" s="67"/>
    </row>
    <row r="710">
      <c r="A710" s="66"/>
      <c r="B710" s="66"/>
      <c r="C710" s="66"/>
      <c r="D710" s="66"/>
      <c r="E710" s="66"/>
      <c r="F710" s="66"/>
      <c r="I710" s="67"/>
      <c r="X710" s="67"/>
    </row>
    <row r="711">
      <c r="A711" s="66"/>
      <c r="B711" s="66"/>
      <c r="C711" s="66"/>
      <c r="D711" s="66"/>
      <c r="E711" s="66"/>
      <c r="F711" s="66"/>
      <c r="I711" s="67"/>
      <c r="X711" s="67"/>
    </row>
    <row r="712">
      <c r="A712" s="66"/>
      <c r="B712" s="66"/>
      <c r="C712" s="66"/>
      <c r="D712" s="66"/>
      <c r="E712" s="66"/>
      <c r="F712" s="66"/>
      <c r="I712" s="67"/>
      <c r="X712" s="67"/>
    </row>
    <row r="713">
      <c r="A713" s="66"/>
      <c r="B713" s="66"/>
      <c r="C713" s="66"/>
      <c r="D713" s="66"/>
      <c r="E713" s="66"/>
      <c r="F713" s="66"/>
      <c r="I713" s="67"/>
      <c r="X713" s="67"/>
    </row>
    <row r="714">
      <c r="A714" s="66"/>
      <c r="B714" s="66"/>
      <c r="C714" s="66"/>
      <c r="D714" s="66"/>
      <c r="E714" s="66"/>
      <c r="F714" s="66"/>
      <c r="I714" s="67"/>
      <c r="X714" s="67"/>
    </row>
    <row r="715">
      <c r="A715" s="66"/>
      <c r="B715" s="66"/>
      <c r="C715" s="66"/>
      <c r="D715" s="66"/>
      <c r="E715" s="66"/>
      <c r="F715" s="66"/>
      <c r="I715" s="67"/>
      <c r="X715" s="67"/>
    </row>
    <row r="716">
      <c r="A716" s="66"/>
      <c r="B716" s="66"/>
      <c r="C716" s="66"/>
      <c r="D716" s="66"/>
      <c r="E716" s="66"/>
      <c r="F716" s="66"/>
      <c r="I716" s="67"/>
      <c r="X716" s="67"/>
    </row>
    <row r="717">
      <c r="A717" s="66"/>
      <c r="B717" s="66"/>
      <c r="C717" s="66"/>
      <c r="D717" s="66"/>
      <c r="E717" s="66"/>
      <c r="F717" s="66"/>
      <c r="I717" s="67"/>
      <c r="X717" s="67"/>
    </row>
    <row r="718">
      <c r="A718" s="66"/>
      <c r="B718" s="66"/>
      <c r="C718" s="66"/>
      <c r="D718" s="66"/>
      <c r="E718" s="66"/>
      <c r="F718" s="66"/>
      <c r="I718" s="67"/>
      <c r="X718" s="67"/>
    </row>
    <row r="719">
      <c r="A719" s="66"/>
      <c r="B719" s="66"/>
      <c r="C719" s="66"/>
      <c r="D719" s="66"/>
      <c r="E719" s="66"/>
      <c r="F719" s="66"/>
      <c r="I719" s="67"/>
      <c r="X719" s="67"/>
    </row>
    <row r="720">
      <c r="A720" s="66"/>
      <c r="B720" s="66"/>
      <c r="C720" s="66"/>
      <c r="D720" s="66"/>
      <c r="E720" s="66"/>
      <c r="F720" s="66"/>
      <c r="I720" s="67"/>
      <c r="X720" s="67"/>
    </row>
    <row r="721">
      <c r="A721" s="66"/>
      <c r="B721" s="66"/>
      <c r="C721" s="66"/>
      <c r="D721" s="66"/>
      <c r="E721" s="66"/>
      <c r="F721" s="66"/>
      <c r="I721" s="67"/>
      <c r="X721" s="67"/>
    </row>
    <row r="722">
      <c r="A722" s="66"/>
      <c r="B722" s="66"/>
      <c r="C722" s="66"/>
      <c r="D722" s="66"/>
      <c r="E722" s="66"/>
      <c r="F722" s="66"/>
      <c r="I722" s="67"/>
      <c r="X722" s="67"/>
    </row>
    <row r="723">
      <c r="A723" s="66"/>
      <c r="B723" s="66"/>
      <c r="C723" s="66"/>
      <c r="D723" s="66"/>
      <c r="E723" s="66"/>
      <c r="F723" s="66"/>
      <c r="I723" s="67"/>
      <c r="X723" s="67"/>
    </row>
    <row r="724">
      <c r="A724" s="66"/>
      <c r="B724" s="66"/>
      <c r="C724" s="66"/>
      <c r="D724" s="66"/>
      <c r="E724" s="66"/>
      <c r="F724" s="66"/>
      <c r="I724" s="67"/>
      <c r="X724" s="67"/>
    </row>
    <row r="725">
      <c r="A725" s="66"/>
      <c r="B725" s="66"/>
      <c r="C725" s="66"/>
      <c r="D725" s="66"/>
      <c r="E725" s="66"/>
      <c r="F725" s="66"/>
      <c r="I725" s="67"/>
      <c r="X725" s="67"/>
    </row>
    <row r="726">
      <c r="A726" s="66"/>
      <c r="B726" s="66"/>
      <c r="C726" s="66"/>
      <c r="D726" s="66"/>
      <c r="E726" s="66"/>
      <c r="F726" s="66"/>
      <c r="I726" s="67"/>
      <c r="X726" s="67"/>
    </row>
    <row r="727">
      <c r="A727" s="66"/>
      <c r="B727" s="66"/>
      <c r="C727" s="66"/>
      <c r="D727" s="66"/>
      <c r="E727" s="66"/>
      <c r="F727" s="66"/>
      <c r="I727" s="67"/>
      <c r="X727" s="67"/>
    </row>
    <row r="728">
      <c r="A728" s="66"/>
      <c r="B728" s="66"/>
      <c r="C728" s="66"/>
      <c r="D728" s="66"/>
      <c r="E728" s="66"/>
      <c r="F728" s="66"/>
      <c r="I728" s="67"/>
      <c r="X728" s="67"/>
    </row>
    <row r="729">
      <c r="A729" s="66"/>
      <c r="B729" s="66"/>
      <c r="C729" s="66"/>
      <c r="D729" s="66"/>
      <c r="E729" s="66"/>
      <c r="F729" s="66"/>
      <c r="I729" s="67"/>
      <c r="X729" s="67"/>
    </row>
    <row r="730">
      <c r="A730" s="66"/>
      <c r="B730" s="66"/>
      <c r="C730" s="66"/>
      <c r="D730" s="66"/>
      <c r="E730" s="66"/>
      <c r="F730" s="66"/>
      <c r="I730" s="67"/>
      <c r="X730" s="67"/>
    </row>
    <row r="731">
      <c r="A731" s="66"/>
      <c r="B731" s="66"/>
      <c r="C731" s="66"/>
      <c r="D731" s="66"/>
      <c r="E731" s="66"/>
      <c r="F731" s="66"/>
      <c r="I731" s="67"/>
      <c r="X731" s="67"/>
    </row>
    <row r="732">
      <c r="A732" s="66"/>
      <c r="B732" s="66"/>
      <c r="C732" s="66"/>
      <c r="D732" s="66"/>
      <c r="E732" s="66"/>
      <c r="F732" s="66"/>
      <c r="I732" s="67"/>
      <c r="X732" s="67"/>
    </row>
    <row r="733">
      <c r="A733" s="66"/>
      <c r="B733" s="66"/>
      <c r="C733" s="66"/>
      <c r="D733" s="66"/>
      <c r="E733" s="66"/>
      <c r="F733" s="66"/>
      <c r="I733" s="67"/>
      <c r="X733" s="67"/>
    </row>
    <row r="734">
      <c r="A734" s="66"/>
      <c r="B734" s="66"/>
      <c r="C734" s="66"/>
      <c r="D734" s="66"/>
      <c r="E734" s="66"/>
      <c r="F734" s="66"/>
      <c r="I734" s="67"/>
      <c r="X734" s="67"/>
    </row>
    <row r="735">
      <c r="A735" s="66"/>
      <c r="B735" s="66"/>
      <c r="C735" s="66"/>
      <c r="D735" s="66"/>
      <c r="E735" s="66"/>
      <c r="F735" s="66"/>
      <c r="I735" s="67"/>
      <c r="X735" s="67"/>
    </row>
    <row r="736">
      <c r="A736" s="66"/>
      <c r="B736" s="66"/>
      <c r="C736" s="66"/>
      <c r="D736" s="66"/>
      <c r="E736" s="66"/>
      <c r="F736" s="66"/>
      <c r="I736" s="67"/>
      <c r="X736" s="67"/>
    </row>
    <row r="737">
      <c r="A737" s="66"/>
      <c r="B737" s="66"/>
      <c r="C737" s="66"/>
      <c r="D737" s="66"/>
      <c r="E737" s="66"/>
      <c r="F737" s="66"/>
      <c r="I737" s="67"/>
      <c r="X737" s="67"/>
    </row>
    <row r="738">
      <c r="A738" s="66"/>
      <c r="B738" s="66"/>
      <c r="C738" s="66"/>
      <c r="D738" s="66"/>
      <c r="E738" s="66"/>
      <c r="F738" s="66"/>
      <c r="I738" s="67"/>
      <c r="X738" s="67"/>
    </row>
    <row r="739">
      <c r="A739" s="66"/>
      <c r="B739" s="66"/>
      <c r="C739" s="66"/>
      <c r="D739" s="66"/>
      <c r="E739" s="66"/>
      <c r="F739" s="66"/>
      <c r="I739" s="67"/>
      <c r="X739" s="67"/>
    </row>
    <row r="740">
      <c r="A740" s="66"/>
      <c r="B740" s="66"/>
      <c r="C740" s="66"/>
      <c r="D740" s="66"/>
      <c r="E740" s="66"/>
      <c r="F740" s="66"/>
      <c r="I740" s="67"/>
      <c r="X740" s="67"/>
    </row>
    <row r="741">
      <c r="A741" s="66"/>
      <c r="B741" s="66"/>
      <c r="C741" s="66"/>
      <c r="D741" s="66"/>
      <c r="E741" s="66"/>
      <c r="F741" s="66"/>
      <c r="I741" s="67"/>
      <c r="X741" s="67"/>
    </row>
    <row r="742">
      <c r="A742" s="66"/>
      <c r="B742" s="66"/>
      <c r="C742" s="66"/>
      <c r="D742" s="66"/>
      <c r="E742" s="66"/>
      <c r="F742" s="66"/>
      <c r="I742" s="67"/>
      <c r="X742" s="67"/>
    </row>
    <row r="743">
      <c r="A743" s="66"/>
      <c r="B743" s="66"/>
      <c r="C743" s="66"/>
      <c r="D743" s="66"/>
      <c r="E743" s="66"/>
      <c r="F743" s="66"/>
      <c r="I743" s="67"/>
      <c r="X743" s="67"/>
    </row>
    <row r="744">
      <c r="A744" s="66"/>
      <c r="B744" s="66"/>
      <c r="C744" s="66"/>
      <c r="D744" s="66"/>
      <c r="E744" s="66"/>
      <c r="F744" s="66"/>
      <c r="I744" s="67"/>
      <c r="X744" s="67"/>
    </row>
    <row r="745">
      <c r="A745" s="66"/>
      <c r="B745" s="66"/>
      <c r="C745" s="66"/>
      <c r="D745" s="66"/>
      <c r="E745" s="66"/>
      <c r="F745" s="66"/>
      <c r="I745" s="67"/>
      <c r="X745" s="67"/>
    </row>
    <row r="746">
      <c r="A746" s="66"/>
      <c r="B746" s="66"/>
      <c r="C746" s="66"/>
      <c r="D746" s="66"/>
      <c r="E746" s="66"/>
      <c r="F746" s="66"/>
      <c r="I746" s="67"/>
      <c r="X746" s="67"/>
    </row>
    <row r="747">
      <c r="A747" s="66"/>
      <c r="B747" s="66"/>
      <c r="C747" s="66"/>
      <c r="D747" s="66"/>
      <c r="E747" s="66"/>
      <c r="F747" s="66"/>
      <c r="I747" s="67"/>
      <c r="X747" s="67"/>
    </row>
    <row r="748">
      <c r="A748" s="66"/>
      <c r="B748" s="66"/>
      <c r="C748" s="66"/>
      <c r="D748" s="66"/>
      <c r="E748" s="66"/>
      <c r="F748" s="66"/>
      <c r="I748" s="67"/>
      <c r="X748" s="67"/>
    </row>
    <row r="749">
      <c r="A749" s="66"/>
      <c r="B749" s="66"/>
      <c r="C749" s="66"/>
      <c r="D749" s="66"/>
      <c r="E749" s="66"/>
      <c r="F749" s="66"/>
      <c r="I749" s="67"/>
      <c r="X749" s="67"/>
    </row>
    <row r="750">
      <c r="A750" s="66"/>
      <c r="B750" s="66"/>
      <c r="C750" s="66"/>
      <c r="D750" s="66"/>
      <c r="E750" s="66"/>
      <c r="F750" s="66"/>
      <c r="I750" s="67"/>
      <c r="X750" s="67"/>
    </row>
    <row r="751">
      <c r="A751" s="66"/>
      <c r="B751" s="66"/>
      <c r="C751" s="66"/>
      <c r="D751" s="66"/>
      <c r="E751" s="66"/>
      <c r="F751" s="66"/>
      <c r="I751" s="67"/>
      <c r="X751" s="67"/>
    </row>
    <row r="752">
      <c r="A752" s="66"/>
      <c r="B752" s="66"/>
      <c r="C752" s="66"/>
      <c r="D752" s="66"/>
      <c r="E752" s="66"/>
      <c r="F752" s="66"/>
      <c r="I752" s="67"/>
      <c r="X752" s="67"/>
    </row>
    <row r="753">
      <c r="A753" s="66"/>
      <c r="B753" s="66"/>
      <c r="C753" s="66"/>
      <c r="D753" s="66"/>
      <c r="E753" s="66"/>
      <c r="F753" s="66"/>
      <c r="I753" s="67"/>
      <c r="X753" s="67"/>
    </row>
    <row r="754">
      <c r="A754" s="66"/>
      <c r="B754" s="66"/>
      <c r="C754" s="66"/>
      <c r="D754" s="66"/>
      <c r="E754" s="66"/>
      <c r="F754" s="66"/>
      <c r="I754" s="67"/>
      <c r="X754" s="67"/>
    </row>
    <row r="755">
      <c r="A755" s="66"/>
      <c r="B755" s="66"/>
      <c r="C755" s="66"/>
      <c r="D755" s="66"/>
      <c r="E755" s="66"/>
      <c r="F755" s="66"/>
      <c r="I755" s="67"/>
      <c r="X755" s="67"/>
    </row>
    <row r="756">
      <c r="A756" s="66"/>
      <c r="B756" s="66"/>
      <c r="C756" s="66"/>
      <c r="D756" s="66"/>
      <c r="E756" s="66"/>
      <c r="F756" s="66"/>
      <c r="I756" s="67"/>
      <c r="X756" s="67"/>
    </row>
    <row r="757">
      <c r="A757" s="66"/>
      <c r="B757" s="66"/>
      <c r="C757" s="66"/>
      <c r="D757" s="66"/>
      <c r="E757" s="66"/>
      <c r="F757" s="66"/>
      <c r="I757" s="67"/>
      <c r="X757" s="67"/>
    </row>
    <row r="758">
      <c r="A758" s="66"/>
      <c r="B758" s="66"/>
      <c r="C758" s="66"/>
      <c r="D758" s="66"/>
      <c r="E758" s="66"/>
      <c r="F758" s="66"/>
      <c r="I758" s="67"/>
      <c r="X758" s="67"/>
    </row>
    <row r="759">
      <c r="A759" s="66"/>
      <c r="B759" s="66"/>
      <c r="C759" s="66"/>
      <c r="D759" s="66"/>
      <c r="E759" s="66"/>
      <c r="F759" s="66"/>
      <c r="I759" s="67"/>
      <c r="X759" s="67"/>
    </row>
    <row r="760">
      <c r="A760" s="66"/>
      <c r="B760" s="66"/>
      <c r="C760" s="66"/>
      <c r="D760" s="66"/>
      <c r="E760" s="66"/>
      <c r="F760" s="66"/>
      <c r="I760" s="67"/>
      <c r="X760" s="67"/>
    </row>
    <row r="761">
      <c r="A761" s="66"/>
      <c r="B761" s="66"/>
      <c r="C761" s="66"/>
      <c r="D761" s="66"/>
      <c r="E761" s="66"/>
      <c r="F761" s="66"/>
      <c r="I761" s="67"/>
      <c r="X761" s="67"/>
    </row>
    <row r="762">
      <c r="A762" s="66"/>
      <c r="B762" s="66"/>
      <c r="C762" s="66"/>
      <c r="D762" s="66"/>
      <c r="E762" s="66"/>
      <c r="F762" s="66"/>
      <c r="I762" s="67"/>
      <c r="X762" s="67"/>
    </row>
    <row r="763">
      <c r="A763" s="66"/>
      <c r="B763" s="66"/>
      <c r="C763" s="66"/>
      <c r="D763" s="66"/>
      <c r="E763" s="66"/>
      <c r="F763" s="66"/>
      <c r="I763" s="67"/>
      <c r="X763" s="67"/>
    </row>
    <row r="764">
      <c r="A764" s="66"/>
      <c r="B764" s="66"/>
      <c r="C764" s="66"/>
      <c r="D764" s="66"/>
      <c r="E764" s="66"/>
      <c r="F764" s="66"/>
      <c r="I764" s="67"/>
      <c r="X764" s="67"/>
    </row>
    <row r="765">
      <c r="A765" s="66"/>
      <c r="B765" s="66"/>
      <c r="C765" s="66"/>
      <c r="D765" s="66"/>
      <c r="E765" s="66"/>
      <c r="F765" s="66"/>
      <c r="I765" s="67"/>
      <c r="X765" s="67"/>
    </row>
    <row r="766">
      <c r="A766" s="66"/>
      <c r="B766" s="66"/>
      <c r="C766" s="66"/>
      <c r="D766" s="66"/>
      <c r="E766" s="66"/>
      <c r="F766" s="66"/>
      <c r="I766" s="67"/>
      <c r="X766" s="67"/>
    </row>
    <row r="767">
      <c r="A767" s="66"/>
      <c r="B767" s="66"/>
      <c r="C767" s="66"/>
      <c r="D767" s="66"/>
      <c r="E767" s="66"/>
      <c r="F767" s="66"/>
      <c r="I767" s="67"/>
      <c r="X767" s="67"/>
    </row>
    <row r="768">
      <c r="A768" s="66"/>
      <c r="B768" s="66"/>
      <c r="C768" s="66"/>
      <c r="D768" s="66"/>
      <c r="E768" s="66"/>
      <c r="F768" s="66"/>
      <c r="I768" s="67"/>
      <c r="X768" s="67"/>
    </row>
    <row r="769">
      <c r="A769" s="66"/>
      <c r="B769" s="66"/>
      <c r="C769" s="66"/>
      <c r="D769" s="66"/>
      <c r="E769" s="66"/>
      <c r="F769" s="66"/>
      <c r="I769" s="67"/>
      <c r="X769" s="67"/>
    </row>
    <row r="770">
      <c r="A770" s="66"/>
      <c r="B770" s="66"/>
      <c r="C770" s="66"/>
      <c r="D770" s="66"/>
      <c r="E770" s="66"/>
      <c r="F770" s="66"/>
      <c r="I770" s="67"/>
      <c r="X770" s="67"/>
    </row>
    <row r="771">
      <c r="A771" s="66"/>
      <c r="B771" s="66"/>
      <c r="C771" s="66"/>
      <c r="D771" s="66"/>
      <c r="E771" s="66"/>
      <c r="F771" s="66"/>
      <c r="I771" s="67"/>
      <c r="X771" s="67"/>
    </row>
    <row r="772">
      <c r="A772" s="66"/>
      <c r="B772" s="66"/>
      <c r="C772" s="66"/>
      <c r="D772" s="66"/>
      <c r="E772" s="66"/>
      <c r="F772" s="66"/>
      <c r="I772" s="67"/>
      <c r="X772" s="67"/>
    </row>
    <row r="773">
      <c r="A773" s="66"/>
      <c r="B773" s="66"/>
      <c r="C773" s="66"/>
      <c r="D773" s="66"/>
      <c r="E773" s="66"/>
      <c r="F773" s="66"/>
      <c r="I773" s="67"/>
      <c r="X773" s="67"/>
    </row>
    <row r="774">
      <c r="A774" s="66"/>
      <c r="B774" s="66"/>
      <c r="C774" s="66"/>
      <c r="D774" s="66"/>
      <c r="E774" s="66"/>
      <c r="F774" s="66"/>
      <c r="I774" s="67"/>
      <c r="X774" s="67"/>
    </row>
    <row r="775">
      <c r="A775" s="66"/>
      <c r="B775" s="66"/>
      <c r="C775" s="66"/>
      <c r="D775" s="66"/>
      <c r="E775" s="66"/>
      <c r="F775" s="66"/>
      <c r="I775" s="67"/>
      <c r="X775" s="67"/>
    </row>
    <row r="776">
      <c r="A776" s="66"/>
      <c r="B776" s="66"/>
      <c r="C776" s="66"/>
      <c r="D776" s="66"/>
      <c r="E776" s="66"/>
      <c r="F776" s="66"/>
      <c r="I776" s="67"/>
      <c r="X776" s="67"/>
    </row>
    <row r="777">
      <c r="A777" s="66"/>
      <c r="B777" s="66"/>
      <c r="C777" s="66"/>
      <c r="D777" s="66"/>
      <c r="E777" s="66"/>
      <c r="F777" s="66"/>
      <c r="I777" s="67"/>
      <c r="X777" s="67"/>
    </row>
    <row r="778">
      <c r="A778" s="66"/>
      <c r="B778" s="66"/>
      <c r="C778" s="66"/>
      <c r="D778" s="66"/>
      <c r="E778" s="66"/>
      <c r="F778" s="66"/>
      <c r="I778" s="67"/>
      <c r="X778" s="67"/>
    </row>
    <row r="779">
      <c r="A779" s="66"/>
      <c r="B779" s="66"/>
      <c r="C779" s="66"/>
      <c r="D779" s="66"/>
      <c r="E779" s="66"/>
      <c r="F779" s="66"/>
      <c r="I779" s="67"/>
      <c r="X779" s="67"/>
    </row>
    <row r="780">
      <c r="A780" s="66"/>
      <c r="B780" s="66"/>
      <c r="C780" s="66"/>
      <c r="D780" s="66"/>
      <c r="E780" s="66"/>
      <c r="F780" s="66"/>
      <c r="I780" s="67"/>
      <c r="X780" s="67"/>
    </row>
    <row r="781">
      <c r="A781" s="66"/>
      <c r="B781" s="66"/>
      <c r="C781" s="66"/>
      <c r="D781" s="66"/>
      <c r="E781" s="66"/>
      <c r="F781" s="66"/>
      <c r="I781" s="67"/>
      <c r="X781" s="67"/>
    </row>
    <row r="782">
      <c r="A782" s="66"/>
      <c r="B782" s="66"/>
      <c r="C782" s="66"/>
      <c r="D782" s="66"/>
      <c r="E782" s="66"/>
      <c r="F782" s="66"/>
      <c r="I782" s="67"/>
      <c r="X782" s="67"/>
    </row>
    <row r="783">
      <c r="A783" s="66"/>
      <c r="B783" s="66"/>
      <c r="C783" s="66"/>
      <c r="D783" s="66"/>
      <c r="E783" s="66"/>
      <c r="F783" s="66"/>
      <c r="I783" s="67"/>
      <c r="X783" s="67"/>
    </row>
    <row r="784">
      <c r="A784" s="66"/>
      <c r="B784" s="66"/>
      <c r="C784" s="66"/>
      <c r="D784" s="66"/>
      <c r="E784" s="66"/>
      <c r="F784" s="66"/>
      <c r="I784" s="67"/>
      <c r="X784" s="67"/>
    </row>
    <row r="785">
      <c r="A785" s="66"/>
      <c r="B785" s="66"/>
      <c r="C785" s="66"/>
      <c r="D785" s="66"/>
      <c r="E785" s="66"/>
      <c r="F785" s="66"/>
      <c r="I785" s="67"/>
      <c r="X785" s="67"/>
    </row>
    <row r="786">
      <c r="A786" s="66"/>
      <c r="B786" s="66"/>
      <c r="C786" s="66"/>
      <c r="D786" s="66"/>
      <c r="E786" s="66"/>
      <c r="F786" s="66"/>
      <c r="I786" s="67"/>
      <c r="X786" s="67"/>
    </row>
    <row r="787">
      <c r="A787" s="66"/>
      <c r="B787" s="66"/>
      <c r="C787" s="66"/>
      <c r="D787" s="66"/>
      <c r="E787" s="66"/>
      <c r="F787" s="66"/>
      <c r="I787" s="67"/>
      <c r="X787" s="67"/>
    </row>
    <row r="788">
      <c r="A788" s="66"/>
      <c r="B788" s="66"/>
      <c r="C788" s="66"/>
      <c r="D788" s="66"/>
      <c r="E788" s="66"/>
      <c r="F788" s="66"/>
      <c r="I788" s="67"/>
      <c r="X788" s="67"/>
    </row>
    <row r="789">
      <c r="A789" s="66"/>
      <c r="B789" s="66"/>
      <c r="C789" s="66"/>
      <c r="D789" s="66"/>
      <c r="E789" s="66"/>
      <c r="F789" s="66"/>
      <c r="I789" s="67"/>
      <c r="X789" s="67"/>
    </row>
    <row r="790">
      <c r="A790" s="66"/>
      <c r="B790" s="66"/>
      <c r="C790" s="66"/>
      <c r="D790" s="66"/>
      <c r="E790" s="66"/>
      <c r="F790" s="66"/>
      <c r="I790" s="67"/>
      <c r="X790" s="67"/>
    </row>
    <row r="791">
      <c r="A791" s="66"/>
      <c r="B791" s="66"/>
      <c r="C791" s="66"/>
      <c r="D791" s="66"/>
      <c r="E791" s="66"/>
      <c r="F791" s="66"/>
      <c r="I791" s="67"/>
      <c r="X791" s="67"/>
    </row>
    <row r="792">
      <c r="A792" s="66"/>
      <c r="B792" s="66"/>
      <c r="C792" s="66"/>
      <c r="D792" s="66"/>
      <c r="E792" s="66"/>
      <c r="F792" s="66"/>
      <c r="I792" s="67"/>
      <c r="X792" s="67"/>
    </row>
    <row r="793">
      <c r="A793" s="66"/>
      <c r="B793" s="66"/>
      <c r="C793" s="66"/>
      <c r="D793" s="66"/>
      <c r="E793" s="66"/>
      <c r="F793" s="66"/>
      <c r="I793" s="67"/>
      <c r="X793" s="67"/>
    </row>
    <row r="794">
      <c r="A794" s="66"/>
      <c r="B794" s="66"/>
      <c r="C794" s="66"/>
      <c r="D794" s="66"/>
      <c r="E794" s="66"/>
      <c r="F794" s="66"/>
      <c r="I794" s="67"/>
      <c r="X794" s="67"/>
    </row>
    <row r="795">
      <c r="A795" s="66"/>
      <c r="B795" s="66"/>
      <c r="C795" s="66"/>
      <c r="D795" s="66"/>
      <c r="E795" s="66"/>
      <c r="F795" s="66"/>
      <c r="I795" s="67"/>
      <c r="X795" s="67"/>
    </row>
    <row r="796">
      <c r="A796" s="66"/>
      <c r="B796" s="66"/>
      <c r="C796" s="66"/>
      <c r="D796" s="66"/>
      <c r="E796" s="66"/>
      <c r="F796" s="66"/>
      <c r="I796" s="67"/>
      <c r="X796" s="67"/>
    </row>
    <row r="797">
      <c r="A797" s="66"/>
      <c r="B797" s="66"/>
      <c r="C797" s="66"/>
      <c r="D797" s="66"/>
      <c r="E797" s="66"/>
      <c r="F797" s="66"/>
      <c r="I797" s="67"/>
      <c r="X797" s="67"/>
    </row>
    <row r="798">
      <c r="A798" s="66"/>
      <c r="B798" s="66"/>
      <c r="C798" s="66"/>
      <c r="D798" s="66"/>
      <c r="E798" s="66"/>
      <c r="F798" s="66"/>
      <c r="I798" s="67"/>
      <c r="X798" s="67"/>
    </row>
    <row r="799">
      <c r="A799" s="66"/>
      <c r="B799" s="66"/>
      <c r="C799" s="66"/>
      <c r="D799" s="66"/>
      <c r="E799" s="66"/>
      <c r="F799" s="66"/>
      <c r="I799" s="67"/>
      <c r="X799" s="67"/>
    </row>
    <row r="800">
      <c r="A800" s="66"/>
      <c r="B800" s="66"/>
      <c r="C800" s="66"/>
      <c r="D800" s="66"/>
      <c r="E800" s="66"/>
      <c r="F800" s="66"/>
      <c r="I800" s="67"/>
      <c r="X800" s="67"/>
    </row>
    <row r="801">
      <c r="A801" s="66"/>
      <c r="B801" s="66"/>
      <c r="C801" s="66"/>
      <c r="D801" s="66"/>
      <c r="E801" s="66"/>
      <c r="F801" s="66"/>
      <c r="I801" s="67"/>
      <c r="X801" s="67"/>
    </row>
    <row r="802">
      <c r="A802" s="66"/>
      <c r="B802" s="66"/>
      <c r="C802" s="66"/>
      <c r="D802" s="66"/>
      <c r="E802" s="66"/>
      <c r="F802" s="66"/>
      <c r="I802" s="67"/>
      <c r="X802" s="67"/>
    </row>
    <row r="803">
      <c r="A803" s="66"/>
      <c r="B803" s="66"/>
      <c r="C803" s="66"/>
      <c r="D803" s="66"/>
      <c r="E803" s="66"/>
      <c r="F803" s="66"/>
      <c r="I803" s="67"/>
      <c r="X803" s="67"/>
    </row>
    <row r="804">
      <c r="A804" s="66"/>
      <c r="B804" s="66"/>
      <c r="C804" s="66"/>
      <c r="D804" s="66"/>
      <c r="E804" s="66"/>
      <c r="F804" s="66"/>
      <c r="I804" s="67"/>
      <c r="X804" s="67"/>
    </row>
    <row r="805">
      <c r="A805" s="66"/>
      <c r="B805" s="66"/>
      <c r="C805" s="66"/>
      <c r="D805" s="66"/>
      <c r="E805" s="66"/>
      <c r="F805" s="66"/>
      <c r="I805" s="67"/>
      <c r="X805" s="67"/>
    </row>
    <row r="806">
      <c r="A806" s="66"/>
      <c r="B806" s="66"/>
      <c r="C806" s="66"/>
      <c r="D806" s="66"/>
      <c r="E806" s="66"/>
      <c r="F806" s="66"/>
      <c r="I806" s="67"/>
      <c r="X806" s="67"/>
    </row>
    <row r="807">
      <c r="A807" s="66"/>
      <c r="B807" s="66"/>
      <c r="C807" s="66"/>
      <c r="D807" s="66"/>
      <c r="E807" s="66"/>
      <c r="F807" s="66"/>
      <c r="I807" s="67"/>
      <c r="X807" s="67"/>
    </row>
    <row r="808">
      <c r="A808" s="66"/>
      <c r="B808" s="66"/>
      <c r="C808" s="66"/>
      <c r="D808" s="66"/>
      <c r="E808" s="66"/>
      <c r="F808" s="66"/>
      <c r="I808" s="67"/>
      <c r="X808" s="67"/>
    </row>
    <row r="809">
      <c r="A809" s="66"/>
      <c r="B809" s="66"/>
      <c r="C809" s="66"/>
      <c r="D809" s="66"/>
      <c r="E809" s="66"/>
      <c r="F809" s="66"/>
      <c r="I809" s="67"/>
      <c r="X809" s="67"/>
    </row>
    <row r="810">
      <c r="A810" s="66"/>
      <c r="B810" s="66"/>
      <c r="C810" s="66"/>
      <c r="D810" s="66"/>
      <c r="E810" s="66"/>
      <c r="F810" s="66"/>
      <c r="I810" s="67"/>
      <c r="X810" s="67"/>
    </row>
    <row r="811">
      <c r="A811" s="66"/>
      <c r="B811" s="66"/>
      <c r="C811" s="66"/>
      <c r="D811" s="66"/>
      <c r="E811" s="66"/>
      <c r="F811" s="66"/>
      <c r="I811" s="67"/>
      <c r="X811" s="67"/>
    </row>
    <row r="812">
      <c r="A812" s="66"/>
      <c r="B812" s="66"/>
      <c r="C812" s="66"/>
      <c r="D812" s="66"/>
      <c r="E812" s="66"/>
      <c r="F812" s="66"/>
      <c r="I812" s="67"/>
      <c r="X812" s="67"/>
    </row>
    <row r="813">
      <c r="A813" s="66"/>
      <c r="B813" s="66"/>
      <c r="C813" s="66"/>
      <c r="D813" s="66"/>
      <c r="E813" s="66"/>
      <c r="F813" s="66"/>
      <c r="I813" s="67"/>
      <c r="X813" s="67"/>
    </row>
    <row r="814">
      <c r="A814" s="66"/>
      <c r="B814" s="66"/>
      <c r="C814" s="66"/>
      <c r="D814" s="66"/>
      <c r="E814" s="66"/>
      <c r="F814" s="66"/>
      <c r="I814" s="67"/>
      <c r="X814" s="67"/>
    </row>
    <row r="815">
      <c r="A815" s="66"/>
      <c r="B815" s="66"/>
      <c r="C815" s="66"/>
      <c r="D815" s="66"/>
      <c r="E815" s="66"/>
      <c r="F815" s="66"/>
      <c r="I815" s="67"/>
      <c r="X815" s="67"/>
    </row>
    <row r="816">
      <c r="A816" s="66"/>
      <c r="B816" s="66"/>
      <c r="C816" s="66"/>
      <c r="D816" s="66"/>
      <c r="E816" s="66"/>
      <c r="F816" s="66"/>
      <c r="I816" s="67"/>
      <c r="X816" s="67"/>
    </row>
    <row r="817">
      <c r="A817" s="66"/>
      <c r="B817" s="66"/>
      <c r="C817" s="66"/>
      <c r="D817" s="66"/>
      <c r="E817" s="66"/>
      <c r="F817" s="66"/>
      <c r="I817" s="67"/>
      <c r="X817" s="67"/>
    </row>
    <row r="818">
      <c r="A818" s="66"/>
      <c r="B818" s="66"/>
      <c r="C818" s="66"/>
      <c r="D818" s="66"/>
      <c r="E818" s="66"/>
      <c r="F818" s="66"/>
      <c r="I818" s="67"/>
      <c r="X818" s="67"/>
    </row>
    <row r="819">
      <c r="A819" s="66"/>
      <c r="B819" s="66"/>
      <c r="C819" s="66"/>
      <c r="D819" s="66"/>
      <c r="E819" s="66"/>
      <c r="F819" s="66"/>
      <c r="I819" s="67"/>
      <c r="X819" s="67"/>
    </row>
    <row r="820">
      <c r="A820" s="66"/>
      <c r="B820" s="66"/>
      <c r="C820" s="66"/>
      <c r="D820" s="66"/>
      <c r="E820" s="66"/>
      <c r="F820" s="66"/>
      <c r="I820" s="67"/>
      <c r="X820" s="67"/>
    </row>
    <row r="821">
      <c r="A821" s="66"/>
      <c r="B821" s="66"/>
      <c r="C821" s="66"/>
      <c r="D821" s="66"/>
      <c r="E821" s="66"/>
      <c r="F821" s="66"/>
      <c r="I821" s="67"/>
      <c r="X821" s="67"/>
    </row>
    <row r="822">
      <c r="A822" s="66"/>
      <c r="B822" s="66"/>
      <c r="C822" s="66"/>
      <c r="D822" s="66"/>
      <c r="E822" s="66"/>
      <c r="F822" s="66"/>
      <c r="I822" s="67"/>
      <c r="X822" s="67"/>
    </row>
    <row r="823">
      <c r="A823" s="66"/>
      <c r="B823" s="66"/>
      <c r="C823" s="66"/>
      <c r="D823" s="66"/>
      <c r="E823" s="66"/>
      <c r="F823" s="66"/>
      <c r="I823" s="67"/>
      <c r="X823" s="67"/>
    </row>
    <row r="824">
      <c r="A824" s="66"/>
      <c r="B824" s="66"/>
      <c r="C824" s="66"/>
      <c r="D824" s="66"/>
      <c r="E824" s="66"/>
      <c r="F824" s="66"/>
      <c r="I824" s="67"/>
      <c r="X824" s="67"/>
    </row>
    <row r="825">
      <c r="A825" s="66"/>
      <c r="B825" s="66"/>
      <c r="C825" s="66"/>
      <c r="D825" s="66"/>
      <c r="E825" s="66"/>
      <c r="F825" s="66"/>
      <c r="I825" s="67"/>
      <c r="X825" s="67"/>
    </row>
    <row r="826">
      <c r="A826" s="66"/>
      <c r="B826" s="66"/>
      <c r="C826" s="66"/>
      <c r="D826" s="66"/>
      <c r="E826" s="66"/>
      <c r="F826" s="66"/>
      <c r="I826" s="67"/>
      <c r="X826" s="67"/>
    </row>
    <row r="827">
      <c r="A827" s="66"/>
      <c r="B827" s="66"/>
      <c r="C827" s="66"/>
      <c r="D827" s="66"/>
      <c r="E827" s="66"/>
      <c r="F827" s="66"/>
      <c r="I827" s="67"/>
      <c r="X827" s="67"/>
    </row>
    <row r="828">
      <c r="A828" s="66"/>
      <c r="B828" s="66"/>
      <c r="C828" s="66"/>
      <c r="D828" s="66"/>
      <c r="E828" s="66"/>
      <c r="F828" s="66"/>
      <c r="I828" s="67"/>
      <c r="X828" s="67"/>
    </row>
    <row r="829">
      <c r="A829" s="66"/>
      <c r="B829" s="66"/>
      <c r="C829" s="66"/>
      <c r="D829" s="66"/>
      <c r="E829" s="66"/>
      <c r="F829" s="66"/>
      <c r="I829" s="67"/>
      <c r="X829" s="67"/>
    </row>
    <row r="830">
      <c r="A830" s="66"/>
      <c r="B830" s="66"/>
      <c r="C830" s="66"/>
      <c r="D830" s="66"/>
      <c r="E830" s="66"/>
      <c r="F830" s="66"/>
      <c r="I830" s="67"/>
      <c r="X830" s="67"/>
    </row>
    <row r="831">
      <c r="A831" s="66"/>
      <c r="B831" s="66"/>
      <c r="C831" s="66"/>
      <c r="D831" s="66"/>
      <c r="E831" s="66"/>
      <c r="F831" s="66"/>
      <c r="I831" s="67"/>
      <c r="X831" s="67"/>
    </row>
    <row r="832">
      <c r="A832" s="66"/>
      <c r="B832" s="66"/>
      <c r="C832" s="66"/>
      <c r="D832" s="66"/>
      <c r="E832" s="66"/>
      <c r="F832" s="66"/>
      <c r="I832" s="67"/>
      <c r="X832" s="67"/>
    </row>
    <row r="833">
      <c r="A833" s="66"/>
      <c r="B833" s="66"/>
      <c r="C833" s="66"/>
      <c r="D833" s="66"/>
      <c r="E833" s="66"/>
      <c r="F833" s="66"/>
      <c r="I833" s="67"/>
      <c r="X833" s="67"/>
    </row>
    <row r="834">
      <c r="A834" s="66"/>
      <c r="B834" s="66"/>
      <c r="C834" s="66"/>
      <c r="D834" s="66"/>
      <c r="E834" s="66"/>
      <c r="F834" s="66"/>
      <c r="I834" s="67"/>
      <c r="X834" s="67"/>
    </row>
    <row r="835">
      <c r="A835" s="66"/>
      <c r="B835" s="66"/>
      <c r="C835" s="66"/>
      <c r="D835" s="66"/>
      <c r="E835" s="66"/>
      <c r="F835" s="66"/>
      <c r="I835" s="67"/>
      <c r="X835" s="67"/>
    </row>
    <row r="836">
      <c r="A836" s="66"/>
      <c r="B836" s="66"/>
      <c r="C836" s="66"/>
      <c r="D836" s="66"/>
      <c r="E836" s="66"/>
      <c r="F836" s="66"/>
      <c r="I836" s="67"/>
      <c r="X836" s="67"/>
    </row>
    <row r="837">
      <c r="A837" s="66"/>
      <c r="B837" s="66"/>
      <c r="C837" s="66"/>
      <c r="D837" s="66"/>
      <c r="E837" s="66"/>
      <c r="F837" s="66"/>
      <c r="I837" s="67"/>
      <c r="X837" s="67"/>
    </row>
    <row r="838">
      <c r="A838" s="66"/>
      <c r="B838" s="66"/>
      <c r="C838" s="66"/>
      <c r="D838" s="66"/>
      <c r="E838" s="66"/>
      <c r="F838" s="66"/>
      <c r="I838" s="67"/>
      <c r="X838" s="67"/>
    </row>
    <row r="839">
      <c r="A839" s="66"/>
      <c r="B839" s="66"/>
      <c r="C839" s="66"/>
      <c r="D839" s="66"/>
      <c r="E839" s="66"/>
      <c r="F839" s="66"/>
      <c r="I839" s="67"/>
      <c r="X839" s="67"/>
    </row>
    <row r="840">
      <c r="A840" s="66"/>
      <c r="B840" s="66"/>
      <c r="C840" s="66"/>
      <c r="D840" s="66"/>
      <c r="E840" s="66"/>
      <c r="F840" s="66"/>
      <c r="I840" s="67"/>
      <c r="X840" s="67"/>
    </row>
    <row r="841">
      <c r="A841" s="66"/>
      <c r="B841" s="66"/>
      <c r="C841" s="66"/>
      <c r="D841" s="66"/>
      <c r="E841" s="66"/>
      <c r="F841" s="66"/>
      <c r="I841" s="67"/>
      <c r="X841" s="67"/>
    </row>
    <row r="842">
      <c r="A842" s="66"/>
      <c r="B842" s="66"/>
      <c r="C842" s="66"/>
      <c r="D842" s="66"/>
      <c r="E842" s="66"/>
      <c r="F842" s="66"/>
      <c r="I842" s="67"/>
      <c r="X842" s="67"/>
    </row>
    <row r="843">
      <c r="A843" s="66"/>
      <c r="B843" s="66"/>
      <c r="C843" s="66"/>
      <c r="D843" s="66"/>
      <c r="E843" s="66"/>
      <c r="F843" s="66"/>
      <c r="I843" s="67"/>
      <c r="X843" s="67"/>
    </row>
    <row r="844">
      <c r="A844" s="66"/>
      <c r="B844" s="66"/>
      <c r="C844" s="66"/>
      <c r="D844" s="66"/>
      <c r="E844" s="66"/>
      <c r="F844" s="66"/>
      <c r="I844" s="67"/>
      <c r="X844" s="67"/>
    </row>
    <row r="845">
      <c r="A845" s="66"/>
      <c r="B845" s="66"/>
      <c r="C845" s="66"/>
      <c r="D845" s="66"/>
      <c r="E845" s="66"/>
      <c r="F845" s="66"/>
      <c r="I845" s="67"/>
      <c r="X845" s="67"/>
    </row>
    <row r="846">
      <c r="A846" s="66"/>
      <c r="B846" s="66"/>
      <c r="C846" s="66"/>
      <c r="D846" s="66"/>
      <c r="E846" s="66"/>
      <c r="F846" s="66"/>
      <c r="I846" s="67"/>
      <c r="X846" s="67"/>
    </row>
    <row r="847">
      <c r="A847" s="66"/>
      <c r="B847" s="66"/>
      <c r="C847" s="66"/>
      <c r="D847" s="66"/>
      <c r="E847" s="66"/>
      <c r="F847" s="66"/>
      <c r="I847" s="67"/>
      <c r="X847" s="67"/>
    </row>
    <row r="848">
      <c r="A848" s="66"/>
      <c r="B848" s="66"/>
      <c r="C848" s="66"/>
      <c r="D848" s="66"/>
      <c r="E848" s="66"/>
      <c r="F848" s="66"/>
      <c r="I848" s="67"/>
      <c r="X848" s="67"/>
    </row>
    <row r="849">
      <c r="A849" s="66"/>
      <c r="B849" s="66"/>
      <c r="C849" s="66"/>
      <c r="D849" s="66"/>
      <c r="E849" s="66"/>
      <c r="F849" s="66"/>
      <c r="I849" s="67"/>
      <c r="X849" s="67"/>
    </row>
    <row r="850">
      <c r="A850" s="66"/>
      <c r="B850" s="66"/>
      <c r="C850" s="66"/>
      <c r="D850" s="66"/>
      <c r="E850" s="66"/>
      <c r="F850" s="66"/>
      <c r="I850" s="67"/>
      <c r="X850" s="67"/>
    </row>
    <row r="851">
      <c r="A851" s="66"/>
      <c r="B851" s="66"/>
      <c r="C851" s="66"/>
      <c r="D851" s="66"/>
      <c r="E851" s="66"/>
      <c r="F851" s="66"/>
      <c r="I851" s="67"/>
      <c r="X851" s="67"/>
    </row>
    <row r="852">
      <c r="A852" s="66"/>
      <c r="B852" s="66"/>
      <c r="C852" s="66"/>
      <c r="D852" s="66"/>
      <c r="E852" s="66"/>
      <c r="F852" s="66"/>
      <c r="I852" s="67"/>
      <c r="X852" s="67"/>
    </row>
    <row r="853">
      <c r="A853" s="66"/>
      <c r="B853" s="66"/>
      <c r="C853" s="66"/>
      <c r="D853" s="66"/>
      <c r="E853" s="66"/>
      <c r="F853" s="66"/>
      <c r="I853" s="67"/>
      <c r="X853" s="67"/>
    </row>
    <row r="854">
      <c r="A854" s="66"/>
      <c r="B854" s="66"/>
      <c r="C854" s="66"/>
      <c r="D854" s="66"/>
      <c r="E854" s="66"/>
      <c r="F854" s="66"/>
      <c r="I854" s="67"/>
      <c r="X854" s="67"/>
    </row>
    <row r="855">
      <c r="A855" s="66"/>
      <c r="B855" s="66"/>
      <c r="C855" s="66"/>
      <c r="D855" s="66"/>
      <c r="E855" s="66"/>
      <c r="F855" s="66"/>
      <c r="I855" s="67"/>
      <c r="X855" s="67"/>
    </row>
    <row r="856">
      <c r="A856" s="66"/>
      <c r="B856" s="66"/>
      <c r="C856" s="66"/>
      <c r="D856" s="66"/>
      <c r="E856" s="66"/>
      <c r="F856" s="66"/>
      <c r="I856" s="67"/>
      <c r="X856" s="67"/>
    </row>
    <row r="857">
      <c r="A857" s="66"/>
      <c r="B857" s="66"/>
      <c r="C857" s="66"/>
      <c r="D857" s="66"/>
      <c r="E857" s="66"/>
      <c r="F857" s="66"/>
      <c r="I857" s="67"/>
      <c r="X857" s="67"/>
    </row>
    <row r="858">
      <c r="A858" s="66"/>
      <c r="B858" s="66"/>
      <c r="C858" s="66"/>
      <c r="D858" s="66"/>
      <c r="E858" s="66"/>
      <c r="F858" s="66"/>
      <c r="I858" s="67"/>
      <c r="X858" s="67"/>
    </row>
    <row r="859">
      <c r="A859" s="66"/>
      <c r="B859" s="66"/>
      <c r="C859" s="66"/>
      <c r="D859" s="66"/>
      <c r="E859" s="66"/>
      <c r="F859" s="66"/>
      <c r="I859" s="67"/>
      <c r="X859" s="67"/>
    </row>
    <row r="860">
      <c r="A860" s="66"/>
      <c r="B860" s="66"/>
      <c r="C860" s="66"/>
      <c r="D860" s="66"/>
      <c r="E860" s="66"/>
      <c r="F860" s="66"/>
      <c r="I860" s="67"/>
      <c r="X860" s="67"/>
    </row>
    <row r="861">
      <c r="A861" s="66"/>
      <c r="B861" s="66"/>
      <c r="C861" s="66"/>
      <c r="D861" s="66"/>
      <c r="E861" s="66"/>
      <c r="F861" s="66"/>
      <c r="I861" s="67"/>
      <c r="X861" s="67"/>
    </row>
    <row r="862">
      <c r="A862" s="66"/>
      <c r="B862" s="66"/>
      <c r="C862" s="66"/>
      <c r="D862" s="66"/>
      <c r="E862" s="66"/>
      <c r="F862" s="66"/>
      <c r="I862" s="67"/>
      <c r="X862" s="67"/>
    </row>
    <row r="863">
      <c r="A863" s="66"/>
      <c r="B863" s="66"/>
      <c r="C863" s="66"/>
      <c r="D863" s="66"/>
      <c r="E863" s="66"/>
      <c r="F863" s="66"/>
      <c r="I863" s="67"/>
      <c r="X863" s="67"/>
    </row>
    <row r="864">
      <c r="A864" s="66"/>
      <c r="B864" s="66"/>
      <c r="C864" s="66"/>
      <c r="D864" s="66"/>
      <c r="E864" s="66"/>
      <c r="F864" s="66"/>
      <c r="I864" s="67"/>
      <c r="X864" s="67"/>
    </row>
    <row r="865">
      <c r="A865" s="66"/>
      <c r="B865" s="66"/>
      <c r="C865" s="66"/>
      <c r="D865" s="66"/>
      <c r="E865" s="66"/>
      <c r="F865" s="66"/>
      <c r="I865" s="67"/>
      <c r="X865" s="67"/>
    </row>
    <row r="866">
      <c r="A866" s="66"/>
      <c r="B866" s="66"/>
      <c r="C866" s="66"/>
      <c r="D866" s="66"/>
      <c r="E866" s="66"/>
      <c r="F866" s="66"/>
      <c r="I866" s="67"/>
      <c r="X866" s="67"/>
    </row>
    <row r="867">
      <c r="A867" s="66"/>
      <c r="B867" s="66"/>
      <c r="C867" s="66"/>
      <c r="D867" s="66"/>
      <c r="E867" s="66"/>
      <c r="F867" s="66"/>
      <c r="I867" s="67"/>
      <c r="X867" s="67"/>
    </row>
    <row r="868">
      <c r="A868" s="66"/>
      <c r="B868" s="66"/>
      <c r="C868" s="66"/>
      <c r="D868" s="66"/>
      <c r="E868" s="66"/>
      <c r="F868" s="66"/>
      <c r="I868" s="67"/>
      <c r="X868" s="67"/>
    </row>
    <row r="869">
      <c r="A869" s="66"/>
      <c r="B869" s="66"/>
      <c r="C869" s="66"/>
      <c r="D869" s="66"/>
      <c r="E869" s="66"/>
      <c r="F869" s="66"/>
      <c r="I869" s="67"/>
      <c r="X869" s="67"/>
    </row>
    <row r="870">
      <c r="A870" s="66"/>
      <c r="B870" s="66"/>
      <c r="C870" s="66"/>
      <c r="D870" s="66"/>
      <c r="E870" s="66"/>
      <c r="F870" s="66"/>
      <c r="I870" s="67"/>
      <c r="X870" s="67"/>
    </row>
    <row r="871">
      <c r="A871" s="66"/>
      <c r="B871" s="66"/>
      <c r="C871" s="66"/>
      <c r="D871" s="66"/>
      <c r="E871" s="66"/>
      <c r="F871" s="66"/>
      <c r="I871" s="67"/>
      <c r="X871" s="67"/>
    </row>
    <row r="872">
      <c r="A872" s="66"/>
      <c r="B872" s="66"/>
      <c r="C872" s="66"/>
      <c r="D872" s="66"/>
      <c r="E872" s="66"/>
      <c r="F872" s="66"/>
      <c r="I872" s="67"/>
      <c r="X872" s="67"/>
    </row>
    <row r="873">
      <c r="A873" s="66"/>
      <c r="B873" s="66"/>
      <c r="C873" s="66"/>
      <c r="D873" s="66"/>
      <c r="E873" s="66"/>
      <c r="F873" s="66"/>
      <c r="I873" s="67"/>
      <c r="X873" s="67"/>
    </row>
    <row r="874">
      <c r="A874" s="66"/>
      <c r="B874" s="66"/>
      <c r="C874" s="66"/>
      <c r="D874" s="66"/>
      <c r="E874" s="66"/>
      <c r="F874" s="66"/>
      <c r="I874" s="67"/>
      <c r="X874" s="67"/>
    </row>
    <row r="875">
      <c r="A875" s="66"/>
      <c r="B875" s="66"/>
      <c r="C875" s="66"/>
      <c r="D875" s="66"/>
      <c r="E875" s="66"/>
      <c r="F875" s="66"/>
      <c r="I875" s="67"/>
      <c r="X875" s="67"/>
    </row>
    <row r="876">
      <c r="A876" s="66"/>
      <c r="B876" s="66"/>
      <c r="C876" s="66"/>
      <c r="D876" s="66"/>
      <c r="E876" s="66"/>
      <c r="F876" s="66"/>
      <c r="I876" s="67"/>
      <c r="X876" s="67"/>
    </row>
    <row r="877">
      <c r="A877" s="66"/>
      <c r="B877" s="66"/>
      <c r="C877" s="66"/>
      <c r="D877" s="66"/>
      <c r="E877" s="66"/>
      <c r="F877" s="66"/>
      <c r="I877" s="67"/>
      <c r="X877" s="67"/>
    </row>
    <row r="878">
      <c r="A878" s="66"/>
      <c r="B878" s="66"/>
      <c r="C878" s="66"/>
      <c r="D878" s="66"/>
      <c r="E878" s="66"/>
      <c r="F878" s="66"/>
      <c r="I878" s="67"/>
      <c r="X878" s="67"/>
    </row>
    <row r="879">
      <c r="A879" s="66"/>
      <c r="B879" s="66"/>
      <c r="C879" s="66"/>
      <c r="D879" s="66"/>
      <c r="E879" s="66"/>
      <c r="F879" s="66"/>
      <c r="I879" s="67"/>
      <c r="X879" s="67"/>
    </row>
    <row r="880">
      <c r="A880" s="66"/>
      <c r="B880" s="66"/>
      <c r="C880" s="66"/>
      <c r="D880" s="66"/>
      <c r="E880" s="66"/>
      <c r="F880" s="66"/>
      <c r="I880" s="67"/>
      <c r="X880" s="67"/>
    </row>
    <row r="881">
      <c r="A881" s="66"/>
      <c r="B881" s="66"/>
      <c r="C881" s="66"/>
      <c r="D881" s="66"/>
      <c r="E881" s="66"/>
      <c r="F881" s="66"/>
      <c r="I881" s="67"/>
      <c r="X881" s="67"/>
    </row>
    <row r="882">
      <c r="A882" s="66"/>
      <c r="B882" s="66"/>
      <c r="C882" s="66"/>
      <c r="D882" s="66"/>
      <c r="E882" s="66"/>
      <c r="F882" s="66"/>
      <c r="I882" s="67"/>
      <c r="X882" s="67"/>
    </row>
    <row r="883">
      <c r="A883" s="66"/>
      <c r="B883" s="66"/>
      <c r="C883" s="66"/>
      <c r="D883" s="66"/>
      <c r="E883" s="66"/>
      <c r="F883" s="66"/>
      <c r="I883" s="67"/>
      <c r="X883" s="67"/>
    </row>
    <row r="884">
      <c r="A884" s="66"/>
      <c r="B884" s="66"/>
      <c r="C884" s="66"/>
      <c r="D884" s="66"/>
      <c r="E884" s="66"/>
      <c r="F884" s="66"/>
      <c r="I884" s="67"/>
      <c r="X884" s="67"/>
    </row>
    <row r="885">
      <c r="A885" s="66"/>
      <c r="B885" s="66"/>
      <c r="C885" s="66"/>
      <c r="D885" s="66"/>
      <c r="E885" s="66"/>
      <c r="F885" s="66"/>
      <c r="I885" s="67"/>
      <c r="X885" s="67"/>
    </row>
    <row r="886">
      <c r="A886" s="66"/>
      <c r="B886" s="66"/>
      <c r="C886" s="66"/>
      <c r="D886" s="66"/>
      <c r="E886" s="66"/>
      <c r="F886" s="66"/>
      <c r="I886" s="67"/>
      <c r="X886" s="67"/>
    </row>
    <row r="887">
      <c r="A887" s="66"/>
      <c r="B887" s="66"/>
      <c r="C887" s="66"/>
      <c r="D887" s="66"/>
      <c r="E887" s="66"/>
      <c r="F887" s="66"/>
      <c r="I887" s="67"/>
      <c r="X887" s="67"/>
    </row>
    <row r="888">
      <c r="A888" s="66"/>
      <c r="B888" s="66"/>
      <c r="C888" s="66"/>
      <c r="D888" s="66"/>
      <c r="E888" s="66"/>
      <c r="F888" s="66"/>
      <c r="I888" s="67"/>
      <c r="X888" s="67"/>
    </row>
    <row r="889">
      <c r="A889" s="66"/>
      <c r="B889" s="66"/>
      <c r="C889" s="66"/>
      <c r="D889" s="66"/>
      <c r="E889" s="66"/>
      <c r="F889" s="66"/>
      <c r="I889" s="67"/>
      <c r="X889" s="67"/>
    </row>
    <row r="890">
      <c r="A890" s="66"/>
      <c r="B890" s="66"/>
      <c r="C890" s="66"/>
      <c r="D890" s="66"/>
      <c r="E890" s="66"/>
      <c r="F890" s="66"/>
      <c r="I890" s="67"/>
      <c r="X890" s="67"/>
    </row>
    <row r="891">
      <c r="A891" s="66"/>
      <c r="B891" s="66"/>
      <c r="C891" s="66"/>
      <c r="D891" s="66"/>
      <c r="E891" s="66"/>
      <c r="F891" s="66"/>
      <c r="I891" s="67"/>
      <c r="X891" s="67"/>
    </row>
    <row r="892">
      <c r="A892" s="66"/>
      <c r="B892" s="66"/>
      <c r="C892" s="66"/>
      <c r="D892" s="66"/>
      <c r="E892" s="66"/>
      <c r="F892" s="66"/>
      <c r="I892" s="67"/>
      <c r="X892" s="67"/>
    </row>
    <row r="893">
      <c r="A893" s="66"/>
      <c r="B893" s="66"/>
      <c r="C893" s="66"/>
      <c r="D893" s="66"/>
      <c r="E893" s="66"/>
      <c r="F893" s="66"/>
      <c r="I893" s="67"/>
      <c r="X893" s="67"/>
    </row>
    <row r="894">
      <c r="A894" s="66"/>
      <c r="B894" s="66"/>
      <c r="C894" s="66"/>
      <c r="D894" s="66"/>
      <c r="E894" s="66"/>
      <c r="F894" s="66"/>
      <c r="I894" s="67"/>
      <c r="X894" s="67"/>
    </row>
    <row r="895">
      <c r="A895" s="66"/>
      <c r="B895" s="66"/>
      <c r="C895" s="66"/>
      <c r="D895" s="66"/>
      <c r="E895" s="66"/>
      <c r="F895" s="66"/>
      <c r="I895" s="67"/>
      <c r="X895" s="67"/>
    </row>
    <row r="896">
      <c r="A896" s="66"/>
      <c r="B896" s="66"/>
      <c r="C896" s="66"/>
      <c r="D896" s="66"/>
      <c r="E896" s="66"/>
      <c r="F896" s="66"/>
      <c r="I896" s="67"/>
      <c r="X896" s="67"/>
    </row>
    <row r="897">
      <c r="A897" s="66"/>
      <c r="B897" s="66"/>
      <c r="C897" s="66"/>
      <c r="D897" s="66"/>
      <c r="E897" s="66"/>
      <c r="F897" s="66"/>
      <c r="I897" s="67"/>
      <c r="X897" s="67"/>
    </row>
    <row r="898">
      <c r="A898" s="66"/>
      <c r="B898" s="66"/>
      <c r="C898" s="66"/>
      <c r="D898" s="66"/>
      <c r="E898" s="66"/>
      <c r="F898" s="66"/>
      <c r="I898" s="67"/>
      <c r="X898" s="67"/>
    </row>
    <row r="899">
      <c r="A899" s="66"/>
      <c r="B899" s="66"/>
      <c r="C899" s="66"/>
      <c r="D899" s="66"/>
      <c r="E899" s="66"/>
      <c r="F899" s="66"/>
      <c r="I899" s="67"/>
      <c r="X899" s="67"/>
    </row>
    <row r="900">
      <c r="A900" s="66"/>
      <c r="B900" s="66"/>
      <c r="C900" s="66"/>
      <c r="D900" s="66"/>
      <c r="E900" s="66"/>
      <c r="F900" s="66"/>
      <c r="I900" s="67"/>
      <c r="X900" s="67"/>
    </row>
    <row r="901">
      <c r="A901" s="66"/>
      <c r="B901" s="66"/>
      <c r="C901" s="66"/>
      <c r="D901" s="66"/>
      <c r="E901" s="66"/>
      <c r="F901" s="66"/>
      <c r="I901" s="67"/>
      <c r="X901" s="67"/>
    </row>
    <row r="902">
      <c r="A902" s="66"/>
      <c r="B902" s="66"/>
      <c r="C902" s="66"/>
      <c r="D902" s="66"/>
      <c r="E902" s="66"/>
      <c r="F902" s="66"/>
      <c r="I902" s="67"/>
      <c r="X902" s="67"/>
    </row>
    <row r="903">
      <c r="A903" s="66"/>
      <c r="B903" s="66"/>
      <c r="C903" s="66"/>
      <c r="D903" s="66"/>
      <c r="E903" s="66"/>
      <c r="F903" s="66"/>
      <c r="I903" s="67"/>
      <c r="X903" s="67"/>
    </row>
    <row r="904">
      <c r="A904" s="66"/>
      <c r="B904" s="66"/>
      <c r="C904" s="66"/>
      <c r="D904" s="66"/>
      <c r="E904" s="66"/>
      <c r="F904" s="66"/>
      <c r="I904" s="67"/>
      <c r="X904" s="67"/>
    </row>
    <row r="905">
      <c r="A905" s="66"/>
      <c r="B905" s="66"/>
      <c r="C905" s="66"/>
      <c r="D905" s="66"/>
      <c r="E905" s="66"/>
      <c r="F905" s="66"/>
      <c r="I905" s="67"/>
      <c r="X905" s="67"/>
    </row>
    <row r="906">
      <c r="A906" s="66"/>
      <c r="B906" s="66"/>
      <c r="C906" s="66"/>
      <c r="D906" s="66"/>
      <c r="E906" s="66"/>
      <c r="F906" s="66"/>
      <c r="I906" s="67"/>
      <c r="X906" s="67"/>
    </row>
    <row r="907">
      <c r="A907" s="66"/>
      <c r="B907" s="66"/>
      <c r="C907" s="66"/>
      <c r="D907" s="66"/>
      <c r="E907" s="66"/>
      <c r="F907" s="66"/>
      <c r="I907" s="67"/>
      <c r="X907" s="67"/>
    </row>
    <row r="908">
      <c r="A908" s="66"/>
      <c r="B908" s="66"/>
      <c r="C908" s="66"/>
      <c r="D908" s="66"/>
      <c r="E908" s="66"/>
      <c r="F908" s="66"/>
      <c r="I908" s="67"/>
      <c r="X908" s="67"/>
    </row>
    <row r="909">
      <c r="A909" s="66"/>
      <c r="B909" s="66"/>
      <c r="C909" s="66"/>
      <c r="D909" s="66"/>
      <c r="E909" s="66"/>
      <c r="F909" s="66"/>
      <c r="I909" s="67"/>
      <c r="X909" s="67"/>
    </row>
    <row r="910">
      <c r="A910" s="66"/>
      <c r="B910" s="66"/>
      <c r="C910" s="66"/>
      <c r="D910" s="66"/>
      <c r="E910" s="66"/>
      <c r="F910" s="66"/>
      <c r="I910" s="67"/>
      <c r="X910" s="67"/>
    </row>
    <row r="911">
      <c r="A911" s="66"/>
      <c r="B911" s="66"/>
      <c r="C911" s="66"/>
      <c r="D911" s="66"/>
      <c r="E911" s="66"/>
      <c r="F911" s="66"/>
      <c r="I911" s="67"/>
      <c r="X911" s="67"/>
    </row>
    <row r="912">
      <c r="A912" s="66"/>
      <c r="B912" s="66"/>
      <c r="C912" s="66"/>
      <c r="D912" s="66"/>
      <c r="E912" s="66"/>
      <c r="F912" s="66"/>
      <c r="I912" s="67"/>
      <c r="X912" s="67"/>
    </row>
    <row r="913">
      <c r="A913" s="66"/>
      <c r="B913" s="66"/>
      <c r="C913" s="66"/>
      <c r="D913" s="66"/>
      <c r="E913" s="66"/>
      <c r="F913" s="66"/>
      <c r="I913" s="67"/>
      <c r="X913" s="67"/>
    </row>
    <row r="914">
      <c r="A914" s="66"/>
      <c r="B914" s="66"/>
      <c r="C914" s="66"/>
      <c r="D914" s="66"/>
      <c r="E914" s="66"/>
      <c r="F914" s="66"/>
      <c r="I914" s="67"/>
      <c r="X914" s="67"/>
    </row>
    <row r="915">
      <c r="A915" s="66"/>
      <c r="B915" s="66"/>
      <c r="C915" s="66"/>
      <c r="D915" s="66"/>
      <c r="E915" s="66"/>
      <c r="F915" s="66"/>
      <c r="I915" s="67"/>
      <c r="X915" s="67"/>
    </row>
    <row r="916">
      <c r="A916" s="66"/>
      <c r="B916" s="66"/>
      <c r="C916" s="66"/>
      <c r="D916" s="66"/>
      <c r="E916" s="66"/>
      <c r="F916" s="66"/>
      <c r="I916" s="67"/>
      <c r="X916" s="67"/>
    </row>
    <row r="917">
      <c r="A917" s="66"/>
      <c r="B917" s="66"/>
      <c r="C917" s="66"/>
      <c r="D917" s="66"/>
      <c r="E917" s="66"/>
      <c r="F917" s="66"/>
      <c r="I917" s="67"/>
      <c r="X917" s="67"/>
    </row>
    <row r="918">
      <c r="A918" s="66"/>
      <c r="B918" s="66"/>
      <c r="C918" s="66"/>
      <c r="D918" s="66"/>
      <c r="E918" s="66"/>
      <c r="F918" s="66"/>
      <c r="I918" s="67"/>
      <c r="X918" s="67"/>
    </row>
    <row r="919">
      <c r="A919" s="66"/>
      <c r="B919" s="66"/>
      <c r="C919" s="66"/>
      <c r="D919" s="66"/>
      <c r="E919" s="66"/>
      <c r="F919" s="66"/>
      <c r="I919" s="67"/>
      <c r="X919" s="67"/>
    </row>
    <row r="920">
      <c r="A920" s="66"/>
      <c r="B920" s="66"/>
      <c r="C920" s="66"/>
      <c r="D920" s="66"/>
      <c r="E920" s="66"/>
      <c r="F920" s="66"/>
      <c r="I920" s="67"/>
      <c r="X920" s="67"/>
    </row>
    <row r="921">
      <c r="A921" s="66"/>
      <c r="B921" s="66"/>
      <c r="C921" s="66"/>
      <c r="D921" s="66"/>
      <c r="E921" s="66"/>
      <c r="F921" s="66"/>
      <c r="I921" s="67"/>
      <c r="X921" s="67"/>
    </row>
    <row r="922">
      <c r="A922" s="66"/>
      <c r="B922" s="66"/>
      <c r="C922" s="66"/>
      <c r="D922" s="66"/>
      <c r="E922" s="66"/>
      <c r="F922" s="66"/>
      <c r="I922" s="67"/>
      <c r="X922" s="67"/>
    </row>
    <row r="923">
      <c r="A923" s="66"/>
      <c r="B923" s="66"/>
      <c r="C923" s="66"/>
      <c r="D923" s="66"/>
      <c r="E923" s="66"/>
      <c r="F923" s="66"/>
      <c r="I923" s="67"/>
      <c r="X923" s="67"/>
    </row>
    <row r="924">
      <c r="A924" s="66"/>
      <c r="B924" s="66"/>
      <c r="C924" s="66"/>
      <c r="D924" s="66"/>
      <c r="E924" s="66"/>
      <c r="F924" s="66"/>
      <c r="I924" s="67"/>
      <c r="X924" s="67"/>
    </row>
    <row r="925">
      <c r="A925" s="66"/>
      <c r="B925" s="66"/>
      <c r="C925" s="66"/>
      <c r="D925" s="66"/>
      <c r="E925" s="66"/>
      <c r="F925" s="66"/>
      <c r="I925" s="67"/>
      <c r="X925" s="67"/>
    </row>
    <row r="926">
      <c r="A926" s="66"/>
      <c r="B926" s="66"/>
      <c r="C926" s="66"/>
      <c r="D926" s="66"/>
      <c r="E926" s="66"/>
      <c r="F926" s="66"/>
      <c r="I926" s="67"/>
      <c r="X926" s="67"/>
    </row>
    <row r="927">
      <c r="A927" s="66"/>
      <c r="B927" s="66"/>
      <c r="C927" s="66"/>
      <c r="D927" s="66"/>
      <c r="E927" s="66"/>
      <c r="F927" s="66"/>
      <c r="I927" s="67"/>
      <c r="X927" s="67"/>
    </row>
    <row r="928">
      <c r="A928" s="66"/>
      <c r="B928" s="66"/>
      <c r="C928" s="66"/>
      <c r="D928" s="66"/>
      <c r="E928" s="66"/>
      <c r="F928" s="66"/>
      <c r="I928" s="67"/>
      <c r="X928" s="67"/>
    </row>
    <row r="929">
      <c r="A929" s="66"/>
      <c r="B929" s="66"/>
      <c r="C929" s="66"/>
      <c r="D929" s="66"/>
      <c r="E929" s="66"/>
      <c r="F929" s="66"/>
      <c r="I929" s="67"/>
      <c r="X929" s="67"/>
    </row>
    <row r="930">
      <c r="A930" s="66"/>
      <c r="B930" s="66"/>
      <c r="C930" s="66"/>
      <c r="D930" s="66"/>
      <c r="E930" s="66"/>
      <c r="F930" s="66"/>
      <c r="I930" s="67"/>
      <c r="X930" s="67"/>
    </row>
    <row r="931">
      <c r="A931" s="66"/>
      <c r="B931" s="66"/>
      <c r="C931" s="66"/>
      <c r="D931" s="66"/>
      <c r="E931" s="66"/>
      <c r="F931" s="66"/>
      <c r="I931" s="67"/>
      <c r="X931" s="67"/>
    </row>
    <row r="932">
      <c r="A932" s="66"/>
      <c r="B932" s="66"/>
      <c r="C932" s="66"/>
      <c r="D932" s="66"/>
      <c r="E932" s="66"/>
      <c r="F932" s="66"/>
      <c r="I932" s="67"/>
      <c r="X932" s="67"/>
    </row>
    <row r="933">
      <c r="A933" s="66"/>
      <c r="B933" s="66"/>
      <c r="C933" s="66"/>
      <c r="D933" s="66"/>
      <c r="E933" s="66"/>
      <c r="F933" s="66"/>
      <c r="I933" s="67"/>
      <c r="X933" s="67"/>
    </row>
    <row r="934">
      <c r="A934" s="66"/>
      <c r="B934" s="66"/>
      <c r="C934" s="66"/>
      <c r="D934" s="66"/>
      <c r="E934" s="66"/>
      <c r="F934" s="66"/>
      <c r="I934" s="67"/>
      <c r="X934" s="67"/>
    </row>
    <row r="935">
      <c r="A935" s="66"/>
      <c r="B935" s="66"/>
      <c r="C935" s="66"/>
      <c r="D935" s="66"/>
      <c r="E935" s="66"/>
      <c r="F935" s="66"/>
      <c r="I935" s="67"/>
      <c r="X935" s="67"/>
    </row>
    <row r="936">
      <c r="A936" s="66"/>
      <c r="B936" s="66"/>
      <c r="C936" s="66"/>
      <c r="D936" s="66"/>
      <c r="E936" s="66"/>
      <c r="F936" s="66"/>
      <c r="I936" s="67"/>
      <c r="X936" s="67"/>
    </row>
    <row r="937">
      <c r="A937" s="66"/>
      <c r="B937" s="66"/>
      <c r="C937" s="66"/>
      <c r="D937" s="66"/>
      <c r="E937" s="66"/>
      <c r="F937" s="66"/>
      <c r="I937" s="67"/>
      <c r="X937" s="67"/>
    </row>
    <row r="938">
      <c r="A938" s="66"/>
      <c r="B938" s="66"/>
      <c r="C938" s="66"/>
      <c r="D938" s="66"/>
      <c r="E938" s="66"/>
      <c r="F938" s="66"/>
      <c r="I938" s="67"/>
      <c r="X938" s="67"/>
    </row>
    <row r="939">
      <c r="A939" s="66"/>
      <c r="B939" s="66"/>
      <c r="C939" s="66"/>
      <c r="D939" s="66"/>
      <c r="E939" s="66"/>
      <c r="F939" s="66"/>
      <c r="I939" s="67"/>
      <c r="X939" s="67"/>
    </row>
    <row r="940">
      <c r="A940" s="66"/>
      <c r="B940" s="66"/>
      <c r="C940" s="66"/>
      <c r="D940" s="66"/>
      <c r="E940" s="66"/>
      <c r="F940" s="66"/>
      <c r="I940" s="67"/>
      <c r="X940" s="67"/>
    </row>
    <row r="941">
      <c r="A941" s="66"/>
      <c r="B941" s="66"/>
      <c r="C941" s="66"/>
      <c r="D941" s="66"/>
      <c r="E941" s="66"/>
      <c r="F941" s="66"/>
      <c r="I941" s="67"/>
      <c r="X941" s="67"/>
    </row>
    <row r="942">
      <c r="A942" s="66"/>
      <c r="B942" s="66"/>
      <c r="C942" s="66"/>
      <c r="D942" s="66"/>
      <c r="E942" s="66"/>
      <c r="F942" s="66"/>
      <c r="I942" s="67"/>
      <c r="X942" s="67"/>
    </row>
    <row r="943">
      <c r="A943" s="66"/>
      <c r="B943" s="66"/>
      <c r="C943" s="66"/>
      <c r="D943" s="66"/>
      <c r="E943" s="66"/>
      <c r="F943" s="66"/>
      <c r="I943" s="67"/>
      <c r="X943" s="67"/>
    </row>
    <row r="944">
      <c r="A944" s="66"/>
      <c r="B944" s="66"/>
      <c r="C944" s="66"/>
      <c r="D944" s="66"/>
      <c r="E944" s="66"/>
      <c r="F944" s="66"/>
      <c r="I944" s="67"/>
      <c r="X944" s="67"/>
    </row>
    <row r="945">
      <c r="A945" s="66"/>
      <c r="B945" s="66"/>
      <c r="C945" s="66"/>
      <c r="D945" s="66"/>
      <c r="E945" s="66"/>
      <c r="F945" s="66"/>
      <c r="I945" s="67"/>
      <c r="X945" s="67"/>
    </row>
    <row r="946">
      <c r="A946" s="66"/>
      <c r="B946" s="66"/>
      <c r="C946" s="66"/>
      <c r="D946" s="66"/>
      <c r="E946" s="66"/>
      <c r="F946" s="66"/>
      <c r="I946" s="67"/>
      <c r="X946" s="67"/>
    </row>
    <row r="947">
      <c r="A947" s="66"/>
      <c r="B947" s="66"/>
      <c r="C947" s="66"/>
      <c r="D947" s="66"/>
      <c r="E947" s="66"/>
      <c r="F947" s="66"/>
      <c r="I947" s="67"/>
      <c r="X947" s="67"/>
    </row>
    <row r="948">
      <c r="A948" s="66"/>
      <c r="B948" s="66"/>
      <c r="C948" s="66"/>
      <c r="D948" s="66"/>
      <c r="E948" s="66"/>
      <c r="F948" s="66"/>
      <c r="I948" s="67"/>
      <c r="X948" s="67"/>
    </row>
    <row r="949">
      <c r="A949" s="66"/>
      <c r="B949" s="66"/>
      <c r="C949" s="66"/>
      <c r="D949" s="66"/>
      <c r="E949" s="66"/>
      <c r="F949" s="66"/>
      <c r="I949" s="67"/>
      <c r="X949" s="67"/>
    </row>
    <row r="950">
      <c r="A950" s="66"/>
      <c r="B950" s="66"/>
      <c r="C950" s="66"/>
      <c r="D950" s="66"/>
      <c r="E950" s="66"/>
      <c r="F950" s="66"/>
      <c r="I950" s="67"/>
      <c r="X950" s="67"/>
    </row>
    <row r="951">
      <c r="A951" s="66"/>
      <c r="B951" s="66"/>
      <c r="C951" s="66"/>
      <c r="D951" s="66"/>
      <c r="E951" s="66"/>
      <c r="F951" s="66"/>
      <c r="I951" s="67"/>
      <c r="X951" s="67"/>
    </row>
    <row r="952">
      <c r="A952" s="66"/>
      <c r="B952" s="66"/>
      <c r="C952" s="66"/>
      <c r="D952" s="66"/>
      <c r="E952" s="66"/>
      <c r="F952" s="66"/>
      <c r="I952" s="67"/>
      <c r="X952" s="67"/>
    </row>
    <row r="953">
      <c r="A953" s="66"/>
      <c r="B953" s="66"/>
      <c r="C953" s="66"/>
      <c r="D953" s="66"/>
      <c r="E953" s="66"/>
      <c r="F953" s="66"/>
      <c r="I953" s="67"/>
      <c r="X953" s="67"/>
    </row>
    <row r="954">
      <c r="A954" s="66"/>
      <c r="B954" s="66"/>
      <c r="C954" s="66"/>
      <c r="D954" s="66"/>
      <c r="E954" s="66"/>
      <c r="F954" s="66"/>
      <c r="I954" s="67"/>
      <c r="X954" s="67"/>
    </row>
    <row r="955">
      <c r="A955" s="66"/>
      <c r="B955" s="66"/>
      <c r="C955" s="66"/>
      <c r="D955" s="66"/>
      <c r="E955" s="66"/>
      <c r="F955" s="66"/>
      <c r="I955" s="67"/>
      <c r="X955" s="67"/>
    </row>
    <row r="956">
      <c r="A956" s="66"/>
      <c r="B956" s="66"/>
      <c r="C956" s="66"/>
      <c r="D956" s="66"/>
      <c r="E956" s="66"/>
      <c r="F956" s="66"/>
      <c r="I956" s="67"/>
      <c r="X956" s="67"/>
    </row>
    <row r="957">
      <c r="A957" s="66"/>
      <c r="B957" s="66"/>
      <c r="C957" s="66"/>
      <c r="D957" s="66"/>
      <c r="E957" s="66"/>
      <c r="F957" s="66"/>
      <c r="I957" s="67"/>
      <c r="X957" s="67"/>
    </row>
    <row r="958">
      <c r="A958" s="66"/>
      <c r="B958" s="66"/>
      <c r="C958" s="66"/>
      <c r="D958" s="66"/>
      <c r="E958" s="66"/>
      <c r="F958" s="66"/>
      <c r="I958" s="67"/>
      <c r="X958" s="67"/>
    </row>
    <row r="959">
      <c r="A959" s="66"/>
      <c r="B959" s="66"/>
      <c r="C959" s="66"/>
      <c r="D959" s="66"/>
      <c r="E959" s="66"/>
      <c r="F959" s="66"/>
      <c r="I959" s="67"/>
      <c r="X959" s="67"/>
    </row>
    <row r="960">
      <c r="A960" s="66"/>
      <c r="B960" s="66"/>
      <c r="C960" s="66"/>
      <c r="D960" s="66"/>
      <c r="E960" s="66"/>
      <c r="F960" s="66"/>
      <c r="I960" s="67"/>
      <c r="X960" s="67"/>
    </row>
    <row r="961">
      <c r="A961" s="66"/>
      <c r="B961" s="66"/>
      <c r="C961" s="66"/>
      <c r="D961" s="66"/>
      <c r="E961" s="66"/>
      <c r="F961" s="66"/>
      <c r="I961" s="67"/>
      <c r="X961" s="67"/>
    </row>
    <row r="962">
      <c r="A962" s="66"/>
      <c r="B962" s="66"/>
      <c r="C962" s="66"/>
      <c r="D962" s="66"/>
      <c r="E962" s="66"/>
      <c r="F962" s="66"/>
      <c r="I962" s="67"/>
      <c r="X962" s="67"/>
    </row>
    <row r="963">
      <c r="A963" s="66"/>
      <c r="B963" s="66"/>
      <c r="C963" s="66"/>
      <c r="D963" s="66"/>
      <c r="E963" s="66"/>
      <c r="F963" s="66"/>
      <c r="I963" s="67"/>
      <c r="X963" s="67"/>
    </row>
    <row r="964">
      <c r="A964" s="66"/>
      <c r="B964" s="66"/>
      <c r="C964" s="66"/>
      <c r="D964" s="66"/>
      <c r="E964" s="66"/>
      <c r="F964" s="66"/>
      <c r="I964" s="67"/>
      <c r="X964" s="67"/>
    </row>
    <row r="965">
      <c r="A965" s="66"/>
      <c r="B965" s="66"/>
      <c r="C965" s="66"/>
      <c r="D965" s="66"/>
      <c r="E965" s="66"/>
      <c r="F965" s="66"/>
      <c r="I965" s="67"/>
      <c r="X965" s="67"/>
    </row>
    <row r="966">
      <c r="A966" s="66"/>
      <c r="B966" s="66"/>
      <c r="C966" s="66"/>
      <c r="D966" s="66"/>
      <c r="E966" s="66"/>
      <c r="F966" s="66"/>
      <c r="I966" s="67"/>
      <c r="X966" s="67"/>
    </row>
    <row r="967">
      <c r="A967" s="66"/>
      <c r="B967" s="66"/>
      <c r="C967" s="66"/>
      <c r="D967" s="66"/>
      <c r="E967" s="66"/>
      <c r="F967" s="66"/>
      <c r="I967" s="67"/>
      <c r="X967" s="67"/>
    </row>
    <row r="968">
      <c r="A968" s="66"/>
      <c r="B968" s="66"/>
      <c r="C968" s="66"/>
      <c r="D968" s="66"/>
      <c r="E968" s="66"/>
      <c r="F968" s="66"/>
      <c r="I968" s="67"/>
      <c r="X968" s="67"/>
    </row>
    <row r="969">
      <c r="A969" s="66"/>
      <c r="B969" s="66"/>
      <c r="C969" s="66"/>
      <c r="D969" s="66"/>
      <c r="E969" s="66"/>
      <c r="F969" s="66"/>
      <c r="I969" s="67"/>
      <c r="X969" s="67"/>
    </row>
    <row r="970">
      <c r="A970" s="66"/>
      <c r="B970" s="66"/>
      <c r="C970" s="66"/>
      <c r="D970" s="66"/>
      <c r="E970" s="66"/>
      <c r="F970" s="66"/>
      <c r="I970" s="67"/>
      <c r="X970" s="67"/>
    </row>
    <row r="971">
      <c r="A971" s="66"/>
      <c r="B971" s="66"/>
      <c r="C971" s="66"/>
      <c r="D971" s="66"/>
      <c r="E971" s="66"/>
      <c r="F971" s="66"/>
      <c r="I971" s="67"/>
      <c r="X971" s="67"/>
    </row>
    <row r="972">
      <c r="A972" s="66"/>
      <c r="B972" s="66"/>
      <c r="C972" s="66"/>
      <c r="D972" s="66"/>
      <c r="E972" s="66"/>
      <c r="F972" s="66"/>
      <c r="I972" s="67"/>
      <c r="X972" s="67"/>
    </row>
    <row r="973">
      <c r="A973" s="66"/>
      <c r="B973" s="66"/>
      <c r="C973" s="66"/>
      <c r="D973" s="66"/>
      <c r="E973" s="66"/>
      <c r="F973" s="66"/>
      <c r="I973" s="67"/>
      <c r="X973" s="67"/>
    </row>
    <row r="974">
      <c r="A974" s="66"/>
      <c r="B974" s="66"/>
      <c r="C974" s="66"/>
      <c r="D974" s="66"/>
      <c r="E974" s="66"/>
      <c r="F974" s="66"/>
      <c r="I974" s="67"/>
      <c r="X974" s="67"/>
    </row>
    <row r="975">
      <c r="A975" s="66"/>
      <c r="B975" s="66"/>
      <c r="C975" s="66"/>
      <c r="D975" s="66"/>
      <c r="E975" s="66"/>
      <c r="F975" s="66"/>
      <c r="I975" s="67"/>
      <c r="X975" s="67"/>
    </row>
    <row r="976">
      <c r="A976" s="66"/>
      <c r="B976" s="66"/>
      <c r="C976" s="66"/>
      <c r="D976" s="66"/>
      <c r="E976" s="66"/>
      <c r="F976" s="66"/>
      <c r="I976" s="67"/>
      <c r="X976" s="67"/>
    </row>
    <row r="977">
      <c r="A977" s="66"/>
      <c r="B977" s="66"/>
      <c r="C977" s="66"/>
      <c r="D977" s="66"/>
      <c r="E977" s="66"/>
      <c r="F977" s="66"/>
      <c r="I977" s="67"/>
      <c r="X977" s="67"/>
    </row>
    <row r="978">
      <c r="A978" s="66"/>
      <c r="B978" s="66"/>
      <c r="C978" s="66"/>
      <c r="D978" s="66"/>
      <c r="E978" s="66"/>
      <c r="F978" s="66"/>
      <c r="I978" s="67"/>
      <c r="X978" s="67"/>
    </row>
    <row r="979">
      <c r="A979" s="66"/>
      <c r="B979" s="66"/>
      <c r="C979" s="66"/>
      <c r="D979" s="66"/>
      <c r="E979" s="66"/>
      <c r="F979" s="66"/>
      <c r="I979" s="67"/>
      <c r="X979" s="67"/>
    </row>
    <row r="980">
      <c r="A980" s="66"/>
      <c r="B980" s="66"/>
      <c r="C980" s="66"/>
      <c r="D980" s="66"/>
      <c r="E980" s="66"/>
      <c r="F980" s="66"/>
      <c r="I980" s="67"/>
      <c r="X980" s="67"/>
    </row>
    <row r="981">
      <c r="A981" s="66"/>
      <c r="B981" s="66"/>
      <c r="C981" s="66"/>
      <c r="D981" s="66"/>
      <c r="E981" s="66"/>
      <c r="F981" s="66"/>
      <c r="I981" s="67"/>
      <c r="X981" s="67"/>
    </row>
    <row r="982">
      <c r="A982" s="66"/>
      <c r="B982" s="66"/>
      <c r="C982" s="66"/>
      <c r="D982" s="66"/>
      <c r="E982" s="66"/>
      <c r="F982" s="66"/>
      <c r="I982" s="67"/>
      <c r="X982" s="67"/>
    </row>
    <row r="983">
      <c r="A983" s="66"/>
      <c r="B983" s="66"/>
      <c r="C983" s="66"/>
      <c r="D983" s="66"/>
      <c r="E983" s="66"/>
      <c r="F983" s="66"/>
      <c r="I983" s="67"/>
      <c r="X983" s="67"/>
    </row>
    <row r="984">
      <c r="A984" s="66"/>
      <c r="B984" s="66"/>
      <c r="C984" s="66"/>
      <c r="D984" s="66"/>
      <c r="E984" s="66"/>
      <c r="F984" s="66"/>
      <c r="I984" s="67"/>
      <c r="X984" s="67"/>
    </row>
    <row r="985">
      <c r="A985" s="66"/>
      <c r="B985" s="66"/>
      <c r="C985" s="66"/>
      <c r="D985" s="66"/>
      <c r="E985" s="66"/>
      <c r="F985" s="66"/>
      <c r="I985" s="67"/>
      <c r="X985" s="67"/>
    </row>
    <row r="986">
      <c r="A986" s="66"/>
      <c r="B986" s="66"/>
      <c r="C986" s="66"/>
      <c r="D986" s="66"/>
      <c r="E986" s="66"/>
      <c r="F986" s="66"/>
      <c r="I986" s="67"/>
      <c r="X986" s="67"/>
    </row>
    <row r="987">
      <c r="A987" s="66"/>
      <c r="B987" s="66"/>
      <c r="C987" s="66"/>
      <c r="D987" s="66"/>
      <c r="E987" s="66"/>
      <c r="F987" s="66"/>
      <c r="I987" s="67"/>
      <c r="X987" s="67"/>
    </row>
    <row r="988">
      <c r="A988" s="66"/>
      <c r="B988" s="66"/>
      <c r="C988" s="66"/>
      <c r="D988" s="66"/>
      <c r="E988" s="66"/>
      <c r="F988" s="66"/>
      <c r="I988" s="67"/>
      <c r="X988" s="67"/>
    </row>
    <row r="989">
      <c r="A989" s="66"/>
      <c r="B989" s="66"/>
      <c r="C989" s="66"/>
      <c r="D989" s="66"/>
      <c r="E989" s="66"/>
      <c r="F989" s="66"/>
      <c r="I989" s="67"/>
      <c r="X989" s="67"/>
    </row>
    <row r="990">
      <c r="A990" s="66"/>
      <c r="B990" s="66"/>
      <c r="C990" s="66"/>
      <c r="D990" s="66"/>
      <c r="E990" s="66"/>
      <c r="F990" s="66"/>
      <c r="I990" s="67"/>
      <c r="X990" s="67"/>
    </row>
    <row r="991">
      <c r="A991" s="66"/>
      <c r="B991" s="66"/>
      <c r="C991" s="66"/>
      <c r="D991" s="66"/>
      <c r="E991" s="66"/>
      <c r="F991" s="66"/>
      <c r="I991" s="67"/>
      <c r="X991" s="67"/>
    </row>
    <row r="992">
      <c r="A992" s="66"/>
      <c r="B992" s="66"/>
      <c r="C992" s="66"/>
      <c r="D992" s="66"/>
      <c r="E992" s="66"/>
      <c r="F992" s="66"/>
      <c r="I992" s="67"/>
      <c r="X992" s="67"/>
    </row>
    <row r="993">
      <c r="A993" s="66"/>
      <c r="B993" s="66"/>
      <c r="C993" s="66"/>
      <c r="D993" s="66"/>
      <c r="E993" s="66"/>
      <c r="F993" s="66"/>
      <c r="I993" s="67"/>
      <c r="X993" s="67"/>
    </row>
    <row r="994">
      <c r="A994" s="66"/>
      <c r="B994" s="66"/>
      <c r="C994" s="66"/>
      <c r="D994" s="66"/>
      <c r="E994" s="66"/>
      <c r="F994" s="66"/>
      <c r="I994" s="67"/>
      <c r="X994" s="67"/>
    </row>
    <row r="995">
      <c r="A995" s="66"/>
      <c r="B995" s="66"/>
      <c r="C995" s="66"/>
      <c r="D995" s="66"/>
      <c r="E995" s="66"/>
      <c r="F995" s="66"/>
      <c r="I995" s="67"/>
      <c r="X995" s="67"/>
    </row>
    <row r="996">
      <c r="A996" s="66"/>
      <c r="B996" s="66"/>
      <c r="C996" s="66"/>
      <c r="D996" s="66"/>
      <c r="E996" s="66"/>
      <c r="F996" s="66"/>
      <c r="I996" s="67"/>
      <c r="X996" s="67"/>
    </row>
    <row r="997">
      <c r="A997" s="66"/>
      <c r="B997" s="66"/>
      <c r="C997" s="66"/>
      <c r="D997" s="66"/>
      <c r="E997" s="66"/>
      <c r="F997" s="66"/>
      <c r="I997" s="67"/>
      <c r="X997" s="67"/>
    </row>
    <row r="998">
      <c r="A998" s="66"/>
      <c r="B998" s="66"/>
      <c r="C998" s="66"/>
      <c r="D998" s="66"/>
      <c r="E998" s="66"/>
      <c r="F998" s="66"/>
      <c r="I998" s="67"/>
      <c r="X998" s="67"/>
    </row>
    <row r="999">
      <c r="A999" s="66"/>
      <c r="B999" s="66"/>
      <c r="C999" s="66"/>
      <c r="D999" s="66"/>
      <c r="E999" s="66"/>
      <c r="F999" s="66"/>
      <c r="I999" s="67"/>
      <c r="X999" s="67"/>
    </row>
    <row r="1000">
      <c r="A1000" s="66"/>
      <c r="B1000" s="66"/>
      <c r="C1000" s="66"/>
      <c r="D1000" s="66"/>
      <c r="E1000" s="66"/>
      <c r="F1000" s="66"/>
      <c r="I1000" s="67"/>
      <c r="X1000" s="67"/>
    </row>
    <row r="1001">
      <c r="A1001" s="66"/>
      <c r="B1001" s="66"/>
      <c r="C1001" s="66"/>
      <c r="D1001" s="66"/>
      <c r="E1001" s="66"/>
      <c r="F1001" s="66"/>
      <c r="I1001" s="67"/>
      <c r="X1001" s="67"/>
    </row>
  </sheetData>
  <mergeCells count="18">
    <mergeCell ref="A1:F1"/>
    <mergeCell ref="H1:O1"/>
    <mergeCell ref="Q1:V1"/>
    <mergeCell ref="X1:AD1"/>
    <mergeCell ref="Q3:Q7"/>
    <mergeCell ref="X3:X4"/>
    <mergeCell ref="Q8:Q12"/>
    <mergeCell ref="X20:X21"/>
    <mergeCell ref="X22:X23"/>
    <mergeCell ref="X27:X28"/>
    <mergeCell ref="X5:X6"/>
    <mergeCell ref="X9:X10"/>
    <mergeCell ref="X12:X13"/>
    <mergeCell ref="Q13:Q17"/>
    <mergeCell ref="X15:X16"/>
    <mergeCell ref="Q18:Q22"/>
    <mergeCell ref="X18:X19"/>
    <mergeCell ref="Q23:Q2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15.0"/>
    <col customWidth="1" min="3" max="3" width="15.38"/>
    <col customWidth="1" min="4" max="4" width="174.75"/>
    <col customWidth="1" min="6" max="6" width="5.0"/>
    <col customWidth="1" min="7" max="7" width="15.63"/>
    <col customWidth="1" min="8" max="8" width="44.13"/>
    <col customWidth="1" min="15" max="15" width="14.75"/>
    <col customWidth="1" min="16" max="16" width="21.38"/>
    <col customWidth="1" min="17" max="17" width="104.75"/>
    <col customWidth="1" min="18" max="18" width="43.38"/>
    <col customWidth="1" min="22" max="22" width="5.0"/>
    <col customWidth="1" min="23" max="23" width="26.38"/>
    <col customWidth="1" min="24" max="24" width="117.25"/>
    <col customWidth="1" min="25" max="25" width="74.63"/>
    <col customWidth="1" min="26" max="26" width="12.13"/>
    <col customWidth="1" min="27" max="27" width="11.13"/>
  </cols>
  <sheetData>
    <row r="1">
      <c r="A1" s="1" t="s">
        <v>0</v>
      </c>
      <c r="B1" s="2"/>
      <c r="C1" s="2"/>
      <c r="D1" s="3"/>
      <c r="F1" s="4" t="s">
        <v>1</v>
      </c>
      <c r="G1" s="2"/>
      <c r="H1" s="2"/>
      <c r="I1" s="2"/>
      <c r="J1" s="2"/>
      <c r="K1" s="2"/>
      <c r="L1" s="2"/>
      <c r="M1" s="3"/>
      <c r="O1" s="5" t="s">
        <v>2</v>
      </c>
      <c r="P1" s="2"/>
      <c r="Q1" s="2"/>
      <c r="R1" s="2"/>
      <c r="S1" s="2"/>
      <c r="T1" s="3"/>
      <c r="V1" s="5" t="s">
        <v>3</v>
      </c>
      <c r="W1" s="2"/>
      <c r="X1" s="2"/>
      <c r="Y1" s="2"/>
      <c r="Z1" s="2"/>
      <c r="AA1" s="2"/>
      <c r="AB1" s="3"/>
    </row>
    <row r="2">
      <c r="A2" s="6" t="s">
        <v>4</v>
      </c>
      <c r="B2" s="6" t="s">
        <v>5</v>
      </c>
      <c r="C2" s="6" t="s">
        <v>6</v>
      </c>
      <c r="D2" s="6" t="s">
        <v>8</v>
      </c>
      <c r="F2" s="8" t="s">
        <v>4</v>
      </c>
      <c r="G2" s="9" t="s">
        <v>9</v>
      </c>
      <c r="H2" s="8" t="s">
        <v>11</v>
      </c>
      <c r="I2" s="8" t="s">
        <v>12</v>
      </c>
      <c r="J2" s="8" t="s">
        <v>13</v>
      </c>
      <c r="K2" s="8" t="s">
        <v>14</v>
      </c>
      <c r="L2" s="8" t="s">
        <v>15</v>
      </c>
      <c r="M2" s="8" t="s">
        <v>16</v>
      </c>
      <c r="O2" s="10" t="s">
        <v>17</v>
      </c>
      <c r="P2" s="10" t="s">
        <v>19</v>
      </c>
      <c r="Q2" s="10" t="s">
        <v>20</v>
      </c>
      <c r="R2" s="10" t="s">
        <v>22</v>
      </c>
      <c r="S2" s="12" t="s">
        <v>24</v>
      </c>
      <c r="T2" s="12" t="s">
        <v>25</v>
      </c>
      <c r="V2" s="10" t="s">
        <v>4</v>
      </c>
      <c r="W2" s="10" t="s">
        <v>26</v>
      </c>
      <c r="X2" s="10" t="s">
        <v>20</v>
      </c>
      <c r="Y2" s="10" t="s">
        <v>22</v>
      </c>
      <c r="Z2" s="12" t="s">
        <v>24</v>
      </c>
      <c r="AA2" s="12" t="s">
        <v>25</v>
      </c>
      <c r="AB2" s="12" t="s">
        <v>27</v>
      </c>
    </row>
    <row r="3">
      <c r="A3" s="13">
        <v>1.0</v>
      </c>
      <c r="B3" s="13">
        <f>T5+T3+AA4</f>
        <v>6</v>
      </c>
      <c r="C3" s="13">
        <f>S5+S3+Z4</f>
        <v>16</v>
      </c>
      <c r="D3" s="14" t="str">
        <f>P5&amp;", "&amp;P3&amp;", "&amp;X4</f>
        <v>Curar Heridas, Bendecir, Oración de Celeridad</v>
      </c>
      <c r="F3" s="15">
        <v>1.0</v>
      </c>
      <c r="G3" s="16">
        <v>2.0</v>
      </c>
      <c r="H3" s="15" t="s">
        <v>32</v>
      </c>
      <c r="I3" s="15">
        <v>2.0</v>
      </c>
      <c r="J3" s="15">
        <v>0.0</v>
      </c>
      <c r="K3" s="15">
        <v>0.0</v>
      </c>
      <c r="L3" s="15">
        <v>0.0</v>
      </c>
      <c r="M3" s="15">
        <v>0.0</v>
      </c>
      <c r="O3" s="17">
        <v>1.0</v>
      </c>
      <c r="P3" s="18" t="s">
        <v>34</v>
      </c>
      <c r="Q3" s="19" t="s">
        <v>35</v>
      </c>
      <c r="R3" s="20" t="s">
        <v>36</v>
      </c>
      <c r="S3" s="21">
        <v>4.0</v>
      </c>
      <c r="T3" s="21">
        <v>1.0</v>
      </c>
      <c r="V3" s="22">
        <v>1.0</v>
      </c>
      <c r="W3" s="24" t="s">
        <v>32</v>
      </c>
      <c r="X3" s="25" t="s">
        <v>38</v>
      </c>
      <c r="Y3" s="25" t="s">
        <v>40</v>
      </c>
      <c r="Z3" s="22">
        <v>0.0</v>
      </c>
      <c r="AA3" s="22">
        <v>0.0</v>
      </c>
    </row>
    <row r="4">
      <c r="A4" s="27">
        <v>2.0</v>
      </c>
      <c r="B4" s="28">
        <f>T5+T3+AA4+AA6</f>
        <v>7</v>
      </c>
      <c r="C4" s="27">
        <f>S5+S3+Z4+Z6</f>
        <v>22</v>
      </c>
      <c r="D4" s="28" t="str">
        <f>P5&amp;", "&amp;P3&amp;", "&amp;X4&amp;", "&amp;X6</f>
        <v>Curar Heridas, Bendecir, Oración de Celeridad, Oración de la Fortaleza</v>
      </c>
      <c r="F4" s="29">
        <v>2.0</v>
      </c>
      <c r="G4" s="30">
        <v>2.0</v>
      </c>
      <c r="H4" s="29" t="s">
        <v>48</v>
      </c>
      <c r="I4" s="29">
        <v>2.0</v>
      </c>
      <c r="J4" s="29">
        <v>0.0</v>
      </c>
      <c r="K4" s="29">
        <v>0.0</v>
      </c>
      <c r="L4" s="29">
        <v>0.0</v>
      </c>
      <c r="M4" s="29">
        <v>0.0</v>
      </c>
      <c r="O4" s="31"/>
      <c r="P4" s="32" t="s">
        <v>51</v>
      </c>
      <c r="Q4" s="33" t="s">
        <v>54</v>
      </c>
      <c r="R4" s="34" t="s">
        <v>56</v>
      </c>
      <c r="S4" s="35">
        <v>0.0</v>
      </c>
      <c r="T4" s="35">
        <v>0.0</v>
      </c>
      <c r="V4" s="36">
        <v>1.0</v>
      </c>
      <c r="W4" s="37"/>
      <c r="X4" s="38" t="s">
        <v>58</v>
      </c>
      <c r="Y4" s="38" t="s">
        <v>59</v>
      </c>
      <c r="Z4" s="36">
        <v>4.0</v>
      </c>
      <c r="AA4" s="36">
        <v>4.0</v>
      </c>
    </row>
    <row r="5">
      <c r="A5" s="13">
        <v>3.0</v>
      </c>
      <c r="B5" s="14">
        <f>T3+AA4+AA6+AA5+AA7</f>
        <v>8</v>
      </c>
      <c r="C5" s="13">
        <f>S3+Z4+Z6+Z7+Z5</f>
        <v>26</v>
      </c>
      <c r="D5" s="14" t="str">
        <f>P3&amp;", "&amp;X4&amp;", "&amp;X6&amp;", "&amp;X5&amp;", "&amp;X7</f>
        <v>Bendecir, Oración de Celeridad, Oración de la Fortaleza, Golpe Divino Menor, Martillo Sagrado</v>
      </c>
      <c r="F5" s="15">
        <v>3.0</v>
      </c>
      <c r="G5" s="16">
        <v>2.0</v>
      </c>
      <c r="H5" s="15" t="s">
        <v>64</v>
      </c>
      <c r="I5" s="15">
        <v>3.0</v>
      </c>
      <c r="J5" s="15">
        <v>0.0</v>
      </c>
      <c r="K5" s="15">
        <v>0.0</v>
      </c>
      <c r="L5" s="15">
        <v>0.0</v>
      </c>
      <c r="M5" s="15">
        <v>0.0</v>
      </c>
      <c r="O5" s="31"/>
      <c r="P5" s="32" t="s">
        <v>66</v>
      </c>
      <c r="Q5" s="33" t="s">
        <v>67</v>
      </c>
      <c r="R5" s="34" t="s">
        <v>69</v>
      </c>
      <c r="S5" s="35">
        <v>8.0</v>
      </c>
      <c r="T5" s="35">
        <v>1.0</v>
      </c>
      <c r="V5" s="39">
        <v>2.0</v>
      </c>
      <c r="W5" s="40" t="s">
        <v>48</v>
      </c>
      <c r="X5" s="41" t="s">
        <v>71</v>
      </c>
      <c r="Y5" s="41" t="s">
        <v>73</v>
      </c>
      <c r="Z5" s="39">
        <v>4.0</v>
      </c>
      <c r="AA5" s="39">
        <v>1.0</v>
      </c>
    </row>
    <row r="6">
      <c r="A6" s="27">
        <v>4.0</v>
      </c>
      <c r="B6" s="28">
        <f>T3+AA4+AA6+AA5+AA7</f>
        <v>8</v>
      </c>
      <c r="C6" s="27">
        <f>S3+Z4+Z6+Z7+Z5</f>
        <v>26</v>
      </c>
      <c r="D6" s="28" t="str">
        <f>P3&amp;", "&amp;X4&amp;", "&amp;X6&amp;", "&amp;X5&amp;", "&amp;X7&amp;", "&amp;W8</f>
        <v>Bendecir, Oración de Celeridad, Oración de la Fortaleza, Golpe Divino Menor, Martillo Sagrado, Bendición Sagrada</v>
      </c>
      <c r="F6" s="29">
        <v>4.0</v>
      </c>
      <c r="G6" s="30">
        <v>2.0</v>
      </c>
      <c r="H6" s="29" t="s">
        <v>77</v>
      </c>
      <c r="I6" s="29">
        <v>3.0</v>
      </c>
      <c r="J6" s="29">
        <v>0.0</v>
      </c>
      <c r="K6" s="29">
        <v>0.0</v>
      </c>
      <c r="L6" s="29">
        <v>0.0</v>
      </c>
      <c r="M6" s="29">
        <v>0.0</v>
      </c>
      <c r="O6" s="31"/>
      <c r="P6" s="32" t="s">
        <v>79</v>
      </c>
      <c r="Q6" s="33" t="s">
        <v>80</v>
      </c>
      <c r="R6" s="34">
        <v>0.0</v>
      </c>
      <c r="S6" s="35">
        <v>0.0</v>
      </c>
      <c r="T6" s="35">
        <v>0.0</v>
      </c>
      <c r="V6" s="39">
        <v>2.0</v>
      </c>
      <c r="W6" s="40"/>
      <c r="X6" s="41" t="s">
        <v>82</v>
      </c>
      <c r="Y6" s="41" t="s">
        <v>84</v>
      </c>
      <c r="Z6" s="39">
        <v>6.0</v>
      </c>
      <c r="AA6" s="39">
        <v>1.0</v>
      </c>
    </row>
    <row r="7">
      <c r="A7" s="13">
        <v>5.0</v>
      </c>
      <c r="B7" s="14">
        <f>T3+AA4+AA6+AA5+AA7+T8+AA9</f>
        <v>11</v>
      </c>
      <c r="C7" s="13">
        <f>S3+S8+Z4+Z6+Z7+Z5+Z9</f>
        <v>37</v>
      </c>
      <c r="D7" s="14" t="str">
        <f>P3&amp;", "&amp;P8&amp;", "&amp;X4&amp;", "&amp;X6&amp;", "&amp;X5&amp;", "&amp;X7&amp;", "&amp;W8&amp;", "&amp;W9</f>
        <v>Bendecir, Arma Mágica, Oración de Celeridad, Oración de la Fortaleza, Golpe Divino Menor, Martillo Sagrado, Bendición Sagrada, Vínculo con Camarada (1)</v>
      </c>
      <c r="F7" s="15">
        <v>5.0</v>
      </c>
      <c r="G7" s="16">
        <v>3.0</v>
      </c>
      <c r="H7" s="15" t="s">
        <v>95</v>
      </c>
      <c r="I7" s="15">
        <v>4.0</v>
      </c>
      <c r="J7" s="15">
        <v>2.0</v>
      </c>
      <c r="K7" s="15">
        <v>0.0</v>
      </c>
      <c r="L7" s="15">
        <v>0.0</v>
      </c>
      <c r="M7" s="15">
        <v>0.0</v>
      </c>
      <c r="O7" s="31"/>
      <c r="P7" s="32" t="s">
        <v>82</v>
      </c>
      <c r="Q7" s="33" t="s">
        <v>97</v>
      </c>
      <c r="R7" s="34" t="s">
        <v>98</v>
      </c>
      <c r="S7" s="35">
        <v>6.0</v>
      </c>
      <c r="T7" s="35">
        <v>1.0</v>
      </c>
      <c r="V7" s="36">
        <v>3.0</v>
      </c>
      <c r="W7" s="37" t="s">
        <v>64</v>
      </c>
      <c r="X7" s="38" t="s">
        <v>99</v>
      </c>
      <c r="Y7" s="38" t="s">
        <v>100</v>
      </c>
      <c r="Z7" s="36">
        <v>8.0</v>
      </c>
      <c r="AA7" s="36">
        <v>1.0</v>
      </c>
    </row>
    <row r="8">
      <c r="A8" s="27">
        <v>6.0</v>
      </c>
      <c r="B8" s="28">
        <f>T3+AA4+AA6+AA5+AA7+T8+AA9</f>
        <v>11</v>
      </c>
      <c r="C8" s="27">
        <f>S3+S8+Z4+Z6+Z7+Z5+Z9</f>
        <v>37</v>
      </c>
      <c r="D8" s="28" t="str">
        <f>P3&amp;", "&amp;P8&amp;", "&amp;X4&amp;", "&amp;X6&amp;", "&amp;X5&amp;", "&amp;X7&amp;", "&amp;W8&amp;", "&amp;W9</f>
        <v>Bendecir, Arma Mágica, Oración de Celeridad, Oración de la Fortaleza, Golpe Divino Menor, Martillo Sagrado, Bendición Sagrada, Vínculo con Camarada (1)</v>
      </c>
      <c r="F8" s="29">
        <v>6.0</v>
      </c>
      <c r="G8" s="30">
        <v>3.0</v>
      </c>
      <c r="H8" s="29" t="s">
        <v>105</v>
      </c>
      <c r="I8" s="29">
        <v>4.0</v>
      </c>
      <c r="J8" s="29">
        <v>2.0</v>
      </c>
      <c r="K8" s="29">
        <v>0.0</v>
      </c>
      <c r="L8" s="29">
        <v>0.0</v>
      </c>
      <c r="M8" s="29">
        <v>0.0</v>
      </c>
      <c r="O8" s="50">
        <v>2.0</v>
      </c>
      <c r="P8" s="45" t="s">
        <v>106</v>
      </c>
      <c r="Q8" s="46" t="s">
        <v>108</v>
      </c>
      <c r="R8" s="47" t="s">
        <v>109</v>
      </c>
      <c r="S8" s="48">
        <v>5.0</v>
      </c>
      <c r="T8" s="48">
        <v>2.0</v>
      </c>
      <c r="V8" s="39">
        <v>4.0</v>
      </c>
      <c r="W8" s="40" t="s">
        <v>77</v>
      </c>
      <c r="X8" s="41" t="s">
        <v>111</v>
      </c>
      <c r="Y8" s="41">
        <v>0.0</v>
      </c>
      <c r="Z8" s="39">
        <v>0.0</v>
      </c>
      <c r="AA8" s="39">
        <v>0.0</v>
      </c>
    </row>
    <row r="9">
      <c r="A9" s="13">
        <v>7.0</v>
      </c>
      <c r="B9" s="14">
        <f>T3+AA4+AA6+AA5+AA7+T8+AA9</f>
        <v>11</v>
      </c>
      <c r="C9" s="13">
        <f>S3+S8+Z4+Z6+Z7+Z5+Z9</f>
        <v>37</v>
      </c>
      <c r="D9" s="14" t="str">
        <f>P3&amp;", "&amp;P8&amp;", "&amp;X4&amp;", "&amp;X6&amp;", "&amp;X5&amp;", "&amp;X7&amp;", "&amp;W8&amp;", "&amp;W9</f>
        <v>Bendecir, Arma Mágica, Oración de Celeridad, Oración de la Fortaleza, Golpe Divino Menor, Martillo Sagrado, Bendición Sagrada, Vínculo con Camarada (1)</v>
      </c>
      <c r="F9" s="15">
        <v>7.0</v>
      </c>
      <c r="G9" s="16">
        <v>3.0</v>
      </c>
      <c r="H9" s="15" t="s">
        <v>119</v>
      </c>
      <c r="I9" s="15">
        <v>4.0</v>
      </c>
      <c r="J9" s="15">
        <v>3.0</v>
      </c>
      <c r="K9" s="15">
        <v>0.0</v>
      </c>
      <c r="L9" s="15">
        <v>0.0</v>
      </c>
      <c r="M9" s="15">
        <v>0.0</v>
      </c>
      <c r="O9" s="31"/>
      <c r="P9" s="45" t="s">
        <v>122</v>
      </c>
      <c r="Q9" s="46" t="s">
        <v>123</v>
      </c>
      <c r="R9" s="47">
        <v>0.0</v>
      </c>
      <c r="S9" s="48">
        <v>0.0</v>
      </c>
      <c r="T9" s="48">
        <v>0.0</v>
      </c>
      <c r="V9" s="36">
        <v>5.0</v>
      </c>
      <c r="W9" s="37" t="s">
        <v>95</v>
      </c>
      <c r="X9" s="38" t="s">
        <v>126</v>
      </c>
      <c r="Y9" s="38" t="s">
        <v>128</v>
      </c>
      <c r="Z9" s="36">
        <v>6.0</v>
      </c>
      <c r="AA9" s="36">
        <v>1.0</v>
      </c>
    </row>
    <row r="10">
      <c r="A10" s="27">
        <v>8.0</v>
      </c>
      <c r="B10" s="28">
        <f>T3+AA4+AA6+AA5+AA7+T8+AA9</f>
        <v>11</v>
      </c>
      <c r="C10" s="27">
        <f>S3+S8+Z4+Z6+Z7+Z5+Z9</f>
        <v>37</v>
      </c>
      <c r="D10" s="28" t="str">
        <f>P3&amp;", "&amp;P8&amp;", "&amp;X4&amp;", "&amp;X6&amp;", "&amp;X5&amp;", "&amp;X7&amp;", "&amp;W8&amp;", "&amp;W9</f>
        <v>Bendecir, Arma Mágica, Oración de Celeridad, Oración de la Fortaleza, Golpe Divino Menor, Martillo Sagrado, Bendición Sagrada, Vínculo con Camarada (1)</v>
      </c>
      <c r="F10" s="29">
        <v>8.0</v>
      </c>
      <c r="G10" s="30">
        <v>3.0</v>
      </c>
      <c r="H10" s="29" t="s">
        <v>132</v>
      </c>
      <c r="I10" s="29">
        <v>4.0</v>
      </c>
      <c r="J10" s="29">
        <v>3.0</v>
      </c>
      <c r="K10" s="29">
        <v>0.0</v>
      </c>
      <c r="L10" s="29">
        <v>0.0</v>
      </c>
      <c r="M10" s="29">
        <v>0.0</v>
      </c>
      <c r="O10" s="31"/>
      <c r="P10" s="45" t="s">
        <v>134</v>
      </c>
      <c r="Q10" s="46" t="s">
        <v>136</v>
      </c>
      <c r="R10" s="47">
        <v>0.0</v>
      </c>
      <c r="S10" s="48">
        <v>0.0</v>
      </c>
      <c r="T10" s="48">
        <v>0.0</v>
      </c>
      <c r="V10" s="39">
        <v>6.0</v>
      </c>
      <c r="W10" s="40" t="s">
        <v>105</v>
      </c>
      <c r="X10" s="41" t="s">
        <v>137</v>
      </c>
      <c r="Y10" s="41">
        <v>0.0</v>
      </c>
      <c r="Z10" s="39">
        <v>0.0</v>
      </c>
      <c r="AA10" s="39">
        <v>0.0</v>
      </c>
    </row>
    <row r="11">
      <c r="A11" s="13">
        <v>9.0</v>
      </c>
      <c r="B11" s="14">
        <f>T3+AA4+AA6+AA5+AA7+T8+AA14+AA13</f>
        <v>16</v>
      </c>
      <c r="C11" s="13">
        <f>S3+S8+Z4+Z6+Z7+Z5+Z14+Z13</f>
        <v>55</v>
      </c>
      <c r="D11" s="14" t="str">
        <f>P3&amp;", "&amp;P8&amp;", "&amp;X4&amp;", "&amp;X6&amp;", "&amp;X5&amp;", "&amp;X7&amp;", "&amp;W8&amp;", "&amp;W14&amp;", "&amp;W13</f>
        <v>Bendecir, Arma Mágica, Oración de Celeridad, Oración de la Fortaleza, Golpe Divino Menor, Martillo Sagrado, Bendición Sagrada, Vínculo con Camarada (2), Bendición de la Guerra</v>
      </c>
      <c r="F11" s="15">
        <v>9.0</v>
      </c>
      <c r="G11" s="16">
        <v>4.0</v>
      </c>
      <c r="H11" s="15" t="s">
        <v>141</v>
      </c>
      <c r="I11" s="15">
        <v>4.0</v>
      </c>
      <c r="J11" s="15">
        <v>3.0</v>
      </c>
      <c r="K11" s="15">
        <v>2.0</v>
      </c>
      <c r="L11" s="15">
        <v>0.0</v>
      </c>
      <c r="M11" s="15">
        <v>0.0</v>
      </c>
      <c r="O11" s="31"/>
      <c r="P11" s="45" t="s">
        <v>143</v>
      </c>
      <c r="Q11" s="46" t="s">
        <v>144</v>
      </c>
      <c r="R11" s="47">
        <v>0.0</v>
      </c>
      <c r="S11" s="48">
        <v>0.0</v>
      </c>
      <c r="T11" s="48">
        <v>0.0</v>
      </c>
      <c r="V11" s="36">
        <v>7.0</v>
      </c>
      <c r="W11" s="37" t="s">
        <v>119</v>
      </c>
      <c r="X11" s="38" t="s">
        <v>146</v>
      </c>
      <c r="Y11" s="38">
        <v>0.0</v>
      </c>
      <c r="Z11" s="36">
        <v>0.0</v>
      </c>
      <c r="AA11" s="36">
        <v>0.0</v>
      </c>
    </row>
    <row r="12">
      <c r="A12" s="27">
        <v>10.0</v>
      </c>
      <c r="B12" s="28">
        <f>T3+AA4+AA6+AA5+T8+AA14+AA15+AA13</f>
        <v>18</v>
      </c>
      <c r="C12" s="27">
        <f>S3+S8+Z4+Z6+Z5+Z14+Z15+Z13</f>
        <v>65</v>
      </c>
      <c r="D12" s="28" t="str">
        <f>P3&amp;", "&amp;P8&amp;", "&amp;X4&amp;", "&amp;X6&amp;", "&amp;X5&amp;", "&amp;W8&amp;", "&amp;W14&amp;", "&amp;W15&amp;", "&amp;W13</f>
        <v>Bendecir, Arma Mágica, Oración de Celeridad, Oración de la Fortaleza, Golpe Divino Menor, Bendición Sagrada, Vínculo con Camarada (2), Luz Sagrada Mejorada, Bendición de la Guerra</v>
      </c>
      <c r="F12" s="29">
        <v>10.0</v>
      </c>
      <c r="G12" s="30">
        <v>4.0</v>
      </c>
      <c r="H12" s="29" t="s">
        <v>156</v>
      </c>
      <c r="I12" s="29">
        <v>4.0</v>
      </c>
      <c r="J12" s="29">
        <v>3.0</v>
      </c>
      <c r="K12" s="29">
        <v>2.0</v>
      </c>
      <c r="L12" s="29">
        <v>0.0</v>
      </c>
      <c r="M12" s="29">
        <v>0.0</v>
      </c>
      <c r="O12" s="31"/>
      <c r="P12" s="45" t="s">
        <v>38</v>
      </c>
      <c r="Q12" s="46" t="s">
        <v>159</v>
      </c>
      <c r="R12" s="47" t="s">
        <v>160</v>
      </c>
      <c r="S12" s="48">
        <v>0.0</v>
      </c>
      <c r="T12" s="48">
        <v>0.0</v>
      </c>
      <c r="V12" s="39">
        <v>8.0</v>
      </c>
      <c r="W12" s="40" t="s">
        <v>132</v>
      </c>
      <c r="X12" s="41" t="s">
        <v>161</v>
      </c>
      <c r="Y12" s="41">
        <v>0.0</v>
      </c>
      <c r="Z12" s="39">
        <v>0.0</v>
      </c>
      <c r="AA12" s="39">
        <v>0.0</v>
      </c>
    </row>
    <row r="13">
      <c r="A13" s="13">
        <v>11.0</v>
      </c>
      <c r="B13" s="14">
        <f>T3+AA4+AA6+AA5+T8+AA14+AA15+AA14+AA13</f>
        <v>20</v>
      </c>
      <c r="C13" s="13">
        <f>S3+S8+Z4+Z6+Z5+Z14+Z15+Z14+Z13</f>
        <v>85</v>
      </c>
      <c r="D13" s="14" t="str">
        <f>P3&amp;", "&amp;P8&amp;", "&amp;X4&amp;", "&amp;X6&amp;", "&amp;X5&amp;", "&amp;W8&amp;", "&amp;W14&amp;", "&amp;W15&amp;", "&amp;W16&amp;", "&amp;W13</f>
        <v>Bendecir, Arma Mágica, Oración de Celeridad, Oración de la Fortaleza, Golpe Divino Menor, Bendición Sagrada, Vínculo con Camarada (2), Luz Sagrada Mejorada, (Doble) Vínculo con Camarada (3), Bendición de la Guerra</v>
      </c>
      <c r="F13" s="15">
        <v>11.0</v>
      </c>
      <c r="G13" s="16">
        <v>4.0</v>
      </c>
      <c r="H13" s="15" t="s">
        <v>166</v>
      </c>
      <c r="I13" s="15">
        <v>4.0</v>
      </c>
      <c r="J13" s="15">
        <v>3.0</v>
      </c>
      <c r="K13" s="15">
        <v>3.0</v>
      </c>
      <c r="L13" s="15">
        <v>0.0</v>
      </c>
      <c r="M13" s="15">
        <v>0.0</v>
      </c>
      <c r="O13" s="31"/>
      <c r="P13" s="45" t="s">
        <v>58</v>
      </c>
      <c r="Q13" s="46" t="s">
        <v>170</v>
      </c>
      <c r="R13" s="47">
        <v>0.0</v>
      </c>
      <c r="S13" s="48">
        <v>0.0</v>
      </c>
      <c r="T13" s="48">
        <v>0.0</v>
      </c>
      <c r="V13" s="36">
        <v>9.0</v>
      </c>
      <c r="W13" s="37" t="s">
        <v>141</v>
      </c>
      <c r="X13" s="38" t="s">
        <v>171</v>
      </c>
      <c r="Y13" s="38" t="s">
        <v>173</v>
      </c>
      <c r="Z13" s="52">
        <v>4.0</v>
      </c>
      <c r="AA13" s="52">
        <v>4.0</v>
      </c>
    </row>
    <row r="14">
      <c r="A14" s="27">
        <v>12.0</v>
      </c>
      <c r="B14" s="28">
        <f>T3+AA4+AA6+AA5+T8+AA14+AA15+AA14+AA13+AA17</f>
        <v>25</v>
      </c>
      <c r="C14" s="27">
        <f>S3+S8+Z4+Z6+Z5+Z14+Z15+Z14+Z13+Z17</f>
        <v>90</v>
      </c>
      <c r="D14" s="28" t="str">
        <f>P3&amp;", "&amp;P8&amp;", "&amp;X4&amp;", "&amp;X6&amp;", "&amp;X5&amp;", "&amp;W8&amp;", "&amp;W14&amp;", "&amp;W15&amp;", "&amp;W16&amp;", "&amp;W13&amp;", "&amp;W17</f>
        <v>Bendecir, Arma Mágica, Oración de Celeridad, Oración de la Fortaleza, Golpe Divino Menor, Bendición Sagrada, Vínculo con Camarada (2), Luz Sagrada Mejorada, (Doble) Vínculo con Camarada (3), Bendición de la Guerra, Fortaleza de la Fe Celestial</v>
      </c>
      <c r="F14" s="29">
        <v>12.0</v>
      </c>
      <c r="G14" s="30">
        <v>4.0</v>
      </c>
      <c r="H14" s="29" t="s">
        <v>187</v>
      </c>
      <c r="I14" s="29">
        <v>4.0</v>
      </c>
      <c r="J14" s="29">
        <v>3.0</v>
      </c>
      <c r="K14" s="29">
        <v>3.0</v>
      </c>
      <c r="L14" s="29">
        <v>0.0</v>
      </c>
      <c r="M14" s="29">
        <v>0.0</v>
      </c>
      <c r="O14" s="53">
        <v>3.0</v>
      </c>
      <c r="P14" s="32" t="s">
        <v>189</v>
      </c>
      <c r="Q14" s="33" t="s">
        <v>190</v>
      </c>
      <c r="R14" s="34">
        <v>0.0</v>
      </c>
      <c r="S14" s="35">
        <v>0.0</v>
      </c>
      <c r="T14" s="35">
        <v>0.0</v>
      </c>
      <c r="V14" s="49"/>
      <c r="W14" s="37" t="s">
        <v>166</v>
      </c>
      <c r="X14" s="38" t="s">
        <v>191</v>
      </c>
      <c r="Y14" s="38" t="s">
        <v>193</v>
      </c>
      <c r="Z14" s="52">
        <v>20.0</v>
      </c>
      <c r="AA14" s="52">
        <v>2.0</v>
      </c>
    </row>
    <row r="15">
      <c r="A15" s="13">
        <v>13.0</v>
      </c>
      <c r="B15" s="14">
        <f>T3+AA4+AA6+AA5+AA18+T8+AA19+AA19+AA13+AA15+AA17</f>
        <v>35</v>
      </c>
      <c r="C15" s="13">
        <f>S3+S8+Z4+Z6+Z18+Z5+Z19+Z19+Z13+Z15+Z17</f>
        <v>130</v>
      </c>
      <c r="D15" s="14" t="str">
        <f>P3&amp;", "&amp;P8&amp;", "&amp;X4&amp;", "&amp;X6&amp;", "&amp;X5&amp;", "&amp;W18&amp;", "&amp;W8&amp;", "&amp;W19&amp;", "&amp;W16&amp;", "&amp;W13&amp;", "&amp;W15&amp;", "&amp;W17</f>
        <v>Bendecir, Arma Mágica, Oración de Celeridad, Oración de la Fortaleza, Golpe Divino Menor, Rayo de Justicia, Bendición Sagrada, Vínculo con Camarada (4), (Doble) Vínculo con Camarada (3), Bendición de la Guerra, Luz Sagrada Mejorada, Fortaleza de la Fe Celestial</v>
      </c>
      <c r="F15" s="15">
        <v>13.0</v>
      </c>
      <c r="G15" s="16">
        <v>5.0</v>
      </c>
      <c r="H15" s="15" t="s">
        <v>200</v>
      </c>
      <c r="I15" s="15">
        <v>4.0</v>
      </c>
      <c r="J15" s="15">
        <v>3.0</v>
      </c>
      <c r="K15" s="15">
        <v>3.0</v>
      </c>
      <c r="L15" s="15">
        <v>1.0</v>
      </c>
      <c r="M15" s="15">
        <v>0.0</v>
      </c>
      <c r="O15" s="31"/>
      <c r="P15" s="32" t="s">
        <v>201</v>
      </c>
      <c r="Q15" s="33" t="s">
        <v>202</v>
      </c>
      <c r="R15" s="34" t="s">
        <v>204</v>
      </c>
      <c r="S15" s="35">
        <v>12.0</v>
      </c>
      <c r="T15" s="35">
        <v>2.0</v>
      </c>
      <c r="V15" s="39">
        <v>10.0</v>
      </c>
      <c r="W15" s="40" t="s">
        <v>156</v>
      </c>
      <c r="X15" s="41" t="s">
        <v>206</v>
      </c>
      <c r="Y15" s="41" t="s">
        <v>207</v>
      </c>
      <c r="Z15" s="39">
        <f>6*3</f>
        <v>18</v>
      </c>
      <c r="AA15" s="39">
        <v>3.0</v>
      </c>
    </row>
    <row r="16">
      <c r="A16" s="27">
        <v>14.0</v>
      </c>
      <c r="B16" s="28">
        <f>T3+AA4+AA6+AA5+AA18+T8+AA19+AA19+AA13+AA15+AA17</f>
        <v>35</v>
      </c>
      <c r="C16" s="27">
        <f>S3+S8+Z4+Z6+Z18+Z5+Z19+Z19+Z13+Z15+Z17</f>
        <v>130</v>
      </c>
      <c r="D16" s="28" t="str">
        <f>P3&amp;", "&amp;P8&amp;", "&amp;X4&amp;", "&amp;X6&amp;", "&amp;X5&amp;", "&amp;W18&amp;", "&amp;W8&amp;", "&amp;W19&amp;", "&amp;W16&amp;", "&amp;W13&amp;", "&amp;W15&amp;", "&amp;W17</f>
        <v>Bendecir, Arma Mágica, Oración de Celeridad, Oración de la Fortaleza, Golpe Divino Menor, Rayo de Justicia, Bendición Sagrada, Vínculo con Camarada (4), (Doble) Vínculo con Camarada (3), Bendición de la Guerra, Luz Sagrada Mejorada, Fortaleza de la Fe Celestial</v>
      </c>
      <c r="F16" s="29">
        <v>14.0</v>
      </c>
      <c r="G16" s="30">
        <v>5.0</v>
      </c>
      <c r="H16" s="29" t="s">
        <v>223</v>
      </c>
      <c r="I16" s="29">
        <v>4.0</v>
      </c>
      <c r="J16" s="29">
        <v>3.0</v>
      </c>
      <c r="K16" s="29">
        <v>3.0</v>
      </c>
      <c r="L16" s="29">
        <v>1.0</v>
      </c>
      <c r="M16" s="29">
        <v>0.0</v>
      </c>
      <c r="O16" s="31"/>
      <c r="P16" s="32" t="s">
        <v>225</v>
      </c>
      <c r="Q16" s="33" t="s">
        <v>226</v>
      </c>
      <c r="R16" s="34">
        <v>0.0</v>
      </c>
      <c r="S16" s="35">
        <v>0.0</v>
      </c>
      <c r="T16" s="35">
        <v>0.0</v>
      </c>
      <c r="V16" s="36">
        <v>11.0</v>
      </c>
      <c r="W16" s="37" t="s">
        <v>227</v>
      </c>
      <c r="X16" s="54" t="s">
        <v>228</v>
      </c>
      <c r="Y16" s="54">
        <v>0.0</v>
      </c>
      <c r="Z16" s="55">
        <v>0.0</v>
      </c>
      <c r="AA16" s="55">
        <v>0.0</v>
      </c>
    </row>
    <row r="17">
      <c r="A17" s="13">
        <v>15.0</v>
      </c>
      <c r="B17" s="14">
        <f>T3+AA4+AA6+AA5+AA18+T8+AA19+AA19+AA13+AA15+AA17</f>
        <v>35</v>
      </c>
      <c r="C17" s="13">
        <f>S3+S8+Z4+Z6+Z18+Z5+Z19+Z19+Z13+Z15+Z17</f>
        <v>130</v>
      </c>
      <c r="D17" s="14" t="str">
        <f>P3&amp;", "&amp;P8&amp;", "&amp;X4&amp;", "&amp;X6&amp;", "&amp;X5&amp;", "&amp;W18&amp;", "&amp;W8&amp;", "&amp;W19&amp;", "&amp;W15&amp;", "&amp;W16&amp;", "&amp;W13&amp;", "&amp;W15&amp;", "&amp;W17</f>
        <v>Bendecir, Arma Mágica, Oración de Celeridad, Oración de la Fortaleza, Golpe Divino Menor, Rayo de Justicia, Bendición Sagrada, Vínculo con Camarada (4), Luz Sagrada Mejorada, (Doble) Vínculo con Camarada (3), Bendición de la Guerra, Luz Sagrada Mejorada, Fortaleza de la Fe Celestial</v>
      </c>
      <c r="F17" s="15">
        <v>15.0</v>
      </c>
      <c r="G17" s="16">
        <v>5.0</v>
      </c>
      <c r="H17" s="15" t="s">
        <v>235</v>
      </c>
      <c r="I17" s="15">
        <v>4.0</v>
      </c>
      <c r="J17" s="15">
        <v>3.0</v>
      </c>
      <c r="K17" s="15">
        <v>3.0</v>
      </c>
      <c r="L17" s="15">
        <v>2.0</v>
      </c>
      <c r="M17" s="15">
        <v>0.0</v>
      </c>
      <c r="O17" s="31"/>
      <c r="P17" s="32" t="s">
        <v>239</v>
      </c>
      <c r="Q17" s="33" t="s">
        <v>240</v>
      </c>
      <c r="R17" s="34" t="s">
        <v>204</v>
      </c>
      <c r="S17" s="35">
        <v>12.0</v>
      </c>
      <c r="T17" s="35">
        <v>2.0</v>
      </c>
      <c r="V17" s="56">
        <v>12.0</v>
      </c>
      <c r="W17" s="40" t="s">
        <v>242</v>
      </c>
      <c r="X17" s="41" t="s">
        <v>243</v>
      </c>
      <c r="Y17" s="41" t="s">
        <v>244</v>
      </c>
      <c r="Z17" s="39">
        <v>5.0</v>
      </c>
      <c r="AA17" s="39">
        <v>5.0</v>
      </c>
    </row>
    <row r="18">
      <c r="A18" s="27">
        <v>16.0</v>
      </c>
      <c r="B18" s="28">
        <f>T3+AA4+AA6+AA5+AA18+T8+AA19+AA19+AA19+AA13+AA15+AA17</f>
        <v>39</v>
      </c>
      <c r="C18" s="27">
        <f>S3+S8+Z4+Z6+Z18+Z5+Z19+Z19+Z19+Z13+Z15+Z17</f>
        <v>158</v>
      </c>
      <c r="D18" s="28" t="str">
        <f>P3&amp;", "&amp;P8&amp;", "&amp;X4&amp;", "&amp;X6&amp;", "&amp;X5&amp;", "&amp;W18&amp;", "&amp;W8&amp;", "&amp;W19&amp;", "&amp;W15&amp;", "&amp;W21&amp;", "&amp;W13&amp;", "&amp;W15&amp;", "&amp;W17</f>
        <v>Bendecir, Arma Mágica, Oración de Celeridad, Oración de la Fortaleza, Golpe Divino Menor, Rayo de Justicia, Bendición Sagrada, Vínculo con Camarada (4), Luz Sagrada Mejorada, (Triple) Vínculo con Camarada (5), Bendición de la Guerra, Luz Sagrada Mejorada, Fortaleza de la Fe Celestial</v>
      </c>
      <c r="F18" s="29">
        <v>16.0</v>
      </c>
      <c r="G18" s="30">
        <v>5.0</v>
      </c>
      <c r="H18" s="29" t="s">
        <v>253</v>
      </c>
      <c r="I18" s="29">
        <v>4.0</v>
      </c>
      <c r="J18" s="29">
        <v>3.0</v>
      </c>
      <c r="K18" s="29">
        <v>3.0</v>
      </c>
      <c r="L18" s="29">
        <v>2.0</v>
      </c>
      <c r="M18" s="29">
        <v>0.0</v>
      </c>
      <c r="O18" s="31"/>
      <c r="P18" s="32" t="s">
        <v>71</v>
      </c>
      <c r="Q18" s="33" t="s">
        <v>254</v>
      </c>
      <c r="R18" s="34" t="s">
        <v>255</v>
      </c>
      <c r="S18" s="35">
        <v>4.0</v>
      </c>
      <c r="T18" s="35">
        <v>1.0</v>
      </c>
      <c r="V18" s="55">
        <v>13.0</v>
      </c>
      <c r="W18" s="58" t="s">
        <v>187</v>
      </c>
      <c r="X18" s="54" t="s">
        <v>256</v>
      </c>
      <c r="Y18" s="54" t="s">
        <v>257</v>
      </c>
      <c r="Z18" s="59">
        <v>24.0</v>
      </c>
      <c r="AA18" s="59">
        <v>6.0</v>
      </c>
    </row>
    <row r="19">
      <c r="A19" s="13">
        <v>17.0</v>
      </c>
      <c r="B19" s="14">
        <f>T3+AA4+AA6+AA5+AA18+T8+AA22+AA22+AA22+AA13+AA15+AA17</f>
        <v>42</v>
      </c>
      <c r="C19" s="13">
        <f>S3+S8+Z4+Z6+Z18+Z5+Z22+Z22+Z22+Z13+Z15+Z17</f>
        <v>176</v>
      </c>
      <c r="D19" s="14" t="str">
        <f>P3&amp;", "&amp;P8&amp;", "&amp;X4&amp;", "&amp;X6&amp;", "&amp;X5&amp;", "&amp;W18&amp;", "&amp;W8&amp;", "&amp;W22&amp;", "&amp;W15&amp;", "&amp;W21&amp;", "&amp;W13&amp;", "&amp;W15&amp;", "&amp;W17</f>
        <v>Bendecir, Arma Mágica, Oración de Celeridad, Oración de la Fortaleza, Golpe Divino Menor, Rayo de Justicia, Bendición Sagrada, Vínculo con Camarada (6), Luz Sagrada Mejorada, (Triple) Vínculo con Camarada (5), Bendición de la Guerra, Luz Sagrada Mejorada, Fortaleza de la Fe Celestial</v>
      </c>
      <c r="F19" s="15">
        <v>17.0</v>
      </c>
      <c r="G19" s="16">
        <v>6.0</v>
      </c>
      <c r="H19" s="15" t="s">
        <v>260</v>
      </c>
      <c r="I19" s="15">
        <v>4.0</v>
      </c>
      <c r="J19" s="15">
        <v>3.0</v>
      </c>
      <c r="K19" s="15">
        <v>3.0</v>
      </c>
      <c r="L19" s="15">
        <v>3.0</v>
      </c>
      <c r="M19" s="15">
        <v>1.0</v>
      </c>
      <c r="O19" s="50">
        <v>4.0</v>
      </c>
      <c r="P19" s="45" t="s">
        <v>261</v>
      </c>
      <c r="Q19" s="46" t="s">
        <v>263</v>
      </c>
      <c r="R19" s="47">
        <v>0.0</v>
      </c>
      <c r="S19" s="48">
        <v>0.0</v>
      </c>
      <c r="T19" s="48">
        <v>0.0</v>
      </c>
      <c r="V19" s="49"/>
      <c r="W19" s="58" t="s">
        <v>265</v>
      </c>
      <c r="X19" s="38" t="s">
        <v>266</v>
      </c>
      <c r="Y19" s="38" t="s">
        <v>267</v>
      </c>
      <c r="Z19" s="52">
        <f>16+12</f>
        <v>28</v>
      </c>
      <c r="AA19" s="52">
        <v>4.0</v>
      </c>
    </row>
    <row r="20">
      <c r="A20" s="27">
        <v>18.0</v>
      </c>
      <c r="B20" s="28">
        <f>T3+AA4+AA6+AA5+AA18+T8+AA22+AA22+AA22+AA13+AA15+AA17</f>
        <v>42</v>
      </c>
      <c r="C20" s="27">
        <f>S3+S8+Z4+Z6+Z18+Z5+Z22+Z22+Z22+Z13+Z15+Z17</f>
        <v>176</v>
      </c>
      <c r="D20" s="28" t="str">
        <f>P3&amp;", "&amp;P8&amp;", "&amp;X4&amp;", "&amp;X6&amp;", "&amp;X5&amp;", "&amp;W18&amp;", "&amp;W8&amp;", "&amp;W22&amp;", "&amp;W15&amp;", "&amp;W21&amp;", "&amp;W13&amp;", "&amp;W15&amp;", "&amp;W17</f>
        <v>Bendecir, Arma Mágica, Oración de Celeridad, Oración de la Fortaleza, Golpe Divino Menor, Rayo de Justicia, Bendición Sagrada, Vínculo con Camarada (6), Luz Sagrada Mejorada, (Triple) Vínculo con Camarada (5), Bendición de la Guerra, Luz Sagrada Mejorada, Fortaleza de la Fe Celestial</v>
      </c>
      <c r="F20" s="29">
        <v>18.0</v>
      </c>
      <c r="G20" s="30">
        <v>6.0</v>
      </c>
      <c r="H20" s="29" t="s">
        <v>274</v>
      </c>
      <c r="I20" s="29">
        <v>4.0</v>
      </c>
      <c r="J20" s="29">
        <v>3.0</v>
      </c>
      <c r="K20" s="29">
        <v>3.0</v>
      </c>
      <c r="L20" s="29">
        <v>3.0</v>
      </c>
      <c r="M20" s="29">
        <v>2.0</v>
      </c>
      <c r="O20" s="31"/>
      <c r="P20" s="45" t="s">
        <v>275</v>
      </c>
      <c r="Q20" s="46" t="s">
        <v>276</v>
      </c>
      <c r="R20" s="47">
        <v>0.0</v>
      </c>
      <c r="S20" s="48">
        <v>0.0</v>
      </c>
      <c r="T20" s="48">
        <v>0.0</v>
      </c>
      <c r="V20" s="56">
        <v>15.0</v>
      </c>
      <c r="W20" s="64" t="s">
        <v>200</v>
      </c>
      <c r="X20" s="65" t="s">
        <v>277</v>
      </c>
      <c r="Y20" s="65">
        <v>0.0</v>
      </c>
      <c r="Z20" s="56">
        <v>0.0</v>
      </c>
      <c r="AA20" s="56">
        <v>0.0</v>
      </c>
    </row>
    <row r="21">
      <c r="A21" s="13">
        <v>19.0</v>
      </c>
      <c r="B21" s="14">
        <f>T3+AA4+AA6+AA5+AA18+T8+AA22+AA22+AA22+AA13+AA15+AA17</f>
        <v>42</v>
      </c>
      <c r="C21" s="13">
        <f>S3+S8+Z4+Z6+Z18+Z5+Z22+Z22+Z22+Z13+Z15+Z17</f>
        <v>176</v>
      </c>
      <c r="D21" s="14" t="str">
        <f>P3&amp;", "&amp;P8&amp;", "&amp;X4&amp;", "&amp;X6&amp;", "&amp;X5&amp;", "&amp;W18&amp;", "&amp;W8&amp;", "&amp;W22&amp;", "&amp;W15&amp;", "&amp;W21&amp;", "&amp;W13&amp;", "&amp;W15&amp;", "&amp;W17</f>
        <v>Bendecir, Arma Mágica, Oración de Celeridad, Oración de la Fortaleza, Golpe Divino Menor, Rayo de Justicia, Bendición Sagrada, Vínculo con Camarada (6), Luz Sagrada Mejorada, (Triple) Vínculo con Camarada (5), Bendición de la Guerra, Luz Sagrada Mejorada, Fortaleza de la Fe Celestial</v>
      </c>
      <c r="F21" s="15">
        <v>19.0</v>
      </c>
      <c r="G21" s="16">
        <v>6.0</v>
      </c>
      <c r="H21" s="15" t="s">
        <v>285</v>
      </c>
      <c r="I21" s="15">
        <v>4.0</v>
      </c>
      <c r="J21" s="15">
        <v>3.0</v>
      </c>
      <c r="K21" s="15">
        <v>3.0</v>
      </c>
      <c r="L21" s="15">
        <v>3.0</v>
      </c>
      <c r="M21" s="15">
        <v>2.0</v>
      </c>
      <c r="O21" s="31"/>
      <c r="P21" s="45" t="s">
        <v>286</v>
      </c>
      <c r="Q21" s="46" t="s">
        <v>287</v>
      </c>
      <c r="R21" s="47" t="s">
        <v>255</v>
      </c>
      <c r="S21" s="48">
        <v>4.0</v>
      </c>
      <c r="T21" s="48">
        <v>1.0</v>
      </c>
      <c r="V21" s="68">
        <v>16.0</v>
      </c>
      <c r="W21" s="69" t="s">
        <v>292</v>
      </c>
      <c r="X21" s="70" t="s">
        <v>295</v>
      </c>
      <c r="Y21" s="70">
        <v>0.0</v>
      </c>
      <c r="Z21" s="68">
        <v>0.0</v>
      </c>
      <c r="AA21" s="68">
        <v>0.0</v>
      </c>
    </row>
    <row r="22">
      <c r="A22" s="60">
        <v>20.0</v>
      </c>
      <c r="B22" s="60">
        <f>T3+AA4+AA6+AA5+AA18+T8+AA25+AA25+AA25+AA13+AA15+AA17</f>
        <v>39</v>
      </c>
      <c r="C22" s="60">
        <f>S3+S8+Z4+Z6+Z18+Z5+Z25+Z25+Z25+Z13+Z15+Z17</f>
        <v>242</v>
      </c>
      <c r="D22" s="60" t="str">
        <f>P3&amp;", "&amp;P8&amp;", "&amp;X4&amp;", "&amp;X6&amp;", "&amp;X5&amp;", "&amp;W18&amp;", "&amp;W8&amp;", "&amp;W25&amp;", "&amp;W15&amp;", "&amp;W21&amp;", "&amp;W13&amp;", "&amp;W15&amp;", "&amp;W17</f>
        <v>Bendecir, Arma Mágica, Oración de Celeridad, Oración de la Fortaleza, Golpe Divino Menor, Rayo de Justicia, Bendición Sagrada, Vínculo con Camarada (7), Luz Sagrada Mejorada, (Triple) Vínculo con Camarada (5), Bendición de la Guerra, Luz Sagrada Mejorada, Fortaleza de la Fe Celestial</v>
      </c>
      <c r="F22" s="62">
        <v>20.0</v>
      </c>
      <c r="G22" s="63">
        <v>6.0</v>
      </c>
      <c r="H22" s="62" t="s">
        <v>265</v>
      </c>
      <c r="I22" s="62">
        <v>4.0</v>
      </c>
      <c r="J22" s="62">
        <v>3.0</v>
      </c>
      <c r="K22" s="62">
        <v>3.0</v>
      </c>
      <c r="L22" s="62">
        <v>3.0</v>
      </c>
      <c r="M22" s="62">
        <v>2.0</v>
      </c>
      <c r="O22" s="31"/>
      <c r="P22" s="45" t="s">
        <v>299</v>
      </c>
      <c r="Q22" s="46" t="s">
        <v>300</v>
      </c>
      <c r="R22" s="47">
        <v>0.0</v>
      </c>
      <c r="S22" s="48">
        <v>0.0</v>
      </c>
      <c r="T22" s="48">
        <v>0.0</v>
      </c>
      <c r="V22" s="56">
        <v>17.0</v>
      </c>
      <c r="W22" s="40" t="s">
        <v>301</v>
      </c>
      <c r="X22" s="41" t="s">
        <v>302</v>
      </c>
      <c r="Y22" s="41" t="s">
        <v>303</v>
      </c>
      <c r="Z22" s="56">
        <f>(3*8)+10</f>
        <v>34</v>
      </c>
      <c r="AA22" s="39">
        <v>5.0</v>
      </c>
    </row>
    <row r="23">
      <c r="A23" s="66"/>
      <c r="B23" s="66"/>
      <c r="C23" s="66"/>
      <c r="D23" s="66"/>
      <c r="G23" s="67"/>
      <c r="O23" s="53">
        <v>5.0</v>
      </c>
      <c r="P23" s="32" t="s">
        <v>305</v>
      </c>
      <c r="Q23" s="33" t="s">
        <v>306</v>
      </c>
      <c r="R23" s="34">
        <v>0.0</v>
      </c>
      <c r="S23" s="35">
        <v>0.0</v>
      </c>
      <c r="T23" s="35">
        <v>0.0</v>
      </c>
      <c r="V23" s="55">
        <v>18.0</v>
      </c>
      <c r="W23" s="58" t="s">
        <v>307</v>
      </c>
      <c r="X23" s="54" t="s">
        <v>308</v>
      </c>
      <c r="Y23" s="54">
        <v>0.0</v>
      </c>
      <c r="Z23" s="55">
        <v>0.0</v>
      </c>
      <c r="AA23" s="55">
        <v>0.0</v>
      </c>
    </row>
    <row r="24">
      <c r="A24" s="66"/>
      <c r="B24" s="66"/>
      <c r="C24" s="66"/>
      <c r="D24" s="66"/>
      <c r="G24" s="67"/>
      <c r="O24" s="31"/>
      <c r="P24" s="32" t="s">
        <v>313</v>
      </c>
      <c r="Q24" s="33" t="s">
        <v>314</v>
      </c>
      <c r="R24" s="34">
        <v>0.0</v>
      </c>
      <c r="S24" s="35">
        <v>0.0</v>
      </c>
      <c r="T24" s="35">
        <v>0.0</v>
      </c>
      <c r="V24" s="56">
        <v>20.0</v>
      </c>
      <c r="W24" s="64" t="s">
        <v>316</v>
      </c>
      <c r="X24" s="65" t="s">
        <v>317</v>
      </c>
      <c r="Y24" s="41" t="s">
        <v>319</v>
      </c>
      <c r="Z24" s="39">
        <v>0.0</v>
      </c>
      <c r="AA24" s="39">
        <v>0.0</v>
      </c>
    </row>
    <row r="25">
      <c r="A25" s="66"/>
      <c r="B25" s="66"/>
      <c r="C25" s="66"/>
      <c r="D25" s="66"/>
      <c r="G25" s="67"/>
      <c r="O25" s="31"/>
      <c r="P25" s="32" t="s">
        <v>323</v>
      </c>
      <c r="Q25" s="33" t="s">
        <v>324</v>
      </c>
      <c r="R25" s="34">
        <v>0.0</v>
      </c>
      <c r="S25" s="35">
        <v>0.0</v>
      </c>
      <c r="T25" s="35">
        <v>0.0</v>
      </c>
      <c r="V25" s="49"/>
      <c r="W25" s="40" t="s">
        <v>325</v>
      </c>
      <c r="X25" s="41" t="s">
        <v>326</v>
      </c>
      <c r="Y25" s="41" t="s">
        <v>327</v>
      </c>
      <c r="Z25" s="56">
        <f>7*8</f>
        <v>56</v>
      </c>
      <c r="AA25" s="39">
        <v>4.0</v>
      </c>
    </row>
    <row r="26">
      <c r="A26" s="66"/>
      <c r="B26" s="66"/>
      <c r="C26" s="66"/>
      <c r="D26" s="66"/>
      <c r="G26" s="67"/>
      <c r="O26" s="31"/>
      <c r="P26" s="32" t="s">
        <v>329</v>
      </c>
      <c r="Q26" s="33" t="s">
        <v>330</v>
      </c>
      <c r="R26" s="34">
        <v>0.0</v>
      </c>
      <c r="S26" s="35">
        <v>0.0</v>
      </c>
      <c r="T26" s="35">
        <v>0.0</v>
      </c>
      <c r="V26" s="55"/>
      <c r="W26" s="58"/>
      <c r="X26" s="54"/>
      <c r="Y26" s="54"/>
      <c r="Z26" s="55"/>
      <c r="AA26" s="55"/>
    </row>
    <row r="27">
      <c r="A27" s="66"/>
      <c r="B27" s="66"/>
      <c r="C27" s="66"/>
      <c r="D27" s="66"/>
      <c r="G27" s="67"/>
      <c r="O27" s="71"/>
      <c r="P27" s="72"/>
      <c r="Q27" s="73"/>
      <c r="R27" s="74"/>
      <c r="S27" s="75"/>
      <c r="T27" s="75"/>
      <c r="V27" s="36"/>
      <c r="W27" s="37"/>
      <c r="X27" s="38"/>
      <c r="Y27" s="38"/>
      <c r="Z27" s="36"/>
      <c r="AA27" s="36"/>
    </row>
    <row r="28">
      <c r="A28" s="66"/>
      <c r="B28" s="66"/>
      <c r="C28" s="66"/>
      <c r="D28" s="66"/>
      <c r="G28" s="67"/>
      <c r="P28" s="76"/>
      <c r="V28" s="78"/>
      <c r="W28" s="69"/>
      <c r="X28" s="79"/>
      <c r="Y28" s="79"/>
      <c r="Z28" s="80"/>
      <c r="AA28" s="80"/>
    </row>
    <row r="29">
      <c r="A29" s="66"/>
      <c r="B29" s="66"/>
      <c r="C29" s="66"/>
      <c r="D29" s="66"/>
      <c r="G29" s="67"/>
      <c r="P29" s="77"/>
      <c r="V29" s="67"/>
    </row>
    <row r="30">
      <c r="B30" s="66"/>
      <c r="C30" s="66"/>
      <c r="D30" s="66"/>
      <c r="G30" s="67"/>
      <c r="P30" s="76"/>
      <c r="V30" s="67"/>
    </row>
    <row r="31">
      <c r="A31" s="66"/>
      <c r="B31" s="66"/>
      <c r="C31" s="66"/>
      <c r="D31" s="66"/>
      <c r="G31" s="67"/>
      <c r="P31" s="77"/>
      <c r="V31" s="67"/>
    </row>
    <row r="32">
      <c r="A32" s="66"/>
      <c r="B32" s="66"/>
      <c r="C32" s="66"/>
      <c r="D32" s="66"/>
      <c r="G32" s="67"/>
      <c r="P32" s="76"/>
      <c r="V32" s="67"/>
    </row>
    <row r="33">
      <c r="A33" s="66"/>
      <c r="B33" s="66"/>
      <c r="C33" s="66"/>
      <c r="D33" s="81"/>
      <c r="G33" s="67"/>
      <c r="P33" s="76"/>
      <c r="R33" s="82"/>
      <c r="V33" s="67"/>
    </row>
    <row r="34">
      <c r="A34" s="66"/>
      <c r="B34" s="66"/>
      <c r="C34" s="66"/>
      <c r="D34" s="81"/>
      <c r="G34" s="67"/>
      <c r="P34" s="76"/>
      <c r="R34" s="82"/>
      <c r="V34" s="67"/>
    </row>
    <row r="35">
      <c r="A35" s="66"/>
      <c r="B35" s="66"/>
      <c r="C35" s="66"/>
      <c r="D35" s="66"/>
      <c r="G35" s="67"/>
      <c r="P35" s="76"/>
      <c r="R35" s="82"/>
      <c r="V35" s="67"/>
      <c r="W35" s="40" t="s">
        <v>166</v>
      </c>
      <c r="X35" s="41" t="s">
        <v>126</v>
      </c>
    </row>
    <row r="36">
      <c r="A36" s="66"/>
      <c r="B36" s="66"/>
      <c r="C36" s="66"/>
      <c r="D36" s="66"/>
      <c r="G36" s="67"/>
      <c r="P36" s="77"/>
      <c r="R36" s="82"/>
      <c r="V36" s="67"/>
    </row>
    <row r="37">
      <c r="A37" s="66"/>
      <c r="B37" s="66"/>
      <c r="C37" s="66"/>
      <c r="D37" s="66"/>
      <c r="G37" s="67"/>
      <c r="P37" s="76"/>
      <c r="R37" s="82"/>
      <c r="V37" s="67"/>
    </row>
    <row r="38">
      <c r="A38" s="66"/>
      <c r="B38" s="66"/>
      <c r="C38" s="66"/>
      <c r="D38" s="66"/>
      <c r="G38" s="67"/>
      <c r="P38" s="77"/>
      <c r="R38" s="82"/>
      <c r="V38" s="67"/>
    </row>
    <row r="39">
      <c r="A39" s="66"/>
      <c r="C39" s="66"/>
      <c r="D39" s="66"/>
      <c r="G39" s="67"/>
      <c r="R39" s="82"/>
      <c r="V39" s="67"/>
    </row>
    <row r="40">
      <c r="A40" s="66"/>
      <c r="B40" s="66"/>
      <c r="C40" s="66"/>
      <c r="D40" s="66"/>
      <c r="G40" s="67"/>
      <c r="P40" s="76"/>
      <c r="R40" s="82"/>
      <c r="V40" s="67"/>
    </row>
    <row r="41">
      <c r="A41" s="66"/>
      <c r="B41" s="66"/>
      <c r="C41" s="66"/>
      <c r="D41" s="66"/>
      <c r="G41" s="67"/>
      <c r="P41" s="76"/>
      <c r="R41" s="82"/>
      <c r="V41" s="67"/>
    </row>
    <row r="42">
      <c r="A42" s="66"/>
      <c r="B42" s="66"/>
      <c r="C42" s="66"/>
      <c r="D42" s="66"/>
      <c r="G42" s="67"/>
      <c r="P42" s="76"/>
      <c r="V42" s="83"/>
    </row>
    <row r="43">
      <c r="A43" s="66"/>
      <c r="B43" s="66"/>
      <c r="C43" s="66"/>
      <c r="D43" s="66"/>
      <c r="G43" s="67"/>
      <c r="P43" s="77"/>
    </row>
    <row r="44">
      <c r="A44" s="66"/>
      <c r="B44" s="66"/>
      <c r="C44" s="66"/>
      <c r="D44" s="66"/>
      <c r="G44" s="67"/>
      <c r="P44" s="76"/>
    </row>
    <row r="45">
      <c r="A45" s="66"/>
      <c r="C45" s="66"/>
      <c r="D45" s="66"/>
      <c r="G45" s="67"/>
      <c r="P45" s="77"/>
    </row>
    <row r="46">
      <c r="A46" s="66"/>
      <c r="B46" s="66"/>
      <c r="C46" s="66"/>
      <c r="D46" s="66"/>
      <c r="G46" s="67"/>
    </row>
    <row r="47">
      <c r="A47" s="66"/>
      <c r="B47" s="66"/>
      <c r="C47" s="66"/>
      <c r="D47" s="66"/>
      <c r="G47" s="67"/>
      <c r="P47" s="76"/>
    </row>
    <row r="48">
      <c r="A48" s="66"/>
      <c r="B48" s="66"/>
      <c r="C48" s="66"/>
      <c r="D48" s="66"/>
      <c r="G48" s="67"/>
      <c r="P48" s="76"/>
      <c r="V48" s="67"/>
    </row>
    <row r="49">
      <c r="A49" s="66"/>
      <c r="B49" s="66"/>
      <c r="C49" s="66"/>
      <c r="D49" s="66"/>
      <c r="G49" s="67"/>
      <c r="P49" s="76"/>
      <c r="V49" s="67"/>
    </row>
    <row r="50">
      <c r="A50" s="66"/>
      <c r="B50" s="66"/>
      <c r="C50" s="66"/>
      <c r="D50" s="66"/>
      <c r="G50" s="67"/>
      <c r="P50" s="77"/>
      <c r="V50" s="67"/>
    </row>
    <row r="51">
      <c r="A51" s="66"/>
      <c r="B51" s="66"/>
      <c r="C51" s="66"/>
      <c r="D51" s="66"/>
      <c r="G51" s="67"/>
      <c r="P51" s="76"/>
      <c r="V51" s="67"/>
    </row>
    <row r="52">
      <c r="A52" s="66"/>
      <c r="B52" s="66"/>
      <c r="C52" s="66"/>
      <c r="D52" s="66"/>
      <c r="G52" s="67"/>
      <c r="P52" s="77"/>
      <c r="V52" s="67"/>
    </row>
    <row r="53">
      <c r="A53" s="66"/>
      <c r="B53" s="66"/>
      <c r="C53" s="66"/>
      <c r="D53" s="66"/>
      <c r="G53" s="67"/>
      <c r="V53" s="67"/>
    </row>
    <row r="54">
      <c r="A54" s="66"/>
      <c r="B54" s="66"/>
      <c r="C54" s="66"/>
      <c r="D54" s="66"/>
      <c r="G54" s="67"/>
      <c r="P54" s="76"/>
      <c r="V54" s="67"/>
    </row>
    <row r="55">
      <c r="A55" s="66"/>
      <c r="B55" s="66"/>
      <c r="C55" s="66"/>
      <c r="D55" s="66"/>
      <c r="G55" s="67"/>
      <c r="P55" s="76"/>
      <c r="V55" s="67"/>
    </row>
    <row r="56">
      <c r="A56" s="66"/>
      <c r="B56" s="66"/>
      <c r="C56" s="66"/>
      <c r="D56" s="66"/>
      <c r="G56" s="67"/>
      <c r="P56" s="76"/>
      <c r="V56" s="67"/>
    </row>
    <row r="57">
      <c r="A57" s="66"/>
      <c r="B57" s="66"/>
      <c r="C57" s="66"/>
      <c r="D57" s="66"/>
      <c r="G57" s="67"/>
      <c r="P57" s="77"/>
      <c r="V57" s="67"/>
    </row>
    <row r="58">
      <c r="A58" s="66"/>
      <c r="B58" s="66"/>
      <c r="C58" s="66"/>
      <c r="D58" s="66"/>
      <c r="G58" s="67"/>
      <c r="P58" s="76"/>
      <c r="V58" s="67"/>
    </row>
    <row r="59">
      <c r="A59" s="66"/>
      <c r="B59" s="66"/>
      <c r="C59" s="66"/>
      <c r="D59" s="66"/>
      <c r="G59" s="67"/>
      <c r="P59" s="77"/>
      <c r="V59" s="67"/>
    </row>
    <row r="60">
      <c r="A60" s="66"/>
      <c r="B60" s="66"/>
      <c r="C60" s="66"/>
      <c r="D60" s="66"/>
      <c r="G60" s="67"/>
      <c r="V60" s="67"/>
    </row>
    <row r="61">
      <c r="A61" s="66"/>
      <c r="B61" s="66"/>
      <c r="C61" s="66"/>
      <c r="D61" s="66"/>
      <c r="G61" s="67"/>
      <c r="P61" s="76"/>
      <c r="V61" s="67"/>
    </row>
    <row r="62">
      <c r="A62" s="66"/>
      <c r="B62" s="66"/>
      <c r="C62" s="66"/>
      <c r="D62" s="66"/>
      <c r="G62" s="67"/>
      <c r="P62" s="76"/>
      <c r="V62" s="67"/>
    </row>
    <row r="63">
      <c r="A63" s="66"/>
      <c r="B63" s="66"/>
      <c r="C63" s="66"/>
      <c r="D63" s="66"/>
      <c r="G63" s="67"/>
      <c r="P63" s="76"/>
      <c r="V63" s="67"/>
    </row>
    <row r="64">
      <c r="A64" s="66"/>
      <c r="B64" s="66"/>
      <c r="C64" s="66"/>
      <c r="D64" s="66"/>
      <c r="G64" s="67"/>
      <c r="V64" s="67"/>
    </row>
    <row r="65">
      <c r="A65" s="66"/>
      <c r="B65" s="66"/>
      <c r="C65" s="66"/>
      <c r="D65" s="66"/>
      <c r="G65" s="67"/>
      <c r="V65" s="67"/>
    </row>
    <row r="66">
      <c r="A66" s="66"/>
      <c r="B66" s="66"/>
      <c r="C66" s="66"/>
      <c r="D66" s="66"/>
      <c r="G66" s="67"/>
      <c r="V66" s="67"/>
    </row>
    <row r="67">
      <c r="A67" s="66"/>
      <c r="B67" s="66"/>
      <c r="C67" s="66"/>
      <c r="D67" s="66"/>
      <c r="G67" s="67"/>
      <c r="V67" s="67"/>
    </row>
    <row r="68">
      <c r="A68" s="66"/>
      <c r="B68" s="66"/>
      <c r="C68" s="66"/>
      <c r="D68" s="66"/>
      <c r="G68" s="67"/>
      <c r="V68" s="67"/>
    </row>
    <row r="69">
      <c r="A69" s="66"/>
      <c r="B69" s="66"/>
      <c r="C69" s="66"/>
      <c r="D69" s="66"/>
      <c r="G69" s="67"/>
      <c r="V69" s="67"/>
    </row>
    <row r="70">
      <c r="A70" s="66"/>
      <c r="B70" s="66"/>
      <c r="C70" s="66"/>
      <c r="D70" s="66"/>
      <c r="G70" s="67"/>
      <c r="V70" s="67"/>
    </row>
    <row r="71">
      <c r="A71" s="66"/>
      <c r="B71" s="66"/>
      <c r="C71" s="66"/>
      <c r="D71" s="66"/>
      <c r="G71" s="67"/>
      <c r="V71" s="67"/>
    </row>
    <row r="72">
      <c r="A72" s="66"/>
      <c r="B72" s="66"/>
      <c r="C72" s="66"/>
      <c r="D72" s="66"/>
      <c r="G72" s="67"/>
      <c r="V72" s="67"/>
    </row>
    <row r="73">
      <c r="A73" s="66"/>
      <c r="B73" s="66"/>
      <c r="C73" s="66"/>
      <c r="D73" s="66"/>
      <c r="G73" s="67"/>
      <c r="V73" s="67"/>
    </row>
    <row r="74">
      <c r="A74" s="66"/>
      <c r="B74" s="66"/>
      <c r="C74" s="66"/>
      <c r="D74" s="66"/>
      <c r="G74" s="67"/>
      <c r="V74" s="67"/>
    </row>
    <row r="75">
      <c r="A75" s="66"/>
      <c r="B75" s="66"/>
      <c r="C75" s="66"/>
      <c r="D75" s="66"/>
      <c r="G75" s="67"/>
      <c r="V75" s="67"/>
    </row>
    <row r="76">
      <c r="A76" s="66"/>
      <c r="B76" s="66"/>
      <c r="C76" s="66"/>
      <c r="D76" s="66"/>
      <c r="G76" s="67"/>
      <c r="V76" s="67"/>
    </row>
    <row r="77">
      <c r="A77" s="66"/>
      <c r="B77" s="66"/>
      <c r="C77" s="66"/>
      <c r="D77" s="66"/>
      <c r="G77" s="67"/>
      <c r="V77" s="67"/>
    </row>
    <row r="78">
      <c r="A78" s="66"/>
      <c r="B78" s="66"/>
      <c r="C78" s="66"/>
      <c r="D78" s="66"/>
      <c r="G78" s="67"/>
      <c r="V78" s="67"/>
    </row>
    <row r="79">
      <c r="A79" s="66"/>
      <c r="B79" s="66"/>
      <c r="C79" s="66"/>
      <c r="D79" s="66"/>
      <c r="G79" s="67"/>
      <c r="V79" s="67"/>
    </row>
    <row r="80">
      <c r="A80" s="66"/>
      <c r="B80" s="66"/>
      <c r="C80" s="66"/>
      <c r="D80" s="66"/>
      <c r="G80" s="67"/>
      <c r="V80" s="67"/>
    </row>
    <row r="81">
      <c r="A81" s="66"/>
      <c r="B81" s="66"/>
      <c r="C81" s="66"/>
      <c r="D81" s="66"/>
      <c r="G81" s="67"/>
      <c r="V81" s="67"/>
    </row>
    <row r="82">
      <c r="A82" s="66"/>
      <c r="B82" s="66"/>
      <c r="C82" s="66"/>
      <c r="D82" s="66"/>
      <c r="G82" s="67"/>
      <c r="V82" s="67"/>
    </row>
    <row r="83">
      <c r="A83" s="66"/>
      <c r="B83" s="66"/>
      <c r="C83" s="66"/>
      <c r="D83" s="66"/>
      <c r="G83" s="67"/>
      <c r="V83" s="67"/>
    </row>
    <row r="84">
      <c r="A84" s="66"/>
      <c r="B84" s="66"/>
      <c r="C84" s="66"/>
      <c r="D84" s="66"/>
      <c r="G84" s="67"/>
      <c r="V84" s="67"/>
    </row>
    <row r="85">
      <c r="A85" s="66"/>
      <c r="B85" s="66"/>
      <c r="C85" s="66"/>
      <c r="D85" s="66"/>
      <c r="G85" s="67"/>
      <c r="V85" s="67"/>
    </row>
    <row r="86">
      <c r="A86" s="66"/>
      <c r="B86" s="66"/>
      <c r="C86" s="66"/>
      <c r="D86" s="66"/>
      <c r="G86" s="67"/>
      <c r="V86" s="67"/>
    </row>
    <row r="87">
      <c r="A87" s="66"/>
      <c r="B87" s="66"/>
      <c r="C87" s="66"/>
      <c r="D87" s="66"/>
      <c r="G87" s="67"/>
      <c r="V87" s="67"/>
    </row>
    <row r="88">
      <c r="A88" s="66"/>
      <c r="B88" s="66"/>
      <c r="C88" s="66"/>
      <c r="D88" s="66"/>
      <c r="G88" s="67"/>
      <c r="V88" s="67"/>
    </row>
    <row r="89">
      <c r="A89" s="66"/>
      <c r="B89" s="66"/>
      <c r="C89" s="66"/>
      <c r="D89" s="66"/>
      <c r="G89" s="67"/>
      <c r="V89" s="67"/>
    </row>
    <row r="90">
      <c r="A90" s="66"/>
      <c r="B90" s="66"/>
      <c r="C90" s="66"/>
      <c r="D90" s="66"/>
      <c r="G90" s="67"/>
      <c r="V90" s="67"/>
    </row>
    <row r="91">
      <c r="A91" s="66"/>
      <c r="B91" s="66"/>
      <c r="C91" s="66"/>
      <c r="D91" s="66"/>
      <c r="G91" s="67"/>
      <c r="V91" s="67"/>
    </row>
    <row r="92">
      <c r="A92" s="66"/>
      <c r="B92" s="66"/>
      <c r="C92" s="66"/>
      <c r="D92" s="66"/>
      <c r="G92" s="67"/>
      <c r="V92" s="67"/>
    </row>
    <row r="93">
      <c r="A93" s="66"/>
      <c r="B93" s="66"/>
      <c r="C93" s="66"/>
      <c r="D93" s="66"/>
      <c r="G93" s="67"/>
      <c r="V93" s="67"/>
    </row>
    <row r="94">
      <c r="A94" s="66"/>
      <c r="B94" s="66"/>
      <c r="C94" s="66"/>
      <c r="D94" s="66"/>
      <c r="G94" s="67"/>
      <c r="V94" s="67"/>
    </row>
    <row r="95">
      <c r="A95" s="66"/>
      <c r="B95" s="66"/>
      <c r="C95" s="66"/>
      <c r="D95" s="66"/>
      <c r="G95" s="67"/>
      <c r="V95" s="67"/>
    </row>
    <row r="96">
      <c r="A96" s="66"/>
      <c r="B96" s="66"/>
      <c r="C96" s="66"/>
      <c r="D96" s="66"/>
      <c r="G96" s="67"/>
      <c r="V96" s="67"/>
    </row>
    <row r="97">
      <c r="A97" s="66"/>
      <c r="B97" s="66"/>
      <c r="C97" s="66"/>
      <c r="D97" s="66"/>
      <c r="G97" s="67"/>
      <c r="V97" s="67"/>
    </row>
    <row r="98">
      <c r="A98" s="66"/>
      <c r="B98" s="66"/>
      <c r="C98" s="66"/>
      <c r="D98" s="66"/>
      <c r="G98" s="67"/>
      <c r="V98" s="67"/>
    </row>
    <row r="99">
      <c r="A99" s="66"/>
      <c r="B99" s="66"/>
      <c r="C99" s="66"/>
      <c r="D99" s="66"/>
      <c r="G99" s="67"/>
      <c r="V99" s="67"/>
    </row>
    <row r="100">
      <c r="A100" s="66"/>
      <c r="B100" s="66"/>
      <c r="C100" s="66"/>
      <c r="D100" s="66"/>
      <c r="G100" s="67"/>
      <c r="V100" s="67"/>
    </row>
    <row r="101">
      <c r="A101" s="66"/>
      <c r="B101" s="66"/>
      <c r="C101" s="66"/>
      <c r="D101" s="66"/>
      <c r="G101" s="67"/>
      <c r="V101" s="67"/>
    </row>
    <row r="102">
      <c r="A102" s="66"/>
      <c r="B102" s="66"/>
      <c r="C102" s="66"/>
      <c r="D102" s="66"/>
      <c r="G102" s="67"/>
      <c r="V102" s="67"/>
    </row>
    <row r="103">
      <c r="A103" s="66"/>
      <c r="B103" s="66"/>
      <c r="C103" s="66"/>
      <c r="D103" s="66"/>
      <c r="G103" s="67"/>
      <c r="V103" s="67"/>
    </row>
    <row r="104">
      <c r="A104" s="66"/>
      <c r="B104" s="66"/>
      <c r="C104" s="66"/>
      <c r="D104" s="66"/>
      <c r="G104" s="67"/>
      <c r="V104" s="67"/>
    </row>
    <row r="105">
      <c r="A105" s="66"/>
      <c r="B105" s="66"/>
      <c r="C105" s="66"/>
      <c r="D105" s="66"/>
      <c r="G105" s="67"/>
      <c r="V105" s="67"/>
    </row>
    <row r="106">
      <c r="A106" s="66"/>
      <c r="B106" s="66"/>
      <c r="C106" s="66"/>
      <c r="D106" s="66"/>
      <c r="G106" s="67"/>
      <c r="V106" s="67"/>
    </row>
    <row r="107">
      <c r="A107" s="66"/>
      <c r="B107" s="66"/>
      <c r="C107" s="66"/>
      <c r="D107" s="66"/>
      <c r="G107" s="67"/>
      <c r="V107" s="67"/>
    </row>
    <row r="108">
      <c r="A108" s="66"/>
      <c r="B108" s="66"/>
      <c r="C108" s="66"/>
      <c r="D108" s="66"/>
      <c r="G108" s="67"/>
      <c r="V108" s="67"/>
    </row>
    <row r="109">
      <c r="A109" s="66"/>
      <c r="B109" s="66"/>
      <c r="C109" s="66"/>
      <c r="D109" s="66"/>
      <c r="G109" s="67"/>
      <c r="V109" s="67"/>
    </row>
    <row r="110">
      <c r="A110" s="66"/>
      <c r="B110" s="66"/>
      <c r="C110" s="66"/>
      <c r="D110" s="66"/>
      <c r="G110" s="67"/>
      <c r="V110" s="67"/>
    </row>
    <row r="111">
      <c r="A111" s="66"/>
      <c r="B111" s="66"/>
      <c r="C111" s="66"/>
      <c r="D111" s="66"/>
      <c r="G111" s="67"/>
      <c r="V111" s="67"/>
    </row>
    <row r="112">
      <c r="A112" s="66"/>
      <c r="B112" s="66"/>
      <c r="C112" s="66"/>
      <c r="D112" s="66"/>
      <c r="G112" s="67"/>
      <c r="V112" s="67"/>
    </row>
    <row r="113">
      <c r="A113" s="66"/>
      <c r="B113" s="66"/>
      <c r="C113" s="66"/>
      <c r="D113" s="66"/>
      <c r="G113" s="67"/>
      <c r="V113" s="67"/>
    </row>
    <row r="114">
      <c r="A114" s="66"/>
      <c r="B114" s="66"/>
      <c r="C114" s="66"/>
      <c r="D114" s="66"/>
      <c r="G114" s="67"/>
      <c r="V114" s="67"/>
    </row>
    <row r="115">
      <c r="A115" s="66"/>
      <c r="B115" s="66"/>
      <c r="C115" s="66"/>
      <c r="D115" s="66"/>
      <c r="G115" s="67"/>
      <c r="V115" s="67"/>
    </row>
    <row r="116">
      <c r="A116" s="66"/>
      <c r="B116" s="66"/>
      <c r="C116" s="66"/>
      <c r="D116" s="66"/>
      <c r="G116" s="67"/>
      <c r="V116" s="67"/>
    </row>
    <row r="117">
      <c r="A117" s="66"/>
      <c r="B117" s="66"/>
      <c r="C117" s="66"/>
      <c r="D117" s="66"/>
      <c r="G117" s="67"/>
      <c r="V117" s="67"/>
    </row>
    <row r="118">
      <c r="A118" s="66"/>
      <c r="B118" s="66"/>
      <c r="C118" s="66"/>
      <c r="D118" s="66"/>
      <c r="G118" s="67"/>
      <c r="V118" s="67"/>
    </row>
    <row r="119">
      <c r="A119" s="66"/>
      <c r="B119" s="66"/>
      <c r="C119" s="66"/>
      <c r="D119" s="66"/>
      <c r="G119" s="67"/>
      <c r="V119" s="67"/>
    </row>
    <row r="120">
      <c r="A120" s="66"/>
      <c r="B120" s="66"/>
      <c r="C120" s="66"/>
      <c r="D120" s="66"/>
      <c r="G120" s="67"/>
      <c r="V120" s="67"/>
    </row>
    <row r="121">
      <c r="A121" s="66"/>
      <c r="B121" s="66"/>
      <c r="C121" s="66"/>
      <c r="D121" s="66"/>
      <c r="G121" s="67"/>
      <c r="V121" s="67"/>
    </row>
    <row r="122">
      <c r="A122" s="66"/>
      <c r="B122" s="66"/>
      <c r="C122" s="66"/>
      <c r="D122" s="66"/>
      <c r="G122" s="67"/>
      <c r="V122" s="67"/>
    </row>
    <row r="123">
      <c r="A123" s="66"/>
      <c r="B123" s="66"/>
      <c r="C123" s="66"/>
      <c r="D123" s="66"/>
      <c r="G123" s="67"/>
      <c r="V123" s="67"/>
    </row>
    <row r="124">
      <c r="A124" s="66"/>
      <c r="B124" s="66"/>
      <c r="C124" s="66"/>
      <c r="D124" s="66"/>
      <c r="G124" s="67"/>
      <c r="V124" s="67"/>
    </row>
    <row r="125">
      <c r="A125" s="66"/>
      <c r="B125" s="66"/>
      <c r="C125" s="66"/>
      <c r="D125" s="66"/>
      <c r="G125" s="67"/>
      <c r="V125" s="67"/>
    </row>
    <row r="126">
      <c r="A126" s="66"/>
      <c r="B126" s="66"/>
      <c r="C126" s="66"/>
      <c r="D126" s="66"/>
      <c r="G126" s="67"/>
      <c r="V126" s="67"/>
    </row>
    <row r="127">
      <c r="A127" s="66"/>
      <c r="B127" s="66"/>
      <c r="C127" s="66"/>
      <c r="D127" s="66"/>
      <c r="G127" s="67"/>
      <c r="V127" s="67"/>
    </row>
    <row r="128">
      <c r="A128" s="66"/>
      <c r="B128" s="66"/>
      <c r="C128" s="66"/>
      <c r="D128" s="66"/>
      <c r="G128" s="67"/>
      <c r="V128" s="67"/>
    </row>
    <row r="129">
      <c r="A129" s="66"/>
      <c r="B129" s="66"/>
      <c r="C129" s="66"/>
      <c r="D129" s="66"/>
      <c r="G129" s="67"/>
      <c r="V129" s="67"/>
    </row>
    <row r="130">
      <c r="A130" s="66"/>
      <c r="B130" s="66"/>
      <c r="C130" s="66"/>
      <c r="D130" s="66"/>
      <c r="G130" s="67"/>
      <c r="V130" s="67"/>
    </row>
    <row r="131">
      <c r="A131" s="66"/>
      <c r="B131" s="66"/>
      <c r="C131" s="66"/>
      <c r="D131" s="66"/>
      <c r="G131" s="67"/>
      <c r="V131" s="67"/>
    </row>
    <row r="132">
      <c r="A132" s="66"/>
      <c r="B132" s="66"/>
      <c r="C132" s="66"/>
      <c r="D132" s="66"/>
      <c r="G132" s="67"/>
      <c r="V132" s="67"/>
    </row>
    <row r="133">
      <c r="A133" s="66"/>
      <c r="B133" s="66"/>
      <c r="C133" s="66"/>
      <c r="D133" s="66"/>
      <c r="G133" s="67"/>
      <c r="V133" s="67"/>
    </row>
    <row r="134">
      <c r="A134" s="66"/>
      <c r="B134" s="66"/>
      <c r="C134" s="66"/>
      <c r="D134" s="66"/>
      <c r="G134" s="67"/>
      <c r="V134" s="67"/>
    </row>
    <row r="135">
      <c r="A135" s="66"/>
      <c r="B135" s="66"/>
      <c r="C135" s="66"/>
      <c r="D135" s="66"/>
      <c r="G135" s="67"/>
      <c r="V135" s="67"/>
    </row>
    <row r="136">
      <c r="A136" s="66"/>
      <c r="B136" s="66"/>
      <c r="C136" s="66"/>
      <c r="D136" s="66"/>
      <c r="G136" s="67"/>
      <c r="V136" s="67"/>
    </row>
    <row r="137">
      <c r="A137" s="66"/>
      <c r="B137" s="66"/>
      <c r="C137" s="66"/>
      <c r="D137" s="66"/>
      <c r="G137" s="67"/>
      <c r="V137" s="67"/>
    </row>
    <row r="138">
      <c r="A138" s="66"/>
      <c r="B138" s="66"/>
      <c r="C138" s="66"/>
      <c r="D138" s="66"/>
      <c r="G138" s="67"/>
      <c r="V138" s="67"/>
    </row>
    <row r="139">
      <c r="A139" s="66"/>
      <c r="B139" s="66"/>
      <c r="C139" s="66"/>
      <c r="D139" s="66"/>
      <c r="G139" s="67"/>
      <c r="V139" s="67"/>
    </row>
    <row r="140">
      <c r="A140" s="66"/>
      <c r="B140" s="66"/>
      <c r="C140" s="66"/>
      <c r="D140" s="66"/>
      <c r="G140" s="67"/>
      <c r="V140" s="67"/>
    </row>
    <row r="141">
      <c r="A141" s="66"/>
      <c r="B141" s="66"/>
      <c r="C141" s="66"/>
      <c r="D141" s="66"/>
      <c r="G141" s="67"/>
      <c r="V141" s="67"/>
    </row>
    <row r="142">
      <c r="A142" s="66"/>
      <c r="B142" s="66"/>
      <c r="C142" s="66"/>
      <c r="D142" s="66"/>
      <c r="G142" s="67"/>
      <c r="V142" s="67"/>
    </row>
    <row r="143">
      <c r="A143" s="66"/>
      <c r="B143" s="66"/>
      <c r="C143" s="66"/>
      <c r="D143" s="66"/>
      <c r="G143" s="67"/>
      <c r="V143" s="67"/>
    </row>
    <row r="144">
      <c r="A144" s="66"/>
      <c r="B144" s="66"/>
      <c r="C144" s="66"/>
      <c r="D144" s="66"/>
      <c r="G144" s="67"/>
      <c r="V144" s="67"/>
    </row>
    <row r="145">
      <c r="A145" s="66"/>
      <c r="B145" s="66"/>
      <c r="C145" s="66"/>
      <c r="D145" s="66"/>
      <c r="G145" s="67"/>
      <c r="V145" s="67"/>
    </row>
    <row r="146">
      <c r="A146" s="66"/>
      <c r="B146" s="66"/>
      <c r="C146" s="66"/>
      <c r="D146" s="66"/>
      <c r="G146" s="67"/>
      <c r="V146" s="67"/>
    </row>
    <row r="147">
      <c r="A147" s="66"/>
      <c r="B147" s="66"/>
      <c r="C147" s="66"/>
      <c r="D147" s="66"/>
      <c r="G147" s="67"/>
      <c r="V147" s="67"/>
    </row>
    <row r="148">
      <c r="A148" s="66"/>
      <c r="B148" s="66"/>
      <c r="C148" s="66"/>
      <c r="D148" s="66"/>
      <c r="G148" s="67"/>
      <c r="V148" s="67"/>
    </row>
    <row r="149">
      <c r="A149" s="66"/>
      <c r="B149" s="66"/>
      <c r="C149" s="66"/>
      <c r="D149" s="66"/>
      <c r="G149" s="67"/>
      <c r="V149" s="67"/>
    </row>
    <row r="150">
      <c r="A150" s="66"/>
      <c r="B150" s="66"/>
      <c r="C150" s="66"/>
      <c r="D150" s="66"/>
      <c r="G150" s="67"/>
      <c r="V150" s="67"/>
    </row>
    <row r="151">
      <c r="A151" s="66"/>
      <c r="B151" s="66"/>
      <c r="C151" s="66"/>
      <c r="D151" s="66"/>
      <c r="G151" s="67"/>
      <c r="V151" s="67"/>
    </row>
    <row r="152">
      <c r="A152" s="66"/>
      <c r="B152" s="66"/>
      <c r="C152" s="66"/>
      <c r="D152" s="66"/>
      <c r="G152" s="67"/>
      <c r="V152" s="67"/>
    </row>
    <row r="153">
      <c r="A153" s="66"/>
      <c r="B153" s="66"/>
      <c r="C153" s="66"/>
      <c r="D153" s="66"/>
      <c r="G153" s="67"/>
      <c r="V153" s="67"/>
    </row>
    <row r="154">
      <c r="A154" s="66"/>
      <c r="B154" s="66"/>
      <c r="C154" s="66"/>
      <c r="D154" s="66"/>
      <c r="G154" s="67"/>
      <c r="V154" s="67"/>
    </row>
    <row r="155">
      <c r="A155" s="66"/>
      <c r="B155" s="66"/>
      <c r="C155" s="66"/>
      <c r="D155" s="66"/>
      <c r="G155" s="67"/>
      <c r="V155" s="67"/>
    </row>
    <row r="156">
      <c r="A156" s="66"/>
      <c r="B156" s="66"/>
      <c r="C156" s="66"/>
      <c r="D156" s="66"/>
      <c r="G156" s="67"/>
      <c r="V156" s="67"/>
    </row>
    <row r="157">
      <c r="A157" s="66"/>
      <c r="B157" s="66"/>
      <c r="C157" s="66"/>
      <c r="D157" s="66"/>
      <c r="G157" s="67"/>
      <c r="V157" s="67"/>
    </row>
    <row r="158">
      <c r="A158" s="66"/>
      <c r="B158" s="66"/>
      <c r="C158" s="66"/>
      <c r="D158" s="66"/>
      <c r="G158" s="67"/>
      <c r="V158" s="67"/>
    </row>
    <row r="159">
      <c r="A159" s="66"/>
      <c r="B159" s="66"/>
      <c r="C159" s="66"/>
      <c r="D159" s="66"/>
      <c r="G159" s="67"/>
      <c r="V159" s="67"/>
    </row>
    <row r="160">
      <c r="A160" s="66"/>
      <c r="B160" s="66"/>
      <c r="C160" s="66"/>
      <c r="D160" s="66"/>
      <c r="G160" s="67"/>
      <c r="V160" s="67"/>
    </row>
    <row r="161">
      <c r="A161" s="66"/>
      <c r="B161" s="66"/>
      <c r="C161" s="66"/>
      <c r="D161" s="66"/>
      <c r="G161" s="67"/>
      <c r="V161" s="67"/>
    </row>
    <row r="162">
      <c r="A162" s="66"/>
      <c r="B162" s="66"/>
      <c r="C162" s="66"/>
      <c r="D162" s="66"/>
      <c r="G162" s="67"/>
      <c r="V162" s="67"/>
    </row>
    <row r="163">
      <c r="A163" s="66"/>
      <c r="B163" s="66"/>
      <c r="C163" s="66"/>
      <c r="D163" s="66"/>
      <c r="G163" s="67"/>
      <c r="V163" s="67"/>
    </row>
    <row r="164">
      <c r="A164" s="66"/>
      <c r="B164" s="66"/>
      <c r="C164" s="66"/>
      <c r="D164" s="66"/>
      <c r="G164" s="67"/>
      <c r="V164" s="67"/>
    </row>
    <row r="165">
      <c r="A165" s="66"/>
      <c r="B165" s="66"/>
      <c r="C165" s="66"/>
      <c r="D165" s="66"/>
      <c r="G165" s="67"/>
      <c r="V165" s="67"/>
    </row>
    <row r="166">
      <c r="A166" s="66"/>
      <c r="B166" s="66"/>
      <c r="C166" s="66"/>
      <c r="D166" s="66"/>
      <c r="G166" s="67"/>
      <c r="V166" s="67"/>
    </row>
    <row r="167">
      <c r="A167" s="66"/>
      <c r="B167" s="66"/>
      <c r="C167" s="66"/>
      <c r="D167" s="66"/>
      <c r="G167" s="67"/>
      <c r="V167" s="67"/>
    </row>
    <row r="168">
      <c r="A168" s="66"/>
      <c r="B168" s="66"/>
      <c r="C168" s="66"/>
      <c r="D168" s="66"/>
      <c r="G168" s="67"/>
      <c r="V168" s="67"/>
    </row>
    <row r="169">
      <c r="A169" s="66"/>
      <c r="B169" s="66"/>
      <c r="C169" s="66"/>
      <c r="D169" s="66"/>
      <c r="G169" s="67"/>
      <c r="V169" s="67"/>
    </row>
    <row r="170">
      <c r="A170" s="66"/>
      <c r="B170" s="66"/>
      <c r="C170" s="66"/>
      <c r="D170" s="66"/>
      <c r="G170" s="67"/>
      <c r="V170" s="67"/>
    </row>
    <row r="171">
      <c r="A171" s="66"/>
      <c r="B171" s="66"/>
      <c r="C171" s="66"/>
      <c r="D171" s="66"/>
      <c r="G171" s="67"/>
      <c r="V171" s="67"/>
    </row>
    <row r="172">
      <c r="A172" s="66"/>
      <c r="B172" s="66"/>
      <c r="C172" s="66"/>
      <c r="D172" s="66"/>
      <c r="G172" s="67"/>
      <c r="V172" s="67"/>
    </row>
    <row r="173">
      <c r="A173" s="66"/>
      <c r="B173" s="66"/>
      <c r="C173" s="66"/>
      <c r="D173" s="66"/>
      <c r="G173" s="67"/>
      <c r="V173" s="67"/>
    </row>
    <row r="174">
      <c r="A174" s="66"/>
      <c r="B174" s="66"/>
      <c r="C174" s="66"/>
      <c r="D174" s="66"/>
      <c r="G174" s="67"/>
      <c r="V174" s="67"/>
    </row>
    <row r="175">
      <c r="A175" s="66"/>
      <c r="B175" s="66"/>
      <c r="C175" s="66"/>
      <c r="D175" s="66"/>
      <c r="G175" s="67"/>
      <c r="V175" s="67"/>
    </row>
    <row r="176">
      <c r="A176" s="66"/>
      <c r="B176" s="66"/>
      <c r="C176" s="66"/>
      <c r="D176" s="66"/>
      <c r="G176" s="67"/>
      <c r="V176" s="67"/>
    </row>
    <row r="177">
      <c r="A177" s="66"/>
      <c r="B177" s="66"/>
      <c r="C177" s="66"/>
      <c r="D177" s="66"/>
      <c r="G177" s="67"/>
      <c r="V177" s="67"/>
    </row>
    <row r="178">
      <c r="A178" s="66"/>
      <c r="B178" s="66"/>
      <c r="C178" s="66"/>
      <c r="D178" s="66"/>
      <c r="G178" s="67"/>
      <c r="V178" s="67"/>
    </row>
    <row r="179">
      <c r="A179" s="66"/>
      <c r="B179" s="66"/>
      <c r="C179" s="66"/>
      <c r="D179" s="66"/>
      <c r="G179" s="67"/>
      <c r="V179" s="67"/>
    </row>
    <row r="180">
      <c r="A180" s="66"/>
      <c r="B180" s="66"/>
      <c r="C180" s="66"/>
      <c r="D180" s="66"/>
      <c r="G180" s="67"/>
      <c r="V180" s="67"/>
    </row>
    <row r="181">
      <c r="A181" s="66"/>
      <c r="B181" s="66"/>
      <c r="C181" s="66"/>
      <c r="D181" s="66"/>
      <c r="G181" s="67"/>
      <c r="V181" s="67"/>
    </row>
    <row r="182">
      <c r="A182" s="66"/>
      <c r="B182" s="66"/>
      <c r="C182" s="66"/>
      <c r="D182" s="66"/>
      <c r="G182" s="67"/>
      <c r="V182" s="67"/>
    </row>
    <row r="183">
      <c r="A183" s="66"/>
      <c r="B183" s="66"/>
      <c r="C183" s="66"/>
      <c r="D183" s="66"/>
      <c r="G183" s="67"/>
      <c r="V183" s="67"/>
    </row>
    <row r="184">
      <c r="A184" s="66"/>
      <c r="B184" s="66"/>
      <c r="C184" s="66"/>
      <c r="D184" s="66"/>
      <c r="G184" s="67"/>
      <c r="V184" s="67"/>
    </row>
    <row r="185">
      <c r="A185" s="66"/>
      <c r="B185" s="66"/>
      <c r="C185" s="66"/>
      <c r="D185" s="66"/>
      <c r="G185" s="67"/>
      <c r="V185" s="67"/>
    </row>
    <row r="186">
      <c r="A186" s="66"/>
      <c r="B186" s="66"/>
      <c r="C186" s="66"/>
      <c r="D186" s="66"/>
      <c r="G186" s="67"/>
      <c r="V186" s="67"/>
    </row>
    <row r="187">
      <c r="A187" s="66"/>
      <c r="B187" s="66"/>
      <c r="C187" s="66"/>
      <c r="D187" s="66"/>
      <c r="G187" s="67"/>
      <c r="V187" s="67"/>
    </row>
    <row r="188">
      <c r="A188" s="66"/>
      <c r="B188" s="66"/>
      <c r="C188" s="66"/>
      <c r="D188" s="66"/>
      <c r="G188" s="67"/>
      <c r="V188" s="67"/>
    </row>
    <row r="189">
      <c r="A189" s="66"/>
      <c r="B189" s="66"/>
      <c r="C189" s="66"/>
      <c r="D189" s="66"/>
      <c r="G189" s="67"/>
      <c r="V189" s="67"/>
    </row>
    <row r="190">
      <c r="A190" s="66"/>
      <c r="B190" s="66"/>
      <c r="C190" s="66"/>
      <c r="D190" s="66"/>
      <c r="G190" s="67"/>
      <c r="V190" s="67"/>
    </row>
    <row r="191">
      <c r="A191" s="66"/>
      <c r="B191" s="66"/>
      <c r="C191" s="66"/>
      <c r="D191" s="66"/>
      <c r="G191" s="67"/>
      <c r="V191" s="67"/>
    </row>
    <row r="192">
      <c r="A192" s="66"/>
      <c r="B192" s="66"/>
      <c r="C192" s="66"/>
      <c r="D192" s="66"/>
      <c r="G192" s="67"/>
      <c r="V192" s="67"/>
    </row>
    <row r="193">
      <c r="A193" s="66"/>
      <c r="B193" s="66"/>
      <c r="C193" s="66"/>
      <c r="D193" s="66"/>
      <c r="G193" s="67"/>
      <c r="V193" s="67"/>
    </row>
    <row r="194">
      <c r="A194" s="66"/>
      <c r="B194" s="66"/>
      <c r="C194" s="66"/>
      <c r="D194" s="66"/>
      <c r="G194" s="67"/>
      <c r="V194" s="67"/>
    </row>
    <row r="195">
      <c r="A195" s="66"/>
      <c r="B195" s="66"/>
      <c r="C195" s="66"/>
      <c r="D195" s="66"/>
      <c r="G195" s="67"/>
      <c r="V195" s="67"/>
    </row>
    <row r="196">
      <c r="A196" s="66"/>
      <c r="B196" s="66"/>
      <c r="C196" s="66"/>
      <c r="D196" s="66"/>
      <c r="G196" s="67"/>
      <c r="V196" s="67"/>
    </row>
    <row r="197">
      <c r="A197" s="66"/>
      <c r="B197" s="66"/>
      <c r="C197" s="66"/>
      <c r="D197" s="66"/>
      <c r="G197" s="67"/>
      <c r="V197" s="67"/>
    </row>
    <row r="198">
      <c r="A198" s="66"/>
      <c r="B198" s="66"/>
      <c r="C198" s="66"/>
      <c r="D198" s="66"/>
      <c r="G198" s="67"/>
      <c r="V198" s="67"/>
    </row>
    <row r="199">
      <c r="A199" s="66"/>
      <c r="B199" s="66"/>
      <c r="C199" s="66"/>
      <c r="D199" s="66"/>
      <c r="G199" s="67"/>
      <c r="V199" s="67"/>
    </row>
    <row r="200">
      <c r="A200" s="66"/>
      <c r="B200" s="66"/>
      <c r="C200" s="66"/>
      <c r="D200" s="66"/>
      <c r="G200" s="67"/>
      <c r="V200" s="67"/>
    </row>
    <row r="201">
      <c r="A201" s="66"/>
      <c r="B201" s="66"/>
      <c r="C201" s="66"/>
      <c r="D201" s="66"/>
      <c r="G201" s="67"/>
      <c r="V201" s="67"/>
    </row>
    <row r="202">
      <c r="A202" s="66"/>
      <c r="B202" s="66"/>
      <c r="C202" s="66"/>
      <c r="D202" s="66"/>
      <c r="G202" s="67"/>
      <c r="V202" s="67"/>
    </row>
    <row r="203">
      <c r="A203" s="66"/>
      <c r="B203" s="66"/>
      <c r="C203" s="66"/>
      <c r="D203" s="66"/>
      <c r="G203" s="67"/>
      <c r="V203" s="67"/>
    </row>
    <row r="204">
      <c r="A204" s="66"/>
      <c r="B204" s="66"/>
      <c r="C204" s="66"/>
      <c r="D204" s="66"/>
      <c r="G204" s="67"/>
      <c r="V204" s="67"/>
    </row>
    <row r="205">
      <c r="A205" s="66"/>
      <c r="B205" s="66"/>
      <c r="C205" s="66"/>
      <c r="D205" s="66"/>
      <c r="G205" s="67"/>
      <c r="V205" s="67"/>
    </row>
    <row r="206">
      <c r="A206" s="66"/>
      <c r="B206" s="66"/>
      <c r="C206" s="66"/>
      <c r="D206" s="66"/>
      <c r="G206" s="67"/>
      <c r="V206" s="67"/>
    </row>
    <row r="207">
      <c r="A207" s="66"/>
      <c r="B207" s="66"/>
      <c r="C207" s="66"/>
      <c r="D207" s="66"/>
      <c r="G207" s="67"/>
      <c r="V207" s="67"/>
    </row>
    <row r="208">
      <c r="A208" s="66"/>
      <c r="B208" s="66"/>
      <c r="C208" s="66"/>
      <c r="D208" s="66"/>
      <c r="G208" s="67"/>
      <c r="V208" s="67"/>
    </row>
    <row r="209">
      <c r="A209" s="66"/>
      <c r="B209" s="66"/>
      <c r="C209" s="66"/>
      <c r="D209" s="66"/>
      <c r="G209" s="67"/>
      <c r="V209" s="67"/>
    </row>
    <row r="210">
      <c r="A210" s="66"/>
      <c r="B210" s="66"/>
      <c r="C210" s="66"/>
      <c r="D210" s="66"/>
      <c r="G210" s="67"/>
      <c r="V210" s="67"/>
    </row>
    <row r="211">
      <c r="A211" s="66"/>
      <c r="B211" s="66"/>
      <c r="C211" s="66"/>
      <c r="D211" s="66"/>
      <c r="G211" s="67"/>
      <c r="V211" s="67"/>
    </row>
    <row r="212">
      <c r="A212" s="66"/>
      <c r="B212" s="66"/>
      <c r="C212" s="66"/>
      <c r="D212" s="66"/>
      <c r="G212" s="67"/>
      <c r="V212" s="67"/>
    </row>
    <row r="213">
      <c r="A213" s="66"/>
      <c r="B213" s="66"/>
      <c r="C213" s="66"/>
      <c r="D213" s="66"/>
      <c r="G213" s="67"/>
      <c r="V213" s="67"/>
    </row>
    <row r="214">
      <c r="A214" s="66"/>
      <c r="B214" s="66"/>
      <c r="C214" s="66"/>
      <c r="D214" s="66"/>
      <c r="G214" s="67"/>
      <c r="V214" s="67"/>
    </row>
    <row r="215">
      <c r="A215" s="66"/>
      <c r="B215" s="66"/>
      <c r="C215" s="66"/>
      <c r="D215" s="66"/>
      <c r="G215" s="67"/>
      <c r="V215" s="67"/>
    </row>
    <row r="216">
      <c r="A216" s="66"/>
      <c r="B216" s="66"/>
      <c r="C216" s="66"/>
      <c r="D216" s="66"/>
      <c r="G216" s="67"/>
      <c r="V216" s="67"/>
    </row>
    <row r="217">
      <c r="A217" s="66"/>
      <c r="B217" s="66"/>
      <c r="C217" s="66"/>
      <c r="D217" s="66"/>
      <c r="G217" s="67"/>
      <c r="V217" s="67"/>
    </row>
    <row r="218">
      <c r="A218" s="66"/>
      <c r="B218" s="66"/>
      <c r="C218" s="66"/>
      <c r="D218" s="66"/>
      <c r="G218" s="67"/>
      <c r="V218" s="67"/>
    </row>
    <row r="219">
      <c r="A219" s="66"/>
      <c r="B219" s="66"/>
      <c r="C219" s="66"/>
      <c r="D219" s="66"/>
      <c r="G219" s="67"/>
      <c r="V219" s="67"/>
    </row>
    <row r="220">
      <c r="A220" s="66"/>
      <c r="B220" s="66"/>
      <c r="C220" s="66"/>
      <c r="D220" s="66"/>
      <c r="G220" s="67"/>
      <c r="V220" s="67"/>
    </row>
    <row r="221">
      <c r="A221" s="66"/>
      <c r="B221" s="66"/>
      <c r="C221" s="66"/>
      <c r="D221" s="66"/>
      <c r="G221" s="67"/>
      <c r="V221" s="67"/>
    </row>
    <row r="222">
      <c r="A222" s="66"/>
      <c r="B222" s="66"/>
      <c r="C222" s="66"/>
      <c r="D222" s="66"/>
      <c r="G222" s="67"/>
      <c r="V222" s="67"/>
    </row>
    <row r="223">
      <c r="A223" s="66"/>
      <c r="B223" s="66"/>
      <c r="C223" s="66"/>
      <c r="D223" s="66"/>
      <c r="G223" s="67"/>
      <c r="V223" s="67"/>
    </row>
    <row r="224">
      <c r="A224" s="66"/>
      <c r="B224" s="66"/>
      <c r="C224" s="66"/>
      <c r="D224" s="66"/>
      <c r="G224" s="67"/>
      <c r="V224" s="67"/>
    </row>
    <row r="225">
      <c r="A225" s="66"/>
      <c r="B225" s="66"/>
      <c r="C225" s="66"/>
      <c r="D225" s="66"/>
      <c r="G225" s="67"/>
      <c r="V225" s="67"/>
    </row>
    <row r="226">
      <c r="A226" s="66"/>
      <c r="B226" s="66"/>
      <c r="C226" s="66"/>
      <c r="D226" s="66"/>
      <c r="G226" s="67"/>
      <c r="V226" s="67"/>
    </row>
    <row r="227">
      <c r="A227" s="66"/>
      <c r="B227" s="66"/>
      <c r="C227" s="66"/>
      <c r="D227" s="66"/>
      <c r="G227" s="67"/>
      <c r="V227" s="67"/>
    </row>
    <row r="228">
      <c r="A228" s="66"/>
      <c r="B228" s="66"/>
      <c r="C228" s="66"/>
      <c r="D228" s="66"/>
      <c r="G228" s="67"/>
      <c r="V228" s="67"/>
    </row>
    <row r="229">
      <c r="A229" s="66"/>
      <c r="B229" s="66"/>
      <c r="C229" s="66"/>
      <c r="D229" s="66"/>
      <c r="G229" s="67"/>
      <c r="V229" s="67"/>
    </row>
    <row r="230">
      <c r="A230" s="66"/>
      <c r="B230" s="66"/>
      <c r="C230" s="66"/>
      <c r="D230" s="66"/>
      <c r="G230" s="67"/>
      <c r="V230" s="67"/>
    </row>
    <row r="231">
      <c r="A231" s="66"/>
      <c r="B231" s="66"/>
      <c r="C231" s="66"/>
      <c r="D231" s="66"/>
      <c r="G231" s="67"/>
      <c r="V231" s="67"/>
    </row>
    <row r="232">
      <c r="A232" s="66"/>
      <c r="B232" s="66"/>
      <c r="C232" s="66"/>
      <c r="D232" s="66"/>
      <c r="G232" s="67"/>
      <c r="V232" s="67"/>
    </row>
    <row r="233">
      <c r="A233" s="66"/>
      <c r="B233" s="66"/>
      <c r="C233" s="66"/>
      <c r="D233" s="66"/>
      <c r="G233" s="67"/>
      <c r="V233" s="67"/>
    </row>
    <row r="234">
      <c r="A234" s="66"/>
      <c r="B234" s="66"/>
      <c r="C234" s="66"/>
      <c r="D234" s="66"/>
      <c r="G234" s="67"/>
      <c r="V234" s="67"/>
    </row>
    <row r="235">
      <c r="A235" s="66"/>
      <c r="B235" s="66"/>
      <c r="C235" s="66"/>
      <c r="D235" s="66"/>
      <c r="G235" s="67"/>
      <c r="V235" s="67"/>
    </row>
    <row r="236">
      <c r="A236" s="66"/>
      <c r="B236" s="66"/>
      <c r="C236" s="66"/>
      <c r="D236" s="66"/>
      <c r="G236" s="67"/>
      <c r="V236" s="67"/>
    </row>
    <row r="237">
      <c r="A237" s="66"/>
      <c r="B237" s="66"/>
      <c r="C237" s="66"/>
      <c r="D237" s="66"/>
      <c r="G237" s="67"/>
      <c r="V237" s="67"/>
    </row>
    <row r="238">
      <c r="A238" s="66"/>
      <c r="B238" s="66"/>
      <c r="C238" s="66"/>
      <c r="D238" s="66"/>
      <c r="G238" s="67"/>
      <c r="V238" s="67"/>
    </row>
    <row r="239">
      <c r="A239" s="66"/>
      <c r="B239" s="66"/>
      <c r="C239" s="66"/>
      <c r="D239" s="66"/>
      <c r="G239" s="67"/>
      <c r="V239" s="67"/>
    </row>
    <row r="240">
      <c r="A240" s="66"/>
      <c r="B240" s="66"/>
      <c r="C240" s="66"/>
      <c r="D240" s="66"/>
      <c r="G240" s="67"/>
      <c r="V240" s="67"/>
    </row>
    <row r="241">
      <c r="A241" s="66"/>
      <c r="B241" s="66"/>
      <c r="C241" s="66"/>
      <c r="D241" s="66"/>
      <c r="G241" s="67"/>
      <c r="V241" s="67"/>
    </row>
    <row r="242">
      <c r="A242" s="66"/>
      <c r="B242" s="66"/>
      <c r="C242" s="66"/>
      <c r="D242" s="66"/>
      <c r="G242" s="67"/>
      <c r="V242" s="67"/>
    </row>
    <row r="243">
      <c r="A243" s="66"/>
      <c r="B243" s="66"/>
      <c r="C243" s="66"/>
      <c r="D243" s="66"/>
      <c r="G243" s="67"/>
      <c r="V243" s="67"/>
    </row>
    <row r="244">
      <c r="A244" s="66"/>
      <c r="B244" s="66"/>
      <c r="C244" s="66"/>
      <c r="D244" s="66"/>
      <c r="G244" s="67"/>
      <c r="V244" s="67"/>
    </row>
    <row r="245">
      <c r="A245" s="66"/>
      <c r="B245" s="66"/>
      <c r="C245" s="66"/>
      <c r="D245" s="66"/>
      <c r="G245" s="67"/>
      <c r="V245" s="67"/>
    </row>
    <row r="246">
      <c r="A246" s="66"/>
      <c r="B246" s="66"/>
      <c r="C246" s="66"/>
      <c r="D246" s="66"/>
      <c r="G246" s="67"/>
      <c r="V246" s="67"/>
    </row>
    <row r="247">
      <c r="A247" s="66"/>
      <c r="B247" s="66"/>
      <c r="C247" s="66"/>
      <c r="D247" s="66"/>
      <c r="G247" s="67"/>
      <c r="V247" s="67"/>
    </row>
    <row r="248">
      <c r="A248" s="66"/>
      <c r="B248" s="66"/>
      <c r="C248" s="66"/>
      <c r="D248" s="66"/>
      <c r="G248" s="67"/>
      <c r="V248" s="67"/>
    </row>
    <row r="249">
      <c r="A249" s="66"/>
      <c r="B249" s="66"/>
      <c r="C249" s="66"/>
      <c r="D249" s="66"/>
      <c r="G249" s="67"/>
      <c r="V249" s="67"/>
    </row>
    <row r="250">
      <c r="A250" s="66"/>
      <c r="B250" s="66"/>
      <c r="C250" s="66"/>
      <c r="D250" s="66"/>
      <c r="G250" s="67"/>
      <c r="V250" s="67"/>
    </row>
    <row r="251">
      <c r="A251" s="66"/>
      <c r="B251" s="66"/>
      <c r="C251" s="66"/>
      <c r="D251" s="66"/>
      <c r="G251" s="67"/>
      <c r="V251" s="67"/>
    </row>
    <row r="252">
      <c r="A252" s="66"/>
      <c r="B252" s="66"/>
      <c r="C252" s="66"/>
      <c r="D252" s="66"/>
      <c r="G252" s="67"/>
      <c r="V252" s="67"/>
    </row>
    <row r="253">
      <c r="A253" s="66"/>
      <c r="B253" s="66"/>
      <c r="C253" s="66"/>
      <c r="D253" s="66"/>
      <c r="G253" s="67"/>
      <c r="V253" s="67"/>
    </row>
    <row r="254">
      <c r="A254" s="66"/>
      <c r="B254" s="66"/>
      <c r="C254" s="66"/>
      <c r="D254" s="66"/>
      <c r="G254" s="67"/>
      <c r="V254" s="67"/>
    </row>
    <row r="255">
      <c r="A255" s="66"/>
      <c r="B255" s="66"/>
      <c r="C255" s="66"/>
      <c r="D255" s="66"/>
      <c r="G255" s="67"/>
      <c r="V255" s="67"/>
    </row>
    <row r="256">
      <c r="A256" s="66"/>
      <c r="B256" s="66"/>
      <c r="C256" s="66"/>
      <c r="D256" s="66"/>
      <c r="G256" s="67"/>
      <c r="V256" s="67"/>
    </row>
    <row r="257">
      <c r="A257" s="66"/>
      <c r="B257" s="66"/>
      <c r="C257" s="66"/>
      <c r="D257" s="66"/>
      <c r="G257" s="67"/>
      <c r="V257" s="67"/>
    </row>
    <row r="258">
      <c r="A258" s="66"/>
      <c r="B258" s="66"/>
      <c r="C258" s="66"/>
      <c r="D258" s="66"/>
      <c r="G258" s="67"/>
      <c r="V258" s="67"/>
    </row>
    <row r="259">
      <c r="A259" s="66"/>
      <c r="B259" s="66"/>
      <c r="C259" s="66"/>
      <c r="D259" s="66"/>
      <c r="G259" s="67"/>
      <c r="V259" s="67"/>
    </row>
    <row r="260">
      <c r="A260" s="66"/>
      <c r="B260" s="66"/>
      <c r="C260" s="66"/>
      <c r="D260" s="66"/>
      <c r="G260" s="67"/>
      <c r="V260" s="67"/>
    </row>
    <row r="261">
      <c r="A261" s="66"/>
      <c r="B261" s="66"/>
      <c r="C261" s="66"/>
      <c r="D261" s="66"/>
      <c r="G261" s="67"/>
      <c r="V261" s="67"/>
    </row>
    <row r="262">
      <c r="A262" s="66"/>
      <c r="B262" s="66"/>
      <c r="C262" s="66"/>
      <c r="D262" s="66"/>
      <c r="G262" s="67"/>
      <c r="V262" s="67"/>
    </row>
    <row r="263">
      <c r="A263" s="66"/>
      <c r="B263" s="66"/>
      <c r="C263" s="66"/>
      <c r="D263" s="66"/>
      <c r="G263" s="67"/>
      <c r="V263" s="67"/>
    </row>
    <row r="264">
      <c r="A264" s="66"/>
      <c r="B264" s="66"/>
      <c r="C264" s="66"/>
      <c r="D264" s="66"/>
      <c r="G264" s="67"/>
      <c r="V264" s="67"/>
    </row>
    <row r="265">
      <c r="A265" s="66"/>
      <c r="B265" s="66"/>
      <c r="C265" s="66"/>
      <c r="D265" s="66"/>
      <c r="G265" s="67"/>
      <c r="V265" s="67"/>
    </row>
    <row r="266">
      <c r="A266" s="66"/>
      <c r="B266" s="66"/>
      <c r="C266" s="66"/>
      <c r="D266" s="66"/>
      <c r="G266" s="67"/>
      <c r="V266" s="67"/>
    </row>
    <row r="267">
      <c r="A267" s="66"/>
      <c r="B267" s="66"/>
      <c r="C267" s="66"/>
      <c r="D267" s="66"/>
      <c r="G267" s="67"/>
      <c r="V267" s="67"/>
    </row>
    <row r="268">
      <c r="A268" s="66"/>
      <c r="B268" s="66"/>
      <c r="C268" s="66"/>
      <c r="D268" s="66"/>
      <c r="G268" s="67"/>
      <c r="V268" s="67"/>
    </row>
    <row r="269">
      <c r="A269" s="66"/>
      <c r="B269" s="66"/>
      <c r="C269" s="66"/>
      <c r="D269" s="66"/>
      <c r="G269" s="67"/>
      <c r="V269" s="67"/>
    </row>
    <row r="270">
      <c r="A270" s="66"/>
      <c r="B270" s="66"/>
      <c r="C270" s="66"/>
      <c r="D270" s="66"/>
      <c r="G270" s="67"/>
      <c r="V270" s="67"/>
    </row>
    <row r="271">
      <c r="A271" s="66"/>
      <c r="B271" s="66"/>
      <c r="C271" s="66"/>
      <c r="D271" s="66"/>
      <c r="G271" s="67"/>
      <c r="V271" s="67"/>
    </row>
    <row r="272">
      <c r="A272" s="66"/>
      <c r="B272" s="66"/>
      <c r="C272" s="66"/>
      <c r="D272" s="66"/>
      <c r="G272" s="67"/>
      <c r="V272" s="67"/>
    </row>
    <row r="273">
      <c r="A273" s="66"/>
      <c r="B273" s="66"/>
      <c r="C273" s="66"/>
      <c r="D273" s="66"/>
      <c r="G273" s="67"/>
      <c r="V273" s="67"/>
    </row>
    <row r="274">
      <c r="A274" s="66"/>
      <c r="B274" s="66"/>
      <c r="C274" s="66"/>
      <c r="D274" s="66"/>
      <c r="G274" s="67"/>
      <c r="V274" s="67"/>
    </row>
    <row r="275">
      <c r="A275" s="66"/>
      <c r="B275" s="66"/>
      <c r="C275" s="66"/>
      <c r="D275" s="66"/>
      <c r="G275" s="67"/>
      <c r="V275" s="67"/>
    </row>
    <row r="276">
      <c r="A276" s="66"/>
      <c r="B276" s="66"/>
      <c r="C276" s="66"/>
      <c r="D276" s="66"/>
      <c r="G276" s="67"/>
      <c r="V276" s="67"/>
    </row>
    <row r="277">
      <c r="A277" s="66"/>
      <c r="B277" s="66"/>
      <c r="C277" s="66"/>
      <c r="D277" s="66"/>
      <c r="G277" s="67"/>
      <c r="V277" s="67"/>
    </row>
    <row r="278">
      <c r="A278" s="66"/>
      <c r="B278" s="66"/>
      <c r="C278" s="66"/>
      <c r="D278" s="66"/>
      <c r="G278" s="67"/>
      <c r="V278" s="67"/>
    </row>
    <row r="279">
      <c r="A279" s="66"/>
      <c r="B279" s="66"/>
      <c r="C279" s="66"/>
      <c r="D279" s="66"/>
      <c r="G279" s="67"/>
      <c r="V279" s="67"/>
    </row>
    <row r="280">
      <c r="A280" s="66"/>
      <c r="B280" s="66"/>
      <c r="C280" s="66"/>
      <c r="D280" s="66"/>
      <c r="G280" s="67"/>
      <c r="V280" s="67"/>
    </row>
    <row r="281">
      <c r="A281" s="66"/>
      <c r="B281" s="66"/>
      <c r="C281" s="66"/>
      <c r="D281" s="66"/>
      <c r="G281" s="67"/>
      <c r="V281" s="67"/>
    </row>
    <row r="282">
      <c r="A282" s="66"/>
      <c r="B282" s="66"/>
      <c r="C282" s="66"/>
      <c r="D282" s="66"/>
      <c r="G282" s="67"/>
      <c r="V282" s="67"/>
    </row>
    <row r="283">
      <c r="A283" s="66"/>
      <c r="B283" s="66"/>
      <c r="C283" s="66"/>
      <c r="D283" s="66"/>
      <c r="G283" s="67"/>
      <c r="V283" s="67"/>
    </row>
    <row r="284">
      <c r="A284" s="66"/>
      <c r="B284" s="66"/>
      <c r="C284" s="66"/>
      <c r="D284" s="66"/>
      <c r="G284" s="67"/>
      <c r="V284" s="67"/>
    </row>
    <row r="285">
      <c r="A285" s="66"/>
      <c r="B285" s="66"/>
      <c r="C285" s="66"/>
      <c r="D285" s="66"/>
      <c r="G285" s="67"/>
      <c r="V285" s="67"/>
    </row>
    <row r="286">
      <c r="A286" s="66"/>
      <c r="B286" s="66"/>
      <c r="C286" s="66"/>
      <c r="D286" s="66"/>
      <c r="G286" s="67"/>
      <c r="V286" s="67"/>
    </row>
    <row r="287">
      <c r="A287" s="66"/>
      <c r="B287" s="66"/>
      <c r="C287" s="66"/>
      <c r="D287" s="66"/>
      <c r="G287" s="67"/>
      <c r="V287" s="67"/>
    </row>
    <row r="288">
      <c r="A288" s="66"/>
      <c r="B288" s="66"/>
      <c r="C288" s="66"/>
      <c r="D288" s="66"/>
      <c r="G288" s="67"/>
      <c r="V288" s="67"/>
    </row>
    <row r="289">
      <c r="A289" s="66"/>
      <c r="B289" s="66"/>
      <c r="C289" s="66"/>
      <c r="D289" s="66"/>
      <c r="G289" s="67"/>
      <c r="V289" s="67"/>
    </row>
    <row r="290">
      <c r="A290" s="66"/>
      <c r="B290" s="66"/>
      <c r="C290" s="66"/>
      <c r="D290" s="66"/>
      <c r="G290" s="67"/>
      <c r="V290" s="67"/>
    </row>
    <row r="291">
      <c r="A291" s="66"/>
      <c r="B291" s="66"/>
      <c r="C291" s="66"/>
      <c r="D291" s="66"/>
      <c r="G291" s="67"/>
      <c r="V291" s="67"/>
    </row>
    <row r="292">
      <c r="A292" s="66"/>
      <c r="B292" s="66"/>
      <c r="C292" s="66"/>
      <c r="D292" s="66"/>
      <c r="G292" s="67"/>
      <c r="V292" s="67"/>
    </row>
    <row r="293">
      <c r="A293" s="66"/>
      <c r="B293" s="66"/>
      <c r="C293" s="66"/>
      <c r="D293" s="66"/>
      <c r="G293" s="67"/>
      <c r="V293" s="67"/>
    </row>
    <row r="294">
      <c r="A294" s="66"/>
      <c r="B294" s="66"/>
      <c r="C294" s="66"/>
      <c r="D294" s="66"/>
      <c r="G294" s="67"/>
      <c r="V294" s="67"/>
    </row>
    <row r="295">
      <c r="A295" s="66"/>
      <c r="B295" s="66"/>
      <c r="C295" s="66"/>
      <c r="D295" s="66"/>
      <c r="G295" s="67"/>
      <c r="V295" s="67"/>
    </row>
    <row r="296">
      <c r="A296" s="66"/>
      <c r="B296" s="66"/>
      <c r="C296" s="66"/>
      <c r="D296" s="66"/>
      <c r="G296" s="67"/>
      <c r="V296" s="67"/>
    </row>
    <row r="297">
      <c r="A297" s="66"/>
      <c r="B297" s="66"/>
      <c r="C297" s="66"/>
      <c r="D297" s="66"/>
      <c r="G297" s="67"/>
      <c r="V297" s="67"/>
    </row>
    <row r="298">
      <c r="A298" s="66"/>
      <c r="B298" s="66"/>
      <c r="C298" s="66"/>
      <c r="D298" s="66"/>
      <c r="G298" s="67"/>
      <c r="V298" s="67"/>
    </row>
    <row r="299">
      <c r="A299" s="66"/>
      <c r="B299" s="66"/>
      <c r="C299" s="66"/>
      <c r="D299" s="66"/>
      <c r="G299" s="67"/>
      <c r="V299" s="67"/>
    </row>
    <row r="300">
      <c r="A300" s="66"/>
      <c r="B300" s="66"/>
      <c r="C300" s="66"/>
      <c r="D300" s="66"/>
      <c r="G300" s="67"/>
      <c r="V300" s="67"/>
    </row>
    <row r="301">
      <c r="A301" s="66"/>
      <c r="B301" s="66"/>
      <c r="C301" s="66"/>
      <c r="D301" s="66"/>
      <c r="G301" s="67"/>
      <c r="V301" s="67"/>
    </row>
    <row r="302">
      <c r="A302" s="66"/>
      <c r="B302" s="66"/>
      <c r="C302" s="66"/>
      <c r="D302" s="66"/>
      <c r="G302" s="67"/>
      <c r="V302" s="67"/>
    </row>
    <row r="303">
      <c r="A303" s="66"/>
      <c r="B303" s="66"/>
      <c r="C303" s="66"/>
      <c r="D303" s="66"/>
      <c r="G303" s="67"/>
      <c r="V303" s="67"/>
    </row>
    <row r="304">
      <c r="A304" s="66"/>
      <c r="B304" s="66"/>
      <c r="C304" s="66"/>
      <c r="D304" s="66"/>
      <c r="G304" s="67"/>
      <c r="V304" s="67"/>
    </row>
    <row r="305">
      <c r="A305" s="66"/>
      <c r="B305" s="66"/>
      <c r="C305" s="66"/>
      <c r="D305" s="66"/>
      <c r="G305" s="67"/>
      <c r="V305" s="67"/>
    </row>
    <row r="306">
      <c r="A306" s="66"/>
      <c r="B306" s="66"/>
      <c r="C306" s="66"/>
      <c r="D306" s="66"/>
      <c r="G306" s="67"/>
      <c r="V306" s="67"/>
    </row>
    <row r="307">
      <c r="A307" s="66"/>
      <c r="B307" s="66"/>
      <c r="C307" s="66"/>
      <c r="D307" s="66"/>
      <c r="G307" s="67"/>
      <c r="V307" s="67"/>
    </row>
    <row r="308">
      <c r="A308" s="66"/>
      <c r="B308" s="66"/>
      <c r="C308" s="66"/>
      <c r="D308" s="66"/>
      <c r="G308" s="67"/>
      <c r="V308" s="67"/>
    </row>
    <row r="309">
      <c r="A309" s="66"/>
      <c r="B309" s="66"/>
      <c r="C309" s="66"/>
      <c r="D309" s="66"/>
      <c r="G309" s="67"/>
      <c r="V309" s="67"/>
    </row>
    <row r="310">
      <c r="A310" s="66"/>
      <c r="B310" s="66"/>
      <c r="C310" s="66"/>
      <c r="D310" s="66"/>
      <c r="G310" s="67"/>
      <c r="V310" s="67"/>
    </row>
    <row r="311">
      <c r="A311" s="66"/>
      <c r="B311" s="66"/>
      <c r="C311" s="66"/>
      <c r="D311" s="66"/>
      <c r="G311" s="67"/>
      <c r="V311" s="67"/>
    </row>
    <row r="312">
      <c r="A312" s="66"/>
      <c r="B312" s="66"/>
      <c r="C312" s="66"/>
      <c r="D312" s="66"/>
      <c r="G312" s="67"/>
      <c r="V312" s="67"/>
    </row>
    <row r="313">
      <c r="A313" s="66"/>
      <c r="B313" s="66"/>
      <c r="C313" s="66"/>
      <c r="D313" s="66"/>
      <c r="G313" s="67"/>
      <c r="V313" s="67"/>
    </row>
    <row r="314">
      <c r="A314" s="66"/>
      <c r="B314" s="66"/>
      <c r="C314" s="66"/>
      <c r="D314" s="66"/>
      <c r="G314" s="67"/>
      <c r="V314" s="67"/>
    </row>
    <row r="315">
      <c r="A315" s="66"/>
      <c r="B315" s="66"/>
      <c r="C315" s="66"/>
      <c r="D315" s="66"/>
      <c r="G315" s="67"/>
      <c r="V315" s="67"/>
    </row>
    <row r="316">
      <c r="A316" s="66"/>
      <c r="B316" s="66"/>
      <c r="C316" s="66"/>
      <c r="D316" s="66"/>
      <c r="G316" s="67"/>
      <c r="V316" s="67"/>
    </row>
    <row r="317">
      <c r="A317" s="66"/>
      <c r="B317" s="66"/>
      <c r="C317" s="66"/>
      <c r="D317" s="66"/>
      <c r="G317" s="67"/>
      <c r="V317" s="67"/>
    </row>
    <row r="318">
      <c r="A318" s="66"/>
      <c r="B318" s="66"/>
      <c r="C318" s="66"/>
      <c r="D318" s="66"/>
      <c r="G318" s="67"/>
      <c r="V318" s="67"/>
    </row>
    <row r="319">
      <c r="A319" s="66"/>
      <c r="B319" s="66"/>
      <c r="C319" s="66"/>
      <c r="D319" s="66"/>
      <c r="G319" s="67"/>
      <c r="V319" s="67"/>
    </row>
    <row r="320">
      <c r="A320" s="66"/>
      <c r="B320" s="66"/>
      <c r="C320" s="66"/>
      <c r="D320" s="66"/>
      <c r="G320" s="67"/>
      <c r="V320" s="67"/>
    </row>
    <row r="321">
      <c r="A321" s="66"/>
      <c r="B321" s="66"/>
      <c r="C321" s="66"/>
      <c r="D321" s="66"/>
      <c r="G321" s="67"/>
      <c r="V321" s="67"/>
    </row>
    <row r="322">
      <c r="A322" s="66"/>
      <c r="B322" s="66"/>
      <c r="C322" s="66"/>
      <c r="D322" s="66"/>
      <c r="G322" s="67"/>
      <c r="V322" s="67"/>
    </row>
    <row r="323">
      <c r="A323" s="66"/>
      <c r="B323" s="66"/>
      <c r="C323" s="66"/>
      <c r="D323" s="66"/>
      <c r="G323" s="67"/>
      <c r="V323" s="67"/>
    </row>
    <row r="324">
      <c r="A324" s="66"/>
      <c r="B324" s="66"/>
      <c r="C324" s="66"/>
      <c r="D324" s="66"/>
      <c r="G324" s="67"/>
      <c r="V324" s="67"/>
    </row>
    <row r="325">
      <c r="A325" s="66"/>
      <c r="B325" s="66"/>
      <c r="C325" s="66"/>
      <c r="D325" s="66"/>
      <c r="G325" s="67"/>
      <c r="V325" s="67"/>
    </row>
    <row r="326">
      <c r="A326" s="66"/>
      <c r="B326" s="66"/>
      <c r="C326" s="66"/>
      <c r="D326" s="66"/>
      <c r="G326" s="67"/>
      <c r="V326" s="67"/>
    </row>
    <row r="327">
      <c r="A327" s="66"/>
      <c r="B327" s="66"/>
      <c r="C327" s="66"/>
      <c r="D327" s="66"/>
      <c r="G327" s="67"/>
      <c r="V327" s="67"/>
    </row>
    <row r="328">
      <c r="A328" s="66"/>
      <c r="B328" s="66"/>
      <c r="C328" s="66"/>
      <c r="D328" s="66"/>
      <c r="G328" s="67"/>
      <c r="V328" s="67"/>
    </row>
    <row r="329">
      <c r="A329" s="66"/>
      <c r="B329" s="66"/>
      <c r="C329" s="66"/>
      <c r="D329" s="66"/>
      <c r="G329" s="67"/>
      <c r="V329" s="67"/>
    </row>
    <row r="330">
      <c r="A330" s="66"/>
      <c r="B330" s="66"/>
      <c r="C330" s="66"/>
      <c r="D330" s="66"/>
      <c r="G330" s="67"/>
      <c r="V330" s="67"/>
    </row>
    <row r="331">
      <c r="A331" s="66"/>
      <c r="B331" s="66"/>
      <c r="C331" s="66"/>
      <c r="D331" s="66"/>
      <c r="G331" s="67"/>
      <c r="V331" s="67"/>
    </row>
    <row r="332">
      <c r="A332" s="66"/>
      <c r="B332" s="66"/>
      <c r="C332" s="66"/>
      <c r="D332" s="66"/>
      <c r="G332" s="67"/>
      <c r="V332" s="67"/>
    </row>
    <row r="333">
      <c r="A333" s="66"/>
      <c r="B333" s="66"/>
      <c r="C333" s="66"/>
      <c r="D333" s="66"/>
      <c r="G333" s="67"/>
      <c r="V333" s="67"/>
    </row>
    <row r="334">
      <c r="A334" s="66"/>
      <c r="B334" s="66"/>
      <c r="C334" s="66"/>
      <c r="D334" s="66"/>
      <c r="G334" s="67"/>
      <c r="V334" s="67"/>
    </row>
    <row r="335">
      <c r="A335" s="66"/>
      <c r="B335" s="66"/>
      <c r="C335" s="66"/>
      <c r="D335" s="66"/>
      <c r="G335" s="67"/>
      <c r="V335" s="67"/>
    </row>
    <row r="336">
      <c r="A336" s="66"/>
      <c r="B336" s="66"/>
      <c r="C336" s="66"/>
      <c r="D336" s="66"/>
      <c r="G336" s="67"/>
      <c r="V336" s="67"/>
    </row>
    <row r="337">
      <c r="A337" s="66"/>
      <c r="B337" s="66"/>
      <c r="C337" s="66"/>
      <c r="D337" s="66"/>
      <c r="G337" s="67"/>
      <c r="V337" s="67"/>
    </row>
    <row r="338">
      <c r="A338" s="66"/>
      <c r="B338" s="66"/>
      <c r="C338" s="66"/>
      <c r="D338" s="66"/>
      <c r="G338" s="67"/>
      <c r="V338" s="67"/>
    </row>
    <row r="339">
      <c r="A339" s="66"/>
      <c r="B339" s="66"/>
      <c r="C339" s="66"/>
      <c r="D339" s="66"/>
      <c r="G339" s="67"/>
      <c r="V339" s="67"/>
    </row>
    <row r="340">
      <c r="A340" s="66"/>
      <c r="B340" s="66"/>
      <c r="C340" s="66"/>
      <c r="D340" s="66"/>
      <c r="G340" s="67"/>
      <c r="V340" s="67"/>
    </row>
    <row r="341">
      <c r="A341" s="66"/>
      <c r="B341" s="66"/>
      <c r="C341" s="66"/>
      <c r="D341" s="66"/>
      <c r="G341" s="67"/>
      <c r="V341" s="67"/>
    </row>
    <row r="342">
      <c r="A342" s="66"/>
      <c r="B342" s="66"/>
      <c r="C342" s="66"/>
      <c r="D342" s="66"/>
      <c r="G342" s="67"/>
      <c r="V342" s="67"/>
    </row>
    <row r="343">
      <c r="A343" s="66"/>
      <c r="B343" s="66"/>
      <c r="C343" s="66"/>
      <c r="D343" s="66"/>
      <c r="G343" s="67"/>
      <c r="V343" s="67"/>
    </row>
    <row r="344">
      <c r="A344" s="66"/>
      <c r="B344" s="66"/>
      <c r="C344" s="66"/>
      <c r="D344" s="66"/>
      <c r="G344" s="67"/>
      <c r="V344" s="67"/>
    </row>
    <row r="345">
      <c r="A345" s="66"/>
      <c r="B345" s="66"/>
      <c r="C345" s="66"/>
      <c r="D345" s="66"/>
      <c r="G345" s="67"/>
      <c r="V345" s="67"/>
    </row>
    <row r="346">
      <c r="A346" s="66"/>
      <c r="B346" s="66"/>
      <c r="C346" s="66"/>
      <c r="D346" s="66"/>
      <c r="G346" s="67"/>
      <c r="V346" s="67"/>
    </row>
    <row r="347">
      <c r="A347" s="66"/>
      <c r="B347" s="66"/>
      <c r="C347" s="66"/>
      <c r="D347" s="66"/>
      <c r="G347" s="67"/>
      <c r="V347" s="67"/>
    </row>
    <row r="348">
      <c r="A348" s="66"/>
      <c r="B348" s="66"/>
      <c r="C348" s="66"/>
      <c r="D348" s="66"/>
      <c r="G348" s="67"/>
      <c r="V348" s="67"/>
    </row>
    <row r="349">
      <c r="A349" s="66"/>
      <c r="B349" s="66"/>
      <c r="C349" s="66"/>
      <c r="D349" s="66"/>
      <c r="G349" s="67"/>
      <c r="V349" s="67"/>
    </row>
    <row r="350">
      <c r="A350" s="66"/>
      <c r="B350" s="66"/>
      <c r="C350" s="66"/>
      <c r="D350" s="66"/>
      <c r="G350" s="67"/>
      <c r="V350" s="67"/>
    </row>
    <row r="351">
      <c r="A351" s="66"/>
      <c r="B351" s="66"/>
      <c r="C351" s="66"/>
      <c r="D351" s="66"/>
      <c r="G351" s="67"/>
      <c r="V351" s="67"/>
    </row>
    <row r="352">
      <c r="A352" s="66"/>
      <c r="B352" s="66"/>
      <c r="C352" s="66"/>
      <c r="D352" s="66"/>
      <c r="G352" s="67"/>
      <c r="V352" s="67"/>
    </row>
    <row r="353">
      <c r="A353" s="66"/>
      <c r="B353" s="66"/>
      <c r="C353" s="66"/>
      <c r="D353" s="66"/>
      <c r="G353" s="67"/>
      <c r="V353" s="67"/>
    </row>
    <row r="354">
      <c r="A354" s="66"/>
      <c r="B354" s="66"/>
      <c r="C354" s="66"/>
      <c r="D354" s="66"/>
      <c r="G354" s="67"/>
      <c r="V354" s="67"/>
    </row>
    <row r="355">
      <c r="A355" s="66"/>
      <c r="B355" s="66"/>
      <c r="C355" s="66"/>
      <c r="D355" s="66"/>
      <c r="G355" s="67"/>
      <c r="V355" s="67"/>
    </row>
    <row r="356">
      <c r="A356" s="66"/>
      <c r="B356" s="66"/>
      <c r="C356" s="66"/>
      <c r="D356" s="66"/>
      <c r="G356" s="67"/>
      <c r="V356" s="67"/>
    </row>
    <row r="357">
      <c r="A357" s="66"/>
      <c r="B357" s="66"/>
      <c r="C357" s="66"/>
      <c r="D357" s="66"/>
      <c r="G357" s="67"/>
      <c r="V357" s="67"/>
    </row>
    <row r="358">
      <c r="A358" s="66"/>
      <c r="B358" s="66"/>
      <c r="C358" s="66"/>
      <c r="D358" s="66"/>
      <c r="G358" s="67"/>
      <c r="V358" s="67"/>
    </row>
    <row r="359">
      <c r="A359" s="66"/>
      <c r="B359" s="66"/>
      <c r="C359" s="66"/>
      <c r="D359" s="66"/>
      <c r="G359" s="67"/>
      <c r="V359" s="67"/>
    </row>
    <row r="360">
      <c r="A360" s="66"/>
      <c r="B360" s="66"/>
      <c r="C360" s="66"/>
      <c r="D360" s="66"/>
      <c r="G360" s="67"/>
      <c r="V360" s="67"/>
    </row>
    <row r="361">
      <c r="A361" s="66"/>
      <c r="B361" s="66"/>
      <c r="C361" s="66"/>
      <c r="D361" s="66"/>
      <c r="G361" s="67"/>
      <c r="V361" s="67"/>
    </row>
    <row r="362">
      <c r="A362" s="66"/>
      <c r="B362" s="66"/>
      <c r="C362" s="66"/>
      <c r="D362" s="66"/>
      <c r="G362" s="67"/>
      <c r="V362" s="67"/>
    </row>
    <row r="363">
      <c r="A363" s="66"/>
      <c r="B363" s="66"/>
      <c r="C363" s="66"/>
      <c r="D363" s="66"/>
      <c r="G363" s="67"/>
      <c r="V363" s="67"/>
    </row>
    <row r="364">
      <c r="A364" s="66"/>
      <c r="B364" s="66"/>
      <c r="C364" s="66"/>
      <c r="D364" s="66"/>
      <c r="G364" s="67"/>
      <c r="V364" s="67"/>
    </row>
    <row r="365">
      <c r="A365" s="66"/>
      <c r="B365" s="66"/>
      <c r="C365" s="66"/>
      <c r="D365" s="66"/>
      <c r="G365" s="67"/>
      <c r="V365" s="67"/>
    </row>
    <row r="366">
      <c r="A366" s="66"/>
      <c r="B366" s="66"/>
      <c r="C366" s="66"/>
      <c r="D366" s="66"/>
      <c r="G366" s="67"/>
      <c r="V366" s="67"/>
    </row>
    <row r="367">
      <c r="A367" s="66"/>
      <c r="B367" s="66"/>
      <c r="C367" s="66"/>
      <c r="D367" s="66"/>
      <c r="G367" s="67"/>
      <c r="V367" s="67"/>
    </row>
    <row r="368">
      <c r="A368" s="66"/>
      <c r="B368" s="66"/>
      <c r="C368" s="66"/>
      <c r="D368" s="66"/>
      <c r="G368" s="67"/>
      <c r="V368" s="67"/>
    </row>
    <row r="369">
      <c r="A369" s="66"/>
      <c r="B369" s="66"/>
      <c r="C369" s="66"/>
      <c r="D369" s="66"/>
      <c r="G369" s="67"/>
      <c r="V369" s="67"/>
    </row>
    <row r="370">
      <c r="A370" s="66"/>
      <c r="B370" s="66"/>
      <c r="C370" s="66"/>
      <c r="D370" s="66"/>
      <c r="G370" s="67"/>
      <c r="V370" s="67"/>
    </row>
    <row r="371">
      <c r="A371" s="66"/>
      <c r="B371" s="66"/>
      <c r="C371" s="66"/>
      <c r="D371" s="66"/>
      <c r="G371" s="67"/>
      <c r="V371" s="67"/>
    </row>
    <row r="372">
      <c r="A372" s="66"/>
      <c r="B372" s="66"/>
      <c r="C372" s="66"/>
      <c r="D372" s="66"/>
      <c r="G372" s="67"/>
      <c r="V372" s="67"/>
    </row>
    <row r="373">
      <c r="A373" s="66"/>
      <c r="B373" s="66"/>
      <c r="C373" s="66"/>
      <c r="D373" s="66"/>
      <c r="G373" s="67"/>
      <c r="V373" s="67"/>
    </row>
    <row r="374">
      <c r="A374" s="66"/>
      <c r="B374" s="66"/>
      <c r="C374" s="66"/>
      <c r="D374" s="66"/>
      <c r="G374" s="67"/>
      <c r="V374" s="67"/>
    </row>
    <row r="375">
      <c r="A375" s="66"/>
      <c r="B375" s="66"/>
      <c r="C375" s="66"/>
      <c r="D375" s="66"/>
      <c r="G375" s="67"/>
      <c r="V375" s="67"/>
    </row>
    <row r="376">
      <c r="A376" s="66"/>
      <c r="B376" s="66"/>
      <c r="C376" s="66"/>
      <c r="D376" s="66"/>
      <c r="G376" s="67"/>
      <c r="V376" s="67"/>
    </row>
    <row r="377">
      <c r="A377" s="66"/>
      <c r="B377" s="66"/>
      <c r="C377" s="66"/>
      <c r="D377" s="66"/>
      <c r="G377" s="67"/>
      <c r="V377" s="67"/>
    </row>
    <row r="378">
      <c r="A378" s="66"/>
      <c r="B378" s="66"/>
      <c r="C378" s="66"/>
      <c r="D378" s="66"/>
      <c r="G378" s="67"/>
      <c r="V378" s="67"/>
    </row>
    <row r="379">
      <c r="A379" s="66"/>
      <c r="B379" s="66"/>
      <c r="C379" s="66"/>
      <c r="D379" s="66"/>
      <c r="G379" s="67"/>
      <c r="V379" s="67"/>
    </row>
    <row r="380">
      <c r="A380" s="66"/>
      <c r="B380" s="66"/>
      <c r="C380" s="66"/>
      <c r="D380" s="66"/>
      <c r="G380" s="67"/>
      <c r="V380" s="67"/>
    </row>
    <row r="381">
      <c r="A381" s="66"/>
      <c r="B381" s="66"/>
      <c r="C381" s="66"/>
      <c r="D381" s="66"/>
      <c r="G381" s="67"/>
      <c r="V381" s="67"/>
    </row>
    <row r="382">
      <c r="A382" s="66"/>
      <c r="B382" s="66"/>
      <c r="C382" s="66"/>
      <c r="D382" s="66"/>
      <c r="G382" s="67"/>
      <c r="V382" s="67"/>
    </row>
    <row r="383">
      <c r="A383" s="66"/>
      <c r="B383" s="66"/>
      <c r="C383" s="66"/>
      <c r="D383" s="66"/>
      <c r="G383" s="67"/>
      <c r="V383" s="67"/>
    </row>
    <row r="384">
      <c r="A384" s="66"/>
      <c r="B384" s="66"/>
      <c r="C384" s="66"/>
      <c r="D384" s="66"/>
      <c r="G384" s="67"/>
      <c r="V384" s="67"/>
    </row>
    <row r="385">
      <c r="A385" s="66"/>
      <c r="B385" s="66"/>
      <c r="C385" s="66"/>
      <c r="D385" s="66"/>
      <c r="G385" s="67"/>
      <c r="V385" s="67"/>
    </row>
    <row r="386">
      <c r="A386" s="66"/>
      <c r="B386" s="66"/>
      <c r="C386" s="66"/>
      <c r="D386" s="66"/>
      <c r="G386" s="67"/>
      <c r="V386" s="67"/>
    </row>
    <row r="387">
      <c r="A387" s="66"/>
      <c r="B387" s="66"/>
      <c r="C387" s="66"/>
      <c r="D387" s="66"/>
      <c r="G387" s="67"/>
      <c r="V387" s="67"/>
    </row>
    <row r="388">
      <c r="A388" s="66"/>
      <c r="B388" s="66"/>
      <c r="C388" s="66"/>
      <c r="D388" s="66"/>
      <c r="G388" s="67"/>
      <c r="V388" s="67"/>
    </row>
    <row r="389">
      <c r="A389" s="66"/>
      <c r="B389" s="66"/>
      <c r="C389" s="66"/>
      <c r="D389" s="66"/>
      <c r="G389" s="67"/>
      <c r="V389" s="67"/>
    </row>
    <row r="390">
      <c r="A390" s="66"/>
      <c r="B390" s="66"/>
      <c r="C390" s="66"/>
      <c r="D390" s="66"/>
      <c r="G390" s="67"/>
      <c r="V390" s="67"/>
    </row>
    <row r="391">
      <c r="A391" s="66"/>
      <c r="B391" s="66"/>
      <c r="C391" s="66"/>
      <c r="D391" s="66"/>
      <c r="G391" s="67"/>
      <c r="V391" s="67"/>
    </row>
    <row r="392">
      <c r="A392" s="66"/>
      <c r="B392" s="66"/>
      <c r="C392" s="66"/>
      <c r="D392" s="66"/>
      <c r="G392" s="67"/>
      <c r="V392" s="67"/>
    </row>
    <row r="393">
      <c r="A393" s="66"/>
      <c r="B393" s="66"/>
      <c r="C393" s="66"/>
      <c r="D393" s="66"/>
      <c r="G393" s="67"/>
      <c r="V393" s="67"/>
    </row>
    <row r="394">
      <c r="A394" s="66"/>
      <c r="B394" s="66"/>
      <c r="C394" s="66"/>
      <c r="D394" s="66"/>
      <c r="G394" s="67"/>
      <c r="V394" s="67"/>
    </row>
    <row r="395">
      <c r="A395" s="66"/>
      <c r="B395" s="66"/>
      <c r="C395" s="66"/>
      <c r="D395" s="66"/>
      <c r="G395" s="67"/>
      <c r="V395" s="67"/>
    </row>
    <row r="396">
      <c r="A396" s="66"/>
      <c r="B396" s="66"/>
      <c r="C396" s="66"/>
      <c r="D396" s="66"/>
      <c r="G396" s="67"/>
      <c r="V396" s="67"/>
    </row>
    <row r="397">
      <c r="A397" s="66"/>
      <c r="B397" s="66"/>
      <c r="C397" s="66"/>
      <c r="D397" s="66"/>
      <c r="G397" s="67"/>
      <c r="V397" s="67"/>
    </row>
    <row r="398">
      <c r="A398" s="66"/>
      <c r="B398" s="66"/>
      <c r="C398" s="66"/>
      <c r="D398" s="66"/>
      <c r="G398" s="67"/>
      <c r="V398" s="67"/>
    </row>
    <row r="399">
      <c r="A399" s="66"/>
      <c r="B399" s="66"/>
      <c r="C399" s="66"/>
      <c r="D399" s="66"/>
      <c r="G399" s="67"/>
      <c r="V399" s="67"/>
    </row>
    <row r="400">
      <c r="A400" s="66"/>
      <c r="B400" s="66"/>
      <c r="C400" s="66"/>
      <c r="D400" s="66"/>
      <c r="G400" s="67"/>
      <c r="V400" s="67"/>
    </row>
    <row r="401">
      <c r="A401" s="66"/>
      <c r="B401" s="66"/>
      <c r="C401" s="66"/>
      <c r="D401" s="66"/>
      <c r="G401" s="67"/>
      <c r="V401" s="67"/>
    </row>
    <row r="402">
      <c r="A402" s="66"/>
      <c r="B402" s="66"/>
      <c r="C402" s="66"/>
      <c r="D402" s="66"/>
      <c r="G402" s="67"/>
      <c r="V402" s="67"/>
    </row>
    <row r="403">
      <c r="A403" s="66"/>
      <c r="B403" s="66"/>
      <c r="C403" s="66"/>
      <c r="D403" s="66"/>
      <c r="G403" s="67"/>
      <c r="V403" s="67"/>
    </row>
    <row r="404">
      <c r="A404" s="66"/>
      <c r="B404" s="66"/>
      <c r="C404" s="66"/>
      <c r="D404" s="66"/>
      <c r="G404" s="67"/>
      <c r="V404" s="67"/>
    </row>
    <row r="405">
      <c r="A405" s="66"/>
      <c r="B405" s="66"/>
      <c r="C405" s="66"/>
      <c r="D405" s="66"/>
      <c r="G405" s="67"/>
      <c r="V405" s="67"/>
    </row>
    <row r="406">
      <c r="A406" s="66"/>
      <c r="B406" s="66"/>
      <c r="C406" s="66"/>
      <c r="D406" s="66"/>
      <c r="G406" s="67"/>
      <c r="V406" s="67"/>
    </row>
    <row r="407">
      <c r="A407" s="66"/>
      <c r="B407" s="66"/>
      <c r="C407" s="66"/>
      <c r="D407" s="66"/>
      <c r="G407" s="67"/>
      <c r="V407" s="67"/>
    </row>
    <row r="408">
      <c r="A408" s="66"/>
      <c r="B408" s="66"/>
      <c r="C408" s="66"/>
      <c r="D408" s="66"/>
      <c r="G408" s="67"/>
      <c r="V408" s="67"/>
    </row>
    <row r="409">
      <c r="A409" s="66"/>
      <c r="B409" s="66"/>
      <c r="C409" s="66"/>
      <c r="D409" s="66"/>
      <c r="G409" s="67"/>
      <c r="V409" s="67"/>
    </row>
    <row r="410">
      <c r="A410" s="66"/>
      <c r="B410" s="66"/>
      <c r="C410" s="66"/>
      <c r="D410" s="66"/>
      <c r="G410" s="67"/>
      <c r="V410" s="67"/>
    </row>
    <row r="411">
      <c r="A411" s="66"/>
      <c r="B411" s="66"/>
      <c r="C411" s="66"/>
      <c r="D411" s="66"/>
      <c r="G411" s="67"/>
      <c r="V411" s="67"/>
    </row>
    <row r="412">
      <c r="A412" s="66"/>
      <c r="B412" s="66"/>
      <c r="C412" s="66"/>
      <c r="D412" s="66"/>
      <c r="G412" s="67"/>
      <c r="V412" s="67"/>
    </row>
    <row r="413">
      <c r="A413" s="66"/>
      <c r="B413" s="66"/>
      <c r="C413" s="66"/>
      <c r="D413" s="66"/>
      <c r="G413" s="67"/>
      <c r="V413" s="67"/>
    </row>
    <row r="414">
      <c r="A414" s="66"/>
      <c r="B414" s="66"/>
      <c r="C414" s="66"/>
      <c r="D414" s="66"/>
      <c r="G414" s="67"/>
      <c r="V414" s="67"/>
    </row>
    <row r="415">
      <c r="A415" s="66"/>
      <c r="B415" s="66"/>
      <c r="C415" s="66"/>
      <c r="D415" s="66"/>
      <c r="G415" s="67"/>
      <c r="V415" s="67"/>
    </row>
    <row r="416">
      <c r="A416" s="66"/>
      <c r="B416" s="66"/>
      <c r="C416" s="66"/>
      <c r="D416" s="66"/>
      <c r="G416" s="67"/>
      <c r="V416" s="67"/>
    </row>
    <row r="417">
      <c r="A417" s="66"/>
      <c r="B417" s="66"/>
      <c r="C417" s="66"/>
      <c r="D417" s="66"/>
      <c r="G417" s="67"/>
      <c r="V417" s="67"/>
    </row>
    <row r="418">
      <c r="A418" s="66"/>
      <c r="B418" s="66"/>
      <c r="C418" s="66"/>
      <c r="D418" s="66"/>
      <c r="G418" s="67"/>
      <c r="V418" s="67"/>
    </row>
    <row r="419">
      <c r="A419" s="66"/>
      <c r="B419" s="66"/>
      <c r="C419" s="66"/>
      <c r="D419" s="66"/>
      <c r="G419" s="67"/>
      <c r="V419" s="67"/>
    </row>
    <row r="420">
      <c r="A420" s="66"/>
      <c r="B420" s="66"/>
      <c r="C420" s="66"/>
      <c r="D420" s="66"/>
      <c r="G420" s="67"/>
      <c r="V420" s="67"/>
    </row>
    <row r="421">
      <c r="A421" s="66"/>
      <c r="B421" s="66"/>
      <c r="C421" s="66"/>
      <c r="D421" s="66"/>
      <c r="G421" s="67"/>
      <c r="V421" s="67"/>
    </row>
    <row r="422">
      <c r="A422" s="66"/>
      <c r="B422" s="66"/>
      <c r="C422" s="66"/>
      <c r="D422" s="66"/>
      <c r="G422" s="67"/>
      <c r="V422" s="67"/>
    </row>
    <row r="423">
      <c r="A423" s="66"/>
      <c r="B423" s="66"/>
      <c r="C423" s="66"/>
      <c r="D423" s="66"/>
      <c r="G423" s="67"/>
      <c r="V423" s="67"/>
    </row>
    <row r="424">
      <c r="A424" s="66"/>
      <c r="B424" s="66"/>
      <c r="C424" s="66"/>
      <c r="D424" s="66"/>
      <c r="G424" s="67"/>
      <c r="V424" s="67"/>
    </row>
    <row r="425">
      <c r="A425" s="66"/>
      <c r="B425" s="66"/>
      <c r="C425" s="66"/>
      <c r="D425" s="66"/>
      <c r="G425" s="67"/>
      <c r="V425" s="67"/>
    </row>
    <row r="426">
      <c r="A426" s="66"/>
      <c r="B426" s="66"/>
      <c r="C426" s="66"/>
      <c r="D426" s="66"/>
      <c r="G426" s="67"/>
      <c r="V426" s="67"/>
    </row>
    <row r="427">
      <c r="A427" s="66"/>
      <c r="B427" s="66"/>
      <c r="C427" s="66"/>
      <c r="D427" s="66"/>
      <c r="G427" s="67"/>
      <c r="V427" s="67"/>
    </row>
    <row r="428">
      <c r="A428" s="66"/>
      <c r="B428" s="66"/>
      <c r="C428" s="66"/>
      <c r="D428" s="66"/>
      <c r="G428" s="67"/>
      <c r="V428" s="67"/>
    </row>
    <row r="429">
      <c r="A429" s="66"/>
      <c r="B429" s="66"/>
      <c r="C429" s="66"/>
      <c r="D429" s="66"/>
      <c r="G429" s="67"/>
      <c r="V429" s="67"/>
    </row>
    <row r="430">
      <c r="A430" s="66"/>
      <c r="B430" s="66"/>
      <c r="C430" s="66"/>
      <c r="D430" s="66"/>
      <c r="G430" s="67"/>
      <c r="V430" s="67"/>
    </row>
    <row r="431">
      <c r="A431" s="66"/>
      <c r="B431" s="66"/>
      <c r="C431" s="66"/>
      <c r="D431" s="66"/>
      <c r="G431" s="67"/>
      <c r="V431" s="67"/>
    </row>
    <row r="432">
      <c r="A432" s="66"/>
      <c r="B432" s="66"/>
      <c r="C432" s="66"/>
      <c r="D432" s="66"/>
      <c r="G432" s="67"/>
      <c r="V432" s="67"/>
    </row>
    <row r="433">
      <c r="A433" s="66"/>
      <c r="B433" s="66"/>
      <c r="C433" s="66"/>
      <c r="D433" s="66"/>
      <c r="G433" s="67"/>
      <c r="V433" s="67"/>
    </row>
    <row r="434">
      <c r="A434" s="66"/>
      <c r="B434" s="66"/>
      <c r="C434" s="66"/>
      <c r="D434" s="66"/>
      <c r="G434" s="67"/>
      <c r="V434" s="67"/>
    </row>
    <row r="435">
      <c r="A435" s="66"/>
      <c r="B435" s="66"/>
      <c r="C435" s="66"/>
      <c r="D435" s="66"/>
      <c r="G435" s="67"/>
      <c r="V435" s="67"/>
    </row>
    <row r="436">
      <c r="A436" s="66"/>
      <c r="B436" s="66"/>
      <c r="C436" s="66"/>
      <c r="D436" s="66"/>
      <c r="G436" s="67"/>
      <c r="V436" s="67"/>
    </row>
    <row r="437">
      <c r="A437" s="66"/>
      <c r="B437" s="66"/>
      <c r="C437" s="66"/>
      <c r="D437" s="66"/>
      <c r="G437" s="67"/>
      <c r="V437" s="67"/>
    </row>
    <row r="438">
      <c r="A438" s="66"/>
      <c r="B438" s="66"/>
      <c r="C438" s="66"/>
      <c r="D438" s="66"/>
      <c r="G438" s="67"/>
      <c r="V438" s="67"/>
    </row>
    <row r="439">
      <c r="A439" s="66"/>
      <c r="B439" s="66"/>
      <c r="C439" s="66"/>
      <c r="D439" s="66"/>
      <c r="G439" s="67"/>
      <c r="V439" s="67"/>
    </row>
    <row r="440">
      <c r="A440" s="66"/>
      <c r="B440" s="66"/>
      <c r="C440" s="66"/>
      <c r="D440" s="66"/>
      <c r="G440" s="67"/>
      <c r="V440" s="67"/>
    </row>
    <row r="441">
      <c r="A441" s="66"/>
      <c r="B441" s="66"/>
      <c r="C441" s="66"/>
      <c r="D441" s="66"/>
      <c r="G441" s="67"/>
      <c r="V441" s="67"/>
    </row>
    <row r="442">
      <c r="A442" s="66"/>
      <c r="B442" s="66"/>
      <c r="C442" s="66"/>
      <c r="D442" s="66"/>
      <c r="G442" s="67"/>
      <c r="V442" s="67"/>
    </row>
    <row r="443">
      <c r="A443" s="66"/>
      <c r="B443" s="66"/>
      <c r="C443" s="66"/>
      <c r="D443" s="66"/>
      <c r="G443" s="67"/>
      <c r="V443" s="67"/>
    </row>
    <row r="444">
      <c r="A444" s="66"/>
      <c r="B444" s="66"/>
      <c r="C444" s="66"/>
      <c r="D444" s="66"/>
      <c r="G444" s="67"/>
      <c r="V444" s="67"/>
    </row>
    <row r="445">
      <c r="A445" s="66"/>
      <c r="B445" s="66"/>
      <c r="C445" s="66"/>
      <c r="D445" s="66"/>
      <c r="G445" s="67"/>
      <c r="V445" s="67"/>
    </row>
    <row r="446">
      <c r="A446" s="66"/>
      <c r="B446" s="66"/>
      <c r="C446" s="66"/>
      <c r="D446" s="66"/>
      <c r="G446" s="67"/>
      <c r="V446" s="67"/>
    </row>
    <row r="447">
      <c r="A447" s="66"/>
      <c r="B447" s="66"/>
      <c r="C447" s="66"/>
      <c r="D447" s="66"/>
      <c r="G447" s="67"/>
      <c r="V447" s="67"/>
    </row>
    <row r="448">
      <c r="A448" s="66"/>
      <c r="B448" s="66"/>
      <c r="C448" s="66"/>
      <c r="D448" s="66"/>
      <c r="G448" s="67"/>
      <c r="V448" s="67"/>
    </row>
    <row r="449">
      <c r="A449" s="66"/>
      <c r="B449" s="66"/>
      <c r="C449" s="66"/>
      <c r="D449" s="66"/>
      <c r="G449" s="67"/>
      <c r="V449" s="67"/>
    </row>
    <row r="450">
      <c r="A450" s="66"/>
      <c r="B450" s="66"/>
      <c r="C450" s="66"/>
      <c r="D450" s="66"/>
      <c r="G450" s="67"/>
      <c r="V450" s="67"/>
    </row>
    <row r="451">
      <c r="A451" s="66"/>
      <c r="B451" s="66"/>
      <c r="C451" s="66"/>
      <c r="D451" s="66"/>
      <c r="G451" s="67"/>
      <c r="V451" s="67"/>
    </row>
    <row r="452">
      <c r="A452" s="66"/>
      <c r="B452" s="66"/>
      <c r="C452" s="66"/>
      <c r="D452" s="66"/>
      <c r="G452" s="67"/>
      <c r="V452" s="67"/>
    </row>
    <row r="453">
      <c r="A453" s="66"/>
      <c r="B453" s="66"/>
      <c r="C453" s="66"/>
      <c r="D453" s="66"/>
      <c r="G453" s="67"/>
      <c r="V453" s="67"/>
    </row>
    <row r="454">
      <c r="A454" s="66"/>
      <c r="B454" s="66"/>
      <c r="C454" s="66"/>
      <c r="D454" s="66"/>
      <c r="G454" s="67"/>
      <c r="V454" s="67"/>
    </row>
    <row r="455">
      <c r="A455" s="66"/>
      <c r="B455" s="66"/>
      <c r="C455" s="66"/>
      <c r="D455" s="66"/>
      <c r="G455" s="67"/>
      <c r="V455" s="67"/>
    </row>
    <row r="456">
      <c r="A456" s="66"/>
      <c r="B456" s="66"/>
      <c r="C456" s="66"/>
      <c r="D456" s="66"/>
      <c r="G456" s="67"/>
      <c r="V456" s="67"/>
    </row>
    <row r="457">
      <c r="A457" s="66"/>
      <c r="B457" s="66"/>
      <c r="C457" s="66"/>
      <c r="D457" s="66"/>
      <c r="G457" s="67"/>
      <c r="V457" s="67"/>
    </row>
    <row r="458">
      <c r="A458" s="66"/>
      <c r="B458" s="66"/>
      <c r="C458" s="66"/>
      <c r="D458" s="66"/>
      <c r="G458" s="67"/>
      <c r="V458" s="67"/>
    </row>
    <row r="459">
      <c r="A459" s="66"/>
      <c r="B459" s="66"/>
      <c r="C459" s="66"/>
      <c r="D459" s="66"/>
      <c r="G459" s="67"/>
      <c r="V459" s="67"/>
    </row>
    <row r="460">
      <c r="A460" s="66"/>
      <c r="B460" s="66"/>
      <c r="C460" s="66"/>
      <c r="D460" s="66"/>
      <c r="G460" s="67"/>
      <c r="V460" s="67"/>
    </row>
    <row r="461">
      <c r="A461" s="66"/>
      <c r="B461" s="66"/>
      <c r="C461" s="66"/>
      <c r="D461" s="66"/>
      <c r="G461" s="67"/>
      <c r="V461" s="67"/>
    </row>
    <row r="462">
      <c r="A462" s="66"/>
      <c r="B462" s="66"/>
      <c r="C462" s="66"/>
      <c r="D462" s="66"/>
      <c r="G462" s="67"/>
      <c r="V462" s="67"/>
    </row>
    <row r="463">
      <c r="A463" s="66"/>
      <c r="B463" s="66"/>
      <c r="C463" s="66"/>
      <c r="D463" s="66"/>
      <c r="G463" s="67"/>
      <c r="V463" s="67"/>
    </row>
    <row r="464">
      <c r="A464" s="66"/>
      <c r="B464" s="66"/>
      <c r="C464" s="66"/>
      <c r="D464" s="66"/>
      <c r="G464" s="67"/>
      <c r="V464" s="67"/>
    </row>
    <row r="465">
      <c r="A465" s="66"/>
      <c r="B465" s="66"/>
      <c r="C465" s="66"/>
      <c r="D465" s="66"/>
      <c r="G465" s="67"/>
      <c r="V465" s="67"/>
    </row>
    <row r="466">
      <c r="A466" s="66"/>
      <c r="B466" s="66"/>
      <c r="C466" s="66"/>
      <c r="D466" s="66"/>
      <c r="G466" s="67"/>
      <c r="V466" s="67"/>
    </row>
    <row r="467">
      <c r="A467" s="66"/>
      <c r="B467" s="66"/>
      <c r="C467" s="66"/>
      <c r="D467" s="66"/>
      <c r="G467" s="67"/>
      <c r="V467" s="67"/>
    </row>
    <row r="468">
      <c r="A468" s="66"/>
      <c r="B468" s="66"/>
      <c r="C468" s="66"/>
      <c r="D468" s="66"/>
      <c r="G468" s="67"/>
      <c r="V468" s="67"/>
    </row>
    <row r="469">
      <c r="A469" s="66"/>
      <c r="B469" s="66"/>
      <c r="C469" s="66"/>
      <c r="D469" s="66"/>
      <c r="G469" s="67"/>
      <c r="V469" s="67"/>
    </row>
    <row r="470">
      <c r="A470" s="66"/>
      <c r="B470" s="66"/>
      <c r="C470" s="66"/>
      <c r="D470" s="66"/>
      <c r="G470" s="67"/>
      <c r="V470" s="67"/>
    </row>
    <row r="471">
      <c r="A471" s="66"/>
      <c r="B471" s="66"/>
      <c r="C471" s="66"/>
      <c r="D471" s="66"/>
      <c r="G471" s="67"/>
      <c r="V471" s="67"/>
    </row>
    <row r="472">
      <c r="A472" s="66"/>
      <c r="B472" s="66"/>
      <c r="C472" s="66"/>
      <c r="D472" s="66"/>
      <c r="G472" s="67"/>
      <c r="V472" s="67"/>
    </row>
    <row r="473">
      <c r="A473" s="66"/>
      <c r="B473" s="66"/>
      <c r="C473" s="66"/>
      <c r="D473" s="66"/>
      <c r="G473" s="67"/>
      <c r="V473" s="67"/>
    </row>
    <row r="474">
      <c r="A474" s="66"/>
      <c r="B474" s="66"/>
      <c r="C474" s="66"/>
      <c r="D474" s="66"/>
      <c r="G474" s="67"/>
      <c r="V474" s="67"/>
    </row>
    <row r="475">
      <c r="A475" s="66"/>
      <c r="B475" s="66"/>
      <c r="C475" s="66"/>
      <c r="D475" s="66"/>
      <c r="G475" s="67"/>
      <c r="V475" s="67"/>
    </row>
    <row r="476">
      <c r="A476" s="66"/>
      <c r="B476" s="66"/>
      <c r="C476" s="66"/>
      <c r="D476" s="66"/>
      <c r="G476" s="67"/>
      <c r="V476" s="67"/>
    </row>
    <row r="477">
      <c r="A477" s="66"/>
      <c r="B477" s="66"/>
      <c r="C477" s="66"/>
      <c r="D477" s="66"/>
      <c r="G477" s="67"/>
      <c r="V477" s="67"/>
    </row>
    <row r="478">
      <c r="A478" s="66"/>
      <c r="B478" s="66"/>
      <c r="C478" s="66"/>
      <c r="D478" s="66"/>
      <c r="G478" s="67"/>
      <c r="V478" s="67"/>
    </row>
    <row r="479">
      <c r="A479" s="66"/>
      <c r="B479" s="66"/>
      <c r="C479" s="66"/>
      <c r="D479" s="66"/>
      <c r="G479" s="67"/>
      <c r="V479" s="67"/>
    </row>
    <row r="480">
      <c r="A480" s="66"/>
      <c r="B480" s="66"/>
      <c r="C480" s="66"/>
      <c r="D480" s="66"/>
      <c r="G480" s="67"/>
      <c r="V480" s="67"/>
    </row>
    <row r="481">
      <c r="A481" s="66"/>
      <c r="B481" s="66"/>
      <c r="C481" s="66"/>
      <c r="D481" s="66"/>
      <c r="G481" s="67"/>
      <c r="V481" s="67"/>
    </row>
    <row r="482">
      <c r="A482" s="66"/>
      <c r="B482" s="66"/>
      <c r="C482" s="66"/>
      <c r="D482" s="66"/>
      <c r="G482" s="67"/>
      <c r="V482" s="67"/>
    </row>
    <row r="483">
      <c r="A483" s="66"/>
      <c r="B483" s="66"/>
      <c r="C483" s="66"/>
      <c r="D483" s="66"/>
      <c r="G483" s="67"/>
      <c r="V483" s="67"/>
    </row>
    <row r="484">
      <c r="A484" s="66"/>
      <c r="B484" s="66"/>
      <c r="C484" s="66"/>
      <c r="D484" s="66"/>
      <c r="G484" s="67"/>
      <c r="V484" s="67"/>
    </row>
    <row r="485">
      <c r="A485" s="66"/>
      <c r="B485" s="66"/>
      <c r="C485" s="66"/>
      <c r="D485" s="66"/>
      <c r="G485" s="67"/>
      <c r="V485" s="67"/>
    </row>
    <row r="486">
      <c r="A486" s="66"/>
      <c r="B486" s="66"/>
      <c r="C486" s="66"/>
      <c r="D486" s="66"/>
      <c r="G486" s="67"/>
      <c r="V486" s="67"/>
    </row>
    <row r="487">
      <c r="A487" s="66"/>
      <c r="B487" s="66"/>
      <c r="C487" s="66"/>
      <c r="D487" s="66"/>
      <c r="G487" s="67"/>
      <c r="V487" s="67"/>
    </row>
    <row r="488">
      <c r="A488" s="66"/>
      <c r="B488" s="66"/>
      <c r="C488" s="66"/>
      <c r="D488" s="66"/>
      <c r="G488" s="67"/>
      <c r="V488" s="67"/>
    </row>
    <row r="489">
      <c r="A489" s="66"/>
      <c r="B489" s="66"/>
      <c r="C489" s="66"/>
      <c r="D489" s="66"/>
      <c r="G489" s="67"/>
      <c r="V489" s="67"/>
    </row>
    <row r="490">
      <c r="A490" s="66"/>
      <c r="B490" s="66"/>
      <c r="C490" s="66"/>
      <c r="D490" s="66"/>
      <c r="G490" s="67"/>
      <c r="V490" s="67"/>
    </row>
    <row r="491">
      <c r="A491" s="66"/>
      <c r="B491" s="66"/>
      <c r="C491" s="66"/>
      <c r="D491" s="66"/>
      <c r="G491" s="67"/>
      <c r="V491" s="67"/>
    </row>
    <row r="492">
      <c r="A492" s="66"/>
      <c r="B492" s="66"/>
      <c r="C492" s="66"/>
      <c r="D492" s="66"/>
      <c r="G492" s="67"/>
      <c r="V492" s="67"/>
    </row>
    <row r="493">
      <c r="A493" s="66"/>
      <c r="B493" s="66"/>
      <c r="C493" s="66"/>
      <c r="D493" s="66"/>
      <c r="G493" s="67"/>
      <c r="V493" s="67"/>
    </row>
    <row r="494">
      <c r="A494" s="66"/>
      <c r="B494" s="66"/>
      <c r="C494" s="66"/>
      <c r="D494" s="66"/>
      <c r="G494" s="67"/>
      <c r="V494" s="67"/>
    </row>
    <row r="495">
      <c r="A495" s="66"/>
      <c r="B495" s="66"/>
      <c r="C495" s="66"/>
      <c r="D495" s="66"/>
      <c r="G495" s="67"/>
      <c r="V495" s="67"/>
    </row>
    <row r="496">
      <c r="A496" s="66"/>
      <c r="B496" s="66"/>
      <c r="C496" s="66"/>
      <c r="D496" s="66"/>
      <c r="G496" s="67"/>
      <c r="V496" s="67"/>
    </row>
    <row r="497">
      <c r="A497" s="66"/>
      <c r="B497" s="66"/>
      <c r="C497" s="66"/>
      <c r="D497" s="66"/>
      <c r="G497" s="67"/>
      <c r="V497" s="67"/>
    </row>
    <row r="498">
      <c r="A498" s="66"/>
      <c r="B498" s="66"/>
      <c r="C498" s="66"/>
      <c r="D498" s="66"/>
      <c r="G498" s="67"/>
      <c r="V498" s="67"/>
    </row>
    <row r="499">
      <c r="A499" s="66"/>
      <c r="B499" s="66"/>
      <c r="C499" s="66"/>
      <c r="D499" s="66"/>
      <c r="G499" s="67"/>
      <c r="V499" s="67"/>
    </row>
    <row r="500">
      <c r="A500" s="66"/>
      <c r="B500" s="66"/>
      <c r="C500" s="66"/>
      <c r="D500" s="66"/>
      <c r="G500" s="67"/>
      <c r="V500" s="67"/>
    </row>
    <row r="501">
      <c r="A501" s="66"/>
      <c r="B501" s="66"/>
      <c r="C501" s="66"/>
      <c r="D501" s="66"/>
      <c r="G501" s="67"/>
      <c r="V501" s="67"/>
    </row>
    <row r="502">
      <c r="A502" s="66"/>
      <c r="B502" s="66"/>
      <c r="C502" s="66"/>
      <c r="D502" s="66"/>
      <c r="G502" s="67"/>
      <c r="V502" s="67"/>
    </row>
    <row r="503">
      <c r="A503" s="66"/>
      <c r="B503" s="66"/>
      <c r="C503" s="66"/>
      <c r="D503" s="66"/>
      <c r="G503" s="67"/>
      <c r="V503" s="67"/>
    </row>
    <row r="504">
      <c r="A504" s="66"/>
      <c r="B504" s="66"/>
      <c r="C504" s="66"/>
      <c r="D504" s="66"/>
      <c r="G504" s="67"/>
      <c r="V504" s="67"/>
    </row>
    <row r="505">
      <c r="A505" s="66"/>
      <c r="B505" s="66"/>
      <c r="C505" s="66"/>
      <c r="D505" s="66"/>
      <c r="G505" s="67"/>
      <c r="V505" s="67"/>
    </row>
    <row r="506">
      <c r="A506" s="66"/>
      <c r="B506" s="66"/>
      <c r="C506" s="66"/>
      <c r="D506" s="66"/>
      <c r="G506" s="67"/>
      <c r="V506" s="67"/>
    </row>
    <row r="507">
      <c r="A507" s="66"/>
      <c r="B507" s="66"/>
      <c r="C507" s="66"/>
      <c r="D507" s="66"/>
      <c r="G507" s="67"/>
      <c r="V507" s="67"/>
    </row>
    <row r="508">
      <c r="A508" s="66"/>
      <c r="B508" s="66"/>
      <c r="C508" s="66"/>
      <c r="D508" s="66"/>
      <c r="G508" s="67"/>
      <c r="V508" s="67"/>
    </row>
    <row r="509">
      <c r="A509" s="66"/>
      <c r="B509" s="66"/>
      <c r="C509" s="66"/>
      <c r="D509" s="66"/>
      <c r="G509" s="67"/>
      <c r="V509" s="67"/>
    </row>
    <row r="510">
      <c r="A510" s="66"/>
      <c r="B510" s="66"/>
      <c r="C510" s="66"/>
      <c r="D510" s="66"/>
      <c r="G510" s="67"/>
      <c r="V510" s="67"/>
    </row>
    <row r="511">
      <c r="A511" s="66"/>
      <c r="B511" s="66"/>
      <c r="C511" s="66"/>
      <c r="D511" s="66"/>
      <c r="G511" s="67"/>
      <c r="V511" s="67"/>
    </row>
    <row r="512">
      <c r="A512" s="66"/>
      <c r="B512" s="66"/>
      <c r="C512" s="66"/>
      <c r="D512" s="66"/>
      <c r="G512" s="67"/>
      <c r="V512" s="67"/>
    </row>
    <row r="513">
      <c r="A513" s="66"/>
      <c r="B513" s="66"/>
      <c r="C513" s="66"/>
      <c r="D513" s="66"/>
      <c r="G513" s="67"/>
      <c r="V513" s="67"/>
    </row>
    <row r="514">
      <c r="A514" s="66"/>
      <c r="B514" s="66"/>
      <c r="C514" s="66"/>
      <c r="D514" s="66"/>
      <c r="G514" s="67"/>
      <c r="V514" s="67"/>
    </row>
    <row r="515">
      <c r="A515" s="66"/>
      <c r="B515" s="66"/>
      <c r="C515" s="66"/>
      <c r="D515" s="66"/>
      <c r="G515" s="67"/>
      <c r="V515" s="67"/>
    </row>
    <row r="516">
      <c r="A516" s="66"/>
      <c r="B516" s="66"/>
      <c r="C516" s="66"/>
      <c r="D516" s="66"/>
      <c r="G516" s="67"/>
      <c r="V516" s="67"/>
    </row>
    <row r="517">
      <c r="A517" s="66"/>
      <c r="B517" s="66"/>
      <c r="C517" s="66"/>
      <c r="D517" s="66"/>
      <c r="G517" s="67"/>
      <c r="V517" s="67"/>
    </row>
    <row r="518">
      <c r="A518" s="66"/>
      <c r="B518" s="66"/>
      <c r="C518" s="66"/>
      <c r="D518" s="66"/>
      <c r="G518" s="67"/>
      <c r="V518" s="67"/>
    </row>
    <row r="519">
      <c r="A519" s="66"/>
      <c r="B519" s="66"/>
      <c r="C519" s="66"/>
      <c r="D519" s="66"/>
      <c r="G519" s="67"/>
      <c r="V519" s="67"/>
    </row>
    <row r="520">
      <c r="A520" s="66"/>
      <c r="B520" s="66"/>
      <c r="C520" s="66"/>
      <c r="D520" s="66"/>
      <c r="G520" s="67"/>
      <c r="V520" s="67"/>
    </row>
    <row r="521">
      <c r="A521" s="66"/>
      <c r="B521" s="66"/>
      <c r="C521" s="66"/>
      <c r="D521" s="66"/>
      <c r="G521" s="67"/>
      <c r="V521" s="67"/>
    </row>
    <row r="522">
      <c r="A522" s="66"/>
      <c r="B522" s="66"/>
      <c r="C522" s="66"/>
      <c r="D522" s="66"/>
      <c r="G522" s="67"/>
      <c r="V522" s="67"/>
    </row>
    <row r="523">
      <c r="A523" s="66"/>
      <c r="B523" s="66"/>
      <c r="C523" s="66"/>
      <c r="D523" s="66"/>
      <c r="G523" s="67"/>
      <c r="V523" s="67"/>
    </row>
    <row r="524">
      <c r="A524" s="66"/>
      <c r="B524" s="66"/>
      <c r="C524" s="66"/>
      <c r="D524" s="66"/>
      <c r="G524" s="67"/>
      <c r="V524" s="67"/>
    </row>
    <row r="525">
      <c r="A525" s="66"/>
      <c r="B525" s="66"/>
      <c r="C525" s="66"/>
      <c r="D525" s="66"/>
      <c r="G525" s="67"/>
      <c r="V525" s="67"/>
    </row>
    <row r="526">
      <c r="A526" s="66"/>
      <c r="B526" s="66"/>
      <c r="C526" s="66"/>
      <c r="D526" s="66"/>
      <c r="G526" s="67"/>
      <c r="V526" s="67"/>
    </row>
    <row r="527">
      <c r="A527" s="66"/>
      <c r="B527" s="66"/>
      <c r="C527" s="66"/>
      <c r="D527" s="66"/>
      <c r="G527" s="67"/>
      <c r="V527" s="67"/>
    </row>
    <row r="528">
      <c r="A528" s="66"/>
      <c r="B528" s="66"/>
      <c r="C528" s="66"/>
      <c r="D528" s="66"/>
      <c r="G528" s="67"/>
      <c r="V528" s="67"/>
    </row>
    <row r="529">
      <c r="A529" s="66"/>
      <c r="B529" s="66"/>
      <c r="C529" s="66"/>
      <c r="D529" s="66"/>
      <c r="G529" s="67"/>
      <c r="V529" s="67"/>
    </row>
    <row r="530">
      <c r="A530" s="66"/>
      <c r="B530" s="66"/>
      <c r="C530" s="66"/>
      <c r="D530" s="66"/>
      <c r="G530" s="67"/>
      <c r="V530" s="67"/>
    </row>
    <row r="531">
      <c r="A531" s="66"/>
      <c r="B531" s="66"/>
      <c r="C531" s="66"/>
      <c r="D531" s="66"/>
      <c r="G531" s="67"/>
      <c r="V531" s="67"/>
    </row>
    <row r="532">
      <c r="A532" s="66"/>
      <c r="B532" s="66"/>
      <c r="C532" s="66"/>
      <c r="D532" s="66"/>
      <c r="G532" s="67"/>
      <c r="V532" s="67"/>
    </row>
    <row r="533">
      <c r="A533" s="66"/>
      <c r="B533" s="66"/>
      <c r="C533" s="66"/>
      <c r="D533" s="66"/>
      <c r="G533" s="67"/>
      <c r="V533" s="67"/>
    </row>
    <row r="534">
      <c r="A534" s="66"/>
      <c r="B534" s="66"/>
      <c r="C534" s="66"/>
      <c r="D534" s="66"/>
      <c r="G534" s="67"/>
      <c r="V534" s="67"/>
    </row>
    <row r="535">
      <c r="A535" s="66"/>
      <c r="B535" s="66"/>
      <c r="C535" s="66"/>
      <c r="D535" s="66"/>
      <c r="G535" s="67"/>
      <c r="V535" s="67"/>
    </row>
    <row r="536">
      <c r="A536" s="66"/>
      <c r="B536" s="66"/>
      <c r="C536" s="66"/>
      <c r="D536" s="66"/>
      <c r="G536" s="67"/>
      <c r="V536" s="67"/>
    </row>
    <row r="537">
      <c r="A537" s="66"/>
      <c r="B537" s="66"/>
      <c r="C537" s="66"/>
      <c r="D537" s="66"/>
      <c r="G537" s="67"/>
      <c r="V537" s="67"/>
    </row>
    <row r="538">
      <c r="A538" s="66"/>
      <c r="B538" s="66"/>
      <c r="C538" s="66"/>
      <c r="D538" s="66"/>
      <c r="G538" s="67"/>
      <c r="V538" s="67"/>
    </row>
    <row r="539">
      <c r="A539" s="66"/>
      <c r="B539" s="66"/>
      <c r="C539" s="66"/>
      <c r="D539" s="66"/>
      <c r="G539" s="67"/>
      <c r="V539" s="67"/>
    </row>
    <row r="540">
      <c r="A540" s="66"/>
      <c r="B540" s="66"/>
      <c r="C540" s="66"/>
      <c r="D540" s="66"/>
      <c r="G540" s="67"/>
      <c r="V540" s="67"/>
    </row>
    <row r="541">
      <c r="A541" s="66"/>
      <c r="B541" s="66"/>
      <c r="C541" s="66"/>
      <c r="D541" s="66"/>
      <c r="G541" s="67"/>
      <c r="V541" s="67"/>
    </row>
    <row r="542">
      <c r="A542" s="66"/>
      <c r="B542" s="66"/>
      <c r="C542" s="66"/>
      <c r="D542" s="66"/>
      <c r="G542" s="67"/>
      <c r="V542" s="67"/>
    </row>
    <row r="543">
      <c r="A543" s="66"/>
      <c r="B543" s="66"/>
      <c r="C543" s="66"/>
      <c r="D543" s="66"/>
      <c r="G543" s="67"/>
      <c r="V543" s="67"/>
    </row>
    <row r="544">
      <c r="A544" s="66"/>
      <c r="B544" s="66"/>
      <c r="C544" s="66"/>
      <c r="D544" s="66"/>
      <c r="G544" s="67"/>
      <c r="V544" s="67"/>
    </row>
    <row r="545">
      <c r="A545" s="66"/>
      <c r="B545" s="66"/>
      <c r="C545" s="66"/>
      <c r="D545" s="66"/>
      <c r="G545" s="67"/>
      <c r="V545" s="67"/>
    </row>
    <row r="546">
      <c r="A546" s="66"/>
      <c r="B546" s="66"/>
      <c r="C546" s="66"/>
      <c r="D546" s="66"/>
      <c r="G546" s="67"/>
      <c r="V546" s="67"/>
    </row>
    <row r="547">
      <c r="A547" s="66"/>
      <c r="B547" s="66"/>
      <c r="C547" s="66"/>
      <c r="D547" s="66"/>
      <c r="G547" s="67"/>
      <c r="V547" s="67"/>
    </row>
    <row r="548">
      <c r="A548" s="66"/>
      <c r="B548" s="66"/>
      <c r="C548" s="66"/>
      <c r="D548" s="66"/>
      <c r="G548" s="67"/>
      <c r="V548" s="67"/>
    </row>
    <row r="549">
      <c r="A549" s="66"/>
      <c r="B549" s="66"/>
      <c r="C549" s="66"/>
      <c r="D549" s="66"/>
      <c r="G549" s="67"/>
      <c r="V549" s="67"/>
    </row>
    <row r="550">
      <c r="A550" s="66"/>
      <c r="B550" s="66"/>
      <c r="C550" s="66"/>
      <c r="D550" s="66"/>
      <c r="G550" s="67"/>
      <c r="V550" s="67"/>
    </row>
    <row r="551">
      <c r="A551" s="66"/>
      <c r="B551" s="66"/>
      <c r="C551" s="66"/>
      <c r="D551" s="66"/>
      <c r="G551" s="67"/>
      <c r="V551" s="67"/>
    </row>
    <row r="552">
      <c r="A552" s="66"/>
      <c r="B552" s="66"/>
      <c r="C552" s="66"/>
      <c r="D552" s="66"/>
      <c r="G552" s="67"/>
      <c r="V552" s="67"/>
    </row>
    <row r="553">
      <c r="A553" s="66"/>
      <c r="B553" s="66"/>
      <c r="C553" s="66"/>
      <c r="D553" s="66"/>
      <c r="G553" s="67"/>
      <c r="V553" s="67"/>
    </row>
    <row r="554">
      <c r="A554" s="66"/>
      <c r="B554" s="66"/>
      <c r="C554" s="66"/>
      <c r="D554" s="66"/>
      <c r="G554" s="67"/>
      <c r="V554" s="67"/>
    </row>
    <row r="555">
      <c r="A555" s="66"/>
      <c r="B555" s="66"/>
      <c r="C555" s="66"/>
      <c r="D555" s="66"/>
      <c r="G555" s="67"/>
      <c r="V555" s="67"/>
    </row>
    <row r="556">
      <c r="A556" s="66"/>
      <c r="B556" s="66"/>
      <c r="C556" s="66"/>
      <c r="D556" s="66"/>
      <c r="G556" s="67"/>
      <c r="V556" s="67"/>
    </row>
    <row r="557">
      <c r="A557" s="66"/>
      <c r="B557" s="66"/>
      <c r="C557" s="66"/>
      <c r="D557" s="66"/>
      <c r="G557" s="67"/>
      <c r="V557" s="67"/>
    </row>
    <row r="558">
      <c r="A558" s="66"/>
      <c r="B558" s="66"/>
      <c r="C558" s="66"/>
      <c r="D558" s="66"/>
      <c r="G558" s="67"/>
      <c r="V558" s="67"/>
    </row>
    <row r="559">
      <c r="A559" s="66"/>
      <c r="B559" s="66"/>
      <c r="C559" s="66"/>
      <c r="D559" s="66"/>
      <c r="G559" s="67"/>
      <c r="V559" s="67"/>
    </row>
    <row r="560">
      <c r="A560" s="66"/>
      <c r="B560" s="66"/>
      <c r="C560" s="66"/>
      <c r="D560" s="66"/>
      <c r="G560" s="67"/>
      <c r="V560" s="67"/>
    </row>
    <row r="561">
      <c r="A561" s="66"/>
      <c r="B561" s="66"/>
      <c r="C561" s="66"/>
      <c r="D561" s="66"/>
      <c r="G561" s="67"/>
      <c r="V561" s="67"/>
    </row>
    <row r="562">
      <c r="A562" s="66"/>
      <c r="B562" s="66"/>
      <c r="C562" s="66"/>
      <c r="D562" s="66"/>
      <c r="G562" s="67"/>
      <c r="V562" s="67"/>
    </row>
    <row r="563">
      <c r="A563" s="66"/>
      <c r="B563" s="66"/>
      <c r="C563" s="66"/>
      <c r="D563" s="66"/>
      <c r="G563" s="67"/>
      <c r="V563" s="67"/>
    </row>
    <row r="564">
      <c r="A564" s="66"/>
      <c r="B564" s="66"/>
      <c r="C564" s="66"/>
      <c r="D564" s="66"/>
      <c r="G564" s="67"/>
      <c r="V564" s="67"/>
    </row>
    <row r="565">
      <c r="A565" s="66"/>
      <c r="B565" s="66"/>
      <c r="C565" s="66"/>
      <c r="D565" s="66"/>
      <c r="G565" s="67"/>
      <c r="V565" s="67"/>
    </row>
    <row r="566">
      <c r="A566" s="66"/>
      <c r="B566" s="66"/>
      <c r="C566" s="66"/>
      <c r="D566" s="66"/>
      <c r="G566" s="67"/>
      <c r="V566" s="67"/>
    </row>
    <row r="567">
      <c r="A567" s="66"/>
      <c r="B567" s="66"/>
      <c r="C567" s="66"/>
      <c r="D567" s="66"/>
      <c r="G567" s="67"/>
      <c r="V567" s="67"/>
    </row>
    <row r="568">
      <c r="A568" s="66"/>
      <c r="B568" s="66"/>
      <c r="C568" s="66"/>
      <c r="D568" s="66"/>
      <c r="G568" s="67"/>
      <c r="V568" s="67"/>
    </row>
    <row r="569">
      <c r="A569" s="66"/>
      <c r="B569" s="66"/>
      <c r="C569" s="66"/>
      <c r="D569" s="66"/>
      <c r="G569" s="67"/>
      <c r="V569" s="67"/>
    </row>
    <row r="570">
      <c r="A570" s="66"/>
      <c r="B570" s="66"/>
      <c r="C570" s="66"/>
      <c r="D570" s="66"/>
      <c r="G570" s="67"/>
      <c r="V570" s="67"/>
    </row>
    <row r="571">
      <c r="A571" s="66"/>
      <c r="B571" s="66"/>
      <c r="C571" s="66"/>
      <c r="D571" s="66"/>
      <c r="G571" s="67"/>
      <c r="V571" s="67"/>
    </row>
    <row r="572">
      <c r="A572" s="66"/>
      <c r="B572" s="66"/>
      <c r="C572" s="66"/>
      <c r="D572" s="66"/>
      <c r="G572" s="67"/>
      <c r="V572" s="67"/>
    </row>
    <row r="573">
      <c r="A573" s="66"/>
      <c r="B573" s="66"/>
      <c r="C573" s="66"/>
      <c r="D573" s="66"/>
      <c r="G573" s="67"/>
      <c r="V573" s="67"/>
    </row>
    <row r="574">
      <c r="A574" s="66"/>
      <c r="B574" s="66"/>
      <c r="C574" s="66"/>
      <c r="D574" s="66"/>
      <c r="G574" s="67"/>
      <c r="V574" s="67"/>
    </row>
    <row r="575">
      <c r="A575" s="66"/>
      <c r="B575" s="66"/>
      <c r="C575" s="66"/>
      <c r="D575" s="66"/>
      <c r="G575" s="67"/>
      <c r="V575" s="67"/>
    </row>
    <row r="576">
      <c r="A576" s="66"/>
      <c r="B576" s="66"/>
      <c r="C576" s="66"/>
      <c r="D576" s="66"/>
      <c r="G576" s="67"/>
      <c r="V576" s="67"/>
    </row>
    <row r="577">
      <c r="A577" s="66"/>
      <c r="B577" s="66"/>
      <c r="C577" s="66"/>
      <c r="D577" s="66"/>
      <c r="G577" s="67"/>
      <c r="V577" s="67"/>
    </row>
    <row r="578">
      <c r="A578" s="66"/>
      <c r="B578" s="66"/>
      <c r="C578" s="66"/>
      <c r="D578" s="66"/>
      <c r="G578" s="67"/>
      <c r="V578" s="67"/>
    </row>
    <row r="579">
      <c r="A579" s="66"/>
      <c r="B579" s="66"/>
      <c r="C579" s="66"/>
      <c r="D579" s="66"/>
      <c r="G579" s="67"/>
      <c r="V579" s="67"/>
    </row>
    <row r="580">
      <c r="A580" s="66"/>
      <c r="B580" s="66"/>
      <c r="C580" s="66"/>
      <c r="D580" s="66"/>
      <c r="G580" s="67"/>
      <c r="V580" s="67"/>
    </row>
    <row r="581">
      <c r="A581" s="66"/>
      <c r="B581" s="66"/>
      <c r="C581" s="66"/>
      <c r="D581" s="66"/>
      <c r="G581" s="67"/>
      <c r="V581" s="67"/>
    </row>
    <row r="582">
      <c r="A582" s="66"/>
      <c r="B582" s="66"/>
      <c r="C582" s="66"/>
      <c r="D582" s="66"/>
      <c r="G582" s="67"/>
      <c r="V582" s="67"/>
    </row>
    <row r="583">
      <c r="A583" s="66"/>
      <c r="B583" s="66"/>
      <c r="C583" s="66"/>
      <c r="D583" s="66"/>
      <c r="G583" s="67"/>
      <c r="V583" s="67"/>
    </row>
    <row r="584">
      <c r="A584" s="66"/>
      <c r="B584" s="66"/>
      <c r="C584" s="66"/>
      <c r="D584" s="66"/>
      <c r="G584" s="67"/>
      <c r="V584" s="67"/>
    </row>
    <row r="585">
      <c r="A585" s="66"/>
      <c r="B585" s="66"/>
      <c r="C585" s="66"/>
      <c r="D585" s="66"/>
      <c r="G585" s="67"/>
      <c r="V585" s="67"/>
    </row>
    <row r="586">
      <c r="A586" s="66"/>
      <c r="B586" s="66"/>
      <c r="C586" s="66"/>
      <c r="D586" s="66"/>
      <c r="G586" s="67"/>
      <c r="V586" s="67"/>
    </row>
    <row r="587">
      <c r="A587" s="66"/>
      <c r="B587" s="66"/>
      <c r="C587" s="66"/>
      <c r="D587" s="66"/>
      <c r="G587" s="67"/>
      <c r="V587" s="67"/>
    </row>
    <row r="588">
      <c r="A588" s="66"/>
      <c r="B588" s="66"/>
      <c r="C588" s="66"/>
      <c r="D588" s="66"/>
      <c r="G588" s="67"/>
      <c r="V588" s="67"/>
    </row>
    <row r="589">
      <c r="A589" s="66"/>
      <c r="B589" s="66"/>
      <c r="C589" s="66"/>
      <c r="D589" s="66"/>
      <c r="G589" s="67"/>
      <c r="V589" s="67"/>
    </row>
    <row r="590">
      <c r="A590" s="66"/>
      <c r="B590" s="66"/>
      <c r="C590" s="66"/>
      <c r="D590" s="66"/>
      <c r="G590" s="67"/>
      <c r="V590" s="67"/>
    </row>
    <row r="591">
      <c r="A591" s="66"/>
      <c r="B591" s="66"/>
      <c r="C591" s="66"/>
      <c r="D591" s="66"/>
      <c r="G591" s="67"/>
      <c r="V591" s="67"/>
    </row>
    <row r="592">
      <c r="A592" s="66"/>
      <c r="B592" s="66"/>
      <c r="C592" s="66"/>
      <c r="D592" s="66"/>
      <c r="G592" s="67"/>
      <c r="V592" s="67"/>
    </row>
    <row r="593">
      <c r="A593" s="66"/>
      <c r="B593" s="66"/>
      <c r="C593" s="66"/>
      <c r="D593" s="66"/>
      <c r="G593" s="67"/>
      <c r="V593" s="67"/>
    </row>
    <row r="594">
      <c r="A594" s="66"/>
      <c r="B594" s="66"/>
      <c r="C594" s="66"/>
      <c r="D594" s="66"/>
      <c r="G594" s="67"/>
      <c r="V594" s="67"/>
    </row>
    <row r="595">
      <c r="A595" s="66"/>
      <c r="B595" s="66"/>
      <c r="C595" s="66"/>
      <c r="D595" s="66"/>
      <c r="G595" s="67"/>
      <c r="V595" s="67"/>
    </row>
    <row r="596">
      <c r="A596" s="66"/>
      <c r="B596" s="66"/>
      <c r="C596" s="66"/>
      <c r="D596" s="66"/>
      <c r="G596" s="67"/>
      <c r="V596" s="67"/>
    </row>
    <row r="597">
      <c r="A597" s="66"/>
      <c r="B597" s="66"/>
      <c r="C597" s="66"/>
      <c r="D597" s="66"/>
      <c r="G597" s="67"/>
      <c r="V597" s="67"/>
    </row>
    <row r="598">
      <c r="A598" s="66"/>
      <c r="B598" s="66"/>
      <c r="C598" s="66"/>
      <c r="D598" s="66"/>
      <c r="G598" s="67"/>
      <c r="V598" s="67"/>
    </row>
    <row r="599">
      <c r="A599" s="66"/>
      <c r="B599" s="66"/>
      <c r="C599" s="66"/>
      <c r="D599" s="66"/>
      <c r="G599" s="67"/>
      <c r="V599" s="67"/>
    </row>
    <row r="600">
      <c r="A600" s="66"/>
      <c r="B600" s="66"/>
      <c r="C600" s="66"/>
      <c r="D600" s="66"/>
      <c r="G600" s="67"/>
      <c r="V600" s="67"/>
    </row>
    <row r="601">
      <c r="A601" s="66"/>
      <c r="B601" s="66"/>
      <c r="C601" s="66"/>
      <c r="D601" s="66"/>
      <c r="G601" s="67"/>
      <c r="V601" s="67"/>
    </row>
    <row r="602">
      <c r="A602" s="66"/>
      <c r="B602" s="66"/>
      <c r="C602" s="66"/>
      <c r="D602" s="66"/>
      <c r="G602" s="67"/>
      <c r="V602" s="67"/>
    </row>
    <row r="603">
      <c r="A603" s="66"/>
      <c r="B603" s="66"/>
      <c r="C603" s="66"/>
      <c r="D603" s="66"/>
      <c r="G603" s="67"/>
      <c r="V603" s="67"/>
    </row>
    <row r="604">
      <c r="A604" s="66"/>
      <c r="B604" s="66"/>
      <c r="C604" s="66"/>
      <c r="D604" s="66"/>
      <c r="G604" s="67"/>
      <c r="V604" s="67"/>
    </row>
    <row r="605">
      <c r="A605" s="66"/>
      <c r="B605" s="66"/>
      <c r="C605" s="66"/>
      <c r="D605" s="66"/>
      <c r="G605" s="67"/>
      <c r="V605" s="67"/>
    </row>
    <row r="606">
      <c r="A606" s="66"/>
      <c r="B606" s="66"/>
      <c r="C606" s="66"/>
      <c r="D606" s="66"/>
      <c r="G606" s="67"/>
      <c r="V606" s="67"/>
    </row>
    <row r="607">
      <c r="A607" s="66"/>
      <c r="B607" s="66"/>
      <c r="C607" s="66"/>
      <c r="D607" s="66"/>
      <c r="G607" s="67"/>
      <c r="V607" s="67"/>
    </row>
    <row r="608">
      <c r="A608" s="66"/>
      <c r="B608" s="66"/>
      <c r="C608" s="66"/>
      <c r="D608" s="66"/>
      <c r="G608" s="67"/>
      <c r="V608" s="67"/>
    </row>
    <row r="609">
      <c r="A609" s="66"/>
      <c r="B609" s="66"/>
      <c r="C609" s="66"/>
      <c r="D609" s="66"/>
      <c r="G609" s="67"/>
      <c r="V609" s="67"/>
    </row>
    <row r="610">
      <c r="A610" s="66"/>
      <c r="B610" s="66"/>
      <c r="C610" s="66"/>
      <c r="D610" s="66"/>
      <c r="G610" s="67"/>
      <c r="V610" s="67"/>
    </row>
    <row r="611">
      <c r="A611" s="66"/>
      <c r="B611" s="66"/>
      <c r="C611" s="66"/>
      <c r="D611" s="66"/>
      <c r="G611" s="67"/>
      <c r="V611" s="67"/>
    </row>
    <row r="612">
      <c r="A612" s="66"/>
      <c r="B612" s="66"/>
      <c r="C612" s="66"/>
      <c r="D612" s="66"/>
      <c r="G612" s="67"/>
      <c r="V612" s="67"/>
    </row>
    <row r="613">
      <c r="A613" s="66"/>
      <c r="B613" s="66"/>
      <c r="C613" s="66"/>
      <c r="D613" s="66"/>
      <c r="G613" s="67"/>
      <c r="V613" s="67"/>
    </row>
    <row r="614">
      <c r="A614" s="66"/>
      <c r="B614" s="66"/>
      <c r="C614" s="66"/>
      <c r="D614" s="66"/>
      <c r="G614" s="67"/>
      <c r="V614" s="67"/>
    </row>
    <row r="615">
      <c r="A615" s="66"/>
      <c r="B615" s="66"/>
      <c r="C615" s="66"/>
      <c r="D615" s="66"/>
      <c r="G615" s="67"/>
      <c r="V615" s="67"/>
    </row>
    <row r="616">
      <c r="A616" s="66"/>
      <c r="B616" s="66"/>
      <c r="C616" s="66"/>
      <c r="D616" s="66"/>
      <c r="G616" s="67"/>
      <c r="V616" s="67"/>
    </row>
    <row r="617">
      <c r="A617" s="66"/>
      <c r="B617" s="66"/>
      <c r="C617" s="66"/>
      <c r="D617" s="66"/>
      <c r="G617" s="67"/>
      <c r="V617" s="67"/>
    </row>
    <row r="618">
      <c r="A618" s="66"/>
      <c r="B618" s="66"/>
      <c r="C618" s="66"/>
      <c r="D618" s="66"/>
      <c r="G618" s="67"/>
      <c r="V618" s="67"/>
    </row>
    <row r="619">
      <c r="A619" s="66"/>
      <c r="B619" s="66"/>
      <c r="C619" s="66"/>
      <c r="D619" s="66"/>
      <c r="G619" s="67"/>
      <c r="V619" s="67"/>
    </row>
    <row r="620">
      <c r="A620" s="66"/>
      <c r="B620" s="66"/>
      <c r="C620" s="66"/>
      <c r="D620" s="66"/>
      <c r="G620" s="67"/>
      <c r="V620" s="67"/>
    </row>
    <row r="621">
      <c r="A621" s="66"/>
      <c r="B621" s="66"/>
      <c r="C621" s="66"/>
      <c r="D621" s="66"/>
      <c r="G621" s="67"/>
      <c r="V621" s="67"/>
    </row>
    <row r="622">
      <c r="A622" s="66"/>
      <c r="B622" s="66"/>
      <c r="C622" s="66"/>
      <c r="D622" s="66"/>
      <c r="G622" s="67"/>
      <c r="V622" s="67"/>
    </row>
    <row r="623">
      <c r="A623" s="66"/>
      <c r="B623" s="66"/>
      <c r="C623" s="66"/>
      <c r="D623" s="66"/>
      <c r="G623" s="67"/>
      <c r="V623" s="67"/>
    </row>
    <row r="624">
      <c r="A624" s="66"/>
      <c r="B624" s="66"/>
      <c r="C624" s="66"/>
      <c r="D624" s="66"/>
      <c r="G624" s="67"/>
      <c r="V624" s="67"/>
    </row>
    <row r="625">
      <c r="A625" s="66"/>
      <c r="B625" s="66"/>
      <c r="C625" s="66"/>
      <c r="D625" s="66"/>
      <c r="G625" s="67"/>
      <c r="V625" s="67"/>
    </row>
    <row r="626">
      <c r="A626" s="66"/>
      <c r="B626" s="66"/>
      <c r="C626" s="66"/>
      <c r="D626" s="66"/>
      <c r="G626" s="67"/>
      <c r="V626" s="67"/>
    </row>
    <row r="627">
      <c r="A627" s="66"/>
      <c r="B627" s="66"/>
      <c r="C627" s="66"/>
      <c r="D627" s="66"/>
      <c r="G627" s="67"/>
      <c r="V627" s="67"/>
    </row>
    <row r="628">
      <c r="A628" s="66"/>
      <c r="B628" s="66"/>
      <c r="C628" s="66"/>
      <c r="D628" s="66"/>
      <c r="G628" s="67"/>
      <c r="V628" s="67"/>
    </row>
    <row r="629">
      <c r="A629" s="66"/>
      <c r="B629" s="66"/>
      <c r="C629" s="66"/>
      <c r="D629" s="66"/>
      <c r="G629" s="67"/>
      <c r="V629" s="67"/>
    </row>
    <row r="630">
      <c r="A630" s="66"/>
      <c r="B630" s="66"/>
      <c r="C630" s="66"/>
      <c r="D630" s="66"/>
      <c r="G630" s="67"/>
      <c r="V630" s="67"/>
    </row>
    <row r="631">
      <c r="A631" s="66"/>
      <c r="B631" s="66"/>
      <c r="C631" s="66"/>
      <c r="D631" s="66"/>
      <c r="G631" s="67"/>
      <c r="V631" s="67"/>
    </row>
    <row r="632">
      <c r="A632" s="66"/>
      <c r="B632" s="66"/>
      <c r="C632" s="66"/>
      <c r="D632" s="66"/>
      <c r="G632" s="67"/>
      <c r="V632" s="67"/>
    </row>
    <row r="633">
      <c r="A633" s="66"/>
      <c r="B633" s="66"/>
      <c r="C633" s="66"/>
      <c r="D633" s="66"/>
      <c r="G633" s="67"/>
      <c r="V633" s="67"/>
    </row>
    <row r="634">
      <c r="A634" s="66"/>
      <c r="B634" s="66"/>
      <c r="C634" s="66"/>
      <c r="D634" s="66"/>
      <c r="G634" s="67"/>
      <c r="V634" s="67"/>
    </row>
    <row r="635">
      <c r="A635" s="66"/>
      <c r="B635" s="66"/>
      <c r="C635" s="66"/>
      <c r="D635" s="66"/>
      <c r="G635" s="67"/>
      <c r="V635" s="67"/>
    </row>
    <row r="636">
      <c r="A636" s="66"/>
      <c r="B636" s="66"/>
      <c r="C636" s="66"/>
      <c r="D636" s="66"/>
      <c r="G636" s="67"/>
      <c r="V636" s="67"/>
    </row>
    <row r="637">
      <c r="A637" s="66"/>
      <c r="B637" s="66"/>
      <c r="C637" s="66"/>
      <c r="D637" s="66"/>
      <c r="G637" s="67"/>
      <c r="V637" s="67"/>
    </row>
    <row r="638">
      <c r="A638" s="66"/>
      <c r="B638" s="66"/>
      <c r="C638" s="66"/>
      <c r="D638" s="66"/>
      <c r="G638" s="67"/>
      <c r="V638" s="67"/>
    </row>
    <row r="639">
      <c r="A639" s="66"/>
      <c r="B639" s="66"/>
      <c r="C639" s="66"/>
      <c r="D639" s="66"/>
      <c r="G639" s="67"/>
      <c r="V639" s="67"/>
    </row>
    <row r="640">
      <c r="A640" s="66"/>
      <c r="B640" s="66"/>
      <c r="C640" s="66"/>
      <c r="D640" s="66"/>
      <c r="G640" s="67"/>
      <c r="V640" s="67"/>
    </row>
    <row r="641">
      <c r="A641" s="66"/>
      <c r="B641" s="66"/>
      <c r="C641" s="66"/>
      <c r="D641" s="66"/>
      <c r="G641" s="67"/>
      <c r="V641" s="67"/>
    </row>
    <row r="642">
      <c r="A642" s="66"/>
      <c r="B642" s="66"/>
      <c r="C642" s="66"/>
      <c r="D642" s="66"/>
      <c r="G642" s="67"/>
      <c r="V642" s="67"/>
    </row>
    <row r="643">
      <c r="A643" s="66"/>
      <c r="B643" s="66"/>
      <c r="C643" s="66"/>
      <c r="D643" s="66"/>
      <c r="G643" s="67"/>
      <c r="V643" s="67"/>
    </row>
    <row r="644">
      <c r="A644" s="66"/>
      <c r="B644" s="66"/>
      <c r="C644" s="66"/>
      <c r="D644" s="66"/>
      <c r="G644" s="67"/>
      <c r="V644" s="67"/>
    </row>
    <row r="645">
      <c r="A645" s="66"/>
      <c r="B645" s="66"/>
      <c r="C645" s="66"/>
      <c r="D645" s="66"/>
      <c r="G645" s="67"/>
      <c r="V645" s="67"/>
    </row>
    <row r="646">
      <c r="A646" s="66"/>
      <c r="B646" s="66"/>
      <c r="C646" s="66"/>
      <c r="D646" s="66"/>
      <c r="G646" s="67"/>
      <c r="V646" s="67"/>
    </row>
    <row r="647">
      <c r="A647" s="66"/>
      <c r="B647" s="66"/>
      <c r="C647" s="66"/>
      <c r="D647" s="66"/>
      <c r="G647" s="67"/>
      <c r="V647" s="67"/>
    </row>
    <row r="648">
      <c r="A648" s="66"/>
      <c r="B648" s="66"/>
      <c r="C648" s="66"/>
      <c r="D648" s="66"/>
      <c r="G648" s="67"/>
      <c r="V648" s="67"/>
    </row>
    <row r="649">
      <c r="A649" s="66"/>
      <c r="B649" s="66"/>
      <c r="C649" s="66"/>
      <c r="D649" s="66"/>
      <c r="G649" s="67"/>
      <c r="V649" s="67"/>
    </row>
    <row r="650">
      <c r="A650" s="66"/>
      <c r="B650" s="66"/>
      <c r="C650" s="66"/>
      <c r="D650" s="66"/>
      <c r="G650" s="67"/>
      <c r="V650" s="67"/>
    </row>
    <row r="651">
      <c r="A651" s="66"/>
      <c r="B651" s="66"/>
      <c r="C651" s="66"/>
      <c r="D651" s="66"/>
      <c r="G651" s="67"/>
      <c r="V651" s="67"/>
    </row>
    <row r="652">
      <c r="A652" s="66"/>
      <c r="B652" s="66"/>
      <c r="C652" s="66"/>
      <c r="D652" s="66"/>
      <c r="G652" s="67"/>
      <c r="V652" s="67"/>
    </row>
    <row r="653">
      <c r="A653" s="66"/>
      <c r="B653" s="66"/>
      <c r="C653" s="66"/>
      <c r="D653" s="66"/>
      <c r="G653" s="67"/>
      <c r="V653" s="67"/>
    </row>
    <row r="654">
      <c r="A654" s="66"/>
      <c r="B654" s="66"/>
      <c r="C654" s="66"/>
      <c r="D654" s="66"/>
      <c r="G654" s="67"/>
      <c r="V654" s="67"/>
    </row>
    <row r="655">
      <c r="A655" s="66"/>
      <c r="B655" s="66"/>
      <c r="C655" s="66"/>
      <c r="D655" s="66"/>
      <c r="G655" s="67"/>
      <c r="V655" s="67"/>
    </row>
    <row r="656">
      <c r="A656" s="66"/>
      <c r="B656" s="66"/>
      <c r="C656" s="66"/>
      <c r="D656" s="66"/>
      <c r="G656" s="67"/>
      <c r="V656" s="67"/>
    </row>
    <row r="657">
      <c r="A657" s="66"/>
      <c r="B657" s="66"/>
      <c r="C657" s="66"/>
      <c r="D657" s="66"/>
      <c r="G657" s="67"/>
      <c r="V657" s="67"/>
    </row>
    <row r="658">
      <c r="A658" s="66"/>
      <c r="B658" s="66"/>
      <c r="C658" s="66"/>
      <c r="D658" s="66"/>
      <c r="G658" s="67"/>
      <c r="V658" s="67"/>
    </row>
    <row r="659">
      <c r="A659" s="66"/>
      <c r="B659" s="66"/>
      <c r="C659" s="66"/>
      <c r="D659" s="66"/>
      <c r="G659" s="67"/>
      <c r="V659" s="67"/>
    </row>
    <row r="660">
      <c r="A660" s="66"/>
      <c r="B660" s="66"/>
      <c r="C660" s="66"/>
      <c r="D660" s="66"/>
      <c r="G660" s="67"/>
      <c r="V660" s="67"/>
    </row>
    <row r="661">
      <c r="A661" s="66"/>
      <c r="B661" s="66"/>
      <c r="C661" s="66"/>
      <c r="D661" s="66"/>
      <c r="G661" s="67"/>
      <c r="V661" s="67"/>
    </row>
    <row r="662">
      <c r="A662" s="66"/>
      <c r="B662" s="66"/>
      <c r="C662" s="66"/>
      <c r="D662" s="66"/>
      <c r="G662" s="67"/>
      <c r="V662" s="67"/>
    </row>
    <row r="663">
      <c r="A663" s="66"/>
      <c r="B663" s="66"/>
      <c r="C663" s="66"/>
      <c r="D663" s="66"/>
      <c r="G663" s="67"/>
      <c r="V663" s="67"/>
    </row>
    <row r="664">
      <c r="A664" s="66"/>
      <c r="B664" s="66"/>
      <c r="C664" s="66"/>
      <c r="D664" s="66"/>
      <c r="G664" s="67"/>
      <c r="V664" s="67"/>
    </row>
    <row r="665">
      <c r="A665" s="66"/>
      <c r="B665" s="66"/>
      <c r="C665" s="66"/>
      <c r="D665" s="66"/>
      <c r="G665" s="67"/>
      <c r="V665" s="67"/>
    </row>
    <row r="666">
      <c r="A666" s="66"/>
      <c r="B666" s="66"/>
      <c r="C666" s="66"/>
      <c r="D666" s="66"/>
      <c r="G666" s="67"/>
      <c r="V666" s="67"/>
    </row>
    <row r="667">
      <c r="A667" s="66"/>
      <c r="B667" s="66"/>
      <c r="C667" s="66"/>
      <c r="D667" s="66"/>
      <c r="G667" s="67"/>
      <c r="V667" s="67"/>
    </row>
    <row r="668">
      <c r="A668" s="66"/>
      <c r="B668" s="66"/>
      <c r="C668" s="66"/>
      <c r="D668" s="66"/>
      <c r="G668" s="67"/>
      <c r="V668" s="67"/>
    </row>
    <row r="669">
      <c r="A669" s="66"/>
      <c r="B669" s="66"/>
      <c r="C669" s="66"/>
      <c r="D669" s="66"/>
      <c r="G669" s="67"/>
      <c r="V669" s="67"/>
    </row>
    <row r="670">
      <c r="A670" s="66"/>
      <c r="B670" s="66"/>
      <c r="C670" s="66"/>
      <c r="D670" s="66"/>
      <c r="G670" s="67"/>
      <c r="V670" s="67"/>
    </row>
    <row r="671">
      <c r="A671" s="66"/>
      <c r="B671" s="66"/>
      <c r="C671" s="66"/>
      <c r="D671" s="66"/>
      <c r="G671" s="67"/>
      <c r="V671" s="67"/>
    </row>
    <row r="672">
      <c r="A672" s="66"/>
      <c r="B672" s="66"/>
      <c r="C672" s="66"/>
      <c r="D672" s="66"/>
      <c r="G672" s="67"/>
      <c r="V672" s="67"/>
    </row>
    <row r="673">
      <c r="A673" s="66"/>
      <c r="B673" s="66"/>
      <c r="C673" s="66"/>
      <c r="D673" s="66"/>
      <c r="G673" s="67"/>
      <c r="V673" s="67"/>
    </row>
    <row r="674">
      <c r="A674" s="66"/>
      <c r="B674" s="66"/>
      <c r="C674" s="66"/>
      <c r="D674" s="66"/>
      <c r="G674" s="67"/>
      <c r="V674" s="67"/>
    </row>
    <row r="675">
      <c r="A675" s="66"/>
      <c r="B675" s="66"/>
      <c r="C675" s="66"/>
      <c r="D675" s="66"/>
      <c r="G675" s="67"/>
      <c r="V675" s="67"/>
    </row>
    <row r="676">
      <c r="A676" s="66"/>
      <c r="B676" s="66"/>
      <c r="C676" s="66"/>
      <c r="D676" s="66"/>
      <c r="G676" s="67"/>
      <c r="V676" s="67"/>
    </row>
    <row r="677">
      <c r="A677" s="66"/>
      <c r="B677" s="66"/>
      <c r="C677" s="66"/>
      <c r="D677" s="66"/>
      <c r="G677" s="67"/>
      <c r="V677" s="67"/>
    </row>
    <row r="678">
      <c r="A678" s="66"/>
      <c r="B678" s="66"/>
      <c r="C678" s="66"/>
      <c r="D678" s="66"/>
      <c r="G678" s="67"/>
      <c r="V678" s="67"/>
    </row>
    <row r="679">
      <c r="A679" s="66"/>
      <c r="B679" s="66"/>
      <c r="C679" s="66"/>
      <c r="D679" s="66"/>
      <c r="G679" s="67"/>
      <c r="V679" s="67"/>
    </row>
    <row r="680">
      <c r="A680" s="66"/>
      <c r="B680" s="66"/>
      <c r="C680" s="66"/>
      <c r="D680" s="66"/>
      <c r="G680" s="67"/>
      <c r="V680" s="67"/>
    </row>
    <row r="681">
      <c r="A681" s="66"/>
      <c r="B681" s="66"/>
      <c r="C681" s="66"/>
      <c r="D681" s="66"/>
      <c r="G681" s="67"/>
      <c r="V681" s="67"/>
    </row>
    <row r="682">
      <c r="A682" s="66"/>
      <c r="B682" s="66"/>
      <c r="C682" s="66"/>
      <c r="D682" s="66"/>
      <c r="G682" s="67"/>
      <c r="V682" s="67"/>
    </row>
    <row r="683">
      <c r="A683" s="66"/>
      <c r="B683" s="66"/>
      <c r="C683" s="66"/>
      <c r="D683" s="66"/>
      <c r="G683" s="67"/>
      <c r="V683" s="67"/>
    </row>
    <row r="684">
      <c r="A684" s="66"/>
      <c r="B684" s="66"/>
      <c r="C684" s="66"/>
      <c r="D684" s="66"/>
      <c r="G684" s="67"/>
      <c r="V684" s="67"/>
    </row>
    <row r="685">
      <c r="A685" s="66"/>
      <c r="B685" s="66"/>
      <c r="C685" s="66"/>
      <c r="D685" s="66"/>
      <c r="G685" s="67"/>
      <c r="V685" s="67"/>
    </row>
    <row r="686">
      <c r="A686" s="66"/>
      <c r="B686" s="66"/>
      <c r="C686" s="66"/>
      <c r="D686" s="66"/>
      <c r="G686" s="67"/>
      <c r="V686" s="67"/>
    </row>
    <row r="687">
      <c r="A687" s="66"/>
      <c r="B687" s="66"/>
      <c r="C687" s="66"/>
      <c r="D687" s="66"/>
      <c r="G687" s="67"/>
      <c r="V687" s="67"/>
    </row>
    <row r="688">
      <c r="A688" s="66"/>
      <c r="B688" s="66"/>
      <c r="C688" s="66"/>
      <c r="D688" s="66"/>
      <c r="G688" s="67"/>
      <c r="V688" s="67"/>
    </row>
    <row r="689">
      <c r="A689" s="66"/>
      <c r="B689" s="66"/>
      <c r="C689" s="66"/>
      <c r="D689" s="66"/>
      <c r="G689" s="67"/>
      <c r="V689" s="67"/>
    </row>
    <row r="690">
      <c r="A690" s="66"/>
      <c r="B690" s="66"/>
      <c r="C690" s="66"/>
      <c r="D690" s="66"/>
      <c r="G690" s="67"/>
      <c r="V690" s="67"/>
    </row>
    <row r="691">
      <c r="A691" s="66"/>
      <c r="B691" s="66"/>
      <c r="C691" s="66"/>
      <c r="D691" s="66"/>
      <c r="G691" s="67"/>
      <c r="V691" s="67"/>
    </row>
    <row r="692">
      <c r="A692" s="66"/>
      <c r="B692" s="66"/>
      <c r="C692" s="66"/>
      <c r="D692" s="66"/>
      <c r="G692" s="67"/>
      <c r="V692" s="67"/>
    </row>
    <row r="693">
      <c r="A693" s="66"/>
      <c r="B693" s="66"/>
      <c r="C693" s="66"/>
      <c r="D693" s="66"/>
      <c r="G693" s="67"/>
      <c r="V693" s="67"/>
    </row>
    <row r="694">
      <c r="A694" s="66"/>
      <c r="B694" s="66"/>
      <c r="C694" s="66"/>
      <c r="D694" s="66"/>
      <c r="G694" s="67"/>
      <c r="V694" s="67"/>
    </row>
    <row r="695">
      <c r="A695" s="66"/>
      <c r="B695" s="66"/>
      <c r="C695" s="66"/>
      <c r="D695" s="66"/>
      <c r="G695" s="67"/>
      <c r="V695" s="67"/>
    </row>
    <row r="696">
      <c r="A696" s="66"/>
      <c r="B696" s="66"/>
      <c r="C696" s="66"/>
      <c r="D696" s="66"/>
      <c r="G696" s="67"/>
      <c r="V696" s="67"/>
    </row>
    <row r="697">
      <c r="A697" s="66"/>
      <c r="B697" s="66"/>
      <c r="C697" s="66"/>
      <c r="D697" s="66"/>
      <c r="G697" s="67"/>
      <c r="V697" s="67"/>
    </row>
    <row r="698">
      <c r="A698" s="66"/>
      <c r="B698" s="66"/>
      <c r="C698" s="66"/>
      <c r="D698" s="66"/>
      <c r="G698" s="67"/>
      <c r="V698" s="67"/>
    </row>
    <row r="699">
      <c r="A699" s="66"/>
      <c r="B699" s="66"/>
      <c r="C699" s="66"/>
      <c r="D699" s="66"/>
      <c r="G699" s="67"/>
      <c r="V699" s="67"/>
    </row>
    <row r="700">
      <c r="A700" s="66"/>
      <c r="B700" s="66"/>
      <c r="C700" s="66"/>
      <c r="D700" s="66"/>
      <c r="G700" s="67"/>
      <c r="V700" s="67"/>
    </row>
    <row r="701">
      <c r="A701" s="66"/>
      <c r="B701" s="66"/>
      <c r="C701" s="66"/>
      <c r="D701" s="66"/>
      <c r="G701" s="67"/>
      <c r="V701" s="67"/>
    </row>
    <row r="702">
      <c r="A702" s="66"/>
      <c r="B702" s="66"/>
      <c r="C702" s="66"/>
      <c r="D702" s="66"/>
      <c r="G702" s="67"/>
      <c r="V702" s="67"/>
    </row>
    <row r="703">
      <c r="A703" s="66"/>
      <c r="B703" s="66"/>
      <c r="C703" s="66"/>
      <c r="D703" s="66"/>
      <c r="G703" s="67"/>
      <c r="V703" s="67"/>
    </row>
    <row r="704">
      <c r="A704" s="66"/>
      <c r="B704" s="66"/>
      <c r="C704" s="66"/>
      <c r="D704" s="66"/>
      <c r="G704" s="67"/>
      <c r="V704" s="67"/>
    </row>
    <row r="705">
      <c r="A705" s="66"/>
      <c r="B705" s="66"/>
      <c r="C705" s="66"/>
      <c r="D705" s="66"/>
      <c r="G705" s="67"/>
      <c r="V705" s="67"/>
    </row>
    <row r="706">
      <c r="A706" s="66"/>
      <c r="B706" s="66"/>
      <c r="C706" s="66"/>
      <c r="D706" s="66"/>
      <c r="G706" s="67"/>
      <c r="V706" s="67"/>
    </row>
    <row r="707">
      <c r="A707" s="66"/>
      <c r="B707" s="66"/>
      <c r="C707" s="66"/>
      <c r="D707" s="66"/>
      <c r="G707" s="67"/>
      <c r="V707" s="67"/>
    </row>
    <row r="708">
      <c r="A708" s="66"/>
      <c r="B708" s="66"/>
      <c r="C708" s="66"/>
      <c r="D708" s="66"/>
      <c r="G708" s="67"/>
      <c r="V708" s="67"/>
    </row>
    <row r="709">
      <c r="A709" s="66"/>
      <c r="B709" s="66"/>
      <c r="C709" s="66"/>
      <c r="D709" s="66"/>
      <c r="G709" s="67"/>
      <c r="V709" s="67"/>
    </row>
    <row r="710">
      <c r="A710" s="66"/>
      <c r="B710" s="66"/>
      <c r="C710" s="66"/>
      <c r="D710" s="66"/>
      <c r="G710" s="67"/>
      <c r="V710" s="67"/>
    </row>
    <row r="711">
      <c r="A711" s="66"/>
      <c r="B711" s="66"/>
      <c r="C711" s="66"/>
      <c r="D711" s="66"/>
      <c r="G711" s="67"/>
      <c r="V711" s="67"/>
    </row>
    <row r="712">
      <c r="A712" s="66"/>
      <c r="B712" s="66"/>
      <c r="C712" s="66"/>
      <c r="D712" s="66"/>
      <c r="G712" s="67"/>
      <c r="V712" s="67"/>
    </row>
    <row r="713">
      <c r="A713" s="66"/>
      <c r="B713" s="66"/>
      <c r="C713" s="66"/>
      <c r="D713" s="66"/>
      <c r="G713" s="67"/>
      <c r="V713" s="67"/>
    </row>
    <row r="714">
      <c r="A714" s="66"/>
      <c r="B714" s="66"/>
      <c r="C714" s="66"/>
      <c r="D714" s="66"/>
      <c r="G714" s="67"/>
      <c r="V714" s="67"/>
    </row>
    <row r="715">
      <c r="A715" s="66"/>
      <c r="B715" s="66"/>
      <c r="C715" s="66"/>
      <c r="D715" s="66"/>
      <c r="G715" s="67"/>
      <c r="V715" s="67"/>
    </row>
    <row r="716">
      <c r="A716" s="66"/>
      <c r="B716" s="66"/>
      <c r="C716" s="66"/>
      <c r="D716" s="66"/>
      <c r="G716" s="67"/>
      <c r="V716" s="67"/>
    </row>
    <row r="717">
      <c r="A717" s="66"/>
      <c r="B717" s="66"/>
      <c r="C717" s="66"/>
      <c r="D717" s="66"/>
      <c r="G717" s="67"/>
      <c r="V717" s="67"/>
    </row>
    <row r="718">
      <c r="A718" s="66"/>
      <c r="B718" s="66"/>
      <c r="C718" s="66"/>
      <c r="D718" s="66"/>
      <c r="G718" s="67"/>
      <c r="V718" s="67"/>
    </row>
    <row r="719">
      <c r="A719" s="66"/>
      <c r="B719" s="66"/>
      <c r="C719" s="66"/>
      <c r="D719" s="66"/>
      <c r="G719" s="67"/>
      <c r="V719" s="67"/>
    </row>
    <row r="720">
      <c r="A720" s="66"/>
      <c r="B720" s="66"/>
      <c r="C720" s="66"/>
      <c r="D720" s="66"/>
      <c r="G720" s="67"/>
      <c r="V720" s="67"/>
    </row>
    <row r="721">
      <c r="A721" s="66"/>
      <c r="B721" s="66"/>
      <c r="C721" s="66"/>
      <c r="D721" s="66"/>
      <c r="G721" s="67"/>
      <c r="V721" s="67"/>
    </row>
    <row r="722">
      <c r="A722" s="66"/>
      <c r="B722" s="66"/>
      <c r="C722" s="66"/>
      <c r="D722" s="66"/>
      <c r="G722" s="67"/>
      <c r="V722" s="67"/>
    </row>
    <row r="723">
      <c r="A723" s="66"/>
      <c r="B723" s="66"/>
      <c r="C723" s="66"/>
      <c r="D723" s="66"/>
      <c r="G723" s="67"/>
      <c r="V723" s="67"/>
    </row>
    <row r="724">
      <c r="A724" s="66"/>
      <c r="B724" s="66"/>
      <c r="C724" s="66"/>
      <c r="D724" s="66"/>
      <c r="G724" s="67"/>
      <c r="V724" s="67"/>
    </row>
    <row r="725">
      <c r="A725" s="66"/>
      <c r="B725" s="66"/>
      <c r="C725" s="66"/>
      <c r="D725" s="66"/>
      <c r="G725" s="67"/>
      <c r="V725" s="67"/>
    </row>
    <row r="726">
      <c r="A726" s="66"/>
      <c r="B726" s="66"/>
      <c r="C726" s="66"/>
      <c r="D726" s="66"/>
      <c r="G726" s="67"/>
      <c r="V726" s="67"/>
    </row>
    <row r="727">
      <c r="A727" s="66"/>
      <c r="B727" s="66"/>
      <c r="C727" s="66"/>
      <c r="D727" s="66"/>
      <c r="G727" s="67"/>
      <c r="V727" s="67"/>
    </row>
    <row r="728">
      <c r="A728" s="66"/>
      <c r="B728" s="66"/>
      <c r="C728" s="66"/>
      <c r="D728" s="66"/>
      <c r="G728" s="67"/>
      <c r="V728" s="67"/>
    </row>
    <row r="729">
      <c r="A729" s="66"/>
      <c r="B729" s="66"/>
      <c r="C729" s="66"/>
      <c r="D729" s="66"/>
      <c r="G729" s="67"/>
      <c r="V729" s="67"/>
    </row>
    <row r="730">
      <c r="A730" s="66"/>
      <c r="B730" s="66"/>
      <c r="C730" s="66"/>
      <c r="D730" s="66"/>
      <c r="G730" s="67"/>
      <c r="V730" s="67"/>
    </row>
    <row r="731">
      <c r="A731" s="66"/>
      <c r="B731" s="66"/>
      <c r="C731" s="66"/>
      <c r="D731" s="66"/>
      <c r="G731" s="67"/>
      <c r="V731" s="67"/>
    </row>
    <row r="732">
      <c r="A732" s="66"/>
      <c r="B732" s="66"/>
      <c r="C732" s="66"/>
      <c r="D732" s="66"/>
      <c r="G732" s="67"/>
      <c r="V732" s="67"/>
    </row>
    <row r="733">
      <c r="A733" s="66"/>
      <c r="B733" s="66"/>
      <c r="C733" s="66"/>
      <c r="D733" s="66"/>
      <c r="G733" s="67"/>
      <c r="V733" s="67"/>
    </row>
    <row r="734">
      <c r="A734" s="66"/>
      <c r="B734" s="66"/>
      <c r="C734" s="66"/>
      <c r="D734" s="66"/>
      <c r="G734" s="67"/>
      <c r="V734" s="67"/>
    </row>
    <row r="735">
      <c r="A735" s="66"/>
      <c r="B735" s="66"/>
      <c r="C735" s="66"/>
      <c r="D735" s="66"/>
      <c r="G735" s="67"/>
      <c r="V735" s="67"/>
    </row>
    <row r="736">
      <c r="A736" s="66"/>
      <c r="B736" s="66"/>
      <c r="C736" s="66"/>
      <c r="D736" s="66"/>
      <c r="G736" s="67"/>
      <c r="V736" s="67"/>
    </row>
    <row r="737">
      <c r="A737" s="66"/>
      <c r="B737" s="66"/>
      <c r="C737" s="66"/>
      <c r="D737" s="66"/>
      <c r="G737" s="67"/>
      <c r="V737" s="67"/>
    </row>
    <row r="738">
      <c r="A738" s="66"/>
      <c r="B738" s="66"/>
      <c r="C738" s="66"/>
      <c r="D738" s="66"/>
      <c r="G738" s="67"/>
      <c r="V738" s="67"/>
    </row>
    <row r="739">
      <c r="A739" s="66"/>
      <c r="B739" s="66"/>
      <c r="C739" s="66"/>
      <c r="D739" s="66"/>
      <c r="G739" s="67"/>
      <c r="V739" s="67"/>
    </row>
    <row r="740">
      <c r="A740" s="66"/>
      <c r="B740" s="66"/>
      <c r="C740" s="66"/>
      <c r="D740" s="66"/>
      <c r="G740" s="67"/>
      <c r="V740" s="67"/>
    </row>
    <row r="741">
      <c r="A741" s="66"/>
      <c r="B741" s="66"/>
      <c r="C741" s="66"/>
      <c r="D741" s="66"/>
      <c r="G741" s="67"/>
      <c r="V741" s="67"/>
    </row>
    <row r="742">
      <c r="A742" s="66"/>
      <c r="B742" s="66"/>
      <c r="C742" s="66"/>
      <c r="D742" s="66"/>
      <c r="G742" s="67"/>
      <c r="V742" s="67"/>
    </row>
    <row r="743">
      <c r="A743" s="66"/>
      <c r="B743" s="66"/>
      <c r="C743" s="66"/>
      <c r="D743" s="66"/>
      <c r="G743" s="67"/>
      <c r="V743" s="67"/>
    </row>
    <row r="744">
      <c r="A744" s="66"/>
      <c r="B744" s="66"/>
      <c r="C744" s="66"/>
      <c r="D744" s="66"/>
      <c r="G744" s="67"/>
      <c r="V744" s="67"/>
    </row>
    <row r="745">
      <c r="A745" s="66"/>
      <c r="B745" s="66"/>
      <c r="C745" s="66"/>
      <c r="D745" s="66"/>
      <c r="G745" s="67"/>
      <c r="V745" s="67"/>
    </row>
    <row r="746">
      <c r="A746" s="66"/>
      <c r="B746" s="66"/>
      <c r="C746" s="66"/>
      <c r="D746" s="66"/>
      <c r="G746" s="67"/>
      <c r="V746" s="67"/>
    </row>
    <row r="747">
      <c r="A747" s="66"/>
      <c r="B747" s="66"/>
      <c r="C747" s="66"/>
      <c r="D747" s="66"/>
      <c r="G747" s="67"/>
      <c r="V747" s="67"/>
    </row>
    <row r="748">
      <c r="A748" s="66"/>
      <c r="B748" s="66"/>
      <c r="C748" s="66"/>
      <c r="D748" s="66"/>
      <c r="G748" s="67"/>
      <c r="V748" s="67"/>
    </row>
    <row r="749">
      <c r="A749" s="66"/>
      <c r="B749" s="66"/>
      <c r="C749" s="66"/>
      <c r="D749" s="66"/>
      <c r="G749" s="67"/>
      <c r="V749" s="67"/>
    </row>
    <row r="750">
      <c r="A750" s="66"/>
      <c r="B750" s="66"/>
      <c r="C750" s="66"/>
      <c r="D750" s="66"/>
      <c r="G750" s="67"/>
      <c r="V750" s="67"/>
    </row>
    <row r="751">
      <c r="A751" s="66"/>
      <c r="B751" s="66"/>
      <c r="C751" s="66"/>
      <c r="D751" s="66"/>
      <c r="G751" s="67"/>
      <c r="V751" s="67"/>
    </row>
    <row r="752">
      <c r="A752" s="66"/>
      <c r="B752" s="66"/>
      <c r="C752" s="66"/>
      <c r="D752" s="66"/>
      <c r="G752" s="67"/>
      <c r="V752" s="67"/>
    </row>
    <row r="753">
      <c r="A753" s="66"/>
      <c r="B753" s="66"/>
      <c r="C753" s="66"/>
      <c r="D753" s="66"/>
      <c r="G753" s="67"/>
      <c r="V753" s="67"/>
    </row>
    <row r="754">
      <c r="A754" s="66"/>
      <c r="B754" s="66"/>
      <c r="C754" s="66"/>
      <c r="D754" s="66"/>
      <c r="G754" s="67"/>
      <c r="V754" s="67"/>
    </row>
    <row r="755">
      <c r="A755" s="66"/>
      <c r="B755" s="66"/>
      <c r="C755" s="66"/>
      <c r="D755" s="66"/>
      <c r="G755" s="67"/>
      <c r="V755" s="67"/>
    </row>
    <row r="756">
      <c r="A756" s="66"/>
      <c r="B756" s="66"/>
      <c r="C756" s="66"/>
      <c r="D756" s="66"/>
      <c r="G756" s="67"/>
      <c r="V756" s="67"/>
    </row>
    <row r="757">
      <c r="A757" s="66"/>
      <c r="B757" s="66"/>
      <c r="C757" s="66"/>
      <c r="D757" s="66"/>
      <c r="G757" s="67"/>
      <c r="V757" s="67"/>
    </row>
    <row r="758">
      <c r="A758" s="66"/>
      <c r="B758" s="66"/>
      <c r="C758" s="66"/>
      <c r="D758" s="66"/>
      <c r="G758" s="67"/>
      <c r="V758" s="67"/>
    </row>
    <row r="759">
      <c r="A759" s="66"/>
      <c r="B759" s="66"/>
      <c r="C759" s="66"/>
      <c r="D759" s="66"/>
      <c r="G759" s="67"/>
      <c r="V759" s="67"/>
    </row>
    <row r="760">
      <c r="A760" s="66"/>
      <c r="B760" s="66"/>
      <c r="C760" s="66"/>
      <c r="D760" s="66"/>
      <c r="G760" s="67"/>
      <c r="V760" s="67"/>
    </row>
    <row r="761">
      <c r="A761" s="66"/>
      <c r="B761" s="66"/>
      <c r="C761" s="66"/>
      <c r="D761" s="66"/>
      <c r="G761" s="67"/>
      <c r="V761" s="67"/>
    </row>
    <row r="762">
      <c r="A762" s="66"/>
      <c r="B762" s="66"/>
      <c r="C762" s="66"/>
      <c r="D762" s="66"/>
      <c r="G762" s="67"/>
      <c r="V762" s="67"/>
    </row>
    <row r="763">
      <c r="A763" s="66"/>
      <c r="B763" s="66"/>
      <c r="C763" s="66"/>
      <c r="D763" s="66"/>
      <c r="G763" s="67"/>
      <c r="V763" s="67"/>
    </row>
    <row r="764">
      <c r="A764" s="66"/>
      <c r="B764" s="66"/>
      <c r="C764" s="66"/>
      <c r="D764" s="66"/>
      <c r="G764" s="67"/>
      <c r="V764" s="67"/>
    </row>
    <row r="765">
      <c r="A765" s="66"/>
      <c r="B765" s="66"/>
      <c r="C765" s="66"/>
      <c r="D765" s="66"/>
      <c r="G765" s="67"/>
      <c r="V765" s="67"/>
    </row>
    <row r="766">
      <c r="A766" s="66"/>
      <c r="B766" s="66"/>
      <c r="C766" s="66"/>
      <c r="D766" s="66"/>
      <c r="G766" s="67"/>
      <c r="V766" s="67"/>
    </row>
    <row r="767">
      <c r="A767" s="66"/>
      <c r="B767" s="66"/>
      <c r="C767" s="66"/>
      <c r="D767" s="66"/>
      <c r="G767" s="67"/>
      <c r="V767" s="67"/>
    </row>
    <row r="768">
      <c r="A768" s="66"/>
      <c r="B768" s="66"/>
      <c r="C768" s="66"/>
      <c r="D768" s="66"/>
      <c r="G768" s="67"/>
      <c r="V768" s="67"/>
    </row>
    <row r="769">
      <c r="A769" s="66"/>
      <c r="B769" s="66"/>
      <c r="C769" s="66"/>
      <c r="D769" s="66"/>
      <c r="G769" s="67"/>
      <c r="V769" s="67"/>
    </row>
    <row r="770">
      <c r="A770" s="66"/>
      <c r="B770" s="66"/>
      <c r="C770" s="66"/>
      <c r="D770" s="66"/>
      <c r="G770" s="67"/>
      <c r="V770" s="67"/>
    </row>
    <row r="771">
      <c r="A771" s="66"/>
      <c r="B771" s="66"/>
      <c r="C771" s="66"/>
      <c r="D771" s="66"/>
      <c r="G771" s="67"/>
      <c r="V771" s="67"/>
    </row>
    <row r="772">
      <c r="A772" s="66"/>
      <c r="B772" s="66"/>
      <c r="C772" s="66"/>
      <c r="D772" s="66"/>
      <c r="G772" s="67"/>
      <c r="V772" s="67"/>
    </row>
    <row r="773">
      <c r="A773" s="66"/>
      <c r="B773" s="66"/>
      <c r="C773" s="66"/>
      <c r="D773" s="66"/>
      <c r="G773" s="67"/>
      <c r="V773" s="67"/>
    </row>
    <row r="774">
      <c r="A774" s="66"/>
      <c r="B774" s="66"/>
      <c r="C774" s="66"/>
      <c r="D774" s="66"/>
      <c r="G774" s="67"/>
      <c r="V774" s="67"/>
    </row>
    <row r="775">
      <c r="A775" s="66"/>
      <c r="B775" s="66"/>
      <c r="C775" s="66"/>
      <c r="D775" s="66"/>
      <c r="G775" s="67"/>
      <c r="V775" s="67"/>
    </row>
    <row r="776">
      <c r="A776" s="66"/>
      <c r="B776" s="66"/>
      <c r="C776" s="66"/>
      <c r="D776" s="66"/>
      <c r="G776" s="67"/>
      <c r="V776" s="67"/>
    </row>
    <row r="777">
      <c r="A777" s="66"/>
      <c r="B777" s="66"/>
      <c r="C777" s="66"/>
      <c r="D777" s="66"/>
      <c r="G777" s="67"/>
      <c r="V777" s="67"/>
    </row>
    <row r="778">
      <c r="A778" s="66"/>
      <c r="B778" s="66"/>
      <c r="C778" s="66"/>
      <c r="D778" s="66"/>
      <c r="G778" s="67"/>
      <c r="V778" s="67"/>
    </row>
    <row r="779">
      <c r="A779" s="66"/>
      <c r="B779" s="66"/>
      <c r="C779" s="66"/>
      <c r="D779" s="66"/>
      <c r="G779" s="67"/>
      <c r="V779" s="67"/>
    </row>
    <row r="780">
      <c r="A780" s="66"/>
      <c r="B780" s="66"/>
      <c r="C780" s="66"/>
      <c r="D780" s="66"/>
      <c r="G780" s="67"/>
      <c r="V780" s="67"/>
    </row>
    <row r="781">
      <c r="A781" s="66"/>
      <c r="B781" s="66"/>
      <c r="C781" s="66"/>
      <c r="D781" s="66"/>
      <c r="G781" s="67"/>
      <c r="V781" s="67"/>
    </row>
    <row r="782">
      <c r="A782" s="66"/>
      <c r="B782" s="66"/>
      <c r="C782" s="66"/>
      <c r="D782" s="66"/>
      <c r="G782" s="67"/>
      <c r="V782" s="67"/>
    </row>
    <row r="783">
      <c r="A783" s="66"/>
      <c r="B783" s="66"/>
      <c r="C783" s="66"/>
      <c r="D783" s="66"/>
      <c r="G783" s="67"/>
      <c r="V783" s="67"/>
    </row>
    <row r="784">
      <c r="A784" s="66"/>
      <c r="B784" s="66"/>
      <c r="C784" s="66"/>
      <c r="D784" s="66"/>
      <c r="G784" s="67"/>
      <c r="V784" s="67"/>
    </row>
    <row r="785">
      <c r="A785" s="66"/>
      <c r="B785" s="66"/>
      <c r="C785" s="66"/>
      <c r="D785" s="66"/>
      <c r="G785" s="67"/>
      <c r="V785" s="67"/>
    </row>
    <row r="786">
      <c r="A786" s="66"/>
      <c r="B786" s="66"/>
      <c r="C786" s="66"/>
      <c r="D786" s="66"/>
      <c r="G786" s="67"/>
      <c r="V786" s="67"/>
    </row>
    <row r="787">
      <c r="A787" s="66"/>
      <c r="B787" s="66"/>
      <c r="C787" s="66"/>
      <c r="D787" s="66"/>
      <c r="G787" s="67"/>
      <c r="V787" s="67"/>
    </row>
    <row r="788">
      <c r="A788" s="66"/>
      <c r="B788" s="66"/>
      <c r="C788" s="66"/>
      <c r="D788" s="66"/>
      <c r="G788" s="67"/>
      <c r="V788" s="67"/>
    </row>
    <row r="789">
      <c r="A789" s="66"/>
      <c r="B789" s="66"/>
      <c r="C789" s="66"/>
      <c r="D789" s="66"/>
      <c r="G789" s="67"/>
      <c r="V789" s="67"/>
    </row>
    <row r="790">
      <c r="A790" s="66"/>
      <c r="B790" s="66"/>
      <c r="C790" s="66"/>
      <c r="D790" s="66"/>
      <c r="G790" s="67"/>
      <c r="V790" s="67"/>
    </row>
    <row r="791">
      <c r="A791" s="66"/>
      <c r="B791" s="66"/>
      <c r="C791" s="66"/>
      <c r="D791" s="66"/>
      <c r="G791" s="67"/>
      <c r="V791" s="67"/>
    </row>
    <row r="792">
      <c r="A792" s="66"/>
      <c r="B792" s="66"/>
      <c r="C792" s="66"/>
      <c r="D792" s="66"/>
      <c r="G792" s="67"/>
      <c r="V792" s="67"/>
    </row>
    <row r="793">
      <c r="A793" s="66"/>
      <c r="B793" s="66"/>
      <c r="C793" s="66"/>
      <c r="D793" s="66"/>
      <c r="G793" s="67"/>
      <c r="V793" s="67"/>
    </row>
    <row r="794">
      <c r="A794" s="66"/>
      <c r="B794" s="66"/>
      <c r="C794" s="66"/>
      <c r="D794" s="66"/>
      <c r="G794" s="67"/>
      <c r="V794" s="67"/>
    </row>
    <row r="795">
      <c r="A795" s="66"/>
      <c r="B795" s="66"/>
      <c r="C795" s="66"/>
      <c r="D795" s="66"/>
      <c r="G795" s="67"/>
      <c r="V795" s="67"/>
    </row>
    <row r="796">
      <c r="A796" s="66"/>
      <c r="B796" s="66"/>
      <c r="C796" s="66"/>
      <c r="D796" s="66"/>
      <c r="G796" s="67"/>
      <c r="V796" s="67"/>
    </row>
    <row r="797">
      <c r="A797" s="66"/>
      <c r="B797" s="66"/>
      <c r="C797" s="66"/>
      <c r="D797" s="66"/>
      <c r="G797" s="67"/>
      <c r="V797" s="67"/>
    </row>
    <row r="798">
      <c r="A798" s="66"/>
      <c r="B798" s="66"/>
      <c r="C798" s="66"/>
      <c r="D798" s="66"/>
      <c r="G798" s="67"/>
      <c r="V798" s="67"/>
    </row>
    <row r="799">
      <c r="A799" s="66"/>
      <c r="B799" s="66"/>
      <c r="C799" s="66"/>
      <c r="D799" s="66"/>
      <c r="G799" s="67"/>
      <c r="V799" s="67"/>
    </row>
    <row r="800">
      <c r="A800" s="66"/>
      <c r="B800" s="66"/>
      <c r="C800" s="66"/>
      <c r="D800" s="66"/>
      <c r="G800" s="67"/>
      <c r="V800" s="67"/>
    </row>
    <row r="801">
      <c r="A801" s="66"/>
      <c r="B801" s="66"/>
      <c r="C801" s="66"/>
      <c r="D801" s="66"/>
      <c r="G801" s="67"/>
      <c r="V801" s="67"/>
    </row>
    <row r="802">
      <c r="A802" s="66"/>
      <c r="B802" s="66"/>
      <c r="C802" s="66"/>
      <c r="D802" s="66"/>
      <c r="G802" s="67"/>
      <c r="V802" s="67"/>
    </row>
    <row r="803">
      <c r="A803" s="66"/>
      <c r="B803" s="66"/>
      <c r="C803" s="66"/>
      <c r="D803" s="66"/>
      <c r="G803" s="67"/>
      <c r="V803" s="67"/>
    </row>
    <row r="804">
      <c r="A804" s="66"/>
      <c r="B804" s="66"/>
      <c r="C804" s="66"/>
      <c r="D804" s="66"/>
      <c r="G804" s="67"/>
      <c r="V804" s="67"/>
    </row>
    <row r="805">
      <c r="A805" s="66"/>
      <c r="B805" s="66"/>
      <c r="C805" s="66"/>
      <c r="D805" s="66"/>
      <c r="G805" s="67"/>
      <c r="V805" s="67"/>
    </row>
    <row r="806">
      <c r="A806" s="66"/>
      <c r="B806" s="66"/>
      <c r="C806" s="66"/>
      <c r="D806" s="66"/>
      <c r="G806" s="67"/>
      <c r="V806" s="67"/>
    </row>
    <row r="807">
      <c r="A807" s="66"/>
      <c r="B807" s="66"/>
      <c r="C807" s="66"/>
      <c r="D807" s="66"/>
      <c r="G807" s="67"/>
      <c r="V807" s="67"/>
    </row>
    <row r="808">
      <c r="A808" s="66"/>
      <c r="B808" s="66"/>
      <c r="C808" s="66"/>
      <c r="D808" s="66"/>
      <c r="G808" s="67"/>
      <c r="V808" s="67"/>
    </row>
    <row r="809">
      <c r="A809" s="66"/>
      <c r="B809" s="66"/>
      <c r="C809" s="66"/>
      <c r="D809" s="66"/>
      <c r="G809" s="67"/>
      <c r="V809" s="67"/>
    </row>
    <row r="810">
      <c r="A810" s="66"/>
      <c r="B810" s="66"/>
      <c r="C810" s="66"/>
      <c r="D810" s="66"/>
      <c r="G810" s="67"/>
      <c r="V810" s="67"/>
    </row>
    <row r="811">
      <c r="A811" s="66"/>
      <c r="B811" s="66"/>
      <c r="C811" s="66"/>
      <c r="D811" s="66"/>
      <c r="G811" s="67"/>
      <c r="V811" s="67"/>
    </row>
    <row r="812">
      <c r="A812" s="66"/>
      <c r="B812" s="66"/>
      <c r="C812" s="66"/>
      <c r="D812" s="66"/>
      <c r="G812" s="67"/>
      <c r="V812" s="67"/>
    </row>
    <row r="813">
      <c r="A813" s="66"/>
      <c r="B813" s="66"/>
      <c r="C813" s="66"/>
      <c r="D813" s="66"/>
      <c r="G813" s="67"/>
      <c r="V813" s="67"/>
    </row>
    <row r="814">
      <c r="A814" s="66"/>
      <c r="B814" s="66"/>
      <c r="C814" s="66"/>
      <c r="D814" s="66"/>
      <c r="G814" s="67"/>
      <c r="V814" s="67"/>
    </row>
    <row r="815">
      <c r="A815" s="66"/>
      <c r="B815" s="66"/>
      <c r="C815" s="66"/>
      <c r="D815" s="66"/>
      <c r="G815" s="67"/>
      <c r="V815" s="67"/>
    </row>
    <row r="816">
      <c r="A816" s="66"/>
      <c r="B816" s="66"/>
      <c r="C816" s="66"/>
      <c r="D816" s="66"/>
      <c r="G816" s="67"/>
      <c r="V816" s="67"/>
    </row>
    <row r="817">
      <c r="A817" s="66"/>
      <c r="B817" s="66"/>
      <c r="C817" s="66"/>
      <c r="D817" s="66"/>
      <c r="G817" s="67"/>
      <c r="V817" s="67"/>
    </row>
    <row r="818">
      <c r="A818" s="66"/>
      <c r="B818" s="66"/>
      <c r="C818" s="66"/>
      <c r="D818" s="66"/>
      <c r="G818" s="67"/>
      <c r="V818" s="67"/>
    </row>
    <row r="819">
      <c r="A819" s="66"/>
      <c r="B819" s="66"/>
      <c r="C819" s="66"/>
      <c r="D819" s="66"/>
      <c r="G819" s="67"/>
      <c r="V819" s="67"/>
    </row>
    <row r="820">
      <c r="A820" s="66"/>
      <c r="B820" s="66"/>
      <c r="C820" s="66"/>
      <c r="D820" s="66"/>
      <c r="G820" s="67"/>
      <c r="V820" s="67"/>
    </row>
    <row r="821">
      <c r="A821" s="66"/>
      <c r="B821" s="66"/>
      <c r="C821" s="66"/>
      <c r="D821" s="66"/>
      <c r="G821" s="67"/>
      <c r="V821" s="67"/>
    </row>
    <row r="822">
      <c r="A822" s="66"/>
      <c r="B822" s="66"/>
      <c r="C822" s="66"/>
      <c r="D822" s="66"/>
      <c r="G822" s="67"/>
      <c r="V822" s="67"/>
    </row>
    <row r="823">
      <c r="A823" s="66"/>
      <c r="B823" s="66"/>
      <c r="C823" s="66"/>
      <c r="D823" s="66"/>
      <c r="G823" s="67"/>
      <c r="V823" s="67"/>
    </row>
    <row r="824">
      <c r="A824" s="66"/>
      <c r="B824" s="66"/>
      <c r="C824" s="66"/>
      <c r="D824" s="66"/>
      <c r="G824" s="67"/>
      <c r="V824" s="67"/>
    </row>
    <row r="825">
      <c r="A825" s="66"/>
      <c r="B825" s="66"/>
      <c r="C825" s="66"/>
      <c r="D825" s="66"/>
      <c r="G825" s="67"/>
      <c r="V825" s="67"/>
    </row>
    <row r="826">
      <c r="A826" s="66"/>
      <c r="B826" s="66"/>
      <c r="C826" s="66"/>
      <c r="D826" s="66"/>
      <c r="G826" s="67"/>
      <c r="V826" s="67"/>
    </row>
    <row r="827">
      <c r="A827" s="66"/>
      <c r="B827" s="66"/>
      <c r="C827" s="66"/>
      <c r="D827" s="66"/>
      <c r="G827" s="67"/>
      <c r="V827" s="67"/>
    </row>
    <row r="828">
      <c r="A828" s="66"/>
      <c r="B828" s="66"/>
      <c r="C828" s="66"/>
      <c r="D828" s="66"/>
      <c r="G828" s="67"/>
      <c r="V828" s="67"/>
    </row>
    <row r="829">
      <c r="A829" s="66"/>
      <c r="B829" s="66"/>
      <c r="C829" s="66"/>
      <c r="D829" s="66"/>
      <c r="G829" s="67"/>
      <c r="V829" s="67"/>
    </row>
    <row r="830">
      <c r="A830" s="66"/>
      <c r="B830" s="66"/>
      <c r="C830" s="66"/>
      <c r="D830" s="66"/>
      <c r="G830" s="67"/>
      <c r="V830" s="67"/>
    </row>
    <row r="831">
      <c r="A831" s="66"/>
      <c r="B831" s="66"/>
      <c r="C831" s="66"/>
      <c r="D831" s="66"/>
      <c r="G831" s="67"/>
      <c r="V831" s="67"/>
    </row>
    <row r="832">
      <c r="A832" s="66"/>
      <c r="B832" s="66"/>
      <c r="C832" s="66"/>
      <c r="D832" s="66"/>
      <c r="G832" s="67"/>
      <c r="V832" s="67"/>
    </row>
    <row r="833">
      <c r="A833" s="66"/>
      <c r="B833" s="66"/>
      <c r="C833" s="66"/>
      <c r="D833" s="66"/>
      <c r="G833" s="67"/>
      <c r="V833" s="67"/>
    </row>
    <row r="834">
      <c r="A834" s="66"/>
      <c r="B834" s="66"/>
      <c r="C834" s="66"/>
      <c r="D834" s="66"/>
      <c r="G834" s="67"/>
      <c r="V834" s="67"/>
    </row>
    <row r="835">
      <c r="A835" s="66"/>
      <c r="B835" s="66"/>
      <c r="C835" s="66"/>
      <c r="D835" s="66"/>
      <c r="G835" s="67"/>
      <c r="V835" s="67"/>
    </row>
    <row r="836">
      <c r="A836" s="66"/>
      <c r="B836" s="66"/>
      <c r="C836" s="66"/>
      <c r="D836" s="66"/>
      <c r="G836" s="67"/>
      <c r="V836" s="67"/>
    </row>
    <row r="837">
      <c r="A837" s="66"/>
      <c r="B837" s="66"/>
      <c r="C837" s="66"/>
      <c r="D837" s="66"/>
      <c r="G837" s="67"/>
      <c r="V837" s="67"/>
    </row>
    <row r="838">
      <c r="A838" s="66"/>
      <c r="B838" s="66"/>
      <c r="C838" s="66"/>
      <c r="D838" s="66"/>
      <c r="G838" s="67"/>
      <c r="V838" s="67"/>
    </row>
    <row r="839">
      <c r="A839" s="66"/>
      <c r="B839" s="66"/>
      <c r="C839" s="66"/>
      <c r="D839" s="66"/>
      <c r="G839" s="67"/>
      <c r="V839" s="67"/>
    </row>
    <row r="840">
      <c r="A840" s="66"/>
      <c r="B840" s="66"/>
      <c r="C840" s="66"/>
      <c r="D840" s="66"/>
      <c r="G840" s="67"/>
      <c r="V840" s="67"/>
    </row>
    <row r="841">
      <c r="A841" s="66"/>
      <c r="B841" s="66"/>
      <c r="C841" s="66"/>
      <c r="D841" s="66"/>
      <c r="G841" s="67"/>
      <c r="V841" s="67"/>
    </row>
    <row r="842">
      <c r="A842" s="66"/>
      <c r="B842" s="66"/>
      <c r="C842" s="66"/>
      <c r="D842" s="66"/>
      <c r="G842" s="67"/>
      <c r="V842" s="67"/>
    </row>
    <row r="843">
      <c r="A843" s="66"/>
      <c r="B843" s="66"/>
      <c r="C843" s="66"/>
      <c r="D843" s="66"/>
      <c r="G843" s="67"/>
      <c r="V843" s="67"/>
    </row>
    <row r="844">
      <c r="A844" s="66"/>
      <c r="B844" s="66"/>
      <c r="C844" s="66"/>
      <c r="D844" s="66"/>
      <c r="G844" s="67"/>
      <c r="V844" s="67"/>
    </row>
    <row r="845">
      <c r="A845" s="66"/>
      <c r="B845" s="66"/>
      <c r="C845" s="66"/>
      <c r="D845" s="66"/>
      <c r="G845" s="67"/>
      <c r="V845" s="67"/>
    </row>
    <row r="846">
      <c r="A846" s="66"/>
      <c r="B846" s="66"/>
      <c r="C846" s="66"/>
      <c r="D846" s="66"/>
      <c r="G846" s="67"/>
      <c r="V846" s="67"/>
    </row>
    <row r="847">
      <c r="A847" s="66"/>
      <c r="B847" s="66"/>
      <c r="C847" s="66"/>
      <c r="D847" s="66"/>
      <c r="G847" s="67"/>
      <c r="V847" s="67"/>
    </row>
    <row r="848">
      <c r="A848" s="66"/>
      <c r="B848" s="66"/>
      <c r="C848" s="66"/>
      <c r="D848" s="66"/>
      <c r="G848" s="67"/>
      <c r="V848" s="67"/>
    </row>
    <row r="849">
      <c r="A849" s="66"/>
      <c r="B849" s="66"/>
      <c r="C849" s="66"/>
      <c r="D849" s="66"/>
      <c r="G849" s="67"/>
      <c r="V849" s="67"/>
    </row>
    <row r="850">
      <c r="A850" s="66"/>
      <c r="B850" s="66"/>
      <c r="C850" s="66"/>
      <c r="D850" s="66"/>
      <c r="G850" s="67"/>
      <c r="V850" s="67"/>
    </row>
    <row r="851">
      <c r="A851" s="66"/>
      <c r="B851" s="66"/>
      <c r="C851" s="66"/>
      <c r="D851" s="66"/>
      <c r="G851" s="67"/>
      <c r="V851" s="67"/>
    </row>
    <row r="852">
      <c r="A852" s="66"/>
      <c r="B852" s="66"/>
      <c r="C852" s="66"/>
      <c r="D852" s="66"/>
      <c r="G852" s="67"/>
      <c r="V852" s="67"/>
    </row>
    <row r="853">
      <c r="A853" s="66"/>
      <c r="B853" s="66"/>
      <c r="C853" s="66"/>
      <c r="D853" s="66"/>
      <c r="G853" s="67"/>
      <c r="V853" s="67"/>
    </row>
    <row r="854">
      <c r="A854" s="66"/>
      <c r="B854" s="66"/>
      <c r="C854" s="66"/>
      <c r="D854" s="66"/>
      <c r="G854" s="67"/>
      <c r="V854" s="67"/>
    </row>
    <row r="855">
      <c r="A855" s="66"/>
      <c r="B855" s="66"/>
      <c r="C855" s="66"/>
      <c r="D855" s="66"/>
      <c r="G855" s="67"/>
      <c r="V855" s="67"/>
    </row>
    <row r="856">
      <c r="A856" s="66"/>
      <c r="B856" s="66"/>
      <c r="C856" s="66"/>
      <c r="D856" s="66"/>
      <c r="G856" s="67"/>
      <c r="V856" s="67"/>
    </row>
    <row r="857">
      <c r="A857" s="66"/>
      <c r="B857" s="66"/>
      <c r="C857" s="66"/>
      <c r="D857" s="66"/>
      <c r="G857" s="67"/>
      <c r="V857" s="67"/>
    </row>
    <row r="858">
      <c r="A858" s="66"/>
      <c r="B858" s="66"/>
      <c r="C858" s="66"/>
      <c r="D858" s="66"/>
      <c r="G858" s="67"/>
      <c r="V858" s="67"/>
    </row>
    <row r="859">
      <c r="A859" s="66"/>
      <c r="B859" s="66"/>
      <c r="C859" s="66"/>
      <c r="D859" s="66"/>
      <c r="G859" s="67"/>
      <c r="V859" s="67"/>
    </row>
    <row r="860">
      <c r="A860" s="66"/>
      <c r="B860" s="66"/>
      <c r="C860" s="66"/>
      <c r="D860" s="66"/>
      <c r="G860" s="67"/>
      <c r="V860" s="67"/>
    </row>
    <row r="861">
      <c r="A861" s="66"/>
      <c r="B861" s="66"/>
      <c r="C861" s="66"/>
      <c r="D861" s="66"/>
      <c r="G861" s="67"/>
      <c r="V861" s="67"/>
    </row>
    <row r="862">
      <c r="A862" s="66"/>
      <c r="B862" s="66"/>
      <c r="C862" s="66"/>
      <c r="D862" s="66"/>
      <c r="G862" s="67"/>
      <c r="V862" s="67"/>
    </row>
    <row r="863">
      <c r="A863" s="66"/>
      <c r="B863" s="66"/>
      <c r="C863" s="66"/>
      <c r="D863" s="66"/>
      <c r="G863" s="67"/>
      <c r="V863" s="67"/>
    </row>
    <row r="864">
      <c r="A864" s="66"/>
      <c r="B864" s="66"/>
      <c r="C864" s="66"/>
      <c r="D864" s="66"/>
      <c r="G864" s="67"/>
      <c r="V864" s="67"/>
    </row>
    <row r="865">
      <c r="A865" s="66"/>
      <c r="B865" s="66"/>
      <c r="C865" s="66"/>
      <c r="D865" s="66"/>
      <c r="G865" s="67"/>
      <c r="V865" s="67"/>
    </row>
    <row r="866">
      <c r="A866" s="66"/>
      <c r="B866" s="66"/>
      <c r="C866" s="66"/>
      <c r="D866" s="66"/>
      <c r="G866" s="67"/>
      <c r="V866" s="67"/>
    </row>
    <row r="867">
      <c r="A867" s="66"/>
      <c r="B867" s="66"/>
      <c r="C867" s="66"/>
      <c r="D867" s="66"/>
      <c r="G867" s="67"/>
      <c r="V867" s="67"/>
    </row>
    <row r="868">
      <c r="A868" s="66"/>
      <c r="B868" s="66"/>
      <c r="C868" s="66"/>
      <c r="D868" s="66"/>
      <c r="G868" s="67"/>
      <c r="V868" s="67"/>
    </row>
    <row r="869">
      <c r="A869" s="66"/>
      <c r="B869" s="66"/>
      <c r="C869" s="66"/>
      <c r="D869" s="66"/>
      <c r="G869" s="67"/>
      <c r="V869" s="67"/>
    </row>
    <row r="870">
      <c r="A870" s="66"/>
      <c r="B870" s="66"/>
      <c r="C870" s="66"/>
      <c r="D870" s="66"/>
      <c r="G870" s="67"/>
      <c r="V870" s="67"/>
    </row>
    <row r="871">
      <c r="A871" s="66"/>
      <c r="B871" s="66"/>
      <c r="C871" s="66"/>
      <c r="D871" s="66"/>
      <c r="G871" s="67"/>
      <c r="V871" s="67"/>
    </row>
    <row r="872">
      <c r="A872" s="66"/>
      <c r="B872" s="66"/>
      <c r="C872" s="66"/>
      <c r="D872" s="66"/>
      <c r="G872" s="67"/>
      <c r="V872" s="67"/>
    </row>
    <row r="873">
      <c r="A873" s="66"/>
      <c r="B873" s="66"/>
      <c r="C873" s="66"/>
      <c r="D873" s="66"/>
      <c r="G873" s="67"/>
      <c r="V873" s="67"/>
    </row>
    <row r="874">
      <c r="A874" s="66"/>
      <c r="B874" s="66"/>
      <c r="C874" s="66"/>
      <c r="D874" s="66"/>
      <c r="G874" s="67"/>
      <c r="V874" s="67"/>
    </row>
    <row r="875">
      <c r="A875" s="66"/>
      <c r="B875" s="66"/>
      <c r="C875" s="66"/>
      <c r="D875" s="66"/>
      <c r="G875" s="67"/>
      <c r="V875" s="67"/>
    </row>
    <row r="876">
      <c r="A876" s="66"/>
      <c r="B876" s="66"/>
      <c r="C876" s="66"/>
      <c r="D876" s="66"/>
      <c r="G876" s="67"/>
      <c r="V876" s="67"/>
    </row>
    <row r="877">
      <c r="A877" s="66"/>
      <c r="B877" s="66"/>
      <c r="C877" s="66"/>
      <c r="D877" s="66"/>
      <c r="G877" s="67"/>
      <c r="V877" s="67"/>
    </row>
    <row r="878">
      <c r="A878" s="66"/>
      <c r="B878" s="66"/>
      <c r="C878" s="66"/>
      <c r="D878" s="66"/>
      <c r="G878" s="67"/>
      <c r="V878" s="67"/>
    </row>
    <row r="879">
      <c r="A879" s="66"/>
      <c r="B879" s="66"/>
      <c r="C879" s="66"/>
      <c r="D879" s="66"/>
      <c r="G879" s="67"/>
      <c r="V879" s="67"/>
    </row>
    <row r="880">
      <c r="A880" s="66"/>
      <c r="B880" s="66"/>
      <c r="C880" s="66"/>
      <c r="D880" s="66"/>
      <c r="G880" s="67"/>
      <c r="V880" s="67"/>
    </row>
    <row r="881">
      <c r="A881" s="66"/>
      <c r="B881" s="66"/>
      <c r="C881" s="66"/>
      <c r="D881" s="66"/>
      <c r="G881" s="67"/>
      <c r="V881" s="67"/>
    </row>
    <row r="882">
      <c r="A882" s="66"/>
      <c r="B882" s="66"/>
      <c r="C882" s="66"/>
      <c r="D882" s="66"/>
      <c r="G882" s="67"/>
      <c r="V882" s="67"/>
    </row>
    <row r="883">
      <c r="A883" s="66"/>
      <c r="B883" s="66"/>
      <c r="C883" s="66"/>
      <c r="D883" s="66"/>
      <c r="G883" s="67"/>
      <c r="V883" s="67"/>
    </row>
    <row r="884">
      <c r="A884" s="66"/>
      <c r="B884" s="66"/>
      <c r="C884" s="66"/>
      <c r="D884" s="66"/>
      <c r="G884" s="67"/>
      <c r="V884" s="67"/>
    </row>
    <row r="885">
      <c r="A885" s="66"/>
      <c r="B885" s="66"/>
      <c r="C885" s="66"/>
      <c r="D885" s="66"/>
      <c r="G885" s="67"/>
      <c r="V885" s="67"/>
    </row>
    <row r="886">
      <c r="A886" s="66"/>
      <c r="B886" s="66"/>
      <c r="C886" s="66"/>
      <c r="D886" s="66"/>
      <c r="G886" s="67"/>
      <c r="V886" s="67"/>
    </row>
    <row r="887">
      <c r="A887" s="66"/>
      <c r="B887" s="66"/>
      <c r="C887" s="66"/>
      <c r="D887" s="66"/>
      <c r="G887" s="67"/>
      <c r="V887" s="67"/>
    </row>
    <row r="888">
      <c r="A888" s="66"/>
      <c r="B888" s="66"/>
      <c r="C888" s="66"/>
      <c r="D888" s="66"/>
      <c r="G888" s="67"/>
      <c r="V888" s="67"/>
    </row>
    <row r="889">
      <c r="A889" s="66"/>
      <c r="B889" s="66"/>
      <c r="C889" s="66"/>
      <c r="D889" s="66"/>
      <c r="G889" s="67"/>
      <c r="V889" s="67"/>
    </row>
    <row r="890">
      <c r="A890" s="66"/>
      <c r="B890" s="66"/>
      <c r="C890" s="66"/>
      <c r="D890" s="66"/>
      <c r="G890" s="67"/>
      <c r="V890" s="67"/>
    </row>
    <row r="891">
      <c r="A891" s="66"/>
      <c r="B891" s="66"/>
      <c r="C891" s="66"/>
      <c r="D891" s="66"/>
      <c r="G891" s="67"/>
      <c r="V891" s="67"/>
    </row>
    <row r="892">
      <c r="A892" s="66"/>
      <c r="B892" s="66"/>
      <c r="C892" s="66"/>
      <c r="D892" s="66"/>
      <c r="G892" s="67"/>
      <c r="V892" s="67"/>
    </row>
    <row r="893">
      <c r="A893" s="66"/>
      <c r="B893" s="66"/>
      <c r="C893" s="66"/>
      <c r="D893" s="66"/>
      <c r="G893" s="67"/>
      <c r="V893" s="67"/>
    </row>
    <row r="894">
      <c r="A894" s="66"/>
      <c r="B894" s="66"/>
      <c r="C894" s="66"/>
      <c r="D894" s="66"/>
      <c r="G894" s="67"/>
      <c r="V894" s="67"/>
    </row>
    <row r="895">
      <c r="A895" s="66"/>
      <c r="B895" s="66"/>
      <c r="C895" s="66"/>
      <c r="D895" s="66"/>
      <c r="G895" s="67"/>
      <c r="V895" s="67"/>
    </row>
    <row r="896">
      <c r="A896" s="66"/>
      <c r="B896" s="66"/>
      <c r="C896" s="66"/>
      <c r="D896" s="66"/>
      <c r="G896" s="67"/>
      <c r="V896" s="67"/>
    </row>
    <row r="897">
      <c r="A897" s="66"/>
      <c r="B897" s="66"/>
      <c r="C897" s="66"/>
      <c r="D897" s="66"/>
      <c r="G897" s="67"/>
      <c r="V897" s="67"/>
    </row>
    <row r="898">
      <c r="A898" s="66"/>
      <c r="B898" s="66"/>
      <c r="C898" s="66"/>
      <c r="D898" s="66"/>
      <c r="G898" s="67"/>
      <c r="V898" s="67"/>
    </row>
    <row r="899">
      <c r="A899" s="66"/>
      <c r="B899" s="66"/>
      <c r="C899" s="66"/>
      <c r="D899" s="66"/>
      <c r="G899" s="67"/>
      <c r="V899" s="67"/>
    </row>
    <row r="900">
      <c r="A900" s="66"/>
      <c r="B900" s="66"/>
      <c r="C900" s="66"/>
      <c r="D900" s="66"/>
      <c r="G900" s="67"/>
      <c r="V900" s="67"/>
    </row>
    <row r="901">
      <c r="A901" s="66"/>
      <c r="B901" s="66"/>
      <c r="C901" s="66"/>
      <c r="D901" s="66"/>
      <c r="G901" s="67"/>
      <c r="V901" s="67"/>
    </row>
    <row r="902">
      <c r="A902" s="66"/>
      <c r="B902" s="66"/>
      <c r="C902" s="66"/>
      <c r="D902" s="66"/>
      <c r="G902" s="67"/>
      <c r="V902" s="67"/>
    </row>
    <row r="903">
      <c r="A903" s="66"/>
      <c r="B903" s="66"/>
      <c r="C903" s="66"/>
      <c r="D903" s="66"/>
      <c r="G903" s="67"/>
      <c r="V903" s="67"/>
    </row>
    <row r="904">
      <c r="A904" s="66"/>
      <c r="B904" s="66"/>
      <c r="C904" s="66"/>
      <c r="D904" s="66"/>
      <c r="G904" s="67"/>
      <c r="V904" s="67"/>
    </row>
    <row r="905">
      <c r="A905" s="66"/>
      <c r="B905" s="66"/>
      <c r="C905" s="66"/>
      <c r="D905" s="66"/>
      <c r="G905" s="67"/>
      <c r="V905" s="67"/>
    </row>
    <row r="906">
      <c r="A906" s="66"/>
      <c r="B906" s="66"/>
      <c r="C906" s="66"/>
      <c r="D906" s="66"/>
      <c r="G906" s="67"/>
      <c r="V906" s="67"/>
    </row>
    <row r="907">
      <c r="A907" s="66"/>
      <c r="B907" s="66"/>
      <c r="C907" s="66"/>
      <c r="D907" s="66"/>
      <c r="G907" s="67"/>
      <c r="V907" s="67"/>
    </row>
    <row r="908">
      <c r="A908" s="66"/>
      <c r="B908" s="66"/>
      <c r="C908" s="66"/>
      <c r="D908" s="66"/>
      <c r="G908" s="67"/>
      <c r="V908" s="67"/>
    </row>
    <row r="909">
      <c r="A909" s="66"/>
      <c r="B909" s="66"/>
      <c r="C909" s="66"/>
      <c r="D909" s="66"/>
      <c r="G909" s="67"/>
      <c r="V909" s="67"/>
    </row>
    <row r="910">
      <c r="A910" s="66"/>
      <c r="B910" s="66"/>
      <c r="C910" s="66"/>
      <c r="D910" s="66"/>
      <c r="G910" s="67"/>
      <c r="V910" s="67"/>
    </row>
    <row r="911">
      <c r="A911" s="66"/>
      <c r="B911" s="66"/>
      <c r="C911" s="66"/>
      <c r="D911" s="66"/>
      <c r="G911" s="67"/>
      <c r="V911" s="67"/>
    </row>
    <row r="912">
      <c r="A912" s="66"/>
      <c r="B912" s="66"/>
      <c r="C912" s="66"/>
      <c r="D912" s="66"/>
      <c r="G912" s="67"/>
      <c r="V912" s="67"/>
    </row>
    <row r="913">
      <c r="A913" s="66"/>
      <c r="B913" s="66"/>
      <c r="C913" s="66"/>
      <c r="D913" s="66"/>
      <c r="G913" s="67"/>
      <c r="V913" s="67"/>
    </row>
    <row r="914">
      <c r="A914" s="66"/>
      <c r="B914" s="66"/>
      <c r="C914" s="66"/>
      <c r="D914" s="66"/>
      <c r="G914" s="67"/>
      <c r="V914" s="67"/>
    </row>
    <row r="915">
      <c r="A915" s="66"/>
      <c r="B915" s="66"/>
      <c r="C915" s="66"/>
      <c r="D915" s="66"/>
      <c r="G915" s="67"/>
      <c r="V915" s="67"/>
    </row>
    <row r="916">
      <c r="A916" s="66"/>
      <c r="B916" s="66"/>
      <c r="C916" s="66"/>
      <c r="D916" s="66"/>
      <c r="G916" s="67"/>
      <c r="V916" s="67"/>
    </row>
    <row r="917">
      <c r="A917" s="66"/>
      <c r="B917" s="66"/>
      <c r="C917" s="66"/>
      <c r="D917" s="66"/>
      <c r="G917" s="67"/>
      <c r="V917" s="67"/>
    </row>
    <row r="918">
      <c r="A918" s="66"/>
      <c r="B918" s="66"/>
      <c r="C918" s="66"/>
      <c r="D918" s="66"/>
      <c r="G918" s="67"/>
      <c r="V918" s="67"/>
    </row>
    <row r="919">
      <c r="A919" s="66"/>
      <c r="B919" s="66"/>
      <c r="C919" s="66"/>
      <c r="D919" s="66"/>
      <c r="G919" s="67"/>
      <c r="V919" s="67"/>
    </row>
    <row r="920">
      <c r="A920" s="66"/>
      <c r="B920" s="66"/>
      <c r="C920" s="66"/>
      <c r="D920" s="66"/>
      <c r="G920" s="67"/>
      <c r="V920" s="67"/>
    </row>
    <row r="921">
      <c r="A921" s="66"/>
      <c r="B921" s="66"/>
      <c r="C921" s="66"/>
      <c r="D921" s="66"/>
      <c r="G921" s="67"/>
      <c r="V921" s="67"/>
    </row>
    <row r="922">
      <c r="A922" s="66"/>
      <c r="B922" s="66"/>
      <c r="C922" s="66"/>
      <c r="D922" s="66"/>
      <c r="G922" s="67"/>
      <c r="V922" s="67"/>
    </row>
    <row r="923">
      <c r="A923" s="66"/>
      <c r="B923" s="66"/>
      <c r="C923" s="66"/>
      <c r="D923" s="66"/>
      <c r="G923" s="67"/>
      <c r="V923" s="67"/>
    </row>
    <row r="924">
      <c r="A924" s="66"/>
      <c r="B924" s="66"/>
      <c r="C924" s="66"/>
      <c r="D924" s="66"/>
      <c r="G924" s="67"/>
      <c r="V924" s="67"/>
    </row>
    <row r="925">
      <c r="A925" s="66"/>
      <c r="B925" s="66"/>
      <c r="C925" s="66"/>
      <c r="D925" s="66"/>
      <c r="G925" s="67"/>
      <c r="V925" s="67"/>
    </row>
    <row r="926">
      <c r="A926" s="66"/>
      <c r="B926" s="66"/>
      <c r="C926" s="66"/>
      <c r="D926" s="66"/>
      <c r="G926" s="67"/>
      <c r="V926" s="67"/>
    </row>
    <row r="927">
      <c r="A927" s="66"/>
      <c r="B927" s="66"/>
      <c r="C927" s="66"/>
      <c r="D927" s="66"/>
      <c r="G927" s="67"/>
      <c r="V927" s="67"/>
    </row>
    <row r="928">
      <c r="A928" s="66"/>
      <c r="B928" s="66"/>
      <c r="C928" s="66"/>
      <c r="D928" s="66"/>
      <c r="G928" s="67"/>
      <c r="V928" s="67"/>
    </row>
    <row r="929">
      <c r="A929" s="66"/>
      <c r="B929" s="66"/>
      <c r="C929" s="66"/>
      <c r="D929" s="66"/>
      <c r="G929" s="67"/>
      <c r="V929" s="67"/>
    </row>
    <row r="930">
      <c r="A930" s="66"/>
      <c r="B930" s="66"/>
      <c r="C930" s="66"/>
      <c r="D930" s="66"/>
      <c r="G930" s="67"/>
      <c r="V930" s="67"/>
    </row>
    <row r="931">
      <c r="A931" s="66"/>
      <c r="B931" s="66"/>
      <c r="C931" s="66"/>
      <c r="D931" s="66"/>
      <c r="G931" s="67"/>
      <c r="V931" s="67"/>
    </row>
    <row r="932">
      <c r="A932" s="66"/>
      <c r="B932" s="66"/>
      <c r="C932" s="66"/>
      <c r="D932" s="66"/>
      <c r="G932" s="67"/>
      <c r="V932" s="67"/>
    </row>
    <row r="933">
      <c r="A933" s="66"/>
      <c r="B933" s="66"/>
      <c r="C933" s="66"/>
      <c r="D933" s="66"/>
      <c r="G933" s="67"/>
      <c r="V933" s="67"/>
    </row>
    <row r="934">
      <c r="A934" s="66"/>
      <c r="B934" s="66"/>
      <c r="C934" s="66"/>
      <c r="D934" s="66"/>
      <c r="G934" s="67"/>
      <c r="V934" s="67"/>
    </row>
    <row r="935">
      <c r="A935" s="66"/>
      <c r="B935" s="66"/>
      <c r="C935" s="66"/>
      <c r="D935" s="66"/>
      <c r="G935" s="67"/>
      <c r="V935" s="67"/>
    </row>
    <row r="936">
      <c r="A936" s="66"/>
      <c r="B936" s="66"/>
      <c r="C936" s="66"/>
      <c r="D936" s="66"/>
      <c r="G936" s="67"/>
      <c r="V936" s="67"/>
    </row>
    <row r="937">
      <c r="A937" s="66"/>
      <c r="B937" s="66"/>
      <c r="C937" s="66"/>
      <c r="D937" s="66"/>
      <c r="G937" s="67"/>
      <c r="V937" s="67"/>
    </row>
    <row r="938">
      <c r="A938" s="66"/>
      <c r="B938" s="66"/>
      <c r="C938" s="66"/>
      <c r="D938" s="66"/>
      <c r="G938" s="67"/>
      <c r="V938" s="67"/>
    </row>
    <row r="939">
      <c r="A939" s="66"/>
      <c r="B939" s="66"/>
      <c r="C939" s="66"/>
      <c r="D939" s="66"/>
      <c r="G939" s="67"/>
      <c r="V939" s="67"/>
    </row>
    <row r="940">
      <c r="A940" s="66"/>
      <c r="B940" s="66"/>
      <c r="C940" s="66"/>
      <c r="D940" s="66"/>
      <c r="G940" s="67"/>
      <c r="V940" s="67"/>
    </row>
    <row r="941">
      <c r="A941" s="66"/>
      <c r="B941" s="66"/>
      <c r="C941" s="66"/>
      <c r="D941" s="66"/>
      <c r="G941" s="67"/>
      <c r="V941" s="67"/>
    </row>
    <row r="942">
      <c r="A942" s="66"/>
      <c r="B942" s="66"/>
      <c r="C942" s="66"/>
      <c r="D942" s="66"/>
      <c r="G942" s="67"/>
      <c r="V942" s="67"/>
    </row>
    <row r="943">
      <c r="A943" s="66"/>
      <c r="B943" s="66"/>
      <c r="C943" s="66"/>
      <c r="D943" s="66"/>
      <c r="G943" s="67"/>
      <c r="V943" s="67"/>
    </row>
    <row r="944">
      <c r="A944" s="66"/>
      <c r="B944" s="66"/>
      <c r="C944" s="66"/>
      <c r="D944" s="66"/>
      <c r="G944" s="67"/>
      <c r="V944" s="67"/>
    </row>
    <row r="945">
      <c r="A945" s="66"/>
      <c r="B945" s="66"/>
      <c r="C945" s="66"/>
      <c r="D945" s="66"/>
      <c r="G945" s="67"/>
      <c r="V945" s="67"/>
    </row>
    <row r="946">
      <c r="A946" s="66"/>
      <c r="B946" s="66"/>
      <c r="C946" s="66"/>
      <c r="D946" s="66"/>
      <c r="G946" s="67"/>
      <c r="V946" s="67"/>
    </row>
    <row r="947">
      <c r="A947" s="66"/>
      <c r="B947" s="66"/>
      <c r="C947" s="66"/>
      <c r="D947" s="66"/>
      <c r="G947" s="67"/>
      <c r="V947" s="67"/>
    </row>
    <row r="948">
      <c r="A948" s="66"/>
      <c r="B948" s="66"/>
      <c r="C948" s="66"/>
      <c r="D948" s="66"/>
      <c r="G948" s="67"/>
      <c r="V948" s="67"/>
    </row>
    <row r="949">
      <c r="A949" s="66"/>
      <c r="B949" s="66"/>
      <c r="C949" s="66"/>
      <c r="D949" s="66"/>
      <c r="G949" s="67"/>
      <c r="V949" s="67"/>
    </row>
    <row r="950">
      <c r="A950" s="66"/>
      <c r="B950" s="66"/>
      <c r="C950" s="66"/>
      <c r="D950" s="66"/>
      <c r="G950" s="67"/>
      <c r="V950" s="67"/>
    </row>
    <row r="951">
      <c r="A951" s="66"/>
      <c r="B951" s="66"/>
      <c r="C951" s="66"/>
      <c r="D951" s="66"/>
      <c r="G951" s="67"/>
      <c r="V951" s="67"/>
    </row>
    <row r="952">
      <c r="A952" s="66"/>
      <c r="B952" s="66"/>
      <c r="C952" s="66"/>
      <c r="D952" s="66"/>
      <c r="G952" s="67"/>
      <c r="V952" s="67"/>
    </row>
    <row r="953">
      <c r="A953" s="66"/>
      <c r="B953" s="66"/>
      <c r="C953" s="66"/>
      <c r="D953" s="66"/>
      <c r="G953" s="67"/>
      <c r="V953" s="67"/>
    </row>
    <row r="954">
      <c r="A954" s="66"/>
      <c r="B954" s="66"/>
      <c r="C954" s="66"/>
      <c r="D954" s="66"/>
      <c r="G954" s="67"/>
      <c r="V954" s="67"/>
    </row>
    <row r="955">
      <c r="A955" s="66"/>
      <c r="B955" s="66"/>
      <c r="C955" s="66"/>
      <c r="D955" s="66"/>
      <c r="G955" s="67"/>
      <c r="V955" s="67"/>
    </row>
    <row r="956">
      <c r="A956" s="66"/>
      <c r="B956" s="66"/>
      <c r="C956" s="66"/>
      <c r="D956" s="66"/>
      <c r="G956" s="67"/>
      <c r="V956" s="67"/>
    </row>
    <row r="957">
      <c r="A957" s="66"/>
      <c r="B957" s="66"/>
      <c r="C957" s="66"/>
      <c r="D957" s="66"/>
      <c r="G957" s="67"/>
      <c r="V957" s="67"/>
    </row>
    <row r="958">
      <c r="A958" s="66"/>
      <c r="B958" s="66"/>
      <c r="C958" s="66"/>
      <c r="D958" s="66"/>
      <c r="G958" s="67"/>
      <c r="V958" s="67"/>
    </row>
    <row r="959">
      <c r="A959" s="66"/>
      <c r="B959" s="66"/>
      <c r="C959" s="66"/>
      <c r="D959" s="66"/>
      <c r="G959" s="67"/>
      <c r="V959" s="67"/>
    </row>
    <row r="960">
      <c r="A960" s="66"/>
      <c r="B960" s="66"/>
      <c r="C960" s="66"/>
      <c r="D960" s="66"/>
      <c r="G960" s="67"/>
      <c r="V960" s="67"/>
    </row>
    <row r="961">
      <c r="A961" s="66"/>
      <c r="B961" s="66"/>
      <c r="C961" s="66"/>
      <c r="D961" s="66"/>
      <c r="G961" s="67"/>
      <c r="V961" s="67"/>
    </row>
    <row r="962">
      <c r="A962" s="66"/>
      <c r="B962" s="66"/>
      <c r="C962" s="66"/>
      <c r="D962" s="66"/>
      <c r="G962" s="67"/>
      <c r="V962" s="67"/>
    </row>
    <row r="963">
      <c r="A963" s="66"/>
      <c r="B963" s="66"/>
      <c r="C963" s="66"/>
      <c r="D963" s="66"/>
      <c r="G963" s="67"/>
      <c r="V963" s="67"/>
    </row>
    <row r="964">
      <c r="A964" s="66"/>
      <c r="B964" s="66"/>
      <c r="C964" s="66"/>
      <c r="D964" s="66"/>
      <c r="G964" s="67"/>
      <c r="V964" s="67"/>
    </row>
    <row r="965">
      <c r="A965" s="66"/>
      <c r="B965" s="66"/>
      <c r="C965" s="66"/>
      <c r="D965" s="66"/>
      <c r="G965" s="67"/>
      <c r="V965" s="67"/>
    </row>
    <row r="966">
      <c r="A966" s="66"/>
      <c r="B966" s="66"/>
      <c r="C966" s="66"/>
      <c r="D966" s="66"/>
      <c r="G966" s="67"/>
      <c r="V966" s="67"/>
    </row>
    <row r="967">
      <c r="A967" s="66"/>
      <c r="B967" s="66"/>
      <c r="C967" s="66"/>
      <c r="D967" s="66"/>
      <c r="G967" s="67"/>
      <c r="V967" s="67"/>
    </row>
    <row r="968">
      <c r="A968" s="66"/>
      <c r="B968" s="66"/>
      <c r="C968" s="66"/>
      <c r="D968" s="66"/>
      <c r="G968" s="67"/>
      <c r="V968" s="67"/>
    </row>
    <row r="969">
      <c r="A969" s="66"/>
      <c r="B969" s="66"/>
      <c r="C969" s="66"/>
      <c r="D969" s="66"/>
      <c r="G969" s="67"/>
      <c r="V969" s="67"/>
    </row>
    <row r="970">
      <c r="A970" s="66"/>
      <c r="B970" s="66"/>
      <c r="C970" s="66"/>
      <c r="D970" s="66"/>
      <c r="G970" s="67"/>
      <c r="V970" s="67"/>
    </row>
    <row r="971">
      <c r="A971" s="66"/>
      <c r="B971" s="66"/>
      <c r="C971" s="66"/>
      <c r="D971" s="66"/>
      <c r="G971" s="67"/>
      <c r="V971" s="67"/>
    </row>
    <row r="972">
      <c r="A972" s="66"/>
      <c r="B972" s="66"/>
      <c r="C972" s="66"/>
      <c r="D972" s="66"/>
      <c r="G972" s="67"/>
      <c r="V972" s="67"/>
    </row>
    <row r="973">
      <c r="A973" s="66"/>
      <c r="B973" s="66"/>
      <c r="C973" s="66"/>
      <c r="D973" s="66"/>
      <c r="G973" s="67"/>
      <c r="V973" s="67"/>
    </row>
    <row r="974">
      <c r="A974" s="66"/>
      <c r="B974" s="66"/>
      <c r="C974" s="66"/>
      <c r="D974" s="66"/>
      <c r="G974" s="67"/>
      <c r="V974" s="67"/>
    </row>
    <row r="975">
      <c r="A975" s="66"/>
      <c r="B975" s="66"/>
      <c r="C975" s="66"/>
      <c r="D975" s="66"/>
      <c r="G975" s="67"/>
      <c r="V975" s="67"/>
    </row>
    <row r="976">
      <c r="A976" s="66"/>
      <c r="B976" s="66"/>
      <c r="C976" s="66"/>
      <c r="D976" s="66"/>
      <c r="G976" s="67"/>
      <c r="V976" s="67"/>
    </row>
    <row r="977">
      <c r="A977" s="66"/>
      <c r="B977" s="66"/>
      <c r="C977" s="66"/>
      <c r="D977" s="66"/>
      <c r="G977" s="67"/>
      <c r="V977" s="67"/>
    </row>
    <row r="978">
      <c r="A978" s="66"/>
      <c r="B978" s="66"/>
      <c r="C978" s="66"/>
      <c r="D978" s="66"/>
      <c r="G978" s="67"/>
      <c r="V978" s="67"/>
    </row>
    <row r="979">
      <c r="A979" s="66"/>
      <c r="B979" s="66"/>
      <c r="C979" s="66"/>
      <c r="D979" s="66"/>
      <c r="G979" s="67"/>
      <c r="V979" s="67"/>
    </row>
    <row r="980">
      <c r="A980" s="66"/>
      <c r="B980" s="66"/>
      <c r="C980" s="66"/>
      <c r="D980" s="66"/>
      <c r="G980" s="67"/>
      <c r="V980" s="67"/>
    </row>
    <row r="981">
      <c r="A981" s="66"/>
      <c r="B981" s="66"/>
      <c r="C981" s="66"/>
      <c r="D981" s="66"/>
      <c r="G981" s="67"/>
      <c r="V981" s="67"/>
    </row>
    <row r="982">
      <c r="A982" s="66"/>
      <c r="B982" s="66"/>
      <c r="C982" s="66"/>
      <c r="D982" s="66"/>
      <c r="G982" s="67"/>
      <c r="V982" s="67"/>
    </row>
    <row r="983">
      <c r="A983" s="66"/>
      <c r="B983" s="66"/>
      <c r="C983" s="66"/>
      <c r="D983" s="66"/>
      <c r="G983" s="67"/>
      <c r="V983" s="67"/>
    </row>
    <row r="984">
      <c r="A984" s="66"/>
      <c r="B984" s="66"/>
      <c r="C984" s="66"/>
      <c r="D984" s="66"/>
      <c r="G984" s="67"/>
      <c r="V984" s="67"/>
    </row>
    <row r="985">
      <c r="A985" s="66"/>
      <c r="B985" s="66"/>
      <c r="C985" s="66"/>
      <c r="D985" s="66"/>
      <c r="G985" s="67"/>
      <c r="V985" s="67"/>
    </row>
    <row r="986">
      <c r="A986" s="66"/>
      <c r="B986" s="66"/>
      <c r="C986" s="66"/>
      <c r="D986" s="66"/>
      <c r="G986" s="67"/>
      <c r="V986" s="67"/>
    </row>
    <row r="987">
      <c r="A987" s="66"/>
      <c r="B987" s="66"/>
      <c r="C987" s="66"/>
      <c r="D987" s="66"/>
      <c r="G987" s="67"/>
      <c r="V987" s="67"/>
    </row>
    <row r="988">
      <c r="A988" s="66"/>
      <c r="B988" s="66"/>
      <c r="C988" s="66"/>
      <c r="D988" s="66"/>
      <c r="G988" s="67"/>
      <c r="V988" s="67"/>
    </row>
    <row r="989">
      <c r="A989" s="66"/>
      <c r="B989" s="66"/>
      <c r="C989" s="66"/>
      <c r="D989" s="66"/>
      <c r="G989" s="67"/>
      <c r="V989" s="67"/>
    </row>
    <row r="990">
      <c r="A990" s="66"/>
      <c r="B990" s="66"/>
      <c r="C990" s="66"/>
      <c r="D990" s="66"/>
      <c r="G990" s="67"/>
      <c r="V990" s="67"/>
    </row>
    <row r="991">
      <c r="A991" s="66"/>
      <c r="B991" s="66"/>
      <c r="C991" s="66"/>
      <c r="D991" s="66"/>
      <c r="G991" s="67"/>
      <c r="V991" s="67"/>
    </row>
    <row r="992">
      <c r="A992" s="66"/>
      <c r="B992" s="66"/>
      <c r="C992" s="66"/>
      <c r="D992" s="66"/>
      <c r="G992" s="67"/>
      <c r="V992" s="67"/>
    </row>
    <row r="993">
      <c r="A993" s="66"/>
      <c r="B993" s="66"/>
      <c r="C993" s="66"/>
      <c r="D993" s="66"/>
      <c r="G993" s="67"/>
      <c r="V993" s="67"/>
    </row>
    <row r="994">
      <c r="A994" s="66"/>
      <c r="B994" s="66"/>
      <c r="C994" s="66"/>
      <c r="D994" s="66"/>
      <c r="G994" s="67"/>
      <c r="V994" s="67"/>
    </row>
    <row r="995">
      <c r="A995" s="66"/>
      <c r="B995" s="66"/>
      <c r="C995" s="66"/>
      <c r="D995" s="66"/>
      <c r="G995" s="67"/>
      <c r="V995" s="67"/>
    </row>
    <row r="996">
      <c r="A996" s="66"/>
      <c r="B996" s="66"/>
      <c r="C996" s="66"/>
      <c r="D996" s="66"/>
      <c r="G996" s="67"/>
      <c r="V996" s="67"/>
    </row>
    <row r="997">
      <c r="A997" s="66"/>
      <c r="B997" s="66"/>
      <c r="C997" s="66"/>
      <c r="D997" s="66"/>
      <c r="G997" s="67"/>
      <c r="V997" s="67"/>
    </row>
    <row r="998">
      <c r="A998" s="66"/>
      <c r="B998" s="66"/>
      <c r="C998" s="66"/>
      <c r="D998" s="66"/>
      <c r="G998" s="67"/>
      <c r="V998" s="67"/>
    </row>
    <row r="999">
      <c r="A999" s="66"/>
      <c r="B999" s="66"/>
      <c r="C999" s="66"/>
      <c r="D999" s="66"/>
      <c r="G999" s="67"/>
      <c r="V999" s="67"/>
    </row>
    <row r="1000">
      <c r="A1000" s="66"/>
      <c r="B1000" s="66"/>
      <c r="C1000" s="66"/>
      <c r="D1000" s="66"/>
      <c r="G1000" s="67"/>
      <c r="V1000" s="67"/>
    </row>
    <row r="1001">
      <c r="A1001" s="66"/>
      <c r="B1001" s="66"/>
      <c r="C1001" s="66"/>
      <c r="D1001" s="66"/>
      <c r="G1001" s="67"/>
      <c r="V1001" s="67"/>
    </row>
  </sheetData>
  <mergeCells count="13">
    <mergeCell ref="V13:V14"/>
    <mergeCell ref="V18:V19"/>
    <mergeCell ref="O19:O22"/>
    <mergeCell ref="O23:O26"/>
    <mergeCell ref="V24:V25"/>
    <mergeCell ref="V27:V28"/>
    <mergeCell ref="A1:D1"/>
    <mergeCell ref="F1:M1"/>
    <mergeCell ref="O1:T1"/>
    <mergeCell ref="V1:AB1"/>
    <mergeCell ref="O3:O7"/>
    <mergeCell ref="O8:O13"/>
    <mergeCell ref="O14:O1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15.0"/>
    <col customWidth="1" min="3" max="3" width="15.38"/>
    <col customWidth="1" min="4" max="4" width="227.38"/>
    <col customWidth="1" min="6" max="6" width="5.0"/>
    <col customWidth="1" min="7" max="7" width="15.63"/>
    <col customWidth="1" min="8" max="8" width="44.13"/>
    <col customWidth="1" min="15" max="15" width="14.75"/>
    <col customWidth="1" min="16" max="16" width="21.38"/>
    <col customWidth="1" min="17" max="17" width="104.75"/>
    <col customWidth="1" min="18" max="18" width="43.38"/>
    <col customWidth="1" min="22" max="22" width="5.0"/>
    <col customWidth="1" min="23" max="23" width="26.38"/>
    <col customWidth="1" min="24" max="24" width="117.25"/>
    <col customWidth="1" min="25" max="25" width="74.63"/>
    <col customWidth="1" min="26" max="26" width="12.13"/>
    <col customWidth="1" min="27" max="27" width="11.13"/>
  </cols>
  <sheetData>
    <row r="1">
      <c r="A1" s="1" t="s">
        <v>0</v>
      </c>
      <c r="B1" s="2"/>
      <c r="C1" s="2"/>
      <c r="D1" s="3"/>
      <c r="F1" s="4" t="s">
        <v>1</v>
      </c>
      <c r="G1" s="2"/>
      <c r="H1" s="2"/>
      <c r="I1" s="2"/>
      <c r="J1" s="2"/>
      <c r="K1" s="2"/>
      <c r="L1" s="2"/>
      <c r="M1" s="3"/>
      <c r="O1" s="5" t="s">
        <v>2</v>
      </c>
      <c r="P1" s="2"/>
      <c r="Q1" s="2"/>
      <c r="R1" s="2"/>
      <c r="S1" s="2"/>
      <c r="T1" s="3"/>
      <c r="V1" s="5" t="s">
        <v>3</v>
      </c>
      <c r="W1" s="2"/>
      <c r="X1" s="2"/>
      <c r="Y1" s="2"/>
      <c r="Z1" s="2"/>
      <c r="AA1" s="2"/>
      <c r="AB1" s="3"/>
    </row>
    <row r="2">
      <c r="A2" s="6" t="s">
        <v>4</v>
      </c>
      <c r="B2" s="6" t="s">
        <v>5</v>
      </c>
      <c r="C2" s="6" t="s">
        <v>6</v>
      </c>
      <c r="D2" s="6" t="s">
        <v>8</v>
      </c>
      <c r="F2" s="8" t="s">
        <v>4</v>
      </c>
      <c r="G2" s="9" t="s">
        <v>9</v>
      </c>
      <c r="H2" s="8" t="s">
        <v>11</v>
      </c>
      <c r="I2" s="11" t="s">
        <v>18</v>
      </c>
      <c r="J2" s="11" t="s">
        <v>21</v>
      </c>
      <c r="K2" s="11" t="s">
        <v>23</v>
      </c>
      <c r="L2" s="8"/>
      <c r="M2" s="8"/>
      <c r="O2" s="10" t="s">
        <v>17</v>
      </c>
      <c r="P2" s="10"/>
      <c r="Q2" s="10"/>
      <c r="R2" s="10"/>
      <c r="S2" s="12" t="s">
        <v>24</v>
      </c>
      <c r="T2" s="12" t="s">
        <v>25</v>
      </c>
      <c r="V2" s="10" t="s">
        <v>4</v>
      </c>
      <c r="W2" s="10" t="s">
        <v>26</v>
      </c>
      <c r="X2" s="10" t="s">
        <v>20</v>
      </c>
      <c r="Y2" s="10" t="s">
        <v>22</v>
      </c>
      <c r="Z2" s="12" t="s">
        <v>24</v>
      </c>
      <c r="AA2" s="12" t="s">
        <v>25</v>
      </c>
      <c r="AB2" s="12" t="s">
        <v>27</v>
      </c>
    </row>
    <row r="3">
      <c r="A3" s="13">
        <v>1.0</v>
      </c>
      <c r="B3" s="13">
        <v>6.0</v>
      </c>
      <c r="C3" s="13">
        <v>24.0</v>
      </c>
      <c r="D3" s="14" t="s">
        <v>28</v>
      </c>
      <c r="F3" s="15">
        <v>1.0</v>
      </c>
      <c r="G3" s="16">
        <v>2.0</v>
      </c>
      <c r="H3" s="15" t="s">
        <v>29</v>
      </c>
      <c r="I3" s="15">
        <v>3.0</v>
      </c>
      <c r="J3" s="15">
        <v>2.0</v>
      </c>
      <c r="K3" s="15">
        <v>1.0</v>
      </c>
      <c r="L3" s="15"/>
      <c r="M3" s="15"/>
      <c r="O3" s="17">
        <v>1.0</v>
      </c>
      <c r="P3" s="18" t="s">
        <v>30</v>
      </c>
      <c r="Q3" s="19" t="s">
        <v>31</v>
      </c>
      <c r="R3" s="20" t="s">
        <v>33</v>
      </c>
      <c r="S3" s="21">
        <v>8.0</v>
      </c>
      <c r="T3" s="21">
        <v>2.0</v>
      </c>
      <c r="V3" s="22">
        <v>1.0</v>
      </c>
      <c r="W3" s="24" t="s">
        <v>30</v>
      </c>
      <c r="X3" s="25" t="s">
        <v>37</v>
      </c>
      <c r="Y3" s="25" t="s">
        <v>39</v>
      </c>
      <c r="Z3" s="22">
        <v>8.0</v>
      </c>
      <c r="AA3" s="22">
        <v>2.0</v>
      </c>
    </row>
    <row r="4">
      <c r="A4" s="27">
        <v>2.0</v>
      </c>
      <c r="B4" s="28">
        <v>9.0</v>
      </c>
      <c r="C4" s="27">
        <v>36.0</v>
      </c>
      <c r="D4" s="28" t="s">
        <v>43</v>
      </c>
      <c r="F4" s="29">
        <v>2.0</v>
      </c>
      <c r="G4" s="30">
        <v>2.0</v>
      </c>
      <c r="H4" s="29" t="s">
        <v>46</v>
      </c>
      <c r="I4" s="29">
        <v>4.0</v>
      </c>
      <c r="J4" s="29">
        <v>3.0</v>
      </c>
      <c r="K4" s="29">
        <v>1.0</v>
      </c>
      <c r="L4" s="29"/>
      <c r="M4" s="29"/>
      <c r="O4" s="31"/>
      <c r="P4" s="32" t="s">
        <v>50</v>
      </c>
      <c r="Q4" s="33" t="s">
        <v>55</v>
      </c>
      <c r="R4" s="34" t="s">
        <v>57</v>
      </c>
      <c r="S4" s="35">
        <v>6.0</v>
      </c>
      <c r="T4" s="35">
        <v>3.0</v>
      </c>
      <c r="V4" s="36">
        <v>1.0</v>
      </c>
      <c r="W4" s="37" t="s">
        <v>50</v>
      </c>
      <c r="X4" s="38" t="s">
        <v>60</v>
      </c>
      <c r="Y4" s="38" t="s">
        <v>61</v>
      </c>
      <c r="Z4" s="36">
        <v>6.0</v>
      </c>
      <c r="AA4" s="36">
        <v>3.0</v>
      </c>
    </row>
    <row r="5">
      <c r="A5" s="13">
        <v>3.0</v>
      </c>
      <c r="B5" s="14">
        <v>12.0</v>
      </c>
      <c r="C5" s="13">
        <v>50.0</v>
      </c>
      <c r="D5" s="14" t="s">
        <v>62</v>
      </c>
      <c r="F5" s="15">
        <v>3.0</v>
      </c>
      <c r="G5" s="16">
        <v>2.0</v>
      </c>
      <c r="H5" s="15" t="s">
        <v>63</v>
      </c>
      <c r="I5" s="15">
        <v>5.0</v>
      </c>
      <c r="J5" s="15">
        <v>3.0</v>
      </c>
      <c r="K5" s="15">
        <v>1.0</v>
      </c>
      <c r="L5" s="15"/>
      <c r="M5" s="15"/>
      <c r="O5" s="31"/>
      <c r="P5" s="32" t="s">
        <v>65</v>
      </c>
      <c r="Q5" s="33" t="s">
        <v>68</v>
      </c>
      <c r="R5" s="34" t="s">
        <v>70</v>
      </c>
      <c r="S5" s="35">
        <v>8.0</v>
      </c>
      <c r="T5" s="35">
        <v>2.0</v>
      </c>
      <c r="V5" s="36">
        <v>1.0</v>
      </c>
      <c r="W5" s="37" t="s">
        <v>72</v>
      </c>
      <c r="X5" s="38" t="s">
        <v>67</v>
      </c>
      <c r="Y5" s="38" t="s">
        <v>74</v>
      </c>
      <c r="Z5" s="36">
        <v>8.0</v>
      </c>
      <c r="AA5" s="36">
        <v>2.0</v>
      </c>
    </row>
    <row r="6">
      <c r="A6" s="27">
        <v>4.0</v>
      </c>
      <c r="B6" s="28">
        <v>12.0</v>
      </c>
      <c r="C6" s="27">
        <v>50.0</v>
      </c>
      <c r="D6" s="28" t="s">
        <v>75</v>
      </c>
      <c r="F6" s="29">
        <v>4.0</v>
      </c>
      <c r="G6" s="30">
        <v>2.0</v>
      </c>
      <c r="H6" s="29" t="s">
        <v>76</v>
      </c>
      <c r="I6" s="29">
        <v>6.0</v>
      </c>
      <c r="J6" s="29">
        <v>3.0</v>
      </c>
      <c r="K6" s="29">
        <v>1.0</v>
      </c>
      <c r="L6" s="29"/>
      <c r="M6" s="29"/>
      <c r="O6" s="44">
        <v>2.0</v>
      </c>
      <c r="P6" s="45" t="s">
        <v>81</v>
      </c>
      <c r="Q6" s="46" t="s">
        <v>83</v>
      </c>
      <c r="R6" s="47" t="s">
        <v>86</v>
      </c>
      <c r="S6" s="48">
        <v>12.0</v>
      </c>
      <c r="T6" s="48">
        <v>2.0</v>
      </c>
      <c r="V6" s="39">
        <v>2.0</v>
      </c>
      <c r="W6" s="40" t="s">
        <v>46</v>
      </c>
      <c r="X6" s="41" t="s">
        <v>91</v>
      </c>
      <c r="Y6" s="41" t="s">
        <v>93</v>
      </c>
      <c r="Z6" s="39">
        <v>0.0</v>
      </c>
      <c r="AA6" s="39">
        <v>0.0</v>
      </c>
    </row>
    <row r="7">
      <c r="A7" s="13">
        <v>5.0</v>
      </c>
      <c r="B7" s="14">
        <v>15.0</v>
      </c>
      <c r="C7" s="13">
        <v>66.0</v>
      </c>
      <c r="D7" s="14" t="s">
        <v>94</v>
      </c>
      <c r="F7" s="15">
        <v>5.0</v>
      </c>
      <c r="G7" s="16">
        <v>3.0</v>
      </c>
      <c r="H7" s="15" t="s">
        <v>96</v>
      </c>
      <c r="I7" s="15">
        <v>7.0</v>
      </c>
      <c r="J7" s="15">
        <v>4.0</v>
      </c>
      <c r="K7" s="15">
        <v>2.0</v>
      </c>
      <c r="L7" s="15"/>
      <c r="M7" s="15"/>
      <c r="P7" s="45" t="s">
        <v>101</v>
      </c>
      <c r="Q7" s="46" t="s">
        <v>102</v>
      </c>
      <c r="R7" s="47" t="s">
        <v>93</v>
      </c>
      <c r="S7" s="48">
        <v>0.0</v>
      </c>
      <c r="T7" s="48">
        <v>0.0</v>
      </c>
      <c r="V7" s="22">
        <v>3.0</v>
      </c>
      <c r="W7" s="24" t="s">
        <v>63</v>
      </c>
      <c r="X7" s="25" t="s">
        <v>103</v>
      </c>
      <c r="Y7" s="25" t="s">
        <v>104</v>
      </c>
      <c r="Z7" s="22">
        <v>12.0</v>
      </c>
      <c r="AA7" s="22">
        <v>1.0</v>
      </c>
    </row>
    <row r="8">
      <c r="A8" s="27">
        <v>6.0</v>
      </c>
      <c r="B8" s="28">
        <v>18.0</v>
      </c>
      <c r="C8" s="27">
        <v>72.0</v>
      </c>
      <c r="D8" s="28" t="s">
        <v>107</v>
      </c>
      <c r="F8" s="29">
        <v>6.0</v>
      </c>
      <c r="G8" s="30">
        <v>3.0</v>
      </c>
      <c r="H8" s="29" t="s">
        <v>110</v>
      </c>
      <c r="I8" s="29">
        <v>8.0</v>
      </c>
      <c r="J8" s="29">
        <v>4.0</v>
      </c>
      <c r="K8" s="29">
        <v>2.0</v>
      </c>
      <c r="L8" s="29"/>
      <c r="M8" s="29"/>
      <c r="P8" s="45" t="s">
        <v>112</v>
      </c>
      <c r="Q8" s="46" t="s">
        <v>113</v>
      </c>
      <c r="R8" s="47" t="s">
        <v>114</v>
      </c>
      <c r="S8" s="48">
        <v>6.0</v>
      </c>
      <c r="T8" s="48">
        <v>1.0</v>
      </c>
      <c r="V8" s="39">
        <v>4.0</v>
      </c>
      <c r="W8" s="40" t="s">
        <v>76</v>
      </c>
      <c r="X8" s="41" t="s">
        <v>116</v>
      </c>
      <c r="Y8" s="41" t="s">
        <v>93</v>
      </c>
      <c r="Z8" s="39">
        <v>0.0</v>
      </c>
      <c r="AA8" s="39">
        <v>0.0</v>
      </c>
    </row>
    <row r="9">
      <c r="A9" s="13">
        <v>7.0</v>
      </c>
      <c r="B9" s="14">
        <v>21.0</v>
      </c>
      <c r="C9" s="13">
        <v>86.0</v>
      </c>
      <c r="D9" s="14" t="s">
        <v>121</v>
      </c>
      <c r="F9" s="15">
        <v>7.0</v>
      </c>
      <c r="G9" s="16">
        <v>3.0</v>
      </c>
      <c r="H9" s="15" t="s">
        <v>125</v>
      </c>
      <c r="I9" s="15">
        <v>9.0</v>
      </c>
      <c r="J9" s="15">
        <v>4.0</v>
      </c>
      <c r="K9" s="15">
        <v>3.0</v>
      </c>
      <c r="L9" s="15"/>
      <c r="M9" s="15"/>
      <c r="O9" s="17">
        <v>3.0</v>
      </c>
      <c r="P9" s="18" t="s">
        <v>63</v>
      </c>
      <c r="Q9" s="19" t="s">
        <v>130</v>
      </c>
      <c r="R9" s="20" t="s">
        <v>131</v>
      </c>
      <c r="S9" s="51">
        <v>45516.0</v>
      </c>
      <c r="T9" s="51">
        <v>45293.0</v>
      </c>
      <c r="V9" s="36">
        <v>5.0</v>
      </c>
      <c r="W9" s="37" t="s">
        <v>96</v>
      </c>
      <c r="X9" s="38" t="s">
        <v>133</v>
      </c>
      <c r="Y9" s="38" t="s">
        <v>135</v>
      </c>
      <c r="Z9" s="36">
        <v>18.0</v>
      </c>
      <c r="AA9" s="36">
        <v>3.0</v>
      </c>
    </row>
    <row r="10">
      <c r="A10" s="27">
        <v>8.0</v>
      </c>
      <c r="B10" s="28">
        <v>24.0</v>
      </c>
      <c r="C10" s="27">
        <v>102.0</v>
      </c>
      <c r="D10" s="28" t="s">
        <v>138</v>
      </c>
      <c r="F10" s="29">
        <v>8.0</v>
      </c>
      <c r="G10" s="30">
        <v>3.0</v>
      </c>
      <c r="H10" s="29" t="s">
        <v>76</v>
      </c>
      <c r="I10" s="29">
        <v>10.0</v>
      </c>
      <c r="J10" s="29">
        <v>5.0</v>
      </c>
      <c r="K10" s="29">
        <v>3.0</v>
      </c>
      <c r="L10" s="29"/>
      <c r="M10" s="29"/>
      <c r="O10" s="31"/>
      <c r="P10" s="32" t="s">
        <v>139</v>
      </c>
      <c r="Q10" s="33" t="s">
        <v>140</v>
      </c>
      <c r="R10" s="34" t="s">
        <v>93</v>
      </c>
      <c r="S10" s="35">
        <v>0.0</v>
      </c>
      <c r="T10" s="35">
        <v>0.0</v>
      </c>
      <c r="V10" s="36">
        <v>5.0</v>
      </c>
      <c r="W10" s="37" t="s">
        <v>142</v>
      </c>
      <c r="X10" s="38" t="s">
        <v>145</v>
      </c>
      <c r="Y10" s="38" t="s">
        <v>98</v>
      </c>
      <c r="Z10" s="36">
        <v>6.0</v>
      </c>
      <c r="AA10" s="36">
        <v>1.0</v>
      </c>
    </row>
    <row r="11">
      <c r="A11" s="13">
        <v>9.0</v>
      </c>
      <c r="B11" s="14">
        <v>27.0</v>
      </c>
      <c r="C11" s="13">
        <v>110.0</v>
      </c>
      <c r="D11" s="14" t="s">
        <v>150</v>
      </c>
      <c r="F11" s="15">
        <v>9.0</v>
      </c>
      <c r="G11" s="16">
        <v>4.0</v>
      </c>
      <c r="H11" s="15" t="s">
        <v>153</v>
      </c>
      <c r="I11" s="15">
        <v>11.0</v>
      </c>
      <c r="J11" s="15">
        <v>5.0</v>
      </c>
      <c r="K11" s="15">
        <v>3.0</v>
      </c>
      <c r="L11" s="15"/>
      <c r="M11" s="15"/>
      <c r="O11" s="31"/>
      <c r="P11" s="32" t="s">
        <v>155</v>
      </c>
      <c r="Q11" s="33" t="s">
        <v>157</v>
      </c>
      <c r="R11" s="34" t="s">
        <v>158</v>
      </c>
      <c r="S11" s="35">
        <v>24.0</v>
      </c>
      <c r="T11" s="35">
        <v>4.0</v>
      </c>
      <c r="V11" s="39">
        <v>6.0</v>
      </c>
      <c r="W11" s="40" t="s">
        <v>110</v>
      </c>
      <c r="X11" s="41" t="s">
        <v>162</v>
      </c>
      <c r="Y11" s="41" t="s">
        <v>163</v>
      </c>
      <c r="Z11" s="39">
        <v>24.0</v>
      </c>
      <c r="AA11" s="39">
        <v>4.0</v>
      </c>
    </row>
    <row r="12">
      <c r="A12" s="27">
        <v>10.0</v>
      </c>
      <c r="B12" s="28">
        <v>30.0</v>
      </c>
      <c r="C12" s="27">
        <v>120.0</v>
      </c>
      <c r="D12" s="28" t="s">
        <v>164</v>
      </c>
      <c r="F12" s="29">
        <v>10.0</v>
      </c>
      <c r="G12" s="30">
        <v>4.0</v>
      </c>
      <c r="H12" s="29" t="s">
        <v>165</v>
      </c>
      <c r="I12" s="29">
        <v>12.0</v>
      </c>
      <c r="J12" s="29">
        <v>6.0</v>
      </c>
      <c r="K12" s="29">
        <v>3.0</v>
      </c>
      <c r="L12" s="29"/>
      <c r="M12" s="29"/>
      <c r="O12" s="44">
        <v>4.0</v>
      </c>
      <c r="P12" s="45" t="s">
        <v>167</v>
      </c>
      <c r="Q12" s="46" t="s">
        <v>168</v>
      </c>
      <c r="R12" s="47" t="s">
        <v>169</v>
      </c>
      <c r="S12" s="48">
        <v>16.0</v>
      </c>
      <c r="T12" s="48">
        <v>4.0</v>
      </c>
      <c r="V12" s="22">
        <v>7.0</v>
      </c>
      <c r="W12" s="24" t="s">
        <v>125</v>
      </c>
      <c r="X12" s="25" t="s">
        <v>172</v>
      </c>
      <c r="Y12" s="25" t="s">
        <v>174</v>
      </c>
      <c r="Z12" s="22">
        <v>12.0</v>
      </c>
      <c r="AA12" s="22">
        <v>1.0</v>
      </c>
    </row>
    <row r="13">
      <c r="A13" s="13">
        <v>11.0</v>
      </c>
      <c r="B13" s="14">
        <v>32.0</v>
      </c>
      <c r="C13" s="13">
        <v>130.0</v>
      </c>
      <c r="D13" s="14" t="s">
        <v>176</v>
      </c>
      <c r="F13" s="15">
        <v>11.0</v>
      </c>
      <c r="G13" s="16">
        <v>4.0</v>
      </c>
      <c r="H13" s="15" t="s">
        <v>177</v>
      </c>
      <c r="I13" s="15">
        <v>13.0</v>
      </c>
      <c r="J13" s="15">
        <v>6.0</v>
      </c>
      <c r="K13" s="15">
        <v>3.0</v>
      </c>
      <c r="L13" s="15"/>
      <c r="M13" s="15"/>
      <c r="P13" s="45" t="s">
        <v>181</v>
      </c>
      <c r="Q13" s="46" t="s">
        <v>182</v>
      </c>
      <c r="R13" s="47" t="s">
        <v>183</v>
      </c>
      <c r="S13" s="48">
        <v>32.0</v>
      </c>
      <c r="T13" s="48">
        <v>4.0</v>
      </c>
      <c r="V13" s="39">
        <v>8.0</v>
      </c>
      <c r="W13" s="40" t="s">
        <v>76</v>
      </c>
      <c r="X13" s="41" t="s">
        <v>116</v>
      </c>
      <c r="Y13" s="41" t="s">
        <v>93</v>
      </c>
      <c r="Z13" s="39">
        <v>0.0</v>
      </c>
      <c r="AA13" s="39">
        <v>0.0</v>
      </c>
    </row>
    <row r="14">
      <c r="A14" s="27">
        <v>12.0</v>
      </c>
      <c r="B14" s="28">
        <v>32.0</v>
      </c>
      <c r="C14" s="27">
        <v>130.0</v>
      </c>
      <c r="D14" s="28" t="s">
        <v>188</v>
      </c>
      <c r="F14" s="29">
        <v>12.0</v>
      </c>
      <c r="G14" s="30">
        <v>4.0</v>
      </c>
      <c r="H14" s="29" t="s">
        <v>76</v>
      </c>
      <c r="I14" s="29">
        <v>14.0</v>
      </c>
      <c r="J14" s="29">
        <v>7.0</v>
      </c>
      <c r="K14" s="29">
        <v>3.0</v>
      </c>
      <c r="L14" s="29"/>
      <c r="M14" s="29"/>
      <c r="P14" s="45" t="s">
        <v>96</v>
      </c>
      <c r="Q14" s="46" t="s">
        <v>192</v>
      </c>
      <c r="R14" s="47" t="s">
        <v>135</v>
      </c>
      <c r="S14" s="48">
        <v>18.0</v>
      </c>
      <c r="T14" s="48">
        <v>3.0</v>
      </c>
      <c r="V14" s="39">
        <v>8.0</v>
      </c>
      <c r="W14" s="40" t="s">
        <v>194</v>
      </c>
      <c r="X14" s="41" t="s">
        <v>145</v>
      </c>
      <c r="Y14" s="41" t="s">
        <v>195</v>
      </c>
      <c r="Z14" s="39">
        <v>8.0</v>
      </c>
      <c r="AA14" s="39">
        <v>1.0</v>
      </c>
    </row>
    <row r="15">
      <c r="A15" s="13">
        <v>13.0</v>
      </c>
      <c r="B15" s="14">
        <v>36.0</v>
      </c>
      <c r="C15" s="13">
        <v>160.0</v>
      </c>
      <c r="D15" s="14" t="s">
        <v>196</v>
      </c>
      <c r="F15" s="15">
        <v>13.0</v>
      </c>
      <c r="G15" s="16">
        <v>5.0</v>
      </c>
      <c r="H15" s="15" t="s">
        <v>197</v>
      </c>
      <c r="I15" s="15">
        <v>15.0</v>
      </c>
      <c r="J15" s="15">
        <v>7.0</v>
      </c>
      <c r="K15" s="15">
        <v>4.0</v>
      </c>
      <c r="L15" s="15"/>
      <c r="M15" s="15"/>
      <c r="O15" s="17">
        <v>5.0</v>
      </c>
      <c r="P15" s="18" t="s">
        <v>197</v>
      </c>
      <c r="Q15" s="19" t="s">
        <v>198</v>
      </c>
      <c r="R15" s="20" t="s">
        <v>199</v>
      </c>
      <c r="S15" s="21">
        <v>50.0</v>
      </c>
      <c r="T15" s="21">
        <v>5.0</v>
      </c>
      <c r="V15" s="22">
        <v>9.0</v>
      </c>
      <c r="W15" s="24" t="s">
        <v>153</v>
      </c>
      <c r="X15" s="25" t="s">
        <v>203</v>
      </c>
      <c r="Y15" s="25" t="s">
        <v>205</v>
      </c>
      <c r="Z15" s="22">
        <v>16.0</v>
      </c>
      <c r="AA15" s="22">
        <v>2.0</v>
      </c>
    </row>
    <row r="16">
      <c r="A16" s="27">
        <v>14.0</v>
      </c>
      <c r="B16" s="28">
        <v>36.0</v>
      </c>
      <c r="C16" s="27">
        <v>160.0</v>
      </c>
      <c r="D16" s="28" t="s">
        <v>208</v>
      </c>
      <c r="F16" s="29">
        <v>14.0</v>
      </c>
      <c r="G16" s="30">
        <v>5.0</v>
      </c>
      <c r="H16" s="29" t="s">
        <v>210</v>
      </c>
      <c r="I16" s="29">
        <v>16.0</v>
      </c>
      <c r="J16" s="29">
        <v>8.0</v>
      </c>
      <c r="K16" s="29">
        <v>4.0</v>
      </c>
      <c r="L16" s="29"/>
      <c r="M16" s="29"/>
      <c r="O16" s="31"/>
      <c r="P16" s="32" t="s">
        <v>214</v>
      </c>
      <c r="Q16" s="33" t="s">
        <v>215</v>
      </c>
      <c r="R16" s="34" t="s">
        <v>216</v>
      </c>
      <c r="S16" s="35">
        <v>60.0</v>
      </c>
      <c r="T16" s="35">
        <v>10.0</v>
      </c>
      <c r="V16" s="39">
        <v>10.0</v>
      </c>
      <c r="W16" s="40" t="s">
        <v>217</v>
      </c>
      <c r="X16" s="41" t="s">
        <v>219</v>
      </c>
      <c r="Y16" s="41" t="s">
        <v>220</v>
      </c>
      <c r="Z16" s="39">
        <v>16.0</v>
      </c>
      <c r="AA16" s="39">
        <v>2.0</v>
      </c>
    </row>
    <row r="17">
      <c r="A17" s="13">
        <v>15.0</v>
      </c>
      <c r="B17" s="14">
        <v>40.0</v>
      </c>
      <c r="C17" s="13">
        <v>175.0</v>
      </c>
      <c r="D17" s="14" t="s">
        <v>222</v>
      </c>
      <c r="F17" s="15">
        <v>15.0</v>
      </c>
      <c r="G17" s="16">
        <v>5.0</v>
      </c>
      <c r="H17" s="15" t="s">
        <v>224</v>
      </c>
      <c r="I17" s="15">
        <v>17.0</v>
      </c>
      <c r="J17" s="15">
        <v>8.0</v>
      </c>
      <c r="K17" s="15">
        <v>4.0</v>
      </c>
      <c r="L17" s="15"/>
      <c r="M17" s="15"/>
      <c r="O17" s="31"/>
      <c r="P17" s="32" t="s">
        <v>229</v>
      </c>
      <c r="Q17" s="33" t="s">
        <v>230</v>
      </c>
      <c r="R17" s="34" t="s">
        <v>231</v>
      </c>
      <c r="S17" s="35">
        <v>64.0</v>
      </c>
      <c r="T17" s="35">
        <v>8.0</v>
      </c>
      <c r="V17" s="36">
        <v>11.0</v>
      </c>
      <c r="W17" s="37" t="s">
        <v>177</v>
      </c>
      <c r="X17" s="38" t="s">
        <v>232</v>
      </c>
      <c r="Y17" s="38" t="s">
        <v>233</v>
      </c>
      <c r="Z17" s="36">
        <v>0.0</v>
      </c>
      <c r="AA17" s="36">
        <v>0.0</v>
      </c>
    </row>
    <row r="18">
      <c r="A18" s="27">
        <v>16.0</v>
      </c>
      <c r="B18" s="28">
        <v>42.0</v>
      </c>
      <c r="C18" s="27">
        <v>185.0</v>
      </c>
      <c r="D18" s="28" t="s">
        <v>234</v>
      </c>
      <c r="F18" s="29">
        <v>16.0</v>
      </c>
      <c r="G18" s="30">
        <v>5.0</v>
      </c>
      <c r="H18" s="29" t="s">
        <v>76</v>
      </c>
      <c r="I18" s="29">
        <v>18.0</v>
      </c>
      <c r="J18" s="29">
        <v>9.0</v>
      </c>
      <c r="K18" s="29">
        <v>5.0</v>
      </c>
      <c r="L18" s="29"/>
      <c r="M18" s="29"/>
      <c r="O18" s="53"/>
      <c r="P18" s="32"/>
      <c r="Q18" s="33"/>
      <c r="R18" s="34"/>
      <c r="S18" s="35"/>
      <c r="T18" s="35"/>
      <c r="V18" s="36">
        <v>11.0</v>
      </c>
      <c r="W18" s="37" t="s">
        <v>236</v>
      </c>
      <c r="X18" s="38" t="s">
        <v>237</v>
      </c>
      <c r="Y18" s="38" t="s">
        <v>238</v>
      </c>
      <c r="Z18" s="36">
        <v>20.0</v>
      </c>
      <c r="AA18" s="36">
        <v>2.0</v>
      </c>
    </row>
    <row r="19">
      <c r="A19" s="13">
        <v>17.0</v>
      </c>
      <c r="B19" s="14">
        <v>46.0</v>
      </c>
      <c r="C19" s="13">
        <v>210.0</v>
      </c>
      <c r="D19" s="14" t="s">
        <v>241</v>
      </c>
      <c r="F19" s="15">
        <v>17.0</v>
      </c>
      <c r="G19" s="16">
        <v>6.0</v>
      </c>
      <c r="H19" s="15" t="s">
        <v>42</v>
      </c>
      <c r="I19" s="15">
        <v>19.0</v>
      </c>
      <c r="J19" s="15">
        <v>9.0</v>
      </c>
      <c r="K19" s="15">
        <v>5.0</v>
      </c>
      <c r="L19" s="15"/>
      <c r="M19" s="15"/>
      <c r="O19" s="53"/>
      <c r="P19" s="45"/>
      <c r="Q19" s="46"/>
      <c r="R19" s="47"/>
      <c r="S19" s="48"/>
      <c r="T19" s="48"/>
      <c r="V19" s="39">
        <v>12.0</v>
      </c>
      <c r="W19" s="40" t="s">
        <v>76</v>
      </c>
      <c r="X19" s="41" t="s">
        <v>116</v>
      </c>
      <c r="Y19" s="41" t="s">
        <v>93</v>
      </c>
      <c r="Z19" s="39">
        <v>0.0</v>
      </c>
      <c r="AA19" s="39">
        <v>0.0</v>
      </c>
    </row>
    <row r="20">
      <c r="A20" s="27">
        <v>18.0</v>
      </c>
      <c r="B20" s="28">
        <v>50.0</v>
      </c>
      <c r="C20" s="27">
        <v>230.0</v>
      </c>
      <c r="D20" s="28" t="s">
        <v>252</v>
      </c>
      <c r="F20" s="29">
        <v>18.0</v>
      </c>
      <c r="G20" s="30">
        <v>6.0</v>
      </c>
      <c r="H20" s="29" t="s">
        <v>42</v>
      </c>
      <c r="I20" s="29">
        <v>20.0</v>
      </c>
      <c r="J20" s="29">
        <v>10.0</v>
      </c>
      <c r="K20" s="29">
        <v>5.0</v>
      </c>
      <c r="L20" s="29"/>
      <c r="M20" s="29"/>
      <c r="O20" s="53"/>
      <c r="P20" s="45"/>
      <c r="Q20" s="46"/>
      <c r="R20" s="47"/>
      <c r="S20" s="48"/>
      <c r="T20" s="48"/>
      <c r="V20" s="22">
        <v>13.0</v>
      </c>
      <c r="W20" s="24" t="s">
        <v>197</v>
      </c>
      <c r="X20" s="25" t="s">
        <v>258</v>
      </c>
      <c r="Y20" s="25" t="s">
        <v>199</v>
      </c>
      <c r="Z20" s="22">
        <v>50.0</v>
      </c>
      <c r="AA20" s="22">
        <v>5.0</v>
      </c>
    </row>
    <row r="21">
      <c r="A21" s="13">
        <v>19.0</v>
      </c>
      <c r="B21" s="14">
        <v>53.0</v>
      </c>
      <c r="C21" s="13">
        <v>240.0</v>
      </c>
      <c r="D21" s="14" t="s">
        <v>259</v>
      </c>
      <c r="F21" s="15">
        <v>19.0</v>
      </c>
      <c r="G21" s="16">
        <v>6.0</v>
      </c>
      <c r="H21" s="15" t="s">
        <v>76</v>
      </c>
      <c r="I21" s="15">
        <v>21.0</v>
      </c>
      <c r="J21" s="15">
        <v>10.0</v>
      </c>
      <c r="K21" s="15">
        <v>5.0</v>
      </c>
      <c r="L21" s="15"/>
      <c r="M21" s="15"/>
      <c r="O21" s="53"/>
      <c r="P21" s="45"/>
      <c r="Q21" s="46"/>
      <c r="R21" s="47"/>
      <c r="S21" s="48"/>
      <c r="T21" s="48"/>
      <c r="V21" s="39">
        <v>14.0</v>
      </c>
      <c r="W21" s="40" t="s">
        <v>210</v>
      </c>
      <c r="X21" s="41" t="s">
        <v>262</v>
      </c>
      <c r="Y21" s="41" t="s">
        <v>264</v>
      </c>
      <c r="Z21" s="39">
        <v>0.0</v>
      </c>
      <c r="AA21" s="39">
        <v>0.0</v>
      </c>
    </row>
    <row r="22">
      <c r="A22" s="60">
        <v>20.0</v>
      </c>
      <c r="B22" s="60">
        <v>60.0</v>
      </c>
      <c r="C22" s="60">
        <f>Z30+Z29+Z28+Z25+Z23+Z20+Z16+Z3+Z7+Z24</f>
        <v>338</v>
      </c>
      <c r="D22" s="61" t="s">
        <v>273</v>
      </c>
      <c r="F22" s="62">
        <v>20.0</v>
      </c>
      <c r="G22" s="63">
        <v>6.0</v>
      </c>
      <c r="H22" s="62" t="s">
        <v>224</v>
      </c>
      <c r="I22" s="62">
        <v>22.0</v>
      </c>
      <c r="J22" s="62">
        <v>11.0</v>
      </c>
      <c r="K22" s="62">
        <v>5.0</v>
      </c>
      <c r="L22" s="62"/>
      <c r="M22" s="62"/>
      <c r="O22" s="53"/>
      <c r="P22" s="45"/>
      <c r="Q22" s="46"/>
      <c r="R22" s="47"/>
      <c r="S22" s="48"/>
      <c r="T22" s="48"/>
      <c r="V22" s="39">
        <v>14.0</v>
      </c>
      <c r="W22" s="40" t="s">
        <v>278</v>
      </c>
      <c r="X22" s="41" t="s">
        <v>237</v>
      </c>
      <c r="Y22" s="41" t="s">
        <v>257</v>
      </c>
      <c r="Z22" s="39">
        <f>4*6</f>
        <v>24</v>
      </c>
      <c r="AA22" s="39">
        <v>4.0</v>
      </c>
    </row>
    <row r="23">
      <c r="A23" s="66"/>
      <c r="B23" s="66"/>
      <c r="C23" s="66"/>
      <c r="D23" s="66"/>
      <c r="G23" s="67"/>
      <c r="O23" s="53"/>
      <c r="P23" s="32"/>
      <c r="Q23" s="33"/>
      <c r="R23" s="34"/>
      <c r="S23" s="35"/>
      <c r="T23" s="35"/>
      <c r="V23" s="22">
        <v>15.0</v>
      </c>
      <c r="W23" s="24" t="s">
        <v>224</v>
      </c>
      <c r="X23" s="25" t="s">
        <v>280</v>
      </c>
      <c r="Y23" s="25" t="s">
        <v>281</v>
      </c>
      <c r="Z23" s="22">
        <v>20.0</v>
      </c>
      <c r="AA23" s="22">
        <v>2.0</v>
      </c>
    </row>
    <row r="24">
      <c r="A24" s="66"/>
      <c r="B24" s="66"/>
      <c r="C24" s="66"/>
      <c r="D24" s="66"/>
      <c r="G24" s="67"/>
      <c r="O24" s="53"/>
      <c r="P24" s="32"/>
      <c r="Q24" s="33"/>
      <c r="R24" s="34"/>
      <c r="S24" s="35"/>
      <c r="T24" s="35"/>
      <c r="V24" s="39">
        <v>16.0</v>
      </c>
      <c r="W24" s="40" t="s">
        <v>290</v>
      </c>
      <c r="X24" s="41" t="s">
        <v>293</v>
      </c>
      <c r="Y24" s="41" t="s">
        <v>294</v>
      </c>
      <c r="Z24" s="39">
        <v>48.0</v>
      </c>
      <c r="AA24" s="39">
        <v>6.0</v>
      </c>
    </row>
    <row r="25">
      <c r="A25" s="66"/>
      <c r="B25" s="66"/>
      <c r="C25" s="66"/>
      <c r="D25" s="66"/>
      <c r="G25" s="67"/>
      <c r="O25" s="53"/>
      <c r="P25" s="32"/>
      <c r="Q25" s="33"/>
      <c r="R25" s="34"/>
      <c r="S25" s="35"/>
      <c r="T25" s="35"/>
      <c r="V25" s="22">
        <v>17.0</v>
      </c>
      <c r="W25" s="24" t="s">
        <v>214</v>
      </c>
      <c r="X25" s="25" t="s">
        <v>296</v>
      </c>
      <c r="Y25" s="25" t="s">
        <v>216</v>
      </c>
      <c r="Z25" s="22">
        <v>60.0</v>
      </c>
      <c r="AA25" s="22">
        <v>10.0</v>
      </c>
    </row>
    <row r="26">
      <c r="A26" s="66"/>
      <c r="B26" s="66"/>
      <c r="C26" s="66"/>
      <c r="D26" s="66"/>
      <c r="G26" s="67"/>
      <c r="O26" s="53"/>
      <c r="P26" s="32"/>
      <c r="Q26" s="33"/>
      <c r="R26" s="34"/>
      <c r="S26" s="35"/>
      <c r="T26" s="35"/>
      <c r="V26" s="22">
        <v>17.0</v>
      </c>
      <c r="W26" s="24" t="s">
        <v>297</v>
      </c>
      <c r="X26" s="25" t="s">
        <v>237</v>
      </c>
      <c r="Y26" s="25" t="s">
        <v>298</v>
      </c>
      <c r="Z26" s="22">
        <f>4*8</f>
        <v>32</v>
      </c>
      <c r="AA26" s="22">
        <v>4.0</v>
      </c>
    </row>
    <row r="27">
      <c r="A27" s="66"/>
      <c r="B27" s="66"/>
      <c r="C27" s="66"/>
      <c r="D27" s="66"/>
      <c r="G27" s="67"/>
      <c r="O27" s="71"/>
      <c r="P27" s="72"/>
      <c r="Q27" s="73"/>
      <c r="R27" s="74"/>
      <c r="S27" s="75"/>
      <c r="T27" s="75"/>
      <c r="V27" s="56">
        <v>18.0</v>
      </c>
      <c r="W27" s="64" t="s">
        <v>311</v>
      </c>
      <c r="X27" s="65" t="s">
        <v>312</v>
      </c>
      <c r="Y27" s="65" t="s">
        <v>315</v>
      </c>
      <c r="Z27" s="56">
        <v>0.0</v>
      </c>
      <c r="AA27" s="56">
        <v>0.0</v>
      </c>
    </row>
    <row r="28">
      <c r="A28" s="66"/>
      <c r="B28" s="66"/>
      <c r="C28" s="66"/>
      <c r="D28" s="66"/>
      <c r="G28" s="67"/>
      <c r="P28" s="76"/>
      <c r="V28" s="22">
        <v>19.0</v>
      </c>
      <c r="W28" s="24" t="s">
        <v>229</v>
      </c>
      <c r="X28" s="25" t="s">
        <v>322</v>
      </c>
      <c r="Y28" s="25" t="s">
        <v>231</v>
      </c>
      <c r="Z28" s="22">
        <v>64.0</v>
      </c>
      <c r="AA28" s="22">
        <v>8.0</v>
      </c>
    </row>
    <row r="29">
      <c r="A29" s="66"/>
      <c r="B29" s="66"/>
      <c r="C29" s="66"/>
      <c r="D29" s="66"/>
      <c r="G29" s="67"/>
      <c r="P29" s="77"/>
      <c r="V29" s="56">
        <v>20.0</v>
      </c>
      <c r="W29" s="64" t="s">
        <v>328</v>
      </c>
      <c r="X29" s="65" t="s">
        <v>331</v>
      </c>
      <c r="Y29" s="65" t="s">
        <v>332</v>
      </c>
      <c r="Z29" s="56">
        <v>24.0</v>
      </c>
      <c r="AA29" s="56">
        <v>4.0</v>
      </c>
    </row>
    <row r="30">
      <c r="B30" s="66"/>
      <c r="C30" s="66"/>
      <c r="D30" s="66"/>
      <c r="G30" s="67"/>
      <c r="P30" s="76"/>
      <c r="V30" s="39">
        <v>20.0</v>
      </c>
      <c r="W30" s="40" t="s">
        <v>333</v>
      </c>
      <c r="X30" s="41" t="s">
        <v>334</v>
      </c>
      <c r="Y30" s="41" t="s">
        <v>335</v>
      </c>
      <c r="Z30" s="39">
        <f>3*12</f>
        <v>36</v>
      </c>
      <c r="AA30" s="39">
        <v>3.0</v>
      </c>
    </row>
    <row r="31">
      <c r="A31" s="66"/>
      <c r="B31" s="66"/>
      <c r="C31" s="66"/>
      <c r="D31" s="66"/>
      <c r="G31" s="67"/>
      <c r="P31" s="77"/>
      <c r="V31" s="39"/>
      <c r="W31" s="24"/>
      <c r="X31" s="25"/>
      <c r="Y31" s="25"/>
      <c r="Z31" s="22"/>
      <c r="AA31" s="22"/>
    </row>
    <row r="32">
      <c r="A32" s="66"/>
      <c r="B32" s="66"/>
      <c r="C32" s="66"/>
      <c r="D32" s="66"/>
      <c r="G32" s="67"/>
      <c r="P32" s="76"/>
      <c r="V32" s="39"/>
      <c r="W32" s="37"/>
      <c r="X32" s="38"/>
      <c r="Y32" s="38"/>
      <c r="Z32" s="36"/>
      <c r="AA32" s="36"/>
    </row>
    <row r="33">
      <c r="A33" s="66"/>
      <c r="B33" s="66"/>
      <c r="C33" s="66"/>
      <c r="D33" s="81"/>
      <c r="G33" s="67"/>
      <c r="P33" s="76"/>
      <c r="R33" s="82"/>
      <c r="V33" s="39"/>
      <c r="W33" s="40"/>
      <c r="X33" s="41"/>
      <c r="Y33" s="41"/>
      <c r="Z33" s="39"/>
      <c r="AA33" s="39"/>
    </row>
    <row r="34">
      <c r="A34" s="66"/>
      <c r="B34" s="66"/>
      <c r="C34" s="66"/>
      <c r="D34" s="81"/>
      <c r="G34" s="67"/>
      <c r="P34" s="76"/>
      <c r="R34" s="82"/>
      <c r="V34" s="39"/>
      <c r="W34" s="40"/>
      <c r="X34" s="41"/>
      <c r="Y34" s="41"/>
      <c r="Z34" s="39"/>
      <c r="AA34" s="39"/>
    </row>
    <row r="35">
      <c r="A35" s="66"/>
      <c r="B35" s="66"/>
      <c r="C35" s="66"/>
      <c r="D35" s="66"/>
      <c r="G35" s="67"/>
      <c r="P35" s="76"/>
      <c r="R35" s="82"/>
      <c r="V35" s="39"/>
      <c r="W35" s="24"/>
      <c r="X35" s="25"/>
      <c r="Y35" s="25"/>
      <c r="Z35" s="22"/>
      <c r="AA35" s="22"/>
    </row>
    <row r="36">
      <c r="A36" s="66"/>
      <c r="B36" s="66"/>
      <c r="C36" s="66"/>
      <c r="D36" s="66"/>
      <c r="G36" s="67"/>
      <c r="P36" s="77"/>
      <c r="R36" s="82"/>
      <c r="V36" s="39"/>
      <c r="W36" s="37"/>
      <c r="X36" s="38"/>
      <c r="Y36" s="38"/>
      <c r="Z36" s="36"/>
      <c r="AA36" s="36"/>
    </row>
    <row r="37">
      <c r="A37" s="66"/>
      <c r="B37" s="66"/>
      <c r="C37" s="66"/>
      <c r="D37" s="66"/>
      <c r="G37" s="67"/>
      <c r="P37" s="76"/>
      <c r="V37" s="39"/>
      <c r="W37" s="40"/>
      <c r="X37" s="41"/>
      <c r="Y37" s="41"/>
      <c r="Z37" s="39"/>
      <c r="AA37" s="39"/>
    </row>
    <row r="38">
      <c r="A38" s="66"/>
      <c r="B38" s="66"/>
      <c r="C38" s="66"/>
      <c r="D38" s="66"/>
      <c r="G38" s="67"/>
      <c r="P38" s="77"/>
      <c r="V38" s="39"/>
      <c r="W38" s="40"/>
      <c r="X38" s="41"/>
      <c r="Y38" s="41"/>
      <c r="Z38" s="39"/>
      <c r="AA38" s="39"/>
    </row>
    <row r="39">
      <c r="A39" s="66"/>
      <c r="C39" s="66"/>
      <c r="D39" s="66"/>
      <c r="G39" s="67"/>
      <c r="V39" s="39"/>
      <c r="W39" s="24"/>
      <c r="X39" s="25"/>
      <c r="Y39" s="25"/>
      <c r="Z39" s="22"/>
      <c r="AA39" s="22"/>
    </row>
    <row r="40">
      <c r="A40" s="66"/>
      <c r="B40" s="66"/>
      <c r="C40" s="66"/>
      <c r="D40" s="66"/>
      <c r="G40" s="67"/>
      <c r="P40" s="76"/>
      <c r="V40" s="39"/>
      <c r="W40" s="37"/>
      <c r="X40" s="38"/>
      <c r="Y40" s="38"/>
      <c r="Z40" s="36"/>
      <c r="AA40" s="36"/>
    </row>
    <row r="41">
      <c r="A41" s="66"/>
      <c r="B41" s="66"/>
      <c r="C41" s="66"/>
      <c r="D41" s="66"/>
      <c r="G41" s="67"/>
      <c r="P41" s="76"/>
      <c r="V41" s="39"/>
      <c r="W41" s="40"/>
      <c r="X41" s="41"/>
      <c r="Y41" s="41"/>
      <c r="Z41" s="39"/>
      <c r="AA41" s="39"/>
    </row>
    <row r="42">
      <c r="A42" s="66"/>
      <c r="B42" s="66"/>
      <c r="C42" s="66"/>
      <c r="D42" s="66"/>
      <c r="G42" s="67"/>
      <c r="P42" s="76"/>
      <c r="V42" s="39"/>
      <c r="W42" s="40"/>
      <c r="X42" s="41"/>
      <c r="Y42" s="41"/>
      <c r="Z42" s="39"/>
      <c r="AA42" s="39"/>
    </row>
    <row r="43">
      <c r="A43" s="66"/>
      <c r="B43" s="66"/>
      <c r="C43" s="66"/>
      <c r="D43" s="66"/>
      <c r="G43" s="67"/>
      <c r="P43" s="77"/>
    </row>
    <row r="44">
      <c r="A44" s="66"/>
      <c r="B44" s="66"/>
      <c r="C44" s="66"/>
      <c r="D44" s="66"/>
      <c r="G44" s="67"/>
      <c r="P44" s="76"/>
    </row>
    <row r="45">
      <c r="A45" s="66"/>
      <c r="C45" s="66"/>
      <c r="D45" s="66"/>
      <c r="G45" s="67"/>
      <c r="P45" s="77"/>
    </row>
    <row r="46">
      <c r="A46" s="66"/>
      <c r="B46" s="66"/>
      <c r="C46" s="66"/>
      <c r="D46" s="66"/>
      <c r="G46" s="67"/>
    </row>
    <row r="47">
      <c r="A47" s="66"/>
      <c r="B47" s="66"/>
      <c r="C47" s="66"/>
      <c r="D47" s="66"/>
      <c r="G47" s="67"/>
      <c r="P47" s="76"/>
    </row>
    <row r="48">
      <c r="A48" s="66"/>
      <c r="B48" s="66"/>
      <c r="C48" s="66"/>
      <c r="D48" s="66"/>
      <c r="G48" s="67"/>
      <c r="P48" s="76"/>
      <c r="V48" s="67"/>
    </row>
    <row r="49">
      <c r="A49" s="66"/>
      <c r="B49" s="66"/>
      <c r="C49" s="66"/>
      <c r="D49" s="66"/>
      <c r="G49" s="67"/>
      <c r="P49" s="76"/>
      <c r="V49" s="67"/>
    </row>
    <row r="50">
      <c r="A50" s="66"/>
      <c r="B50" s="66"/>
      <c r="C50" s="66"/>
      <c r="D50" s="66"/>
      <c r="G50" s="67"/>
      <c r="P50" s="77"/>
      <c r="V50" s="67"/>
    </row>
    <row r="51">
      <c r="A51" s="66"/>
      <c r="B51" s="66"/>
      <c r="C51" s="66"/>
      <c r="D51" s="66"/>
      <c r="G51" s="67"/>
      <c r="P51" s="76"/>
      <c r="V51" s="67"/>
    </row>
    <row r="52">
      <c r="A52" s="66"/>
      <c r="B52" s="66"/>
      <c r="C52" s="66"/>
      <c r="D52" s="66"/>
      <c r="G52" s="67"/>
      <c r="P52" s="77"/>
      <c r="V52" s="67"/>
    </row>
    <row r="53">
      <c r="A53" s="66"/>
      <c r="B53" s="66"/>
      <c r="C53" s="66"/>
      <c r="D53" s="66"/>
      <c r="G53" s="67"/>
      <c r="V53" s="67"/>
    </row>
    <row r="54">
      <c r="A54" s="66"/>
      <c r="B54" s="66"/>
      <c r="C54" s="66"/>
      <c r="D54" s="66"/>
      <c r="G54" s="67"/>
      <c r="P54" s="76"/>
      <c r="V54" s="67"/>
    </row>
    <row r="55">
      <c r="A55" s="66"/>
      <c r="B55" s="66"/>
      <c r="C55" s="66"/>
      <c r="D55" s="66"/>
      <c r="G55" s="67"/>
      <c r="P55" s="76"/>
      <c r="V55" s="67"/>
    </row>
    <row r="56">
      <c r="A56" s="66"/>
      <c r="B56" s="66"/>
      <c r="C56" s="66"/>
      <c r="D56" s="66"/>
      <c r="G56" s="67"/>
      <c r="P56" s="76"/>
      <c r="V56" s="67"/>
    </row>
    <row r="57">
      <c r="A57" s="66"/>
      <c r="B57" s="66"/>
      <c r="C57" s="66"/>
      <c r="D57" s="66"/>
      <c r="G57" s="67"/>
      <c r="P57" s="77"/>
      <c r="V57" s="67"/>
    </row>
    <row r="58">
      <c r="A58" s="66"/>
      <c r="B58" s="66"/>
      <c r="C58" s="66"/>
      <c r="D58" s="66"/>
      <c r="G58" s="67"/>
      <c r="P58" s="76"/>
      <c r="V58" s="67"/>
    </row>
    <row r="59">
      <c r="A59" s="66"/>
      <c r="B59" s="66"/>
      <c r="C59" s="66"/>
      <c r="D59" s="66"/>
      <c r="G59" s="67"/>
      <c r="P59" s="77"/>
      <c r="V59" s="67"/>
    </row>
    <row r="60">
      <c r="A60" s="66"/>
      <c r="B60" s="66"/>
      <c r="C60" s="66"/>
      <c r="D60" s="66"/>
      <c r="G60" s="67"/>
      <c r="V60" s="67"/>
    </row>
    <row r="61">
      <c r="A61" s="66"/>
      <c r="B61" s="66"/>
      <c r="C61" s="66"/>
      <c r="D61" s="66"/>
      <c r="G61" s="67"/>
      <c r="P61" s="76"/>
      <c r="V61" s="67"/>
    </row>
    <row r="62">
      <c r="A62" s="66"/>
      <c r="B62" s="66"/>
      <c r="C62" s="66"/>
      <c r="D62" s="66"/>
      <c r="G62" s="67"/>
      <c r="P62" s="76"/>
      <c r="V62" s="67"/>
    </row>
    <row r="63">
      <c r="A63" s="66"/>
      <c r="B63" s="66"/>
      <c r="C63" s="66"/>
      <c r="D63" s="66"/>
      <c r="G63" s="67"/>
      <c r="P63" s="76"/>
      <c r="V63" s="67"/>
    </row>
    <row r="64">
      <c r="A64" s="66"/>
      <c r="B64" s="66"/>
      <c r="C64" s="66"/>
      <c r="D64" s="66"/>
      <c r="G64" s="67"/>
      <c r="V64" s="67"/>
    </row>
    <row r="65">
      <c r="A65" s="66"/>
      <c r="B65" s="66"/>
      <c r="C65" s="66"/>
      <c r="D65" s="66"/>
      <c r="G65" s="67"/>
      <c r="V65" s="67"/>
    </row>
    <row r="66">
      <c r="A66" s="66"/>
      <c r="B66" s="66"/>
      <c r="C66" s="66"/>
      <c r="D66" s="66"/>
      <c r="G66" s="67"/>
      <c r="V66" s="67"/>
    </row>
    <row r="67">
      <c r="A67" s="66"/>
      <c r="B67" s="66"/>
      <c r="C67" s="66"/>
      <c r="D67" s="66"/>
      <c r="G67" s="67"/>
      <c r="V67" s="67"/>
    </row>
    <row r="68">
      <c r="A68" s="66"/>
      <c r="B68" s="66"/>
      <c r="C68" s="66"/>
      <c r="D68" s="66"/>
      <c r="G68" s="67"/>
      <c r="V68" s="67"/>
    </row>
    <row r="69">
      <c r="A69" s="66"/>
      <c r="B69" s="66"/>
      <c r="C69" s="66"/>
      <c r="D69" s="66"/>
      <c r="G69" s="67"/>
      <c r="V69" s="67"/>
    </row>
    <row r="70">
      <c r="A70" s="66"/>
      <c r="B70" s="66"/>
      <c r="C70" s="66"/>
      <c r="D70" s="66"/>
      <c r="G70" s="67"/>
      <c r="V70" s="67"/>
    </row>
    <row r="71">
      <c r="A71" s="66"/>
      <c r="B71" s="66"/>
      <c r="C71" s="66"/>
      <c r="D71" s="66"/>
      <c r="G71" s="67"/>
      <c r="V71" s="67"/>
    </row>
    <row r="72">
      <c r="A72" s="66"/>
      <c r="B72" s="66"/>
      <c r="C72" s="66"/>
      <c r="D72" s="66"/>
      <c r="G72" s="67"/>
      <c r="V72" s="67"/>
    </row>
    <row r="73">
      <c r="A73" s="66"/>
      <c r="B73" s="66"/>
      <c r="C73" s="66"/>
      <c r="D73" s="66"/>
      <c r="G73" s="67"/>
      <c r="V73" s="67"/>
    </row>
    <row r="74">
      <c r="A74" s="66"/>
      <c r="B74" s="66"/>
      <c r="C74" s="66"/>
      <c r="D74" s="66"/>
      <c r="G74" s="67"/>
      <c r="V74" s="67"/>
    </row>
    <row r="75">
      <c r="A75" s="66"/>
      <c r="B75" s="66"/>
      <c r="C75" s="66"/>
      <c r="D75" s="66"/>
      <c r="G75" s="67"/>
      <c r="V75" s="67"/>
    </row>
    <row r="76">
      <c r="A76" s="66"/>
      <c r="B76" s="66"/>
      <c r="C76" s="66"/>
      <c r="D76" s="66"/>
      <c r="G76" s="67"/>
      <c r="V76" s="67"/>
    </row>
    <row r="77">
      <c r="A77" s="66"/>
      <c r="B77" s="66"/>
      <c r="C77" s="66"/>
      <c r="D77" s="66"/>
      <c r="G77" s="67"/>
      <c r="V77" s="67"/>
    </row>
    <row r="78">
      <c r="A78" s="66"/>
      <c r="B78" s="66"/>
      <c r="C78" s="66"/>
      <c r="D78" s="66"/>
      <c r="G78" s="67"/>
      <c r="V78" s="67"/>
    </row>
    <row r="79">
      <c r="A79" s="66"/>
      <c r="B79" s="66"/>
      <c r="C79" s="66"/>
      <c r="D79" s="66"/>
      <c r="G79" s="67"/>
      <c r="V79" s="67"/>
    </row>
    <row r="80">
      <c r="A80" s="66"/>
      <c r="B80" s="66"/>
      <c r="C80" s="66"/>
      <c r="D80" s="66"/>
      <c r="G80" s="67"/>
      <c r="V80" s="67"/>
    </row>
    <row r="81">
      <c r="A81" s="66"/>
      <c r="B81" s="66"/>
      <c r="C81" s="66"/>
      <c r="D81" s="66"/>
      <c r="G81" s="67"/>
      <c r="V81" s="67"/>
    </row>
    <row r="82">
      <c r="A82" s="66"/>
      <c r="B82" s="66"/>
      <c r="C82" s="66"/>
      <c r="D82" s="66"/>
      <c r="G82" s="67"/>
      <c r="V82" s="67"/>
    </row>
    <row r="83">
      <c r="A83" s="66"/>
      <c r="B83" s="66"/>
      <c r="C83" s="66"/>
      <c r="D83" s="66"/>
      <c r="G83" s="67"/>
      <c r="V83" s="67"/>
    </row>
    <row r="84">
      <c r="A84" s="66"/>
      <c r="B84" s="66"/>
      <c r="C84" s="66"/>
      <c r="D84" s="66"/>
      <c r="G84" s="67"/>
      <c r="V84" s="67"/>
    </row>
    <row r="85">
      <c r="A85" s="66"/>
      <c r="B85" s="66"/>
      <c r="C85" s="66"/>
      <c r="D85" s="66"/>
      <c r="G85" s="67"/>
      <c r="V85" s="67"/>
    </row>
    <row r="86">
      <c r="A86" s="66"/>
      <c r="B86" s="66"/>
      <c r="C86" s="66"/>
      <c r="D86" s="66"/>
      <c r="G86" s="67"/>
      <c r="V86" s="67"/>
    </row>
    <row r="87">
      <c r="A87" s="66"/>
      <c r="B87" s="66"/>
      <c r="C87" s="66"/>
      <c r="D87" s="66"/>
      <c r="G87" s="67"/>
      <c r="V87" s="67"/>
    </row>
    <row r="88">
      <c r="A88" s="66"/>
      <c r="B88" s="66"/>
      <c r="C88" s="66"/>
      <c r="D88" s="66"/>
      <c r="G88" s="67"/>
      <c r="V88" s="67"/>
    </row>
    <row r="89">
      <c r="A89" s="66"/>
      <c r="B89" s="66"/>
      <c r="C89" s="66"/>
      <c r="D89" s="66"/>
      <c r="G89" s="67"/>
      <c r="V89" s="67"/>
    </row>
    <row r="90">
      <c r="A90" s="66"/>
      <c r="B90" s="66"/>
      <c r="C90" s="66"/>
      <c r="D90" s="66"/>
      <c r="G90" s="67"/>
      <c r="V90" s="67"/>
    </row>
    <row r="91">
      <c r="A91" s="66"/>
      <c r="B91" s="66"/>
      <c r="C91" s="66"/>
      <c r="D91" s="66"/>
      <c r="G91" s="67"/>
      <c r="V91" s="67"/>
    </row>
    <row r="92">
      <c r="A92" s="66"/>
      <c r="B92" s="66"/>
      <c r="C92" s="66"/>
      <c r="D92" s="66"/>
      <c r="G92" s="67"/>
      <c r="V92" s="67"/>
    </row>
    <row r="93">
      <c r="A93" s="66"/>
      <c r="B93" s="66"/>
      <c r="C93" s="66"/>
      <c r="D93" s="66"/>
      <c r="G93" s="67"/>
      <c r="V93" s="67"/>
    </row>
    <row r="94">
      <c r="A94" s="66"/>
      <c r="B94" s="66"/>
      <c r="C94" s="66"/>
      <c r="D94" s="66"/>
      <c r="G94" s="67"/>
      <c r="V94" s="67"/>
    </row>
    <row r="95">
      <c r="A95" s="66"/>
      <c r="B95" s="66"/>
      <c r="C95" s="66"/>
      <c r="D95" s="66"/>
      <c r="G95" s="67"/>
      <c r="V95" s="67"/>
    </row>
    <row r="96">
      <c r="A96" s="66"/>
      <c r="B96" s="66"/>
      <c r="C96" s="66"/>
      <c r="D96" s="66"/>
      <c r="G96" s="67"/>
      <c r="V96" s="67"/>
    </row>
    <row r="97">
      <c r="A97" s="66"/>
      <c r="B97" s="66"/>
      <c r="C97" s="66"/>
      <c r="D97" s="66"/>
      <c r="G97" s="67"/>
      <c r="V97" s="67"/>
    </row>
    <row r="98">
      <c r="A98" s="66"/>
      <c r="B98" s="66"/>
      <c r="C98" s="66"/>
      <c r="D98" s="66"/>
      <c r="G98" s="67"/>
      <c r="V98" s="67"/>
    </row>
    <row r="99">
      <c r="A99" s="66"/>
      <c r="B99" s="66"/>
      <c r="C99" s="66"/>
      <c r="D99" s="66"/>
      <c r="G99" s="67"/>
      <c r="V99" s="67"/>
    </row>
    <row r="100">
      <c r="A100" s="66"/>
      <c r="B100" s="66"/>
      <c r="C100" s="66"/>
      <c r="D100" s="66"/>
      <c r="G100" s="67"/>
      <c r="V100" s="67"/>
    </row>
    <row r="101">
      <c r="A101" s="66"/>
      <c r="B101" s="66"/>
      <c r="C101" s="66"/>
      <c r="D101" s="66"/>
      <c r="G101" s="67"/>
      <c r="V101" s="67"/>
    </row>
    <row r="102">
      <c r="A102" s="66"/>
      <c r="B102" s="66"/>
      <c r="C102" s="66"/>
      <c r="D102" s="66"/>
      <c r="G102" s="67"/>
      <c r="V102" s="67"/>
    </row>
    <row r="103">
      <c r="A103" s="66"/>
      <c r="B103" s="66"/>
      <c r="C103" s="66"/>
      <c r="D103" s="66"/>
      <c r="G103" s="67"/>
      <c r="V103" s="67"/>
    </row>
    <row r="104">
      <c r="A104" s="66"/>
      <c r="B104" s="66"/>
      <c r="C104" s="66"/>
      <c r="D104" s="66"/>
      <c r="G104" s="67"/>
      <c r="V104" s="67"/>
    </row>
    <row r="105">
      <c r="A105" s="66"/>
      <c r="B105" s="66"/>
      <c r="C105" s="66"/>
      <c r="D105" s="66"/>
      <c r="G105" s="67"/>
      <c r="V105" s="67"/>
    </row>
    <row r="106">
      <c r="A106" s="66"/>
      <c r="B106" s="66"/>
      <c r="C106" s="66"/>
      <c r="D106" s="66"/>
      <c r="G106" s="67"/>
      <c r="V106" s="67"/>
    </row>
    <row r="107">
      <c r="A107" s="66"/>
      <c r="B107" s="66"/>
      <c r="C107" s="66"/>
      <c r="D107" s="66"/>
      <c r="G107" s="67"/>
      <c r="V107" s="67"/>
    </row>
    <row r="108">
      <c r="A108" s="66"/>
      <c r="B108" s="66"/>
      <c r="C108" s="66"/>
      <c r="D108" s="66"/>
      <c r="G108" s="67"/>
      <c r="V108" s="67"/>
    </row>
    <row r="109">
      <c r="A109" s="66"/>
      <c r="B109" s="66"/>
      <c r="C109" s="66"/>
      <c r="D109" s="66"/>
      <c r="G109" s="67"/>
      <c r="V109" s="67"/>
    </row>
    <row r="110">
      <c r="A110" s="66"/>
      <c r="B110" s="66"/>
      <c r="C110" s="66"/>
      <c r="D110" s="66"/>
      <c r="G110" s="67"/>
      <c r="V110" s="67"/>
    </row>
    <row r="111">
      <c r="A111" s="66"/>
      <c r="B111" s="66"/>
      <c r="C111" s="66"/>
      <c r="D111" s="66"/>
      <c r="G111" s="67"/>
      <c r="V111" s="67"/>
    </row>
    <row r="112">
      <c r="A112" s="66"/>
      <c r="B112" s="66"/>
      <c r="C112" s="66"/>
      <c r="D112" s="66"/>
      <c r="G112" s="67"/>
      <c r="V112" s="67"/>
    </row>
    <row r="113">
      <c r="A113" s="66"/>
      <c r="B113" s="66"/>
      <c r="C113" s="66"/>
      <c r="D113" s="66"/>
      <c r="G113" s="67"/>
      <c r="V113" s="67"/>
    </row>
    <row r="114">
      <c r="A114" s="66"/>
      <c r="B114" s="66"/>
      <c r="C114" s="66"/>
      <c r="D114" s="66"/>
      <c r="G114" s="67"/>
      <c r="V114" s="67"/>
    </row>
    <row r="115">
      <c r="A115" s="66"/>
      <c r="B115" s="66"/>
      <c r="C115" s="66"/>
      <c r="D115" s="66"/>
      <c r="G115" s="67"/>
      <c r="V115" s="67"/>
    </row>
    <row r="116">
      <c r="A116" s="66"/>
      <c r="B116" s="66"/>
      <c r="C116" s="66"/>
      <c r="D116" s="66"/>
      <c r="G116" s="67"/>
      <c r="V116" s="67"/>
    </row>
    <row r="117">
      <c r="A117" s="66"/>
      <c r="B117" s="66"/>
      <c r="C117" s="66"/>
      <c r="D117" s="66"/>
      <c r="G117" s="67"/>
      <c r="V117" s="67"/>
    </row>
    <row r="118">
      <c r="A118" s="66"/>
      <c r="B118" s="66"/>
      <c r="C118" s="66"/>
      <c r="D118" s="66"/>
      <c r="G118" s="67"/>
      <c r="V118" s="67"/>
    </row>
    <row r="119">
      <c r="A119" s="66"/>
      <c r="B119" s="66"/>
      <c r="C119" s="66"/>
      <c r="D119" s="66"/>
      <c r="G119" s="67"/>
      <c r="V119" s="67"/>
    </row>
    <row r="120">
      <c r="A120" s="66"/>
      <c r="B120" s="66"/>
      <c r="C120" s="66"/>
      <c r="D120" s="66"/>
      <c r="G120" s="67"/>
      <c r="V120" s="67"/>
    </row>
    <row r="121">
      <c r="A121" s="66"/>
      <c r="B121" s="66"/>
      <c r="C121" s="66"/>
      <c r="D121" s="66"/>
      <c r="G121" s="67"/>
      <c r="V121" s="67"/>
    </row>
    <row r="122">
      <c r="A122" s="66"/>
      <c r="B122" s="66"/>
      <c r="C122" s="66"/>
      <c r="D122" s="66"/>
      <c r="G122" s="67"/>
      <c r="V122" s="67"/>
    </row>
    <row r="123">
      <c r="A123" s="66"/>
      <c r="B123" s="66"/>
      <c r="C123" s="66"/>
      <c r="D123" s="66"/>
      <c r="G123" s="67"/>
      <c r="V123" s="67"/>
    </row>
    <row r="124">
      <c r="A124" s="66"/>
      <c r="B124" s="66"/>
      <c r="C124" s="66"/>
      <c r="D124" s="66"/>
      <c r="G124" s="67"/>
      <c r="V124" s="67"/>
    </row>
    <row r="125">
      <c r="A125" s="66"/>
      <c r="B125" s="66"/>
      <c r="C125" s="66"/>
      <c r="D125" s="66"/>
      <c r="G125" s="67"/>
      <c r="V125" s="67"/>
    </row>
    <row r="126">
      <c r="A126" s="66"/>
      <c r="B126" s="66"/>
      <c r="C126" s="66"/>
      <c r="D126" s="66"/>
      <c r="G126" s="67"/>
      <c r="V126" s="67"/>
    </row>
    <row r="127">
      <c r="A127" s="66"/>
      <c r="B127" s="66"/>
      <c r="C127" s="66"/>
      <c r="D127" s="66"/>
      <c r="G127" s="67"/>
      <c r="V127" s="67"/>
    </row>
    <row r="128">
      <c r="A128" s="66"/>
      <c r="B128" s="66"/>
      <c r="C128" s="66"/>
      <c r="D128" s="66"/>
      <c r="G128" s="67"/>
      <c r="V128" s="67"/>
    </row>
    <row r="129">
      <c r="A129" s="66"/>
      <c r="B129" s="66"/>
      <c r="C129" s="66"/>
      <c r="D129" s="66"/>
      <c r="G129" s="67"/>
      <c r="V129" s="67"/>
    </row>
    <row r="130">
      <c r="A130" s="66"/>
      <c r="B130" s="66"/>
      <c r="C130" s="66"/>
      <c r="D130" s="66"/>
      <c r="G130" s="67"/>
      <c r="V130" s="67"/>
    </row>
    <row r="131">
      <c r="A131" s="66"/>
      <c r="B131" s="66"/>
      <c r="C131" s="66"/>
      <c r="D131" s="66"/>
      <c r="G131" s="67"/>
      <c r="V131" s="67"/>
    </row>
    <row r="132">
      <c r="A132" s="66"/>
      <c r="B132" s="66"/>
      <c r="C132" s="66"/>
      <c r="D132" s="66"/>
      <c r="G132" s="67"/>
      <c r="V132" s="67"/>
    </row>
    <row r="133">
      <c r="A133" s="66"/>
      <c r="B133" s="66"/>
      <c r="C133" s="66"/>
      <c r="D133" s="66"/>
      <c r="G133" s="67"/>
      <c r="V133" s="67"/>
    </row>
    <row r="134">
      <c r="A134" s="66"/>
      <c r="B134" s="66"/>
      <c r="C134" s="66"/>
      <c r="D134" s="66"/>
      <c r="G134" s="67"/>
      <c r="V134" s="67"/>
    </row>
    <row r="135">
      <c r="A135" s="66"/>
      <c r="B135" s="66"/>
      <c r="C135" s="66"/>
      <c r="D135" s="66"/>
      <c r="G135" s="67"/>
      <c r="V135" s="67"/>
    </row>
    <row r="136">
      <c r="A136" s="66"/>
      <c r="B136" s="66"/>
      <c r="C136" s="66"/>
      <c r="D136" s="66"/>
      <c r="G136" s="67"/>
      <c r="V136" s="67"/>
    </row>
    <row r="137">
      <c r="A137" s="66"/>
      <c r="B137" s="66"/>
      <c r="C137" s="66"/>
      <c r="D137" s="66"/>
      <c r="G137" s="67"/>
      <c r="V137" s="67"/>
    </row>
    <row r="138">
      <c r="A138" s="66"/>
      <c r="B138" s="66"/>
      <c r="C138" s="66"/>
      <c r="D138" s="66"/>
      <c r="G138" s="67"/>
      <c r="V138" s="67"/>
    </row>
    <row r="139">
      <c r="A139" s="66"/>
      <c r="B139" s="66"/>
      <c r="C139" s="66"/>
      <c r="D139" s="66"/>
      <c r="G139" s="67"/>
      <c r="V139" s="67"/>
    </row>
    <row r="140">
      <c r="A140" s="66"/>
      <c r="B140" s="66"/>
      <c r="C140" s="66"/>
      <c r="D140" s="66"/>
      <c r="G140" s="67"/>
      <c r="V140" s="67"/>
    </row>
    <row r="141">
      <c r="A141" s="66"/>
      <c r="B141" s="66"/>
      <c r="C141" s="66"/>
      <c r="D141" s="66"/>
      <c r="G141" s="67"/>
      <c r="V141" s="67"/>
    </row>
    <row r="142">
      <c r="A142" s="66"/>
      <c r="B142" s="66"/>
      <c r="C142" s="66"/>
      <c r="D142" s="66"/>
      <c r="G142" s="67"/>
      <c r="V142" s="67"/>
    </row>
    <row r="143">
      <c r="A143" s="66"/>
      <c r="B143" s="66"/>
      <c r="C143" s="66"/>
      <c r="D143" s="66"/>
      <c r="G143" s="67"/>
      <c r="V143" s="67"/>
    </row>
    <row r="144">
      <c r="A144" s="66"/>
      <c r="B144" s="66"/>
      <c r="C144" s="66"/>
      <c r="D144" s="66"/>
      <c r="G144" s="67"/>
      <c r="V144" s="67"/>
    </row>
    <row r="145">
      <c r="A145" s="66"/>
      <c r="B145" s="66"/>
      <c r="C145" s="66"/>
      <c r="D145" s="66"/>
      <c r="G145" s="67"/>
      <c r="V145" s="67"/>
    </row>
    <row r="146">
      <c r="A146" s="66"/>
      <c r="B146" s="66"/>
      <c r="C146" s="66"/>
      <c r="D146" s="66"/>
      <c r="G146" s="67"/>
      <c r="V146" s="67"/>
    </row>
    <row r="147">
      <c r="A147" s="66"/>
      <c r="B147" s="66"/>
      <c r="C147" s="66"/>
      <c r="D147" s="66"/>
      <c r="G147" s="67"/>
      <c r="V147" s="67"/>
    </row>
    <row r="148">
      <c r="A148" s="66"/>
      <c r="B148" s="66"/>
      <c r="C148" s="66"/>
      <c r="D148" s="66"/>
      <c r="G148" s="67"/>
      <c r="V148" s="67"/>
    </row>
    <row r="149">
      <c r="A149" s="66"/>
      <c r="B149" s="66"/>
      <c r="C149" s="66"/>
      <c r="D149" s="66"/>
      <c r="G149" s="67"/>
      <c r="V149" s="67"/>
    </row>
    <row r="150">
      <c r="A150" s="66"/>
      <c r="B150" s="66"/>
      <c r="C150" s="66"/>
      <c r="D150" s="66"/>
      <c r="G150" s="67"/>
      <c r="V150" s="67"/>
    </row>
    <row r="151">
      <c r="A151" s="66"/>
      <c r="B151" s="66"/>
      <c r="C151" s="66"/>
      <c r="D151" s="66"/>
      <c r="G151" s="67"/>
      <c r="V151" s="67"/>
    </row>
    <row r="152">
      <c r="A152" s="66"/>
      <c r="B152" s="66"/>
      <c r="C152" s="66"/>
      <c r="D152" s="66"/>
      <c r="G152" s="67"/>
      <c r="V152" s="67"/>
    </row>
    <row r="153">
      <c r="A153" s="66"/>
      <c r="B153" s="66"/>
      <c r="C153" s="66"/>
      <c r="D153" s="66"/>
      <c r="G153" s="67"/>
      <c r="V153" s="67"/>
    </row>
    <row r="154">
      <c r="A154" s="66"/>
      <c r="B154" s="66"/>
      <c r="C154" s="66"/>
      <c r="D154" s="66"/>
      <c r="G154" s="67"/>
      <c r="V154" s="67"/>
    </row>
    <row r="155">
      <c r="A155" s="66"/>
      <c r="B155" s="66"/>
      <c r="C155" s="66"/>
      <c r="D155" s="66"/>
      <c r="G155" s="67"/>
      <c r="V155" s="67"/>
    </row>
    <row r="156">
      <c r="A156" s="66"/>
      <c r="B156" s="66"/>
      <c r="C156" s="66"/>
      <c r="D156" s="66"/>
      <c r="G156" s="67"/>
      <c r="V156" s="67"/>
    </row>
    <row r="157">
      <c r="A157" s="66"/>
      <c r="B157" s="66"/>
      <c r="C157" s="66"/>
      <c r="D157" s="66"/>
      <c r="G157" s="67"/>
      <c r="V157" s="67"/>
    </row>
    <row r="158">
      <c r="A158" s="66"/>
      <c r="B158" s="66"/>
      <c r="C158" s="66"/>
      <c r="D158" s="66"/>
      <c r="G158" s="67"/>
      <c r="V158" s="67"/>
    </row>
    <row r="159">
      <c r="A159" s="66"/>
      <c r="B159" s="66"/>
      <c r="C159" s="66"/>
      <c r="D159" s="66"/>
      <c r="G159" s="67"/>
      <c r="V159" s="67"/>
    </row>
    <row r="160">
      <c r="A160" s="66"/>
      <c r="B160" s="66"/>
      <c r="C160" s="66"/>
      <c r="D160" s="66"/>
      <c r="G160" s="67"/>
      <c r="V160" s="67"/>
    </row>
    <row r="161">
      <c r="A161" s="66"/>
      <c r="B161" s="66"/>
      <c r="C161" s="66"/>
      <c r="D161" s="66"/>
      <c r="G161" s="67"/>
      <c r="V161" s="67"/>
    </row>
    <row r="162">
      <c r="A162" s="66"/>
      <c r="B162" s="66"/>
      <c r="C162" s="66"/>
      <c r="D162" s="66"/>
      <c r="G162" s="67"/>
      <c r="V162" s="67"/>
    </row>
    <row r="163">
      <c r="A163" s="66"/>
      <c r="B163" s="66"/>
      <c r="C163" s="66"/>
      <c r="D163" s="66"/>
      <c r="G163" s="67"/>
      <c r="V163" s="67"/>
    </row>
    <row r="164">
      <c r="A164" s="66"/>
      <c r="B164" s="66"/>
      <c r="C164" s="66"/>
      <c r="D164" s="66"/>
      <c r="G164" s="67"/>
      <c r="V164" s="67"/>
    </row>
    <row r="165">
      <c r="A165" s="66"/>
      <c r="B165" s="66"/>
      <c r="C165" s="66"/>
      <c r="D165" s="66"/>
      <c r="G165" s="67"/>
      <c r="V165" s="67"/>
    </row>
    <row r="166">
      <c r="A166" s="66"/>
      <c r="B166" s="66"/>
      <c r="C166" s="66"/>
      <c r="D166" s="66"/>
      <c r="G166" s="67"/>
      <c r="V166" s="67"/>
    </row>
    <row r="167">
      <c r="A167" s="66"/>
      <c r="B167" s="66"/>
      <c r="C167" s="66"/>
      <c r="D167" s="66"/>
      <c r="G167" s="67"/>
      <c r="V167" s="67"/>
    </row>
    <row r="168">
      <c r="A168" s="66"/>
      <c r="B168" s="66"/>
      <c r="C168" s="66"/>
      <c r="D168" s="66"/>
      <c r="G168" s="67"/>
      <c r="V168" s="67"/>
    </row>
    <row r="169">
      <c r="A169" s="66"/>
      <c r="B169" s="66"/>
      <c r="C169" s="66"/>
      <c r="D169" s="66"/>
      <c r="G169" s="67"/>
      <c r="V169" s="67"/>
    </row>
    <row r="170">
      <c r="A170" s="66"/>
      <c r="B170" s="66"/>
      <c r="C170" s="66"/>
      <c r="D170" s="66"/>
      <c r="G170" s="67"/>
      <c r="V170" s="67"/>
    </row>
    <row r="171">
      <c r="A171" s="66"/>
      <c r="B171" s="66"/>
      <c r="C171" s="66"/>
      <c r="D171" s="66"/>
      <c r="G171" s="67"/>
      <c r="V171" s="67"/>
    </row>
    <row r="172">
      <c r="A172" s="66"/>
      <c r="B172" s="66"/>
      <c r="C172" s="66"/>
      <c r="D172" s="66"/>
      <c r="G172" s="67"/>
      <c r="V172" s="67"/>
    </row>
    <row r="173">
      <c r="A173" s="66"/>
      <c r="B173" s="66"/>
      <c r="C173" s="66"/>
      <c r="D173" s="66"/>
      <c r="G173" s="67"/>
      <c r="V173" s="67"/>
    </row>
    <row r="174">
      <c r="A174" s="66"/>
      <c r="B174" s="66"/>
      <c r="C174" s="66"/>
      <c r="D174" s="66"/>
      <c r="G174" s="67"/>
      <c r="V174" s="67"/>
    </row>
    <row r="175">
      <c r="A175" s="66"/>
      <c r="B175" s="66"/>
      <c r="C175" s="66"/>
      <c r="D175" s="66"/>
      <c r="G175" s="67"/>
      <c r="V175" s="67"/>
    </row>
    <row r="176">
      <c r="A176" s="66"/>
      <c r="B176" s="66"/>
      <c r="C176" s="66"/>
      <c r="D176" s="66"/>
      <c r="G176" s="67"/>
      <c r="V176" s="67"/>
    </row>
    <row r="177">
      <c r="A177" s="66"/>
      <c r="B177" s="66"/>
      <c r="C177" s="66"/>
      <c r="D177" s="66"/>
      <c r="G177" s="67"/>
      <c r="V177" s="67"/>
    </row>
    <row r="178">
      <c r="A178" s="66"/>
      <c r="B178" s="66"/>
      <c r="C178" s="66"/>
      <c r="D178" s="66"/>
      <c r="G178" s="67"/>
      <c r="V178" s="67"/>
    </row>
    <row r="179">
      <c r="A179" s="66"/>
      <c r="B179" s="66"/>
      <c r="C179" s="66"/>
      <c r="D179" s="66"/>
      <c r="G179" s="67"/>
      <c r="V179" s="67"/>
    </row>
    <row r="180">
      <c r="A180" s="66"/>
      <c r="B180" s="66"/>
      <c r="C180" s="66"/>
      <c r="D180" s="66"/>
      <c r="G180" s="67"/>
      <c r="V180" s="67"/>
    </row>
    <row r="181">
      <c r="A181" s="66"/>
      <c r="B181" s="66"/>
      <c r="C181" s="66"/>
      <c r="D181" s="66"/>
      <c r="G181" s="67"/>
      <c r="V181" s="67"/>
    </row>
    <row r="182">
      <c r="A182" s="66"/>
      <c r="B182" s="66"/>
      <c r="C182" s="66"/>
      <c r="D182" s="66"/>
      <c r="G182" s="67"/>
      <c r="V182" s="67"/>
    </row>
    <row r="183">
      <c r="A183" s="66"/>
      <c r="B183" s="66"/>
      <c r="C183" s="66"/>
      <c r="D183" s="66"/>
      <c r="G183" s="67"/>
      <c r="V183" s="67"/>
    </row>
    <row r="184">
      <c r="A184" s="66"/>
      <c r="B184" s="66"/>
      <c r="C184" s="66"/>
      <c r="D184" s="66"/>
      <c r="G184" s="67"/>
      <c r="V184" s="67"/>
    </row>
    <row r="185">
      <c r="A185" s="66"/>
      <c r="B185" s="66"/>
      <c r="C185" s="66"/>
      <c r="D185" s="66"/>
      <c r="G185" s="67"/>
      <c r="V185" s="67"/>
    </row>
    <row r="186">
      <c r="A186" s="66"/>
      <c r="B186" s="66"/>
      <c r="C186" s="66"/>
      <c r="D186" s="66"/>
      <c r="G186" s="67"/>
      <c r="V186" s="67"/>
    </row>
    <row r="187">
      <c r="A187" s="66"/>
      <c r="B187" s="66"/>
      <c r="C187" s="66"/>
      <c r="D187" s="66"/>
      <c r="G187" s="67"/>
      <c r="V187" s="67"/>
    </row>
    <row r="188">
      <c r="A188" s="66"/>
      <c r="B188" s="66"/>
      <c r="C188" s="66"/>
      <c r="D188" s="66"/>
      <c r="G188" s="67"/>
      <c r="V188" s="67"/>
    </row>
    <row r="189">
      <c r="A189" s="66"/>
      <c r="B189" s="66"/>
      <c r="C189" s="66"/>
      <c r="D189" s="66"/>
      <c r="G189" s="67"/>
      <c r="V189" s="67"/>
    </row>
    <row r="190">
      <c r="A190" s="66"/>
      <c r="B190" s="66"/>
      <c r="C190" s="66"/>
      <c r="D190" s="66"/>
      <c r="G190" s="67"/>
      <c r="V190" s="67"/>
    </row>
    <row r="191">
      <c r="A191" s="66"/>
      <c r="B191" s="66"/>
      <c r="C191" s="66"/>
      <c r="D191" s="66"/>
      <c r="G191" s="67"/>
      <c r="V191" s="67"/>
    </row>
    <row r="192">
      <c r="A192" s="66"/>
      <c r="B192" s="66"/>
      <c r="C192" s="66"/>
      <c r="D192" s="66"/>
      <c r="G192" s="67"/>
      <c r="V192" s="67"/>
    </row>
    <row r="193">
      <c r="A193" s="66"/>
      <c r="B193" s="66"/>
      <c r="C193" s="66"/>
      <c r="D193" s="66"/>
      <c r="G193" s="67"/>
      <c r="V193" s="67"/>
    </row>
    <row r="194">
      <c r="A194" s="66"/>
      <c r="B194" s="66"/>
      <c r="C194" s="66"/>
      <c r="D194" s="66"/>
      <c r="G194" s="67"/>
      <c r="V194" s="67"/>
    </row>
    <row r="195">
      <c r="A195" s="66"/>
      <c r="B195" s="66"/>
      <c r="C195" s="66"/>
      <c r="D195" s="66"/>
      <c r="G195" s="67"/>
      <c r="V195" s="67"/>
    </row>
    <row r="196">
      <c r="A196" s="66"/>
      <c r="B196" s="66"/>
      <c r="C196" s="66"/>
      <c r="D196" s="66"/>
      <c r="G196" s="67"/>
      <c r="V196" s="67"/>
    </row>
    <row r="197">
      <c r="A197" s="66"/>
      <c r="B197" s="66"/>
      <c r="C197" s="66"/>
      <c r="D197" s="66"/>
      <c r="G197" s="67"/>
      <c r="V197" s="67"/>
    </row>
    <row r="198">
      <c r="A198" s="66"/>
      <c r="B198" s="66"/>
      <c r="C198" s="66"/>
      <c r="D198" s="66"/>
      <c r="G198" s="67"/>
      <c r="V198" s="67"/>
    </row>
    <row r="199">
      <c r="A199" s="66"/>
      <c r="B199" s="66"/>
      <c r="C199" s="66"/>
      <c r="D199" s="66"/>
      <c r="G199" s="67"/>
      <c r="V199" s="67"/>
    </row>
    <row r="200">
      <c r="A200" s="66"/>
      <c r="B200" s="66"/>
      <c r="C200" s="66"/>
      <c r="D200" s="66"/>
      <c r="G200" s="67"/>
      <c r="V200" s="67"/>
    </row>
    <row r="201">
      <c r="A201" s="66"/>
      <c r="B201" s="66"/>
      <c r="C201" s="66"/>
      <c r="D201" s="66"/>
      <c r="G201" s="67"/>
      <c r="V201" s="67"/>
    </row>
    <row r="202">
      <c r="A202" s="66"/>
      <c r="B202" s="66"/>
      <c r="C202" s="66"/>
      <c r="D202" s="66"/>
      <c r="G202" s="67"/>
      <c r="V202" s="67"/>
    </row>
    <row r="203">
      <c r="A203" s="66"/>
      <c r="B203" s="66"/>
      <c r="C203" s="66"/>
      <c r="D203" s="66"/>
      <c r="G203" s="67"/>
      <c r="V203" s="67"/>
    </row>
    <row r="204">
      <c r="A204" s="66"/>
      <c r="B204" s="66"/>
      <c r="C204" s="66"/>
      <c r="D204" s="66"/>
      <c r="G204" s="67"/>
      <c r="V204" s="67"/>
    </row>
    <row r="205">
      <c r="A205" s="66"/>
      <c r="B205" s="66"/>
      <c r="C205" s="66"/>
      <c r="D205" s="66"/>
      <c r="G205" s="67"/>
      <c r="V205" s="67"/>
    </row>
    <row r="206">
      <c r="A206" s="66"/>
      <c r="B206" s="66"/>
      <c r="C206" s="66"/>
      <c r="D206" s="66"/>
      <c r="G206" s="67"/>
      <c r="V206" s="67"/>
    </row>
    <row r="207">
      <c r="A207" s="66"/>
      <c r="B207" s="66"/>
      <c r="C207" s="66"/>
      <c r="D207" s="66"/>
      <c r="G207" s="67"/>
      <c r="V207" s="67"/>
    </row>
    <row r="208">
      <c r="A208" s="66"/>
      <c r="B208" s="66"/>
      <c r="C208" s="66"/>
      <c r="D208" s="66"/>
      <c r="G208" s="67"/>
      <c r="V208" s="67"/>
    </row>
    <row r="209">
      <c r="A209" s="66"/>
      <c r="B209" s="66"/>
      <c r="C209" s="66"/>
      <c r="D209" s="66"/>
      <c r="G209" s="67"/>
      <c r="V209" s="67"/>
    </row>
    <row r="210">
      <c r="A210" s="66"/>
      <c r="B210" s="66"/>
      <c r="C210" s="66"/>
      <c r="D210" s="66"/>
      <c r="G210" s="67"/>
      <c r="V210" s="67"/>
    </row>
    <row r="211">
      <c r="A211" s="66"/>
      <c r="B211" s="66"/>
      <c r="C211" s="66"/>
      <c r="D211" s="66"/>
      <c r="G211" s="67"/>
      <c r="V211" s="67"/>
    </row>
    <row r="212">
      <c r="A212" s="66"/>
      <c r="B212" s="66"/>
      <c r="C212" s="66"/>
      <c r="D212" s="66"/>
      <c r="G212" s="67"/>
      <c r="V212" s="67"/>
    </row>
    <row r="213">
      <c r="A213" s="66"/>
      <c r="B213" s="66"/>
      <c r="C213" s="66"/>
      <c r="D213" s="66"/>
      <c r="G213" s="67"/>
      <c r="V213" s="67"/>
    </row>
    <row r="214">
      <c r="A214" s="66"/>
      <c r="B214" s="66"/>
      <c r="C214" s="66"/>
      <c r="D214" s="66"/>
      <c r="G214" s="67"/>
      <c r="V214" s="67"/>
    </row>
    <row r="215">
      <c r="A215" s="66"/>
      <c r="B215" s="66"/>
      <c r="C215" s="66"/>
      <c r="D215" s="66"/>
      <c r="G215" s="67"/>
      <c r="V215" s="67"/>
    </row>
    <row r="216">
      <c r="A216" s="66"/>
      <c r="B216" s="66"/>
      <c r="C216" s="66"/>
      <c r="D216" s="66"/>
      <c r="G216" s="67"/>
      <c r="V216" s="67"/>
    </row>
    <row r="217">
      <c r="A217" s="66"/>
      <c r="B217" s="66"/>
      <c r="C217" s="66"/>
      <c r="D217" s="66"/>
      <c r="G217" s="67"/>
      <c r="V217" s="67"/>
    </row>
    <row r="218">
      <c r="A218" s="66"/>
      <c r="B218" s="66"/>
      <c r="C218" s="66"/>
      <c r="D218" s="66"/>
      <c r="G218" s="67"/>
      <c r="V218" s="67"/>
    </row>
    <row r="219">
      <c r="A219" s="66"/>
      <c r="B219" s="66"/>
      <c r="C219" s="66"/>
      <c r="D219" s="66"/>
      <c r="G219" s="67"/>
      <c r="V219" s="67"/>
    </row>
    <row r="220">
      <c r="A220" s="66"/>
      <c r="B220" s="66"/>
      <c r="C220" s="66"/>
      <c r="D220" s="66"/>
      <c r="G220" s="67"/>
      <c r="V220" s="67"/>
    </row>
    <row r="221">
      <c r="A221" s="66"/>
      <c r="B221" s="66"/>
      <c r="C221" s="66"/>
      <c r="D221" s="66"/>
      <c r="G221" s="67"/>
      <c r="V221" s="67"/>
    </row>
    <row r="222">
      <c r="A222" s="66"/>
      <c r="B222" s="66"/>
      <c r="C222" s="66"/>
      <c r="D222" s="66"/>
      <c r="G222" s="67"/>
      <c r="V222" s="67"/>
    </row>
    <row r="223">
      <c r="A223" s="66"/>
      <c r="B223" s="66"/>
      <c r="C223" s="66"/>
      <c r="D223" s="66"/>
      <c r="G223" s="67"/>
      <c r="V223" s="67"/>
    </row>
    <row r="224">
      <c r="A224" s="66"/>
      <c r="B224" s="66"/>
      <c r="C224" s="66"/>
      <c r="D224" s="66"/>
      <c r="G224" s="67"/>
      <c r="V224" s="67"/>
    </row>
    <row r="225">
      <c r="A225" s="66"/>
      <c r="B225" s="66"/>
      <c r="C225" s="66"/>
      <c r="D225" s="66"/>
      <c r="G225" s="67"/>
      <c r="V225" s="67"/>
    </row>
    <row r="226">
      <c r="A226" s="66"/>
      <c r="B226" s="66"/>
      <c r="C226" s="66"/>
      <c r="D226" s="66"/>
      <c r="G226" s="67"/>
      <c r="V226" s="67"/>
    </row>
    <row r="227">
      <c r="A227" s="66"/>
      <c r="B227" s="66"/>
      <c r="C227" s="66"/>
      <c r="D227" s="66"/>
      <c r="G227" s="67"/>
      <c r="V227" s="67"/>
    </row>
    <row r="228">
      <c r="A228" s="66"/>
      <c r="B228" s="66"/>
      <c r="C228" s="66"/>
      <c r="D228" s="66"/>
      <c r="G228" s="67"/>
      <c r="V228" s="67"/>
    </row>
    <row r="229">
      <c r="A229" s="66"/>
      <c r="B229" s="66"/>
      <c r="C229" s="66"/>
      <c r="D229" s="66"/>
      <c r="G229" s="67"/>
      <c r="V229" s="67"/>
    </row>
    <row r="230">
      <c r="A230" s="66"/>
      <c r="B230" s="66"/>
      <c r="C230" s="66"/>
      <c r="D230" s="66"/>
      <c r="G230" s="67"/>
      <c r="V230" s="67"/>
    </row>
    <row r="231">
      <c r="A231" s="66"/>
      <c r="B231" s="66"/>
      <c r="C231" s="66"/>
      <c r="D231" s="66"/>
      <c r="G231" s="67"/>
      <c r="V231" s="67"/>
    </row>
    <row r="232">
      <c r="A232" s="66"/>
      <c r="B232" s="66"/>
      <c r="C232" s="66"/>
      <c r="D232" s="66"/>
      <c r="G232" s="67"/>
      <c r="V232" s="67"/>
    </row>
    <row r="233">
      <c r="A233" s="66"/>
      <c r="B233" s="66"/>
      <c r="C233" s="66"/>
      <c r="D233" s="66"/>
      <c r="G233" s="67"/>
      <c r="V233" s="67"/>
    </row>
    <row r="234">
      <c r="A234" s="66"/>
      <c r="B234" s="66"/>
      <c r="C234" s="66"/>
      <c r="D234" s="66"/>
      <c r="G234" s="67"/>
      <c r="V234" s="67"/>
    </row>
    <row r="235">
      <c r="A235" s="66"/>
      <c r="B235" s="66"/>
      <c r="C235" s="66"/>
      <c r="D235" s="66"/>
      <c r="G235" s="67"/>
      <c r="V235" s="67"/>
    </row>
    <row r="236">
      <c r="A236" s="66"/>
      <c r="B236" s="66"/>
      <c r="C236" s="66"/>
      <c r="D236" s="66"/>
      <c r="G236" s="67"/>
      <c r="V236" s="67"/>
    </row>
    <row r="237">
      <c r="A237" s="66"/>
      <c r="B237" s="66"/>
      <c r="C237" s="66"/>
      <c r="D237" s="66"/>
      <c r="G237" s="67"/>
      <c r="V237" s="67"/>
    </row>
    <row r="238">
      <c r="A238" s="66"/>
      <c r="B238" s="66"/>
      <c r="C238" s="66"/>
      <c r="D238" s="66"/>
      <c r="G238" s="67"/>
      <c r="V238" s="67"/>
    </row>
    <row r="239">
      <c r="A239" s="66"/>
      <c r="B239" s="66"/>
      <c r="C239" s="66"/>
      <c r="D239" s="66"/>
      <c r="G239" s="67"/>
      <c r="V239" s="67"/>
    </row>
    <row r="240">
      <c r="A240" s="66"/>
      <c r="B240" s="66"/>
      <c r="C240" s="66"/>
      <c r="D240" s="66"/>
      <c r="G240" s="67"/>
      <c r="V240" s="67"/>
    </row>
    <row r="241">
      <c r="A241" s="66"/>
      <c r="B241" s="66"/>
      <c r="C241" s="66"/>
      <c r="D241" s="66"/>
      <c r="G241" s="67"/>
      <c r="V241" s="67"/>
    </row>
    <row r="242">
      <c r="A242" s="66"/>
      <c r="B242" s="66"/>
      <c r="C242" s="66"/>
      <c r="D242" s="66"/>
      <c r="G242" s="67"/>
      <c r="V242" s="67"/>
    </row>
    <row r="243">
      <c r="A243" s="66"/>
      <c r="B243" s="66"/>
      <c r="C243" s="66"/>
      <c r="D243" s="66"/>
      <c r="G243" s="67"/>
      <c r="V243" s="67"/>
    </row>
    <row r="244">
      <c r="A244" s="66"/>
      <c r="B244" s="66"/>
      <c r="C244" s="66"/>
      <c r="D244" s="66"/>
      <c r="G244" s="67"/>
      <c r="V244" s="67"/>
    </row>
    <row r="245">
      <c r="A245" s="66"/>
      <c r="B245" s="66"/>
      <c r="C245" s="66"/>
      <c r="D245" s="66"/>
      <c r="G245" s="67"/>
      <c r="V245" s="67"/>
    </row>
    <row r="246">
      <c r="A246" s="66"/>
      <c r="B246" s="66"/>
      <c r="C246" s="66"/>
      <c r="D246" s="66"/>
      <c r="G246" s="67"/>
      <c r="V246" s="67"/>
    </row>
    <row r="247">
      <c r="A247" s="66"/>
      <c r="B247" s="66"/>
      <c r="C247" s="66"/>
      <c r="D247" s="66"/>
      <c r="G247" s="67"/>
      <c r="V247" s="67"/>
    </row>
    <row r="248">
      <c r="A248" s="66"/>
      <c r="B248" s="66"/>
      <c r="C248" s="66"/>
      <c r="D248" s="66"/>
      <c r="G248" s="67"/>
      <c r="V248" s="67"/>
    </row>
    <row r="249">
      <c r="A249" s="66"/>
      <c r="B249" s="66"/>
      <c r="C249" s="66"/>
      <c r="D249" s="66"/>
      <c r="G249" s="67"/>
      <c r="V249" s="67"/>
    </row>
    <row r="250">
      <c r="A250" s="66"/>
      <c r="B250" s="66"/>
      <c r="C250" s="66"/>
      <c r="D250" s="66"/>
      <c r="G250" s="67"/>
      <c r="V250" s="67"/>
    </row>
    <row r="251">
      <c r="A251" s="66"/>
      <c r="B251" s="66"/>
      <c r="C251" s="66"/>
      <c r="D251" s="66"/>
      <c r="G251" s="67"/>
      <c r="V251" s="67"/>
    </row>
    <row r="252">
      <c r="A252" s="66"/>
      <c r="B252" s="66"/>
      <c r="C252" s="66"/>
      <c r="D252" s="66"/>
      <c r="G252" s="67"/>
      <c r="V252" s="67"/>
    </row>
    <row r="253">
      <c r="A253" s="66"/>
      <c r="B253" s="66"/>
      <c r="C253" s="66"/>
      <c r="D253" s="66"/>
      <c r="G253" s="67"/>
      <c r="V253" s="67"/>
    </row>
    <row r="254">
      <c r="A254" s="66"/>
      <c r="B254" s="66"/>
      <c r="C254" s="66"/>
      <c r="D254" s="66"/>
      <c r="G254" s="67"/>
      <c r="V254" s="67"/>
    </row>
    <row r="255">
      <c r="A255" s="66"/>
      <c r="B255" s="66"/>
      <c r="C255" s="66"/>
      <c r="D255" s="66"/>
      <c r="G255" s="67"/>
      <c r="V255" s="67"/>
    </row>
    <row r="256">
      <c r="A256" s="66"/>
      <c r="B256" s="66"/>
      <c r="C256" s="66"/>
      <c r="D256" s="66"/>
      <c r="G256" s="67"/>
      <c r="V256" s="67"/>
    </row>
    <row r="257">
      <c r="A257" s="66"/>
      <c r="B257" s="66"/>
      <c r="C257" s="66"/>
      <c r="D257" s="66"/>
      <c r="G257" s="67"/>
      <c r="V257" s="67"/>
    </row>
    <row r="258">
      <c r="A258" s="66"/>
      <c r="B258" s="66"/>
      <c r="C258" s="66"/>
      <c r="D258" s="66"/>
      <c r="G258" s="67"/>
      <c r="V258" s="67"/>
    </row>
    <row r="259">
      <c r="A259" s="66"/>
      <c r="B259" s="66"/>
      <c r="C259" s="66"/>
      <c r="D259" s="66"/>
      <c r="G259" s="67"/>
      <c r="V259" s="67"/>
    </row>
    <row r="260">
      <c r="A260" s="66"/>
      <c r="B260" s="66"/>
      <c r="C260" s="66"/>
      <c r="D260" s="66"/>
      <c r="G260" s="67"/>
      <c r="V260" s="67"/>
    </row>
    <row r="261">
      <c r="A261" s="66"/>
      <c r="B261" s="66"/>
      <c r="C261" s="66"/>
      <c r="D261" s="66"/>
      <c r="G261" s="67"/>
      <c r="V261" s="67"/>
    </row>
    <row r="262">
      <c r="A262" s="66"/>
      <c r="B262" s="66"/>
      <c r="C262" s="66"/>
      <c r="D262" s="66"/>
      <c r="G262" s="67"/>
      <c r="V262" s="67"/>
    </row>
    <row r="263">
      <c r="A263" s="66"/>
      <c r="B263" s="66"/>
      <c r="C263" s="66"/>
      <c r="D263" s="66"/>
      <c r="G263" s="67"/>
      <c r="V263" s="67"/>
    </row>
    <row r="264">
      <c r="A264" s="66"/>
      <c r="B264" s="66"/>
      <c r="C264" s="66"/>
      <c r="D264" s="66"/>
      <c r="G264" s="67"/>
      <c r="V264" s="67"/>
    </row>
    <row r="265">
      <c r="A265" s="66"/>
      <c r="B265" s="66"/>
      <c r="C265" s="66"/>
      <c r="D265" s="66"/>
      <c r="G265" s="67"/>
      <c r="V265" s="67"/>
    </row>
    <row r="266">
      <c r="A266" s="66"/>
      <c r="B266" s="66"/>
      <c r="C266" s="66"/>
      <c r="D266" s="66"/>
      <c r="G266" s="67"/>
      <c r="V266" s="67"/>
    </row>
    <row r="267">
      <c r="A267" s="66"/>
      <c r="B267" s="66"/>
      <c r="C267" s="66"/>
      <c r="D267" s="66"/>
      <c r="G267" s="67"/>
      <c r="V267" s="67"/>
    </row>
    <row r="268">
      <c r="A268" s="66"/>
      <c r="B268" s="66"/>
      <c r="C268" s="66"/>
      <c r="D268" s="66"/>
      <c r="G268" s="67"/>
      <c r="V268" s="67"/>
    </row>
    <row r="269">
      <c r="A269" s="66"/>
      <c r="B269" s="66"/>
      <c r="C269" s="66"/>
      <c r="D269" s="66"/>
      <c r="G269" s="67"/>
      <c r="V269" s="67"/>
    </row>
    <row r="270">
      <c r="A270" s="66"/>
      <c r="B270" s="66"/>
      <c r="C270" s="66"/>
      <c r="D270" s="66"/>
      <c r="G270" s="67"/>
      <c r="V270" s="67"/>
    </row>
    <row r="271">
      <c r="A271" s="66"/>
      <c r="B271" s="66"/>
      <c r="C271" s="66"/>
      <c r="D271" s="66"/>
      <c r="G271" s="67"/>
      <c r="V271" s="67"/>
    </row>
    <row r="272">
      <c r="A272" s="66"/>
      <c r="B272" s="66"/>
      <c r="C272" s="66"/>
      <c r="D272" s="66"/>
      <c r="G272" s="67"/>
      <c r="V272" s="67"/>
    </row>
    <row r="273">
      <c r="A273" s="66"/>
      <c r="B273" s="66"/>
      <c r="C273" s="66"/>
      <c r="D273" s="66"/>
      <c r="G273" s="67"/>
      <c r="V273" s="67"/>
    </row>
    <row r="274">
      <c r="A274" s="66"/>
      <c r="B274" s="66"/>
      <c r="C274" s="66"/>
      <c r="D274" s="66"/>
      <c r="G274" s="67"/>
      <c r="V274" s="67"/>
    </row>
    <row r="275">
      <c r="A275" s="66"/>
      <c r="B275" s="66"/>
      <c r="C275" s="66"/>
      <c r="D275" s="66"/>
      <c r="G275" s="67"/>
      <c r="V275" s="67"/>
    </row>
    <row r="276">
      <c r="A276" s="66"/>
      <c r="B276" s="66"/>
      <c r="C276" s="66"/>
      <c r="D276" s="66"/>
      <c r="G276" s="67"/>
      <c r="V276" s="67"/>
    </row>
    <row r="277">
      <c r="A277" s="66"/>
      <c r="B277" s="66"/>
      <c r="C277" s="66"/>
      <c r="D277" s="66"/>
      <c r="G277" s="67"/>
      <c r="V277" s="67"/>
    </row>
    <row r="278">
      <c r="A278" s="66"/>
      <c r="B278" s="66"/>
      <c r="C278" s="66"/>
      <c r="D278" s="66"/>
      <c r="G278" s="67"/>
      <c r="V278" s="67"/>
    </row>
    <row r="279">
      <c r="A279" s="66"/>
      <c r="B279" s="66"/>
      <c r="C279" s="66"/>
      <c r="D279" s="66"/>
      <c r="G279" s="67"/>
      <c r="V279" s="67"/>
    </row>
    <row r="280">
      <c r="A280" s="66"/>
      <c r="B280" s="66"/>
      <c r="C280" s="66"/>
      <c r="D280" s="66"/>
      <c r="G280" s="67"/>
      <c r="V280" s="67"/>
    </row>
    <row r="281">
      <c r="A281" s="66"/>
      <c r="B281" s="66"/>
      <c r="C281" s="66"/>
      <c r="D281" s="66"/>
      <c r="G281" s="67"/>
      <c r="V281" s="67"/>
    </row>
    <row r="282">
      <c r="A282" s="66"/>
      <c r="B282" s="66"/>
      <c r="C282" s="66"/>
      <c r="D282" s="66"/>
      <c r="G282" s="67"/>
      <c r="V282" s="67"/>
    </row>
    <row r="283">
      <c r="A283" s="66"/>
      <c r="B283" s="66"/>
      <c r="C283" s="66"/>
      <c r="D283" s="66"/>
      <c r="G283" s="67"/>
      <c r="V283" s="67"/>
    </row>
    <row r="284">
      <c r="A284" s="66"/>
      <c r="B284" s="66"/>
      <c r="C284" s="66"/>
      <c r="D284" s="66"/>
      <c r="G284" s="67"/>
      <c r="V284" s="67"/>
    </row>
    <row r="285">
      <c r="A285" s="66"/>
      <c r="B285" s="66"/>
      <c r="C285" s="66"/>
      <c r="D285" s="66"/>
      <c r="G285" s="67"/>
      <c r="V285" s="67"/>
    </row>
    <row r="286">
      <c r="A286" s="66"/>
      <c r="B286" s="66"/>
      <c r="C286" s="66"/>
      <c r="D286" s="66"/>
      <c r="G286" s="67"/>
      <c r="V286" s="67"/>
    </row>
    <row r="287">
      <c r="A287" s="66"/>
      <c r="B287" s="66"/>
      <c r="C287" s="66"/>
      <c r="D287" s="66"/>
      <c r="G287" s="67"/>
      <c r="V287" s="67"/>
    </row>
    <row r="288">
      <c r="A288" s="66"/>
      <c r="B288" s="66"/>
      <c r="C288" s="66"/>
      <c r="D288" s="66"/>
      <c r="G288" s="67"/>
      <c r="V288" s="67"/>
    </row>
    <row r="289">
      <c r="A289" s="66"/>
      <c r="B289" s="66"/>
      <c r="C289" s="66"/>
      <c r="D289" s="66"/>
      <c r="G289" s="67"/>
      <c r="V289" s="67"/>
    </row>
    <row r="290">
      <c r="A290" s="66"/>
      <c r="B290" s="66"/>
      <c r="C290" s="66"/>
      <c r="D290" s="66"/>
      <c r="G290" s="67"/>
      <c r="V290" s="67"/>
    </row>
    <row r="291">
      <c r="A291" s="66"/>
      <c r="B291" s="66"/>
      <c r="C291" s="66"/>
      <c r="D291" s="66"/>
      <c r="G291" s="67"/>
      <c r="V291" s="67"/>
    </row>
    <row r="292">
      <c r="A292" s="66"/>
      <c r="B292" s="66"/>
      <c r="C292" s="66"/>
      <c r="D292" s="66"/>
      <c r="G292" s="67"/>
      <c r="V292" s="67"/>
    </row>
    <row r="293">
      <c r="A293" s="66"/>
      <c r="B293" s="66"/>
      <c r="C293" s="66"/>
      <c r="D293" s="66"/>
      <c r="G293" s="67"/>
      <c r="V293" s="67"/>
    </row>
    <row r="294">
      <c r="A294" s="66"/>
      <c r="B294" s="66"/>
      <c r="C294" s="66"/>
      <c r="D294" s="66"/>
      <c r="G294" s="67"/>
      <c r="V294" s="67"/>
    </row>
    <row r="295">
      <c r="A295" s="66"/>
      <c r="B295" s="66"/>
      <c r="C295" s="66"/>
      <c r="D295" s="66"/>
      <c r="G295" s="67"/>
      <c r="V295" s="67"/>
    </row>
    <row r="296">
      <c r="A296" s="66"/>
      <c r="B296" s="66"/>
      <c r="C296" s="66"/>
      <c r="D296" s="66"/>
      <c r="G296" s="67"/>
      <c r="V296" s="67"/>
    </row>
    <row r="297">
      <c r="A297" s="66"/>
      <c r="B297" s="66"/>
      <c r="C297" s="66"/>
      <c r="D297" s="66"/>
      <c r="G297" s="67"/>
      <c r="V297" s="67"/>
    </row>
    <row r="298">
      <c r="A298" s="66"/>
      <c r="B298" s="66"/>
      <c r="C298" s="66"/>
      <c r="D298" s="66"/>
      <c r="G298" s="67"/>
      <c r="V298" s="67"/>
    </row>
    <row r="299">
      <c r="A299" s="66"/>
      <c r="B299" s="66"/>
      <c r="C299" s="66"/>
      <c r="D299" s="66"/>
      <c r="G299" s="67"/>
      <c r="V299" s="67"/>
    </row>
    <row r="300">
      <c r="A300" s="66"/>
      <c r="B300" s="66"/>
      <c r="C300" s="66"/>
      <c r="D300" s="66"/>
      <c r="G300" s="67"/>
      <c r="V300" s="67"/>
    </row>
    <row r="301">
      <c r="A301" s="66"/>
      <c r="B301" s="66"/>
      <c r="C301" s="66"/>
      <c r="D301" s="66"/>
      <c r="G301" s="67"/>
      <c r="V301" s="67"/>
    </row>
    <row r="302">
      <c r="A302" s="66"/>
      <c r="B302" s="66"/>
      <c r="C302" s="66"/>
      <c r="D302" s="66"/>
      <c r="G302" s="67"/>
      <c r="V302" s="67"/>
    </row>
    <row r="303">
      <c r="A303" s="66"/>
      <c r="B303" s="66"/>
      <c r="C303" s="66"/>
      <c r="D303" s="66"/>
      <c r="G303" s="67"/>
      <c r="V303" s="67"/>
    </row>
    <row r="304">
      <c r="A304" s="66"/>
      <c r="B304" s="66"/>
      <c r="C304" s="66"/>
      <c r="D304" s="66"/>
      <c r="G304" s="67"/>
      <c r="V304" s="67"/>
    </row>
    <row r="305">
      <c r="A305" s="66"/>
      <c r="B305" s="66"/>
      <c r="C305" s="66"/>
      <c r="D305" s="66"/>
      <c r="G305" s="67"/>
      <c r="V305" s="67"/>
    </row>
    <row r="306">
      <c r="A306" s="66"/>
      <c r="B306" s="66"/>
      <c r="C306" s="66"/>
      <c r="D306" s="66"/>
      <c r="G306" s="67"/>
      <c r="V306" s="67"/>
    </row>
    <row r="307">
      <c r="A307" s="66"/>
      <c r="B307" s="66"/>
      <c r="C307" s="66"/>
      <c r="D307" s="66"/>
      <c r="G307" s="67"/>
      <c r="V307" s="67"/>
    </row>
    <row r="308">
      <c r="A308" s="66"/>
      <c r="B308" s="66"/>
      <c r="C308" s="66"/>
      <c r="D308" s="66"/>
      <c r="G308" s="67"/>
      <c r="V308" s="67"/>
    </row>
    <row r="309">
      <c r="A309" s="66"/>
      <c r="B309" s="66"/>
      <c r="C309" s="66"/>
      <c r="D309" s="66"/>
      <c r="G309" s="67"/>
      <c r="V309" s="67"/>
    </row>
    <row r="310">
      <c r="A310" s="66"/>
      <c r="B310" s="66"/>
      <c r="C310" s="66"/>
      <c r="D310" s="66"/>
      <c r="G310" s="67"/>
      <c r="V310" s="67"/>
    </row>
    <row r="311">
      <c r="A311" s="66"/>
      <c r="B311" s="66"/>
      <c r="C311" s="66"/>
      <c r="D311" s="66"/>
      <c r="G311" s="67"/>
      <c r="V311" s="67"/>
    </row>
    <row r="312">
      <c r="A312" s="66"/>
      <c r="B312" s="66"/>
      <c r="C312" s="66"/>
      <c r="D312" s="66"/>
      <c r="G312" s="67"/>
      <c r="V312" s="67"/>
    </row>
    <row r="313">
      <c r="A313" s="66"/>
      <c r="B313" s="66"/>
      <c r="C313" s="66"/>
      <c r="D313" s="66"/>
      <c r="G313" s="67"/>
      <c r="V313" s="67"/>
    </row>
    <row r="314">
      <c r="A314" s="66"/>
      <c r="B314" s="66"/>
      <c r="C314" s="66"/>
      <c r="D314" s="66"/>
      <c r="G314" s="67"/>
      <c r="V314" s="67"/>
    </row>
    <row r="315">
      <c r="A315" s="66"/>
      <c r="B315" s="66"/>
      <c r="C315" s="66"/>
      <c r="D315" s="66"/>
      <c r="G315" s="67"/>
      <c r="V315" s="67"/>
    </row>
    <row r="316">
      <c r="A316" s="66"/>
      <c r="B316" s="66"/>
      <c r="C316" s="66"/>
      <c r="D316" s="66"/>
      <c r="G316" s="67"/>
      <c r="V316" s="67"/>
    </row>
    <row r="317">
      <c r="A317" s="66"/>
      <c r="B317" s="66"/>
      <c r="C317" s="66"/>
      <c r="D317" s="66"/>
      <c r="G317" s="67"/>
      <c r="V317" s="67"/>
    </row>
    <row r="318">
      <c r="A318" s="66"/>
      <c r="B318" s="66"/>
      <c r="C318" s="66"/>
      <c r="D318" s="66"/>
      <c r="G318" s="67"/>
      <c r="V318" s="67"/>
    </row>
    <row r="319">
      <c r="A319" s="66"/>
      <c r="B319" s="66"/>
      <c r="C319" s="66"/>
      <c r="D319" s="66"/>
      <c r="G319" s="67"/>
      <c r="V319" s="67"/>
    </row>
    <row r="320">
      <c r="A320" s="66"/>
      <c r="B320" s="66"/>
      <c r="C320" s="66"/>
      <c r="D320" s="66"/>
      <c r="G320" s="67"/>
      <c r="V320" s="67"/>
    </row>
    <row r="321">
      <c r="A321" s="66"/>
      <c r="B321" s="66"/>
      <c r="C321" s="66"/>
      <c r="D321" s="66"/>
      <c r="G321" s="67"/>
      <c r="V321" s="67"/>
    </row>
    <row r="322">
      <c r="A322" s="66"/>
      <c r="B322" s="66"/>
      <c r="C322" s="66"/>
      <c r="D322" s="66"/>
      <c r="G322" s="67"/>
      <c r="V322" s="67"/>
    </row>
    <row r="323">
      <c r="A323" s="66"/>
      <c r="B323" s="66"/>
      <c r="C323" s="66"/>
      <c r="D323" s="66"/>
      <c r="G323" s="67"/>
      <c r="V323" s="67"/>
    </row>
    <row r="324">
      <c r="A324" s="66"/>
      <c r="B324" s="66"/>
      <c r="C324" s="66"/>
      <c r="D324" s="66"/>
      <c r="G324" s="67"/>
      <c r="V324" s="67"/>
    </row>
    <row r="325">
      <c r="A325" s="66"/>
      <c r="B325" s="66"/>
      <c r="C325" s="66"/>
      <c r="D325" s="66"/>
      <c r="G325" s="67"/>
      <c r="V325" s="67"/>
    </row>
    <row r="326">
      <c r="A326" s="66"/>
      <c r="B326" s="66"/>
      <c r="C326" s="66"/>
      <c r="D326" s="66"/>
      <c r="G326" s="67"/>
      <c r="V326" s="67"/>
    </row>
    <row r="327">
      <c r="A327" s="66"/>
      <c r="B327" s="66"/>
      <c r="C327" s="66"/>
      <c r="D327" s="66"/>
      <c r="G327" s="67"/>
      <c r="V327" s="67"/>
    </row>
    <row r="328">
      <c r="A328" s="66"/>
      <c r="B328" s="66"/>
      <c r="C328" s="66"/>
      <c r="D328" s="66"/>
      <c r="G328" s="67"/>
      <c r="V328" s="67"/>
    </row>
    <row r="329">
      <c r="A329" s="66"/>
      <c r="B329" s="66"/>
      <c r="C329" s="66"/>
      <c r="D329" s="66"/>
      <c r="G329" s="67"/>
      <c r="V329" s="67"/>
    </row>
    <row r="330">
      <c r="A330" s="66"/>
      <c r="B330" s="66"/>
      <c r="C330" s="66"/>
      <c r="D330" s="66"/>
      <c r="G330" s="67"/>
      <c r="V330" s="67"/>
    </row>
    <row r="331">
      <c r="A331" s="66"/>
      <c r="B331" s="66"/>
      <c r="C331" s="66"/>
      <c r="D331" s="66"/>
      <c r="G331" s="67"/>
      <c r="V331" s="67"/>
    </row>
    <row r="332">
      <c r="A332" s="66"/>
      <c r="B332" s="66"/>
      <c r="C332" s="66"/>
      <c r="D332" s="66"/>
      <c r="G332" s="67"/>
      <c r="V332" s="67"/>
    </row>
    <row r="333">
      <c r="A333" s="66"/>
      <c r="B333" s="66"/>
      <c r="C333" s="66"/>
      <c r="D333" s="66"/>
      <c r="G333" s="67"/>
      <c r="V333" s="67"/>
    </row>
    <row r="334">
      <c r="A334" s="66"/>
      <c r="B334" s="66"/>
      <c r="C334" s="66"/>
      <c r="D334" s="66"/>
      <c r="G334" s="67"/>
      <c r="V334" s="67"/>
    </row>
    <row r="335">
      <c r="A335" s="66"/>
      <c r="B335" s="66"/>
      <c r="C335" s="66"/>
      <c r="D335" s="66"/>
      <c r="G335" s="67"/>
      <c r="V335" s="67"/>
    </row>
    <row r="336">
      <c r="A336" s="66"/>
      <c r="B336" s="66"/>
      <c r="C336" s="66"/>
      <c r="D336" s="66"/>
      <c r="G336" s="67"/>
      <c r="V336" s="67"/>
    </row>
    <row r="337">
      <c r="A337" s="66"/>
      <c r="B337" s="66"/>
      <c r="C337" s="66"/>
      <c r="D337" s="66"/>
      <c r="G337" s="67"/>
      <c r="V337" s="67"/>
    </row>
    <row r="338">
      <c r="A338" s="66"/>
      <c r="B338" s="66"/>
      <c r="C338" s="66"/>
      <c r="D338" s="66"/>
      <c r="G338" s="67"/>
      <c r="V338" s="67"/>
    </row>
    <row r="339">
      <c r="A339" s="66"/>
      <c r="B339" s="66"/>
      <c r="C339" s="66"/>
      <c r="D339" s="66"/>
      <c r="G339" s="67"/>
      <c r="V339" s="67"/>
    </row>
    <row r="340">
      <c r="A340" s="66"/>
      <c r="B340" s="66"/>
      <c r="C340" s="66"/>
      <c r="D340" s="66"/>
      <c r="G340" s="67"/>
      <c r="V340" s="67"/>
    </row>
    <row r="341">
      <c r="A341" s="66"/>
      <c r="B341" s="66"/>
      <c r="C341" s="66"/>
      <c r="D341" s="66"/>
      <c r="G341" s="67"/>
      <c r="V341" s="67"/>
    </row>
    <row r="342">
      <c r="A342" s="66"/>
      <c r="B342" s="66"/>
      <c r="C342" s="66"/>
      <c r="D342" s="66"/>
      <c r="G342" s="67"/>
      <c r="V342" s="67"/>
    </row>
    <row r="343">
      <c r="A343" s="66"/>
      <c r="B343" s="66"/>
      <c r="C343" s="66"/>
      <c r="D343" s="66"/>
      <c r="G343" s="67"/>
      <c r="V343" s="67"/>
    </row>
    <row r="344">
      <c r="A344" s="66"/>
      <c r="B344" s="66"/>
      <c r="C344" s="66"/>
      <c r="D344" s="66"/>
      <c r="G344" s="67"/>
      <c r="V344" s="67"/>
    </row>
    <row r="345">
      <c r="A345" s="66"/>
      <c r="B345" s="66"/>
      <c r="C345" s="66"/>
      <c r="D345" s="66"/>
      <c r="G345" s="67"/>
      <c r="V345" s="67"/>
    </row>
    <row r="346">
      <c r="A346" s="66"/>
      <c r="B346" s="66"/>
      <c r="C346" s="66"/>
      <c r="D346" s="66"/>
      <c r="G346" s="67"/>
      <c r="V346" s="67"/>
    </row>
    <row r="347">
      <c r="A347" s="66"/>
      <c r="B347" s="66"/>
      <c r="C347" s="66"/>
      <c r="D347" s="66"/>
      <c r="G347" s="67"/>
      <c r="V347" s="67"/>
    </row>
    <row r="348">
      <c r="A348" s="66"/>
      <c r="B348" s="66"/>
      <c r="C348" s="66"/>
      <c r="D348" s="66"/>
      <c r="G348" s="67"/>
      <c r="V348" s="67"/>
    </row>
    <row r="349">
      <c r="A349" s="66"/>
      <c r="B349" s="66"/>
      <c r="C349" s="66"/>
      <c r="D349" s="66"/>
      <c r="G349" s="67"/>
      <c r="V349" s="67"/>
    </row>
    <row r="350">
      <c r="A350" s="66"/>
      <c r="B350" s="66"/>
      <c r="C350" s="66"/>
      <c r="D350" s="66"/>
      <c r="G350" s="67"/>
      <c r="V350" s="67"/>
    </row>
    <row r="351">
      <c r="A351" s="66"/>
      <c r="B351" s="66"/>
      <c r="C351" s="66"/>
      <c r="D351" s="66"/>
      <c r="G351" s="67"/>
      <c r="V351" s="67"/>
    </row>
    <row r="352">
      <c r="A352" s="66"/>
      <c r="B352" s="66"/>
      <c r="C352" s="66"/>
      <c r="D352" s="66"/>
      <c r="G352" s="67"/>
      <c r="V352" s="67"/>
    </row>
    <row r="353">
      <c r="A353" s="66"/>
      <c r="B353" s="66"/>
      <c r="C353" s="66"/>
      <c r="D353" s="66"/>
      <c r="G353" s="67"/>
      <c r="V353" s="67"/>
    </row>
    <row r="354">
      <c r="A354" s="66"/>
      <c r="B354" s="66"/>
      <c r="C354" s="66"/>
      <c r="D354" s="66"/>
      <c r="G354" s="67"/>
      <c r="V354" s="67"/>
    </row>
    <row r="355">
      <c r="A355" s="66"/>
      <c r="B355" s="66"/>
      <c r="C355" s="66"/>
      <c r="D355" s="66"/>
      <c r="G355" s="67"/>
      <c r="V355" s="67"/>
    </row>
    <row r="356">
      <c r="A356" s="66"/>
      <c r="B356" s="66"/>
      <c r="C356" s="66"/>
      <c r="D356" s="66"/>
      <c r="G356" s="67"/>
      <c r="V356" s="67"/>
    </row>
    <row r="357">
      <c r="A357" s="66"/>
      <c r="B357" s="66"/>
      <c r="C357" s="66"/>
      <c r="D357" s="66"/>
      <c r="G357" s="67"/>
      <c r="V357" s="67"/>
    </row>
    <row r="358">
      <c r="A358" s="66"/>
      <c r="B358" s="66"/>
      <c r="C358" s="66"/>
      <c r="D358" s="66"/>
      <c r="G358" s="67"/>
      <c r="V358" s="67"/>
    </row>
    <row r="359">
      <c r="A359" s="66"/>
      <c r="B359" s="66"/>
      <c r="C359" s="66"/>
      <c r="D359" s="66"/>
      <c r="G359" s="67"/>
      <c r="V359" s="67"/>
    </row>
    <row r="360">
      <c r="A360" s="66"/>
      <c r="B360" s="66"/>
      <c r="C360" s="66"/>
      <c r="D360" s="66"/>
      <c r="G360" s="67"/>
      <c r="V360" s="67"/>
    </row>
    <row r="361">
      <c r="A361" s="66"/>
      <c r="B361" s="66"/>
      <c r="C361" s="66"/>
      <c r="D361" s="66"/>
      <c r="G361" s="67"/>
      <c r="V361" s="67"/>
    </row>
    <row r="362">
      <c r="A362" s="66"/>
      <c r="B362" s="66"/>
      <c r="C362" s="66"/>
      <c r="D362" s="66"/>
      <c r="G362" s="67"/>
      <c r="V362" s="67"/>
    </row>
    <row r="363">
      <c r="A363" s="66"/>
      <c r="B363" s="66"/>
      <c r="C363" s="66"/>
      <c r="D363" s="66"/>
      <c r="G363" s="67"/>
      <c r="V363" s="67"/>
    </row>
    <row r="364">
      <c r="A364" s="66"/>
      <c r="B364" s="66"/>
      <c r="C364" s="66"/>
      <c r="D364" s="66"/>
      <c r="G364" s="67"/>
      <c r="V364" s="67"/>
    </row>
    <row r="365">
      <c r="A365" s="66"/>
      <c r="B365" s="66"/>
      <c r="C365" s="66"/>
      <c r="D365" s="66"/>
      <c r="G365" s="67"/>
      <c r="V365" s="67"/>
    </row>
    <row r="366">
      <c r="A366" s="66"/>
      <c r="B366" s="66"/>
      <c r="C366" s="66"/>
      <c r="D366" s="66"/>
      <c r="G366" s="67"/>
      <c r="V366" s="67"/>
    </row>
    <row r="367">
      <c r="A367" s="66"/>
      <c r="B367" s="66"/>
      <c r="C367" s="66"/>
      <c r="D367" s="66"/>
      <c r="G367" s="67"/>
      <c r="V367" s="67"/>
    </row>
    <row r="368">
      <c r="A368" s="66"/>
      <c r="B368" s="66"/>
      <c r="C368" s="66"/>
      <c r="D368" s="66"/>
      <c r="G368" s="67"/>
      <c r="V368" s="67"/>
    </row>
    <row r="369">
      <c r="A369" s="66"/>
      <c r="B369" s="66"/>
      <c r="C369" s="66"/>
      <c r="D369" s="66"/>
      <c r="G369" s="67"/>
      <c r="V369" s="67"/>
    </row>
    <row r="370">
      <c r="A370" s="66"/>
      <c r="B370" s="66"/>
      <c r="C370" s="66"/>
      <c r="D370" s="66"/>
      <c r="G370" s="67"/>
      <c r="V370" s="67"/>
    </row>
    <row r="371">
      <c r="A371" s="66"/>
      <c r="B371" s="66"/>
      <c r="C371" s="66"/>
      <c r="D371" s="66"/>
      <c r="G371" s="67"/>
      <c r="V371" s="67"/>
    </row>
    <row r="372">
      <c r="A372" s="66"/>
      <c r="B372" s="66"/>
      <c r="C372" s="66"/>
      <c r="D372" s="66"/>
      <c r="G372" s="67"/>
      <c r="V372" s="67"/>
    </row>
    <row r="373">
      <c r="A373" s="66"/>
      <c r="B373" s="66"/>
      <c r="C373" s="66"/>
      <c r="D373" s="66"/>
      <c r="G373" s="67"/>
      <c r="V373" s="67"/>
    </row>
    <row r="374">
      <c r="A374" s="66"/>
      <c r="B374" s="66"/>
      <c r="C374" s="66"/>
      <c r="D374" s="66"/>
      <c r="G374" s="67"/>
      <c r="V374" s="67"/>
    </row>
    <row r="375">
      <c r="A375" s="66"/>
      <c r="B375" s="66"/>
      <c r="C375" s="66"/>
      <c r="D375" s="66"/>
      <c r="G375" s="67"/>
      <c r="V375" s="67"/>
    </row>
    <row r="376">
      <c r="A376" s="66"/>
      <c r="B376" s="66"/>
      <c r="C376" s="66"/>
      <c r="D376" s="66"/>
      <c r="G376" s="67"/>
      <c r="V376" s="67"/>
    </row>
    <row r="377">
      <c r="A377" s="66"/>
      <c r="B377" s="66"/>
      <c r="C377" s="66"/>
      <c r="D377" s="66"/>
      <c r="G377" s="67"/>
      <c r="V377" s="67"/>
    </row>
    <row r="378">
      <c r="A378" s="66"/>
      <c r="B378" s="66"/>
      <c r="C378" s="66"/>
      <c r="D378" s="66"/>
      <c r="G378" s="67"/>
      <c r="V378" s="67"/>
    </row>
    <row r="379">
      <c r="A379" s="66"/>
      <c r="B379" s="66"/>
      <c r="C379" s="66"/>
      <c r="D379" s="66"/>
      <c r="G379" s="67"/>
      <c r="V379" s="67"/>
    </row>
    <row r="380">
      <c r="A380" s="66"/>
      <c r="B380" s="66"/>
      <c r="C380" s="66"/>
      <c r="D380" s="66"/>
      <c r="G380" s="67"/>
      <c r="V380" s="67"/>
    </row>
    <row r="381">
      <c r="A381" s="66"/>
      <c r="B381" s="66"/>
      <c r="C381" s="66"/>
      <c r="D381" s="66"/>
      <c r="G381" s="67"/>
      <c r="V381" s="67"/>
    </row>
    <row r="382">
      <c r="A382" s="66"/>
      <c r="B382" s="66"/>
      <c r="C382" s="66"/>
      <c r="D382" s="66"/>
      <c r="G382" s="67"/>
      <c r="V382" s="67"/>
    </row>
    <row r="383">
      <c r="A383" s="66"/>
      <c r="B383" s="66"/>
      <c r="C383" s="66"/>
      <c r="D383" s="66"/>
      <c r="G383" s="67"/>
      <c r="V383" s="67"/>
    </row>
    <row r="384">
      <c r="A384" s="66"/>
      <c r="B384" s="66"/>
      <c r="C384" s="66"/>
      <c r="D384" s="66"/>
      <c r="G384" s="67"/>
      <c r="V384" s="67"/>
    </row>
    <row r="385">
      <c r="A385" s="66"/>
      <c r="B385" s="66"/>
      <c r="C385" s="66"/>
      <c r="D385" s="66"/>
      <c r="G385" s="67"/>
      <c r="V385" s="67"/>
    </row>
    <row r="386">
      <c r="A386" s="66"/>
      <c r="B386" s="66"/>
      <c r="C386" s="66"/>
      <c r="D386" s="66"/>
      <c r="G386" s="67"/>
      <c r="V386" s="67"/>
    </row>
    <row r="387">
      <c r="A387" s="66"/>
      <c r="B387" s="66"/>
      <c r="C387" s="66"/>
      <c r="D387" s="66"/>
      <c r="G387" s="67"/>
      <c r="V387" s="67"/>
    </row>
    <row r="388">
      <c r="A388" s="66"/>
      <c r="B388" s="66"/>
      <c r="C388" s="66"/>
      <c r="D388" s="66"/>
      <c r="G388" s="67"/>
      <c r="V388" s="67"/>
    </row>
    <row r="389">
      <c r="A389" s="66"/>
      <c r="B389" s="66"/>
      <c r="C389" s="66"/>
      <c r="D389" s="66"/>
      <c r="G389" s="67"/>
      <c r="V389" s="67"/>
    </row>
    <row r="390">
      <c r="A390" s="66"/>
      <c r="B390" s="66"/>
      <c r="C390" s="66"/>
      <c r="D390" s="66"/>
      <c r="G390" s="67"/>
      <c r="V390" s="67"/>
    </row>
    <row r="391">
      <c r="A391" s="66"/>
      <c r="B391" s="66"/>
      <c r="C391" s="66"/>
      <c r="D391" s="66"/>
      <c r="G391" s="67"/>
      <c r="V391" s="67"/>
    </row>
    <row r="392">
      <c r="A392" s="66"/>
      <c r="B392" s="66"/>
      <c r="C392" s="66"/>
      <c r="D392" s="66"/>
      <c r="G392" s="67"/>
      <c r="V392" s="67"/>
    </row>
    <row r="393">
      <c r="A393" s="66"/>
      <c r="B393" s="66"/>
      <c r="C393" s="66"/>
      <c r="D393" s="66"/>
      <c r="G393" s="67"/>
      <c r="V393" s="67"/>
    </row>
    <row r="394">
      <c r="A394" s="66"/>
      <c r="B394" s="66"/>
      <c r="C394" s="66"/>
      <c r="D394" s="66"/>
      <c r="G394" s="67"/>
      <c r="V394" s="67"/>
    </row>
    <row r="395">
      <c r="A395" s="66"/>
      <c r="B395" s="66"/>
      <c r="C395" s="66"/>
      <c r="D395" s="66"/>
      <c r="G395" s="67"/>
      <c r="V395" s="67"/>
    </row>
    <row r="396">
      <c r="A396" s="66"/>
      <c r="B396" s="66"/>
      <c r="C396" s="66"/>
      <c r="D396" s="66"/>
      <c r="G396" s="67"/>
      <c r="V396" s="67"/>
    </row>
    <row r="397">
      <c r="A397" s="66"/>
      <c r="B397" s="66"/>
      <c r="C397" s="66"/>
      <c r="D397" s="66"/>
      <c r="G397" s="67"/>
      <c r="V397" s="67"/>
    </row>
    <row r="398">
      <c r="A398" s="66"/>
      <c r="B398" s="66"/>
      <c r="C398" s="66"/>
      <c r="D398" s="66"/>
      <c r="G398" s="67"/>
      <c r="V398" s="67"/>
    </row>
    <row r="399">
      <c r="A399" s="66"/>
      <c r="B399" s="66"/>
      <c r="C399" s="66"/>
      <c r="D399" s="66"/>
      <c r="G399" s="67"/>
      <c r="V399" s="67"/>
    </row>
    <row r="400">
      <c r="A400" s="66"/>
      <c r="B400" s="66"/>
      <c r="C400" s="66"/>
      <c r="D400" s="66"/>
      <c r="G400" s="67"/>
      <c r="V400" s="67"/>
    </row>
    <row r="401">
      <c r="A401" s="66"/>
      <c r="B401" s="66"/>
      <c r="C401" s="66"/>
      <c r="D401" s="66"/>
      <c r="G401" s="67"/>
      <c r="V401" s="67"/>
    </row>
    <row r="402">
      <c r="A402" s="66"/>
      <c r="B402" s="66"/>
      <c r="C402" s="66"/>
      <c r="D402" s="66"/>
      <c r="G402" s="67"/>
      <c r="V402" s="67"/>
    </row>
    <row r="403">
      <c r="A403" s="66"/>
      <c r="B403" s="66"/>
      <c r="C403" s="66"/>
      <c r="D403" s="66"/>
      <c r="G403" s="67"/>
      <c r="V403" s="67"/>
    </row>
    <row r="404">
      <c r="A404" s="66"/>
      <c r="B404" s="66"/>
      <c r="C404" s="66"/>
      <c r="D404" s="66"/>
      <c r="G404" s="67"/>
      <c r="V404" s="67"/>
    </row>
    <row r="405">
      <c r="A405" s="66"/>
      <c r="B405" s="66"/>
      <c r="C405" s="66"/>
      <c r="D405" s="66"/>
      <c r="G405" s="67"/>
      <c r="V405" s="67"/>
    </row>
    <row r="406">
      <c r="A406" s="66"/>
      <c r="B406" s="66"/>
      <c r="C406" s="66"/>
      <c r="D406" s="66"/>
      <c r="G406" s="67"/>
      <c r="V406" s="67"/>
    </row>
    <row r="407">
      <c r="A407" s="66"/>
      <c r="B407" s="66"/>
      <c r="C407" s="66"/>
      <c r="D407" s="66"/>
      <c r="G407" s="67"/>
      <c r="V407" s="67"/>
    </row>
    <row r="408">
      <c r="A408" s="66"/>
      <c r="B408" s="66"/>
      <c r="C408" s="66"/>
      <c r="D408" s="66"/>
      <c r="G408" s="67"/>
      <c r="V408" s="67"/>
    </row>
    <row r="409">
      <c r="A409" s="66"/>
      <c r="B409" s="66"/>
      <c r="C409" s="66"/>
      <c r="D409" s="66"/>
      <c r="G409" s="67"/>
      <c r="V409" s="67"/>
    </row>
    <row r="410">
      <c r="A410" s="66"/>
      <c r="B410" s="66"/>
      <c r="C410" s="66"/>
      <c r="D410" s="66"/>
      <c r="G410" s="67"/>
      <c r="V410" s="67"/>
    </row>
    <row r="411">
      <c r="A411" s="66"/>
      <c r="B411" s="66"/>
      <c r="C411" s="66"/>
      <c r="D411" s="66"/>
      <c r="G411" s="67"/>
      <c r="V411" s="67"/>
    </row>
    <row r="412">
      <c r="A412" s="66"/>
      <c r="B412" s="66"/>
      <c r="C412" s="66"/>
      <c r="D412" s="66"/>
      <c r="G412" s="67"/>
      <c r="V412" s="67"/>
    </row>
    <row r="413">
      <c r="A413" s="66"/>
      <c r="B413" s="66"/>
      <c r="C413" s="66"/>
      <c r="D413" s="66"/>
      <c r="G413" s="67"/>
      <c r="V413" s="67"/>
    </row>
    <row r="414">
      <c r="A414" s="66"/>
      <c r="B414" s="66"/>
      <c r="C414" s="66"/>
      <c r="D414" s="66"/>
      <c r="G414" s="67"/>
      <c r="V414" s="67"/>
    </row>
    <row r="415">
      <c r="A415" s="66"/>
      <c r="B415" s="66"/>
      <c r="C415" s="66"/>
      <c r="D415" s="66"/>
      <c r="G415" s="67"/>
      <c r="V415" s="67"/>
    </row>
    <row r="416">
      <c r="A416" s="66"/>
      <c r="B416" s="66"/>
      <c r="C416" s="66"/>
      <c r="D416" s="66"/>
      <c r="G416" s="67"/>
      <c r="V416" s="67"/>
    </row>
    <row r="417">
      <c r="A417" s="66"/>
      <c r="B417" s="66"/>
      <c r="C417" s="66"/>
      <c r="D417" s="66"/>
      <c r="G417" s="67"/>
      <c r="V417" s="67"/>
    </row>
    <row r="418">
      <c r="A418" s="66"/>
      <c r="B418" s="66"/>
      <c r="C418" s="66"/>
      <c r="D418" s="66"/>
      <c r="G418" s="67"/>
      <c r="V418" s="67"/>
    </row>
    <row r="419">
      <c r="A419" s="66"/>
      <c r="B419" s="66"/>
      <c r="C419" s="66"/>
      <c r="D419" s="66"/>
      <c r="G419" s="67"/>
      <c r="V419" s="67"/>
    </row>
    <row r="420">
      <c r="A420" s="66"/>
      <c r="B420" s="66"/>
      <c r="C420" s="66"/>
      <c r="D420" s="66"/>
      <c r="G420" s="67"/>
      <c r="V420" s="67"/>
    </row>
    <row r="421">
      <c r="A421" s="66"/>
      <c r="B421" s="66"/>
      <c r="C421" s="66"/>
      <c r="D421" s="66"/>
      <c r="G421" s="67"/>
      <c r="V421" s="67"/>
    </row>
    <row r="422">
      <c r="A422" s="66"/>
      <c r="B422" s="66"/>
      <c r="C422" s="66"/>
      <c r="D422" s="66"/>
      <c r="G422" s="67"/>
      <c r="V422" s="67"/>
    </row>
    <row r="423">
      <c r="A423" s="66"/>
      <c r="B423" s="66"/>
      <c r="C423" s="66"/>
      <c r="D423" s="66"/>
      <c r="G423" s="67"/>
      <c r="V423" s="67"/>
    </row>
    <row r="424">
      <c r="A424" s="66"/>
      <c r="B424" s="66"/>
      <c r="C424" s="66"/>
      <c r="D424" s="66"/>
      <c r="G424" s="67"/>
      <c r="V424" s="67"/>
    </row>
    <row r="425">
      <c r="A425" s="66"/>
      <c r="B425" s="66"/>
      <c r="C425" s="66"/>
      <c r="D425" s="66"/>
      <c r="G425" s="67"/>
      <c r="V425" s="67"/>
    </row>
    <row r="426">
      <c r="A426" s="66"/>
      <c r="B426" s="66"/>
      <c r="C426" s="66"/>
      <c r="D426" s="66"/>
      <c r="G426" s="67"/>
      <c r="V426" s="67"/>
    </row>
    <row r="427">
      <c r="A427" s="66"/>
      <c r="B427" s="66"/>
      <c r="C427" s="66"/>
      <c r="D427" s="66"/>
      <c r="G427" s="67"/>
      <c r="V427" s="67"/>
    </row>
    <row r="428">
      <c r="A428" s="66"/>
      <c r="B428" s="66"/>
      <c r="C428" s="66"/>
      <c r="D428" s="66"/>
      <c r="G428" s="67"/>
      <c r="V428" s="67"/>
    </row>
    <row r="429">
      <c r="A429" s="66"/>
      <c r="B429" s="66"/>
      <c r="C429" s="66"/>
      <c r="D429" s="66"/>
      <c r="G429" s="67"/>
      <c r="V429" s="67"/>
    </row>
    <row r="430">
      <c r="A430" s="66"/>
      <c r="B430" s="66"/>
      <c r="C430" s="66"/>
      <c r="D430" s="66"/>
      <c r="G430" s="67"/>
      <c r="V430" s="67"/>
    </row>
    <row r="431">
      <c r="A431" s="66"/>
      <c r="B431" s="66"/>
      <c r="C431" s="66"/>
      <c r="D431" s="66"/>
      <c r="G431" s="67"/>
      <c r="V431" s="67"/>
    </row>
    <row r="432">
      <c r="A432" s="66"/>
      <c r="B432" s="66"/>
      <c r="C432" s="66"/>
      <c r="D432" s="66"/>
      <c r="G432" s="67"/>
      <c r="V432" s="67"/>
    </row>
    <row r="433">
      <c r="A433" s="66"/>
      <c r="B433" s="66"/>
      <c r="C433" s="66"/>
      <c r="D433" s="66"/>
      <c r="G433" s="67"/>
      <c r="V433" s="67"/>
    </row>
    <row r="434">
      <c r="A434" s="66"/>
      <c r="B434" s="66"/>
      <c r="C434" s="66"/>
      <c r="D434" s="66"/>
      <c r="G434" s="67"/>
      <c r="V434" s="67"/>
    </row>
    <row r="435">
      <c r="A435" s="66"/>
      <c r="B435" s="66"/>
      <c r="C435" s="66"/>
      <c r="D435" s="66"/>
      <c r="G435" s="67"/>
      <c r="V435" s="67"/>
    </row>
    <row r="436">
      <c r="A436" s="66"/>
      <c r="B436" s="66"/>
      <c r="C436" s="66"/>
      <c r="D436" s="66"/>
      <c r="G436" s="67"/>
      <c r="V436" s="67"/>
    </row>
    <row r="437">
      <c r="A437" s="66"/>
      <c r="B437" s="66"/>
      <c r="C437" s="66"/>
      <c r="D437" s="66"/>
      <c r="G437" s="67"/>
      <c r="V437" s="67"/>
    </row>
    <row r="438">
      <c r="A438" s="66"/>
      <c r="B438" s="66"/>
      <c r="C438" s="66"/>
      <c r="D438" s="66"/>
      <c r="G438" s="67"/>
      <c r="V438" s="67"/>
    </row>
    <row r="439">
      <c r="A439" s="66"/>
      <c r="B439" s="66"/>
      <c r="C439" s="66"/>
      <c r="D439" s="66"/>
      <c r="G439" s="67"/>
      <c r="V439" s="67"/>
    </row>
    <row r="440">
      <c r="A440" s="66"/>
      <c r="B440" s="66"/>
      <c r="C440" s="66"/>
      <c r="D440" s="66"/>
      <c r="G440" s="67"/>
      <c r="V440" s="67"/>
    </row>
    <row r="441">
      <c r="A441" s="66"/>
      <c r="B441" s="66"/>
      <c r="C441" s="66"/>
      <c r="D441" s="66"/>
      <c r="G441" s="67"/>
      <c r="V441" s="67"/>
    </row>
    <row r="442">
      <c r="A442" s="66"/>
      <c r="B442" s="66"/>
      <c r="C442" s="66"/>
      <c r="D442" s="66"/>
      <c r="G442" s="67"/>
      <c r="V442" s="67"/>
    </row>
    <row r="443">
      <c r="A443" s="66"/>
      <c r="B443" s="66"/>
      <c r="C443" s="66"/>
      <c r="D443" s="66"/>
      <c r="G443" s="67"/>
      <c r="V443" s="67"/>
    </row>
    <row r="444">
      <c r="A444" s="66"/>
      <c r="B444" s="66"/>
      <c r="C444" s="66"/>
      <c r="D444" s="66"/>
      <c r="G444" s="67"/>
      <c r="V444" s="67"/>
    </row>
    <row r="445">
      <c r="A445" s="66"/>
      <c r="B445" s="66"/>
      <c r="C445" s="66"/>
      <c r="D445" s="66"/>
      <c r="G445" s="67"/>
      <c r="V445" s="67"/>
    </row>
    <row r="446">
      <c r="A446" s="66"/>
      <c r="B446" s="66"/>
      <c r="C446" s="66"/>
      <c r="D446" s="66"/>
      <c r="G446" s="67"/>
      <c r="V446" s="67"/>
    </row>
    <row r="447">
      <c r="A447" s="66"/>
      <c r="B447" s="66"/>
      <c r="C447" s="66"/>
      <c r="D447" s="66"/>
      <c r="G447" s="67"/>
      <c r="V447" s="67"/>
    </row>
    <row r="448">
      <c r="A448" s="66"/>
      <c r="B448" s="66"/>
      <c r="C448" s="66"/>
      <c r="D448" s="66"/>
      <c r="G448" s="67"/>
      <c r="V448" s="67"/>
    </row>
    <row r="449">
      <c r="A449" s="66"/>
      <c r="B449" s="66"/>
      <c r="C449" s="66"/>
      <c r="D449" s="66"/>
      <c r="G449" s="67"/>
      <c r="V449" s="67"/>
    </row>
    <row r="450">
      <c r="A450" s="66"/>
      <c r="B450" s="66"/>
      <c r="C450" s="66"/>
      <c r="D450" s="66"/>
      <c r="G450" s="67"/>
      <c r="V450" s="67"/>
    </row>
    <row r="451">
      <c r="A451" s="66"/>
      <c r="B451" s="66"/>
      <c r="C451" s="66"/>
      <c r="D451" s="66"/>
      <c r="G451" s="67"/>
      <c r="V451" s="67"/>
    </row>
    <row r="452">
      <c r="A452" s="66"/>
      <c r="B452" s="66"/>
      <c r="C452" s="66"/>
      <c r="D452" s="66"/>
      <c r="G452" s="67"/>
      <c r="V452" s="67"/>
    </row>
    <row r="453">
      <c r="A453" s="66"/>
      <c r="B453" s="66"/>
      <c r="C453" s="66"/>
      <c r="D453" s="66"/>
      <c r="G453" s="67"/>
      <c r="V453" s="67"/>
    </row>
    <row r="454">
      <c r="A454" s="66"/>
      <c r="B454" s="66"/>
      <c r="C454" s="66"/>
      <c r="D454" s="66"/>
      <c r="G454" s="67"/>
      <c r="V454" s="67"/>
    </row>
    <row r="455">
      <c r="A455" s="66"/>
      <c r="B455" s="66"/>
      <c r="C455" s="66"/>
      <c r="D455" s="66"/>
      <c r="G455" s="67"/>
      <c r="V455" s="67"/>
    </row>
    <row r="456">
      <c r="A456" s="66"/>
      <c r="B456" s="66"/>
      <c r="C456" s="66"/>
      <c r="D456" s="66"/>
      <c r="G456" s="67"/>
      <c r="V456" s="67"/>
    </row>
    <row r="457">
      <c r="A457" s="66"/>
      <c r="B457" s="66"/>
      <c r="C457" s="66"/>
      <c r="D457" s="66"/>
      <c r="G457" s="67"/>
      <c r="V457" s="67"/>
    </row>
    <row r="458">
      <c r="A458" s="66"/>
      <c r="B458" s="66"/>
      <c r="C458" s="66"/>
      <c r="D458" s="66"/>
      <c r="G458" s="67"/>
      <c r="V458" s="67"/>
    </row>
    <row r="459">
      <c r="A459" s="66"/>
      <c r="B459" s="66"/>
      <c r="C459" s="66"/>
      <c r="D459" s="66"/>
      <c r="G459" s="67"/>
      <c r="V459" s="67"/>
    </row>
    <row r="460">
      <c r="A460" s="66"/>
      <c r="B460" s="66"/>
      <c r="C460" s="66"/>
      <c r="D460" s="66"/>
      <c r="G460" s="67"/>
      <c r="V460" s="67"/>
    </row>
    <row r="461">
      <c r="A461" s="66"/>
      <c r="B461" s="66"/>
      <c r="C461" s="66"/>
      <c r="D461" s="66"/>
      <c r="G461" s="67"/>
      <c r="V461" s="67"/>
    </row>
    <row r="462">
      <c r="A462" s="66"/>
      <c r="B462" s="66"/>
      <c r="C462" s="66"/>
      <c r="D462" s="66"/>
      <c r="G462" s="67"/>
      <c r="V462" s="67"/>
    </row>
    <row r="463">
      <c r="A463" s="66"/>
      <c r="B463" s="66"/>
      <c r="C463" s="66"/>
      <c r="D463" s="66"/>
      <c r="G463" s="67"/>
      <c r="V463" s="67"/>
    </row>
    <row r="464">
      <c r="A464" s="66"/>
      <c r="B464" s="66"/>
      <c r="C464" s="66"/>
      <c r="D464" s="66"/>
      <c r="G464" s="67"/>
      <c r="V464" s="67"/>
    </row>
    <row r="465">
      <c r="A465" s="66"/>
      <c r="B465" s="66"/>
      <c r="C465" s="66"/>
      <c r="D465" s="66"/>
      <c r="G465" s="67"/>
      <c r="V465" s="67"/>
    </row>
    <row r="466">
      <c r="A466" s="66"/>
      <c r="B466" s="66"/>
      <c r="C466" s="66"/>
      <c r="D466" s="66"/>
      <c r="G466" s="67"/>
      <c r="V466" s="67"/>
    </row>
    <row r="467">
      <c r="A467" s="66"/>
      <c r="B467" s="66"/>
      <c r="C467" s="66"/>
      <c r="D467" s="66"/>
      <c r="G467" s="67"/>
      <c r="V467" s="67"/>
    </row>
    <row r="468">
      <c r="A468" s="66"/>
      <c r="B468" s="66"/>
      <c r="C468" s="66"/>
      <c r="D468" s="66"/>
      <c r="G468" s="67"/>
      <c r="V468" s="67"/>
    </row>
    <row r="469">
      <c r="A469" s="66"/>
      <c r="B469" s="66"/>
      <c r="C469" s="66"/>
      <c r="D469" s="66"/>
      <c r="G469" s="67"/>
      <c r="V469" s="67"/>
    </row>
    <row r="470">
      <c r="A470" s="66"/>
      <c r="B470" s="66"/>
      <c r="C470" s="66"/>
      <c r="D470" s="66"/>
      <c r="G470" s="67"/>
      <c r="V470" s="67"/>
    </row>
    <row r="471">
      <c r="A471" s="66"/>
      <c r="B471" s="66"/>
      <c r="C471" s="66"/>
      <c r="D471" s="66"/>
      <c r="G471" s="67"/>
      <c r="V471" s="67"/>
    </row>
    <row r="472">
      <c r="A472" s="66"/>
      <c r="B472" s="66"/>
      <c r="C472" s="66"/>
      <c r="D472" s="66"/>
      <c r="G472" s="67"/>
      <c r="V472" s="67"/>
    </row>
    <row r="473">
      <c r="A473" s="66"/>
      <c r="B473" s="66"/>
      <c r="C473" s="66"/>
      <c r="D473" s="66"/>
      <c r="G473" s="67"/>
      <c r="V473" s="67"/>
    </row>
    <row r="474">
      <c r="A474" s="66"/>
      <c r="B474" s="66"/>
      <c r="C474" s="66"/>
      <c r="D474" s="66"/>
      <c r="G474" s="67"/>
      <c r="V474" s="67"/>
    </row>
    <row r="475">
      <c r="A475" s="66"/>
      <c r="B475" s="66"/>
      <c r="C475" s="66"/>
      <c r="D475" s="66"/>
      <c r="G475" s="67"/>
      <c r="V475" s="67"/>
    </row>
    <row r="476">
      <c r="A476" s="66"/>
      <c r="B476" s="66"/>
      <c r="C476" s="66"/>
      <c r="D476" s="66"/>
      <c r="G476" s="67"/>
      <c r="V476" s="67"/>
    </row>
    <row r="477">
      <c r="A477" s="66"/>
      <c r="B477" s="66"/>
      <c r="C477" s="66"/>
      <c r="D477" s="66"/>
      <c r="G477" s="67"/>
      <c r="V477" s="67"/>
    </row>
    <row r="478">
      <c r="A478" s="66"/>
      <c r="B478" s="66"/>
      <c r="C478" s="66"/>
      <c r="D478" s="66"/>
      <c r="G478" s="67"/>
      <c r="V478" s="67"/>
    </row>
    <row r="479">
      <c r="A479" s="66"/>
      <c r="B479" s="66"/>
      <c r="C479" s="66"/>
      <c r="D479" s="66"/>
      <c r="G479" s="67"/>
      <c r="V479" s="67"/>
    </row>
    <row r="480">
      <c r="A480" s="66"/>
      <c r="B480" s="66"/>
      <c r="C480" s="66"/>
      <c r="D480" s="66"/>
      <c r="G480" s="67"/>
      <c r="V480" s="67"/>
    </row>
    <row r="481">
      <c r="A481" s="66"/>
      <c r="B481" s="66"/>
      <c r="C481" s="66"/>
      <c r="D481" s="66"/>
      <c r="G481" s="67"/>
      <c r="V481" s="67"/>
    </row>
    <row r="482">
      <c r="A482" s="66"/>
      <c r="B482" s="66"/>
      <c r="C482" s="66"/>
      <c r="D482" s="66"/>
      <c r="G482" s="67"/>
      <c r="V482" s="67"/>
    </row>
    <row r="483">
      <c r="A483" s="66"/>
      <c r="B483" s="66"/>
      <c r="C483" s="66"/>
      <c r="D483" s="66"/>
      <c r="G483" s="67"/>
      <c r="V483" s="67"/>
    </row>
    <row r="484">
      <c r="A484" s="66"/>
      <c r="B484" s="66"/>
      <c r="C484" s="66"/>
      <c r="D484" s="66"/>
      <c r="G484" s="67"/>
      <c r="V484" s="67"/>
    </row>
    <row r="485">
      <c r="A485" s="66"/>
      <c r="B485" s="66"/>
      <c r="C485" s="66"/>
      <c r="D485" s="66"/>
      <c r="G485" s="67"/>
      <c r="V485" s="67"/>
    </row>
    <row r="486">
      <c r="A486" s="66"/>
      <c r="B486" s="66"/>
      <c r="C486" s="66"/>
      <c r="D486" s="66"/>
      <c r="G486" s="67"/>
      <c r="V486" s="67"/>
    </row>
    <row r="487">
      <c r="A487" s="66"/>
      <c r="B487" s="66"/>
      <c r="C487" s="66"/>
      <c r="D487" s="66"/>
      <c r="G487" s="67"/>
      <c r="V487" s="67"/>
    </row>
    <row r="488">
      <c r="A488" s="66"/>
      <c r="B488" s="66"/>
      <c r="C488" s="66"/>
      <c r="D488" s="66"/>
      <c r="G488" s="67"/>
      <c r="V488" s="67"/>
    </row>
    <row r="489">
      <c r="A489" s="66"/>
      <c r="B489" s="66"/>
      <c r="C489" s="66"/>
      <c r="D489" s="66"/>
      <c r="G489" s="67"/>
      <c r="V489" s="67"/>
    </row>
    <row r="490">
      <c r="A490" s="66"/>
      <c r="B490" s="66"/>
      <c r="C490" s="66"/>
      <c r="D490" s="66"/>
      <c r="G490" s="67"/>
      <c r="V490" s="67"/>
    </row>
    <row r="491">
      <c r="A491" s="66"/>
      <c r="B491" s="66"/>
      <c r="C491" s="66"/>
      <c r="D491" s="66"/>
      <c r="G491" s="67"/>
      <c r="V491" s="67"/>
    </row>
    <row r="492">
      <c r="A492" s="66"/>
      <c r="B492" s="66"/>
      <c r="C492" s="66"/>
      <c r="D492" s="66"/>
      <c r="G492" s="67"/>
      <c r="V492" s="67"/>
    </row>
    <row r="493">
      <c r="A493" s="66"/>
      <c r="B493" s="66"/>
      <c r="C493" s="66"/>
      <c r="D493" s="66"/>
      <c r="G493" s="67"/>
      <c r="V493" s="67"/>
    </row>
    <row r="494">
      <c r="A494" s="66"/>
      <c r="B494" s="66"/>
      <c r="C494" s="66"/>
      <c r="D494" s="66"/>
      <c r="G494" s="67"/>
      <c r="V494" s="67"/>
    </row>
    <row r="495">
      <c r="A495" s="66"/>
      <c r="B495" s="66"/>
      <c r="C495" s="66"/>
      <c r="D495" s="66"/>
      <c r="G495" s="67"/>
      <c r="V495" s="67"/>
    </row>
    <row r="496">
      <c r="A496" s="66"/>
      <c r="B496" s="66"/>
      <c r="C496" s="66"/>
      <c r="D496" s="66"/>
      <c r="G496" s="67"/>
      <c r="V496" s="67"/>
    </row>
    <row r="497">
      <c r="A497" s="66"/>
      <c r="B497" s="66"/>
      <c r="C497" s="66"/>
      <c r="D497" s="66"/>
      <c r="G497" s="67"/>
      <c r="V497" s="67"/>
    </row>
    <row r="498">
      <c r="A498" s="66"/>
      <c r="B498" s="66"/>
      <c r="C498" s="66"/>
      <c r="D498" s="66"/>
      <c r="G498" s="67"/>
      <c r="V498" s="67"/>
    </row>
    <row r="499">
      <c r="A499" s="66"/>
      <c r="B499" s="66"/>
      <c r="C499" s="66"/>
      <c r="D499" s="66"/>
      <c r="G499" s="67"/>
      <c r="V499" s="67"/>
    </row>
    <row r="500">
      <c r="A500" s="66"/>
      <c r="B500" s="66"/>
      <c r="C500" s="66"/>
      <c r="D500" s="66"/>
      <c r="G500" s="67"/>
      <c r="V500" s="67"/>
    </row>
    <row r="501">
      <c r="A501" s="66"/>
      <c r="B501" s="66"/>
      <c r="C501" s="66"/>
      <c r="D501" s="66"/>
      <c r="G501" s="67"/>
      <c r="V501" s="67"/>
    </row>
    <row r="502">
      <c r="A502" s="66"/>
      <c r="B502" s="66"/>
      <c r="C502" s="66"/>
      <c r="D502" s="66"/>
      <c r="G502" s="67"/>
      <c r="V502" s="67"/>
    </row>
    <row r="503">
      <c r="A503" s="66"/>
      <c r="B503" s="66"/>
      <c r="C503" s="66"/>
      <c r="D503" s="66"/>
      <c r="G503" s="67"/>
      <c r="V503" s="67"/>
    </row>
    <row r="504">
      <c r="A504" s="66"/>
      <c r="B504" s="66"/>
      <c r="C504" s="66"/>
      <c r="D504" s="66"/>
      <c r="G504" s="67"/>
      <c r="V504" s="67"/>
    </row>
    <row r="505">
      <c r="A505" s="66"/>
      <c r="B505" s="66"/>
      <c r="C505" s="66"/>
      <c r="D505" s="66"/>
      <c r="G505" s="67"/>
      <c r="V505" s="67"/>
    </row>
    <row r="506">
      <c r="A506" s="66"/>
      <c r="B506" s="66"/>
      <c r="C506" s="66"/>
      <c r="D506" s="66"/>
      <c r="G506" s="67"/>
      <c r="V506" s="67"/>
    </row>
    <row r="507">
      <c r="A507" s="66"/>
      <c r="B507" s="66"/>
      <c r="C507" s="66"/>
      <c r="D507" s="66"/>
      <c r="G507" s="67"/>
      <c r="V507" s="67"/>
    </row>
    <row r="508">
      <c r="A508" s="66"/>
      <c r="B508" s="66"/>
      <c r="C508" s="66"/>
      <c r="D508" s="66"/>
      <c r="G508" s="67"/>
      <c r="V508" s="67"/>
    </row>
    <row r="509">
      <c r="A509" s="66"/>
      <c r="B509" s="66"/>
      <c r="C509" s="66"/>
      <c r="D509" s="66"/>
      <c r="G509" s="67"/>
      <c r="V509" s="67"/>
    </row>
    <row r="510">
      <c r="A510" s="66"/>
      <c r="B510" s="66"/>
      <c r="C510" s="66"/>
      <c r="D510" s="66"/>
      <c r="G510" s="67"/>
      <c r="V510" s="67"/>
    </row>
    <row r="511">
      <c r="A511" s="66"/>
      <c r="B511" s="66"/>
      <c r="C511" s="66"/>
      <c r="D511" s="66"/>
      <c r="G511" s="67"/>
      <c r="V511" s="67"/>
    </row>
    <row r="512">
      <c r="A512" s="66"/>
      <c r="B512" s="66"/>
      <c r="C512" s="66"/>
      <c r="D512" s="66"/>
      <c r="G512" s="67"/>
      <c r="V512" s="67"/>
    </row>
    <row r="513">
      <c r="A513" s="66"/>
      <c r="B513" s="66"/>
      <c r="C513" s="66"/>
      <c r="D513" s="66"/>
      <c r="G513" s="67"/>
      <c r="V513" s="67"/>
    </row>
    <row r="514">
      <c r="A514" s="66"/>
      <c r="B514" s="66"/>
      <c r="C514" s="66"/>
      <c r="D514" s="66"/>
      <c r="G514" s="67"/>
      <c r="V514" s="67"/>
    </row>
    <row r="515">
      <c r="A515" s="66"/>
      <c r="B515" s="66"/>
      <c r="C515" s="66"/>
      <c r="D515" s="66"/>
      <c r="G515" s="67"/>
      <c r="V515" s="67"/>
    </row>
    <row r="516">
      <c r="A516" s="66"/>
      <c r="B516" s="66"/>
      <c r="C516" s="66"/>
      <c r="D516" s="66"/>
      <c r="G516" s="67"/>
      <c r="V516" s="67"/>
    </row>
    <row r="517">
      <c r="A517" s="66"/>
      <c r="B517" s="66"/>
      <c r="C517" s="66"/>
      <c r="D517" s="66"/>
      <c r="G517" s="67"/>
      <c r="V517" s="67"/>
    </row>
    <row r="518">
      <c r="A518" s="66"/>
      <c r="B518" s="66"/>
      <c r="C518" s="66"/>
      <c r="D518" s="66"/>
      <c r="G518" s="67"/>
      <c r="V518" s="67"/>
    </row>
    <row r="519">
      <c r="A519" s="66"/>
      <c r="B519" s="66"/>
      <c r="C519" s="66"/>
      <c r="D519" s="66"/>
      <c r="G519" s="67"/>
      <c r="V519" s="67"/>
    </row>
    <row r="520">
      <c r="A520" s="66"/>
      <c r="B520" s="66"/>
      <c r="C520" s="66"/>
      <c r="D520" s="66"/>
      <c r="G520" s="67"/>
      <c r="V520" s="67"/>
    </row>
    <row r="521">
      <c r="A521" s="66"/>
      <c r="B521" s="66"/>
      <c r="C521" s="66"/>
      <c r="D521" s="66"/>
      <c r="G521" s="67"/>
      <c r="V521" s="67"/>
    </row>
    <row r="522">
      <c r="A522" s="66"/>
      <c r="B522" s="66"/>
      <c r="C522" s="66"/>
      <c r="D522" s="66"/>
      <c r="G522" s="67"/>
      <c r="V522" s="67"/>
    </row>
    <row r="523">
      <c r="A523" s="66"/>
      <c r="B523" s="66"/>
      <c r="C523" s="66"/>
      <c r="D523" s="66"/>
      <c r="G523" s="67"/>
      <c r="V523" s="67"/>
    </row>
    <row r="524">
      <c r="A524" s="66"/>
      <c r="B524" s="66"/>
      <c r="C524" s="66"/>
      <c r="D524" s="66"/>
      <c r="G524" s="67"/>
      <c r="V524" s="67"/>
    </row>
    <row r="525">
      <c r="A525" s="66"/>
      <c r="B525" s="66"/>
      <c r="C525" s="66"/>
      <c r="D525" s="66"/>
      <c r="G525" s="67"/>
      <c r="V525" s="67"/>
    </row>
    <row r="526">
      <c r="A526" s="66"/>
      <c r="B526" s="66"/>
      <c r="C526" s="66"/>
      <c r="D526" s="66"/>
      <c r="G526" s="67"/>
      <c r="V526" s="67"/>
    </row>
    <row r="527">
      <c r="A527" s="66"/>
      <c r="B527" s="66"/>
      <c r="C527" s="66"/>
      <c r="D527" s="66"/>
      <c r="G527" s="67"/>
      <c r="V527" s="67"/>
    </row>
    <row r="528">
      <c r="A528" s="66"/>
      <c r="B528" s="66"/>
      <c r="C528" s="66"/>
      <c r="D528" s="66"/>
      <c r="G528" s="67"/>
      <c r="V528" s="67"/>
    </row>
    <row r="529">
      <c r="A529" s="66"/>
      <c r="B529" s="66"/>
      <c r="C529" s="66"/>
      <c r="D529" s="66"/>
      <c r="G529" s="67"/>
      <c r="V529" s="67"/>
    </row>
    <row r="530">
      <c r="A530" s="66"/>
      <c r="B530" s="66"/>
      <c r="C530" s="66"/>
      <c r="D530" s="66"/>
      <c r="G530" s="67"/>
      <c r="V530" s="67"/>
    </row>
    <row r="531">
      <c r="A531" s="66"/>
      <c r="B531" s="66"/>
      <c r="C531" s="66"/>
      <c r="D531" s="66"/>
      <c r="G531" s="67"/>
      <c r="V531" s="67"/>
    </row>
    <row r="532">
      <c r="A532" s="66"/>
      <c r="B532" s="66"/>
      <c r="C532" s="66"/>
      <c r="D532" s="66"/>
      <c r="G532" s="67"/>
      <c r="V532" s="67"/>
    </row>
    <row r="533">
      <c r="A533" s="66"/>
      <c r="B533" s="66"/>
      <c r="C533" s="66"/>
      <c r="D533" s="66"/>
      <c r="G533" s="67"/>
      <c r="V533" s="67"/>
    </row>
    <row r="534">
      <c r="A534" s="66"/>
      <c r="B534" s="66"/>
      <c r="C534" s="66"/>
      <c r="D534" s="66"/>
      <c r="G534" s="67"/>
      <c r="V534" s="67"/>
    </row>
    <row r="535">
      <c r="A535" s="66"/>
      <c r="B535" s="66"/>
      <c r="C535" s="66"/>
      <c r="D535" s="66"/>
      <c r="G535" s="67"/>
      <c r="V535" s="67"/>
    </row>
    <row r="536">
      <c r="A536" s="66"/>
      <c r="B536" s="66"/>
      <c r="C536" s="66"/>
      <c r="D536" s="66"/>
      <c r="G536" s="67"/>
      <c r="V536" s="67"/>
    </row>
    <row r="537">
      <c r="A537" s="66"/>
      <c r="B537" s="66"/>
      <c r="C537" s="66"/>
      <c r="D537" s="66"/>
      <c r="G537" s="67"/>
      <c r="V537" s="67"/>
    </row>
    <row r="538">
      <c r="A538" s="66"/>
      <c r="B538" s="66"/>
      <c r="C538" s="66"/>
      <c r="D538" s="66"/>
      <c r="G538" s="67"/>
      <c r="V538" s="67"/>
    </row>
    <row r="539">
      <c r="A539" s="66"/>
      <c r="B539" s="66"/>
      <c r="C539" s="66"/>
      <c r="D539" s="66"/>
      <c r="G539" s="67"/>
      <c r="V539" s="67"/>
    </row>
    <row r="540">
      <c r="A540" s="66"/>
      <c r="B540" s="66"/>
      <c r="C540" s="66"/>
      <c r="D540" s="66"/>
      <c r="G540" s="67"/>
      <c r="V540" s="67"/>
    </row>
    <row r="541">
      <c r="A541" s="66"/>
      <c r="B541" s="66"/>
      <c r="C541" s="66"/>
      <c r="D541" s="66"/>
      <c r="G541" s="67"/>
      <c r="V541" s="67"/>
    </row>
    <row r="542">
      <c r="A542" s="66"/>
      <c r="B542" s="66"/>
      <c r="C542" s="66"/>
      <c r="D542" s="66"/>
      <c r="G542" s="67"/>
      <c r="V542" s="67"/>
    </row>
    <row r="543">
      <c r="A543" s="66"/>
      <c r="B543" s="66"/>
      <c r="C543" s="66"/>
      <c r="D543" s="66"/>
      <c r="G543" s="67"/>
      <c r="V543" s="67"/>
    </row>
    <row r="544">
      <c r="A544" s="66"/>
      <c r="B544" s="66"/>
      <c r="C544" s="66"/>
      <c r="D544" s="66"/>
      <c r="G544" s="67"/>
      <c r="V544" s="67"/>
    </row>
    <row r="545">
      <c r="A545" s="66"/>
      <c r="B545" s="66"/>
      <c r="C545" s="66"/>
      <c r="D545" s="66"/>
      <c r="G545" s="67"/>
      <c r="V545" s="67"/>
    </row>
    <row r="546">
      <c r="A546" s="66"/>
      <c r="B546" s="66"/>
      <c r="C546" s="66"/>
      <c r="D546" s="66"/>
      <c r="G546" s="67"/>
      <c r="V546" s="67"/>
    </row>
    <row r="547">
      <c r="A547" s="66"/>
      <c r="B547" s="66"/>
      <c r="C547" s="66"/>
      <c r="D547" s="66"/>
      <c r="G547" s="67"/>
      <c r="V547" s="67"/>
    </row>
    <row r="548">
      <c r="A548" s="66"/>
      <c r="B548" s="66"/>
      <c r="C548" s="66"/>
      <c r="D548" s="66"/>
      <c r="G548" s="67"/>
      <c r="V548" s="67"/>
    </row>
    <row r="549">
      <c r="A549" s="66"/>
      <c r="B549" s="66"/>
      <c r="C549" s="66"/>
      <c r="D549" s="66"/>
      <c r="G549" s="67"/>
      <c r="V549" s="67"/>
    </row>
    <row r="550">
      <c r="A550" s="66"/>
      <c r="B550" s="66"/>
      <c r="C550" s="66"/>
      <c r="D550" s="66"/>
      <c r="G550" s="67"/>
      <c r="V550" s="67"/>
    </row>
    <row r="551">
      <c r="A551" s="66"/>
      <c r="B551" s="66"/>
      <c r="C551" s="66"/>
      <c r="D551" s="66"/>
      <c r="G551" s="67"/>
      <c r="V551" s="67"/>
    </row>
    <row r="552">
      <c r="A552" s="66"/>
      <c r="B552" s="66"/>
      <c r="C552" s="66"/>
      <c r="D552" s="66"/>
      <c r="G552" s="67"/>
      <c r="V552" s="67"/>
    </row>
    <row r="553">
      <c r="A553" s="66"/>
      <c r="B553" s="66"/>
      <c r="C553" s="66"/>
      <c r="D553" s="66"/>
      <c r="G553" s="67"/>
      <c r="V553" s="67"/>
    </row>
    <row r="554">
      <c r="A554" s="66"/>
      <c r="B554" s="66"/>
      <c r="C554" s="66"/>
      <c r="D554" s="66"/>
      <c r="G554" s="67"/>
      <c r="V554" s="67"/>
    </row>
    <row r="555">
      <c r="A555" s="66"/>
      <c r="B555" s="66"/>
      <c r="C555" s="66"/>
      <c r="D555" s="66"/>
      <c r="G555" s="67"/>
      <c r="V555" s="67"/>
    </row>
    <row r="556">
      <c r="A556" s="66"/>
      <c r="B556" s="66"/>
      <c r="C556" s="66"/>
      <c r="D556" s="66"/>
      <c r="G556" s="67"/>
      <c r="V556" s="67"/>
    </row>
    <row r="557">
      <c r="A557" s="66"/>
      <c r="B557" s="66"/>
      <c r="C557" s="66"/>
      <c r="D557" s="66"/>
      <c r="G557" s="67"/>
      <c r="V557" s="67"/>
    </row>
    <row r="558">
      <c r="A558" s="66"/>
      <c r="B558" s="66"/>
      <c r="C558" s="66"/>
      <c r="D558" s="66"/>
      <c r="G558" s="67"/>
      <c r="V558" s="67"/>
    </row>
    <row r="559">
      <c r="A559" s="66"/>
      <c r="B559" s="66"/>
      <c r="C559" s="66"/>
      <c r="D559" s="66"/>
      <c r="G559" s="67"/>
      <c r="V559" s="67"/>
    </row>
    <row r="560">
      <c r="A560" s="66"/>
      <c r="B560" s="66"/>
      <c r="C560" s="66"/>
      <c r="D560" s="66"/>
      <c r="G560" s="67"/>
      <c r="V560" s="67"/>
    </row>
    <row r="561">
      <c r="A561" s="66"/>
      <c r="B561" s="66"/>
      <c r="C561" s="66"/>
      <c r="D561" s="66"/>
      <c r="G561" s="67"/>
      <c r="V561" s="67"/>
    </row>
    <row r="562">
      <c r="A562" s="66"/>
      <c r="B562" s="66"/>
      <c r="C562" s="66"/>
      <c r="D562" s="66"/>
      <c r="G562" s="67"/>
      <c r="V562" s="67"/>
    </row>
    <row r="563">
      <c r="A563" s="66"/>
      <c r="B563" s="66"/>
      <c r="C563" s="66"/>
      <c r="D563" s="66"/>
      <c r="G563" s="67"/>
      <c r="V563" s="67"/>
    </row>
    <row r="564">
      <c r="A564" s="66"/>
      <c r="B564" s="66"/>
      <c r="C564" s="66"/>
      <c r="D564" s="66"/>
      <c r="G564" s="67"/>
      <c r="V564" s="67"/>
    </row>
    <row r="565">
      <c r="A565" s="66"/>
      <c r="B565" s="66"/>
      <c r="C565" s="66"/>
      <c r="D565" s="66"/>
      <c r="G565" s="67"/>
      <c r="V565" s="67"/>
    </row>
    <row r="566">
      <c r="A566" s="66"/>
      <c r="B566" s="66"/>
      <c r="C566" s="66"/>
      <c r="D566" s="66"/>
      <c r="G566" s="67"/>
      <c r="V566" s="67"/>
    </row>
    <row r="567">
      <c r="A567" s="66"/>
      <c r="B567" s="66"/>
      <c r="C567" s="66"/>
      <c r="D567" s="66"/>
      <c r="G567" s="67"/>
      <c r="V567" s="67"/>
    </row>
    <row r="568">
      <c r="A568" s="66"/>
      <c r="B568" s="66"/>
      <c r="C568" s="66"/>
      <c r="D568" s="66"/>
      <c r="G568" s="67"/>
      <c r="V568" s="67"/>
    </row>
    <row r="569">
      <c r="A569" s="66"/>
      <c r="B569" s="66"/>
      <c r="C569" s="66"/>
      <c r="D569" s="66"/>
      <c r="G569" s="67"/>
      <c r="V569" s="67"/>
    </row>
    <row r="570">
      <c r="A570" s="66"/>
      <c r="B570" s="66"/>
      <c r="C570" s="66"/>
      <c r="D570" s="66"/>
      <c r="G570" s="67"/>
      <c r="V570" s="67"/>
    </row>
    <row r="571">
      <c r="A571" s="66"/>
      <c r="B571" s="66"/>
      <c r="C571" s="66"/>
      <c r="D571" s="66"/>
      <c r="G571" s="67"/>
      <c r="V571" s="67"/>
    </row>
    <row r="572">
      <c r="A572" s="66"/>
      <c r="B572" s="66"/>
      <c r="C572" s="66"/>
      <c r="D572" s="66"/>
      <c r="G572" s="67"/>
      <c r="V572" s="67"/>
    </row>
    <row r="573">
      <c r="A573" s="66"/>
      <c r="B573" s="66"/>
      <c r="C573" s="66"/>
      <c r="D573" s="66"/>
      <c r="G573" s="67"/>
      <c r="V573" s="67"/>
    </row>
    <row r="574">
      <c r="A574" s="66"/>
      <c r="B574" s="66"/>
      <c r="C574" s="66"/>
      <c r="D574" s="66"/>
      <c r="G574" s="67"/>
      <c r="V574" s="67"/>
    </row>
    <row r="575">
      <c r="A575" s="66"/>
      <c r="B575" s="66"/>
      <c r="C575" s="66"/>
      <c r="D575" s="66"/>
      <c r="G575" s="67"/>
      <c r="V575" s="67"/>
    </row>
    <row r="576">
      <c r="A576" s="66"/>
      <c r="B576" s="66"/>
      <c r="C576" s="66"/>
      <c r="D576" s="66"/>
      <c r="G576" s="67"/>
      <c r="V576" s="67"/>
    </row>
    <row r="577">
      <c r="A577" s="66"/>
      <c r="B577" s="66"/>
      <c r="C577" s="66"/>
      <c r="D577" s="66"/>
      <c r="G577" s="67"/>
      <c r="V577" s="67"/>
    </row>
    <row r="578">
      <c r="A578" s="66"/>
      <c r="B578" s="66"/>
      <c r="C578" s="66"/>
      <c r="D578" s="66"/>
      <c r="G578" s="67"/>
      <c r="V578" s="67"/>
    </row>
    <row r="579">
      <c r="A579" s="66"/>
      <c r="B579" s="66"/>
      <c r="C579" s="66"/>
      <c r="D579" s="66"/>
      <c r="G579" s="67"/>
      <c r="V579" s="67"/>
    </row>
    <row r="580">
      <c r="A580" s="66"/>
      <c r="B580" s="66"/>
      <c r="C580" s="66"/>
      <c r="D580" s="66"/>
      <c r="G580" s="67"/>
      <c r="V580" s="67"/>
    </row>
    <row r="581">
      <c r="A581" s="66"/>
      <c r="B581" s="66"/>
      <c r="C581" s="66"/>
      <c r="D581" s="66"/>
      <c r="G581" s="67"/>
      <c r="V581" s="67"/>
    </row>
    <row r="582">
      <c r="A582" s="66"/>
      <c r="B582" s="66"/>
      <c r="C582" s="66"/>
      <c r="D582" s="66"/>
      <c r="G582" s="67"/>
      <c r="V582" s="67"/>
    </row>
    <row r="583">
      <c r="A583" s="66"/>
      <c r="B583" s="66"/>
      <c r="C583" s="66"/>
      <c r="D583" s="66"/>
      <c r="G583" s="67"/>
      <c r="V583" s="67"/>
    </row>
    <row r="584">
      <c r="A584" s="66"/>
      <c r="B584" s="66"/>
      <c r="C584" s="66"/>
      <c r="D584" s="66"/>
      <c r="G584" s="67"/>
      <c r="V584" s="67"/>
    </row>
    <row r="585">
      <c r="A585" s="66"/>
      <c r="B585" s="66"/>
      <c r="C585" s="66"/>
      <c r="D585" s="66"/>
      <c r="G585" s="67"/>
      <c r="V585" s="67"/>
    </row>
    <row r="586">
      <c r="A586" s="66"/>
      <c r="B586" s="66"/>
      <c r="C586" s="66"/>
      <c r="D586" s="66"/>
      <c r="G586" s="67"/>
      <c r="V586" s="67"/>
    </row>
    <row r="587">
      <c r="A587" s="66"/>
      <c r="B587" s="66"/>
      <c r="C587" s="66"/>
      <c r="D587" s="66"/>
      <c r="G587" s="67"/>
      <c r="V587" s="67"/>
    </row>
    <row r="588">
      <c r="A588" s="66"/>
      <c r="B588" s="66"/>
      <c r="C588" s="66"/>
      <c r="D588" s="66"/>
      <c r="G588" s="67"/>
      <c r="V588" s="67"/>
    </row>
    <row r="589">
      <c r="A589" s="66"/>
      <c r="B589" s="66"/>
      <c r="C589" s="66"/>
      <c r="D589" s="66"/>
      <c r="G589" s="67"/>
      <c r="V589" s="67"/>
    </row>
    <row r="590">
      <c r="A590" s="66"/>
      <c r="B590" s="66"/>
      <c r="C590" s="66"/>
      <c r="D590" s="66"/>
      <c r="G590" s="67"/>
      <c r="V590" s="67"/>
    </row>
    <row r="591">
      <c r="A591" s="66"/>
      <c r="B591" s="66"/>
      <c r="C591" s="66"/>
      <c r="D591" s="66"/>
      <c r="G591" s="67"/>
      <c r="V591" s="67"/>
    </row>
    <row r="592">
      <c r="A592" s="66"/>
      <c r="B592" s="66"/>
      <c r="C592" s="66"/>
      <c r="D592" s="66"/>
      <c r="G592" s="67"/>
      <c r="V592" s="67"/>
    </row>
    <row r="593">
      <c r="A593" s="66"/>
      <c r="B593" s="66"/>
      <c r="C593" s="66"/>
      <c r="D593" s="66"/>
      <c r="G593" s="67"/>
      <c r="V593" s="67"/>
    </row>
    <row r="594">
      <c r="A594" s="66"/>
      <c r="B594" s="66"/>
      <c r="C594" s="66"/>
      <c r="D594" s="66"/>
      <c r="G594" s="67"/>
      <c r="V594" s="67"/>
    </row>
    <row r="595">
      <c r="A595" s="66"/>
      <c r="B595" s="66"/>
      <c r="C595" s="66"/>
      <c r="D595" s="66"/>
      <c r="G595" s="67"/>
      <c r="V595" s="67"/>
    </row>
    <row r="596">
      <c r="A596" s="66"/>
      <c r="B596" s="66"/>
      <c r="C596" s="66"/>
      <c r="D596" s="66"/>
      <c r="G596" s="67"/>
      <c r="V596" s="67"/>
    </row>
    <row r="597">
      <c r="A597" s="66"/>
      <c r="B597" s="66"/>
      <c r="C597" s="66"/>
      <c r="D597" s="66"/>
      <c r="G597" s="67"/>
      <c r="V597" s="67"/>
    </row>
    <row r="598">
      <c r="A598" s="66"/>
      <c r="B598" s="66"/>
      <c r="C598" s="66"/>
      <c r="D598" s="66"/>
      <c r="G598" s="67"/>
      <c r="V598" s="67"/>
    </row>
    <row r="599">
      <c r="A599" s="66"/>
      <c r="B599" s="66"/>
      <c r="C599" s="66"/>
      <c r="D599" s="66"/>
      <c r="G599" s="67"/>
      <c r="V599" s="67"/>
    </row>
    <row r="600">
      <c r="A600" s="66"/>
      <c r="B600" s="66"/>
      <c r="C600" s="66"/>
      <c r="D600" s="66"/>
      <c r="G600" s="67"/>
      <c r="V600" s="67"/>
    </row>
    <row r="601">
      <c r="A601" s="66"/>
      <c r="B601" s="66"/>
      <c r="C601" s="66"/>
      <c r="D601" s="66"/>
      <c r="G601" s="67"/>
      <c r="V601" s="67"/>
    </row>
    <row r="602">
      <c r="A602" s="66"/>
      <c r="B602" s="66"/>
      <c r="C602" s="66"/>
      <c r="D602" s="66"/>
      <c r="G602" s="67"/>
      <c r="V602" s="67"/>
    </row>
    <row r="603">
      <c r="A603" s="66"/>
      <c r="B603" s="66"/>
      <c r="C603" s="66"/>
      <c r="D603" s="66"/>
      <c r="G603" s="67"/>
      <c r="V603" s="67"/>
    </row>
    <row r="604">
      <c r="A604" s="66"/>
      <c r="B604" s="66"/>
      <c r="C604" s="66"/>
      <c r="D604" s="66"/>
      <c r="G604" s="67"/>
      <c r="V604" s="67"/>
    </row>
    <row r="605">
      <c r="A605" s="66"/>
      <c r="B605" s="66"/>
      <c r="C605" s="66"/>
      <c r="D605" s="66"/>
      <c r="G605" s="67"/>
      <c r="V605" s="67"/>
    </row>
    <row r="606">
      <c r="A606" s="66"/>
      <c r="B606" s="66"/>
      <c r="C606" s="66"/>
      <c r="D606" s="66"/>
      <c r="G606" s="67"/>
      <c r="V606" s="67"/>
    </row>
    <row r="607">
      <c r="A607" s="66"/>
      <c r="B607" s="66"/>
      <c r="C607" s="66"/>
      <c r="D607" s="66"/>
      <c r="G607" s="67"/>
      <c r="V607" s="67"/>
    </row>
    <row r="608">
      <c r="A608" s="66"/>
      <c r="B608" s="66"/>
      <c r="C608" s="66"/>
      <c r="D608" s="66"/>
      <c r="G608" s="67"/>
      <c r="V608" s="67"/>
    </row>
    <row r="609">
      <c r="A609" s="66"/>
      <c r="B609" s="66"/>
      <c r="C609" s="66"/>
      <c r="D609" s="66"/>
      <c r="G609" s="67"/>
      <c r="V609" s="67"/>
    </row>
    <row r="610">
      <c r="A610" s="66"/>
      <c r="B610" s="66"/>
      <c r="C610" s="66"/>
      <c r="D610" s="66"/>
      <c r="G610" s="67"/>
      <c r="V610" s="67"/>
    </row>
    <row r="611">
      <c r="A611" s="66"/>
      <c r="B611" s="66"/>
      <c r="C611" s="66"/>
      <c r="D611" s="66"/>
      <c r="G611" s="67"/>
      <c r="V611" s="67"/>
    </row>
    <row r="612">
      <c r="A612" s="66"/>
      <c r="B612" s="66"/>
      <c r="C612" s="66"/>
      <c r="D612" s="66"/>
      <c r="G612" s="67"/>
      <c r="V612" s="67"/>
    </row>
    <row r="613">
      <c r="A613" s="66"/>
      <c r="B613" s="66"/>
      <c r="C613" s="66"/>
      <c r="D613" s="66"/>
      <c r="G613" s="67"/>
      <c r="V613" s="67"/>
    </row>
    <row r="614">
      <c r="A614" s="66"/>
      <c r="B614" s="66"/>
      <c r="C614" s="66"/>
      <c r="D614" s="66"/>
      <c r="G614" s="67"/>
      <c r="V614" s="67"/>
    </row>
    <row r="615">
      <c r="A615" s="66"/>
      <c r="B615" s="66"/>
      <c r="C615" s="66"/>
      <c r="D615" s="66"/>
      <c r="G615" s="67"/>
      <c r="V615" s="67"/>
    </row>
    <row r="616">
      <c r="A616" s="66"/>
      <c r="B616" s="66"/>
      <c r="C616" s="66"/>
      <c r="D616" s="66"/>
      <c r="G616" s="67"/>
      <c r="V616" s="67"/>
    </row>
    <row r="617">
      <c r="A617" s="66"/>
      <c r="B617" s="66"/>
      <c r="C617" s="66"/>
      <c r="D617" s="66"/>
      <c r="G617" s="67"/>
      <c r="V617" s="67"/>
    </row>
    <row r="618">
      <c r="A618" s="66"/>
      <c r="B618" s="66"/>
      <c r="C618" s="66"/>
      <c r="D618" s="66"/>
      <c r="G618" s="67"/>
      <c r="V618" s="67"/>
    </row>
    <row r="619">
      <c r="A619" s="66"/>
      <c r="B619" s="66"/>
      <c r="C619" s="66"/>
      <c r="D619" s="66"/>
      <c r="G619" s="67"/>
      <c r="V619" s="67"/>
    </row>
    <row r="620">
      <c r="A620" s="66"/>
      <c r="B620" s="66"/>
      <c r="C620" s="66"/>
      <c r="D620" s="66"/>
      <c r="G620" s="67"/>
      <c r="V620" s="67"/>
    </row>
    <row r="621">
      <c r="A621" s="66"/>
      <c r="B621" s="66"/>
      <c r="C621" s="66"/>
      <c r="D621" s="66"/>
      <c r="G621" s="67"/>
      <c r="V621" s="67"/>
    </row>
    <row r="622">
      <c r="A622" s="66"/>
      <c r="B622" s="66"/>
      <c r="C622" s="66"/>
      <c r="D622" s="66"/>
      <c r="G622" s="67"/>
      <c r="V622" s="67"/>
    </row>
    <row r="623">
      <c r="A623" s="66"/>
      <c r="B623" s="66"/>
      <c r="C623" s="66"/>
      <c r="D623" s="66"/>
      <c r="G623" s="67"/>
      <c r="V623" s="67"/>
    </row>
    <row r="624">
      <c r="A624" s="66"/>
      <c r="B624" s="66"/>
      <c r="C624" s="66"/>
      <c r="D624" s="66"/>
      <c r="G624" s="67"/>
      <c r="V624" s="67"/>
    </row>
    <row r="625">
      <c r="A625" s="66"/>
      <c r="B625" s="66"/>
      <c r="C625" s="66"/>
      <c r="D625" s="66"/>
      <c r="G625" s="67"/>
      <c r="V625" s="67"/>
    </row>
    <row r="626">
      <c r="A626" s="66"/>
      <c r="B626" s="66"/>
      <c r="C626" s="66"/>
      <c r="D626" s="66"/>
      <c r="G626" s="67"/>
      <c r="V626" s="67"/>
    </row>
    <row r="627">
      <c r="A627" s="66"/>
      <c r="B627" s="66"/>
      <c r="C627" s="66"/>
      <c r="D627" s="66"/>
      <c r="G627" s="67"/>
      <c r="V627" s="67"/>
    </row>
    <row r="628">
      <c r="A628" s="66"/>
      <c r="B628" s="66"/>
      <c r="C628" s="66"/>
      <c r="D628" s="66"/>
      <c r="G628" s="67"/>
      <c r="V628" s="67"/>
    </row>
    <row r="629">
      <c r="A629" s="66"/>
      <c r="B629" s="66"/>
      <c r="C629" s="66"/>
      <c r="D629" s="66"/>
      <c r="G629" s="67"/>
      <c r="V629" s="67"/>
    </row>
    <row r="630">
      <c r="A630" s="66"/>
      <c r="B630" s="66"/>
      <c r="C630" s="66"/>
      <c r="D630" s="66"/>
      <c r="G630" s="67"/>
      <c r="V630" s="67"/>
    </row>
    <row r="631">
      <c r="A631" s="66"/>
      <c r="B631" s="66"/>
      <c r="C631" s="66"/>
      <c r="D631" s="66"/>
      <c r="G631" s="67"/>
      <c r="V631" s="67"/>
    </row>
    <row r="632">
      <c r="A632" s="66"/>
      <c r="B632" s="66"/>
      <c r="C632" s="66"/>
      <c r="D632" s="66"/>
      <c r="G632" s="67"/>
      <c r="V632" s="67"/>
    </row>
    <row r="633">
      <c r="A633" s="66"/>
      <c r="B633" s="66"/>
      <c r="C633" s="66"/>
      <c r="D633" s="66"/>
      <c r="G633" s="67"/>
      <c r="V633" s="67"/>
    </row>
    <row r="634">
      <c r="A634" s="66"/>
      <c r="B634" s="66"/>
      <c r="C634" s="66"/>
      <c r="D634" s="66"/>
      <c r="G634" s="67"/>
      <c r="V634" s="67"/>
    </row>
    <row r="635">
      <c r="A635" s="66"/>
      <c r="B635" s="66"/>
      <c r="C635" s="66"/>
      <c r="D635" s="66"/>
      <c r="G635" s="67"/>
      <c r="V635" s="67"/>
    </row>
    <row r="636">
      <c r="A636" s="66"/>
      <c r="B636" s="66"/>
      <c r="C636" s="66"/>
      <c r="D636" s="66"/>
      <c r="G636" s="67"/>
      <c r="V636" s="67"/>
    </row>
    <row r="637">
      <c r="A637" s="66"/>
      <c r="B637" s="66"/>
      <c r="C637" s="66"/>
      <c r="D637" s="66"/>
      <c r="G637" s="67"/>
      <c r="V637" s="67"/>
    </row>
    <row r="638">
      <c r="A638" s="66"/>
      <c r="B638" s="66"/>
      <c r="C638" s="66"/>
      <c r="D638" s="66"/>
      <c r="G638" s="67"/>
      <c r="V638" s="67"/>
    </row>
    <row r="639">
      <c r="A639" s="66"/>
      <c r="B639" s="66"/>
      <c r="C639" s="66"/>
      <c r="D639" s="66"/>
      <c r="G639" s="67"/>
      <c r="V639" s="67"/>
    </row>
    <row r="640">
      <c r="A640" s="66"/>
      <c r="B640" s="66"/>
      <c r="C640" s="66"/>
      <c r="D640" s="66"/>
      <c r="G640" s="67"/>
      <c r="V640" s="67"/>
    </row>
    <row r="641">
      <c r="A641" s="66"/>
      <c r="B641" s="66"/>
      <c r="C641" s="66"/>
      <c r="D641" s="66"/>
      <c r="G641" s="67"/>
      <c r="V641" s="67"/>
    </row>
    <row r="642">
      <c r="A642" s="66"/>
      <c r="B642" s="66"/>
      <c r="C642" s="66"/>
      <c r="D642" s="66"/>
      <c r="G642" s="67"/>
      <c r="V642" s="67"/>
    </row>
    <row r="643">
      <c r="A643" s="66"/>
      <c r="B643" s="66"/>
      <c r="C643" s="66"/>
      <c r="D643" s="66"/>
      <c r="G643" s="67"/>
      <c r="V643" s="67"/>
    </row>
    <row r="644">
      <c r="A644" s="66"/>
      <c r="B644" s="66"/>
      <c r="C644" s="66"/>
      <c r="D644" s="66"/>
      <c r="G644" s="67"/>
      <c r="V644" s="67"/>
    </row>
    <row r="645">
      <c r="A645" s="66"/>
      <c r="B645" s="66"/>
      <c r="C645" s="66"/>
      <c r="D645" s="66"/>
      <c r="G645" s="67"/>
      <c r="V645" s="67"/>
    </row>
    <row r="646">
      <c r="A646" s="66"/>
      <c r="B646" s="66"/>
      <c r="C646" s="66"/>
      <c r="D646" s="66"/>
      <c r="G646" s="67"/>
      <c r="V646" s="67"/>
    </row>
    <row r="647">
      <c r="A647" s="66"/>
      <c r="B647" s="66"/>
      <c r="C647" s="66"/>
      <c r="D647" s="66"/>
      <c r="G647" s="67"/>
      <c r="V647" s="67"/>
    </row>
    <row r="648">
      <c r="A648" s="66"/>
      <c r="B648" s="66"/>
      <c r="C648" s="66"/>
      <c r="D648" s="66"/>
      <c r="G648" s="67"/>
      <c r="V648" s="67"/>
    </row>
    <row r="649">
      <c r="A649" s="66"/>
      <c r="B649" s="66"/>
      <c r="C649" s="66"/>
      <c r="D649" s="66"/>
      <c r="G649" s="67"/>
      <c r="V649" s="67"/>
    </row>
    <row r="650">
      <c r="A650" s="66"/>
      <c r="B650" s="66"/>
      <c r="C650" s="66"/>
      <c r="D650" s="66"/>
      <c r="G650" s="67"/>
      <c r="V650" s="67"/>
    </row>
    <row r="651">
      <c r="A651" s="66"/>
      <c r="B651" s="66"/>
      <c r="C651" s="66"/>
      <c r="D651" s="66"/>
      <c r="G651" s="67"/>
      <c r="V651" s="67"/>
    </row>
    <row r="652">
      <c r="A652" s="66"/>
      <c r="B652" s="66"/>
      <c r="C652" s="66"/>
      <c r="D652" s="66"/>
      <c r="G652" s="67"/>
      <c r="V652" s="67"/>
    </row>
    <row r="653">
      <c r="A653" s="66"/>
      <c r="B653" s="66"/>
      <c r="C653" s="66"/>
      <c r="D653" s="66"/>
      <c r="G653" s="67"/>
      <c r="V653" s="67"/>
    </row>
    <row r="654">
      <c r="A654" s="66"/>
      <c r="B654" s="66"/>
      <c r="C654" s="66"/>
      <c r="D654" s="66"/>
      <c r="G654" s="67"/>
      <c r="V654" s="67"/>
    </row>
    <row r="655">
      <c r="A655" s="66"/>
      <c r="B655" s="66"/>
      <c r="C655" s="66"/>
      <c r="D655" s="66"/>
      <c r="G655" s="67"/>
      <c r="V655" s="67"/>
    </row>
    <row r="656">
      <c r="A656" s="66"/>
      <c r="B656" s="66"/>
      <c r="C656" s="66"/>
      <c r="D656" s="66"/>
      <c r="G656" s="67"/>
      <c r="V656" s="67"/>
    </row>
    <row r="657">
      <c r="A657" s="66"/>
      <c r="B657" s="66"/>
      <c r="C657" s="66"/>
      <c r="D657" s="66"/>
      <c r="G657" s="67"/>
      <c r="V657" s="67"/>
    </row>
    <row r="658">
      <c r="A658" s="66"/>
      <c r="B658" s="66"/>
      <c r="C658" s="66"/>
      <c r="D658" s="66"/>
      <c r="G658" s="67"/>
      <c r="V658" s="67"/>
    </row>
    <row r="659">
      <c r="A659" s="66"/>
      <c r="B659" s="66"/>
      <c r="C659" s="66"/>
      <c r="D659" s="66"/>
      <c r="G659" s="67"/>
      <c r="V659" s="67"/>
    </row>
    <row r="660">
      <c r="A660" s="66"/>
      <c r="B660" s="66"/>
      <c r="C660" s="66"/>
      <c r="D660" s="66"/>
      <c r="G660" s="67"/>
      <c r="V660" s="67"/>
    </row>
    <row r="661">
      <c r="A661" s="66"/>
      <c r="B661" s="66"/>
      <c r="C661" s="66"/>
      <c r="D661" s="66"/>
      <c r="G661" s="67"/>
      <c r="V661" s="67"/>
    </row>
    <row r="662">
      <c r="A662" s="66"/>
      <c r="B662" s="66"/>
      <c r="C662" s="66"/>
      <c r="D662" s="66"/>
      <c r="G662" s="67"/>
      <c r="V662" s="67"/>
    </row>
    <row r="663">
      <c r="A663" s="66"/>
      <c r="B663" s="66"/>
      <c r="C663" s="66"/>
      <c r="D663" s="66"/>
      <c r="G663" s="67"/>
      <c r="V663" s="67"/>
    </row>
    <row r="664">
      <c r="A664" s="66"/>
      <c r="B664" s="66"/>
      <c r="C664" s="66"/>
      <c r="D664" s="66"/>
      <c r="G664" s="67"/>
      <c r="V664" s="67"/>
    </row>
    <row r="665">
      <c r="A665" s="66"/>
      <c r="B665" s="66"/>
      <c r="C665" s="66"/>
      <c r="D665" s="66"/>
      <c r="G665" s="67"/>
      <c r="V665" s="67"/>
    </row>
    <row r="666">
      <c r="A666" s="66"/>
      <c r="B666" s="66"/>
      <c r="C666" s="66"/>
      <c r="D666" s="66"/>
      <c r="G666" s="67"/>
      <c r="V666" s="67"/>
    </row>
    <row r="667">
      <c r="A667" s="66"/>
      <c r="B667" s="66"/>
      <c r="C667" s="66"/>
      <c r="D667" s="66"/>
      <c r="G667" s="67"/>
      <c r="V667" s="67"/>
    </row>
    <row r="668">
      <c r="A668" s="66"/>
      <c r="B668" s="66"/>
      <c r="C668" s="66"/>
      <c r="D668" s="66"/>
      <c r="G668" s="67"/>
      <c r="V668" s="67"/>
    </row>
    <row r="669">
      <c r="A669" s="66"/>
      <c r="B669" s="66"/>
      <c r="C669" s="66"/>
      <c r="D669" s="66"/>
      <c r="G669" s="67"/>
      <c r="V669" s="67"/>
    </row>
    <row r="670">
      <c r="A670" s="66"/>
      <c r="B670" s="66"/>
      <c r="C670" s="66"/>
      <c r="D670" s="66"/>
      <c r="G670" s="67"/>
      <c r="V670" s="67"/>
    </row>
    <row r="671">
      <c r="A671" s="66"/>
      <c r="B671" s="66"/>
      <c r="C671" s="66"/>
      <c r="D671" s="66"/>
      <c r="G671" s="67"/>
      <c r="V671" s="67"/>
    </row>
    <row r="672">
      <c r="A672" s="66"/>
      <c r="B672" s="66"/>
      <c r="C672" s="66"/>
      <c r="D672" s="66"/>
      <c r="G672" s="67"/>
      <c r="V672" s="67"/>
    </row>
    <row r="673">
      <c r="A673" s="66"/>
      <c r="B673" s="66"/>
      <c r="C673" s="66"/>
      <c r="D673" s="66"/>
      <c r="G673" s="67"/>
      <c r="V673" s="67"/>
    </row>
    <row r="674">
      <c r="A674" s="66"/>
      <c r="B674" s="66"/>
      <c r="C674" s="66"/>
      <c r="D674" s="66"/>
      <c r="G674" s="67"/>
      <c r="V674" s="67"/>
    </row>
    <row r="675">
      <c r="A675" s="66"/>
      <c r="B675" s="66"/>
      <c r="C675" s="66"/>
      <c r="D675" s="66"/>
      <c r="G675" s="67"/>
      <c r="V675" s="67"/>
    </row>
    <row r="676">
      <c r="A676" s="66"/>
      <c r="B676" s="66"/>
      <c r="C676" s="66"/>
      <c r="D676" s="66"/>
      <c r="G676" s="67"/>
      <c r="V676" s="67"/>
    </row>
    <row r="677">
      <c r="A677" s="66"/>
      <c r="B677" s="66"/>
      <c r="C677" s="66"/>
      <c r="D677" s="66"/>
      <c r="G677" s="67"/>
      <c r="V677" s="67"/>
    </row>
    <row r="678">
      <c r="A678" s="66"/>
      <c r="B678" s="66"/>
      <c r="C678" s="66"/>
      <c r="D678" s="66"/>
      <c r="G678" s="67"/>
      <c r="V678" s="67"/>
    </row>
    <row r="679">
      <c r="A679" s="66"/>
      <c r="B679" s="66"/>
      <c r="C679" s="66"/>
      <c r="D679" s="66"/>
      <c r="G679" s="67"/>
      <c r="V679" s="67"/>
    </row>
    <row r="680">
      <c r="A680" s="66"/>
      <c r="B680" s="66"/>
      <c r="C680" s="66"/>
      <c r="D680" s="66"/>
      <c r="G680" s="67"/>
      <c r="V680" s="67"/>
    </row>
    <row r="681">
      <c r="A681" s="66"/>
      <c r="B681" s="66"/>
      <c r="C681" s="66"/>
      <c r="D681" s="66"/>
      <c r="G681" s="67"/>
      <c r="V681" s="67"/>
    </row>
    <row r="682">
      <c r="A682" s="66"/>
      <c r="B682" s="66"/>
      <c r="C682" s="66"/>
      <c r="D682" s="66"/>
      <c r="G682" s="67"/>
      <c r="V682" s="67"/>
    </row>
    <row r="683">
      <c r="A683" s="66"/>
      <c r="B683" s="66"/>
      <c r="C683" s="66"/>
      <c r="D683" s="66"/>
      <c r="G683" s="67"/>
      <c r="V683" s="67"/>
    </row>
    <row r="684">
      <c r="A684" s="66"/>
      <c r="B684" s="66"/>
      <c r="C684" s="66"/>
      <c r="D684" s="66"/>
      <c r="G684" s="67"/>
      <c r="V684" s="67"/>
    </row>
    <row r="685">
      <c r="A685" s="66"/>
      <c r="B685" s="66"/>
      <c r="C685" s="66"/>
      <c r="D685" s="66"/>
      <c r="G685" s="67"/>
      <c r="V685" s="67"/>
    </row>
    <row r="686">
      <c r="A686" s="66"/>
      <c r="B686" s="66"/>
      <c r="C686" s="66"/>
      <c r="D686" s="66"/>
      <c r="G686" s="67"/>
      <c r="V686" s="67"/>
    </row>
    <row r="687">
      <c r="A687" s="66"/>
      <c r="B687" s="66"/>
      <c r="C687" s="66"/>
      <c r="D687" s="66"/>
      <c r="G687" s="67"/>
      <c r="V687" s="67"/>
    </row>
    <row r="688">
      <c r="A688" s="66"/>
      <c r="B688" s="66"/>
      <c r="C688" s="66"/>
      <c r="D688" s="66"/>
      <c r="G688" s="67"/>
      <c r="V688" s="67"/>
    </row>
    <row r="689">
      <c r="A689" s="66"/>
      <c r="B689" s="66"/>
      <c r="C689" s="66"/>
      <c r="D689" s="66"/>
      <c r="G689" s="67"/>
      <c r="V689" s="67"/>
    </row>
    <row r="690">
      <c r="A690" s="66"/>
      <c r="B690" s="66"/>
      <c r="C690" s="66"/>
      <c r="D690" s="66"/>
      <c r="G690" s="67"/>
      <c r="V690" s="67"/>
    </row>
    <row r="691">
      <c r="A691" s="66"/>
      <c r="B691" s="66"/>
      <c r="C691" s="66"/>
      <c r="D691" s="66"/>
      <c r="G691" s="67"/>
      <c r="V691" s="67"/>
    </row>
    <row r="692">
      <c r="A692" s="66"/>
      <c r="B692" s="66"/>
      <c r="C692" s="66"/>
      <c r="D692" s="66"/>
      <c r="G692" s="67"/>
      <c r="V692" s="67"/>
    </row>
    <row r="693">
      <c r="A693" s="66"/>
      <c r="B693" s="66"/>
      <c r="C693" s="66"/>
      <c r="D693" s="66"/>
      <c r="G693" s="67"/>
      <c r="V693" s="67"/>
    </row>
    <row r="694">
      <c r="A694" s="66"/>
      <c r="B694" s="66"/>
      <c r="C694" s="66"/>
      <c r="D694" s="66"/>
      <c r="G694" s="67"/>
      <c r="V694" s="67"/>
    </row>
    <row r="695">
      <c r="A695" s="66"/>
      <c r="B695" s="66"/>
      <c r="C695" s="66"/>
      <c r="D695" s="66"/>
      <c r="G695" s="67"/>
      <c r="V695" s="67"/>
    </row>
    <row r="696">
      <c r="A696" s="66"/>
      <c r="B696" s="66"/>
      <c r="C696" s="66"/>
      <c r="D696" s="66"/>
      <c r="G696" s="67"/>
      <c r="V696" s="67"/>
    </row>
    <row r="697">
      <c r="A697" s="66"/>
      <c r="B697" s="66"/>
      <c r="C697" s="66"/>
      <c r="D697" s="66"/>
      <c r="G697" s="67"/>
      <c r="V697" s="67"/>
    </row>
    <row r="698">
      <c r="A698" s="66"/>
      <c r="B698" s="66"/>
      <c r="C698" s="66"/>
      <c r="D698" s="66"/>
      <c r="G698" s="67"/>
      <c r="V698" s="67"/>
    </row>
    <row r="699">
      <c r="A699" s="66"/>
      <c r="B699" s="66"/>
      <c r="C699" s="66"/>
      <c r="D699" s="66"/>
      <c r="G699" s="67"/>
      <c r="V699" s="67"/>
    </row>
    <row r="700">
      <c r="A700" s="66"/>
      <c r="B700" s="66"/>
      <c r="C700" s="66"/>
      <c r="D700" s="66"/>
      <c r="G700" s="67"/>
      <c r="V700" s="67"/>
    </row>
    <row r="701">
      <c r="A701" s="66"/>
      <c r="B701" s="66"/>
      <c r="C701" s="66"/>
      <c r="D701" s="66"/>
      <c r="G701" s="67"/>
      <c r="V701" s="67"/>
    </row>
    <row r="702">
      <c r="A702" s="66"/>
      <c r="B702" s="66"/>
      <c r="C702" s="66"/>
      <c r="D702" s="66"/>
      <c r="G702" s="67"/>
      <c r="V702" s="67"/>
    </row>
    <row r="703">
      <c r="A703" s="66"/>
      <c r="B703" s="66"/>
      <c r="C703" s="66"/>
      <c r="D703" s="66"/>
      <c r="G703" s="67"/>
      <c r="V703" s="67"/>
    </row>
    <row r="704">
      <c r="A704" s="66"/>
      <c r="B704" s="66"/>
      <c r="C704" s="66"/>
      <c r="D704" s="66"/>
      <c r="G704" s="67"/>
      <c r="V704" s="67"/>
    </row>
    <row r="705">
      <c r="A705" s="66"/>
      <c r="B705" s="66"/>
      <c r="C705" s="66"/>
      <c r="D705" s="66"/>
      <c r="G705" s="67"/>
      <c r="V705" s="67"/>
    </row>
    <row r="706">
      <c r="A706" s="66"/>
      <c r="B706" s="66"/>
      <c r="C706" s="66"/>
      <c r="D706" s="66"/>
      <c r="G706" s="67"/>
      <c r="V706" s="67"/>
    </row>
    <row r="707">
      <c r="A707" s="66"/>
      <c r="B707" s="66"/>
      <c r="C707" s="66"/>
      <c r="D707" s="66"/>
      <c r="G707" s="67"/>
      <c r="V707" s="67"/>
    </row>
    <row r="708">
      <c r="A708" s="66"/>
      <c r="B708" s="66"/>
      <c r="C708" s="66"/>
      <c r="D708" s="66"/>
      <c r="G708" s="67"/>
      <c r="V708" s="67"/>
    </row>
    <row r="709">
      <c r="A709" s="66"/>
      <c r="B709" s="66"/>
      <c r="C709" s="66"/>
      <c r="D709" s="66"/>
      <c r="G709" s="67"/>
      <c r="V709" s="67"/>
    </row>
    <row r="710">
      <c r="A710" s="66"/>
      <c r="B710" s="66"/>
      <c r="C710" s="66"/>
      <c r="D710" s="66"/>
      <c r="G710" s="67"/>
      <c r="V710" s="67"/>
    </row>
    <row r="711">
      <c r="A711" s="66"/>
      <c r="B711" s="66"/>
      <c r="C711" s="66"/>
      <c r="D711" s="66"/>
      <c r="G711" s="67"/>
      <c r="V711" s="67"/>
    </row>
    <row r="712">
      <c r="A712" s="66"/>
      <c r="B712" s="66"/>
      <c r="C712" s="66"/>
      <c r="D712" s="66"/>
      <c r="G712" s="67"/>
      <c r="V712" s="67"/>
    </row>
    <row r="713">
      <c r="A713" s="66"/>
      <c r="B713" s="66"/>
      <c r="C713" s="66"/>
      <c r="D713" s="66"/>
      <c r="G713" s="67"/>
      <c r="V713" s="67"/>
    </row>
    <row r="714">
      <c r="A714" s="66"/>
      <c r="B714" s="66"/>
      <c r="C714" s="66"/>
      <c r="D714" s="66"/>
      <c r="G714" s="67"/>
      <c r="V714" s="67"/>
    </row>
    <row r="715">
      <c r="A715" s="66"/>
      <c r="B715" s="66"/>
      <c r="C715" s="66"/>
      <c r="D715" s="66"/>
      <c r="G715" s="67"/>
      <c r="V715" s="67"/>
    </row>
    <row r="716">
      <c r="A716" s="66"/>
      <c r="B716" s="66"/>
      <c r="C716" s="66"/>
      <c r="D716" s="66"/>
      <c r="G716" s="67"/>
      <c r="V716" s="67"/>
    </row>
    <row r="717">
      <c r="A717" s="66"/>
      <c r="B717" s="66"/>
      <c r="C717" s="66"/>
      <c r="D717" s="66"/>
      <c r="G717" s="67"/>
      <c r="V717" s="67"/>
    </row>
    <row r="718">
      <c r="A718" s="66"/>
      <c r="B718" s="66"/>
      <c r="C718" s="66"/>
      <c r="D718" s="66"/>
      <c r="G718" s="67"/>
      <c r="V718" s="67"/>
    </row>
    <row r="719">
      <c r="A719" s="66"/>
      <c r="B719" s="66"/>
      <c r="C719" s="66"/>
      <c r="D719" s="66"/>
      <c r="G719" s="67"/>
      <c r="V719" s="67"/>
    </row>
    <row r="720">
      <c r="A720" s="66"/>
      <c r="B720" s="66"/>
      <c r="C720" s="66"/>
      <c r="D720" s="66"/>
      <c r="G720" s="67"/>
      <c r="V720" s="67"/>
    </row>
    <row r="721">
      <c r="A721" s="66"/>
      <c r="B721" s="66"/>
      <c r="C721" s="66"/>
      <c r="D721" s="66"/>
      <c r="G721" s="67"/>
      <c r="V721" s="67"/>
    </row>
    <row r="722">
      <c r="A722" s="66"/>
      <c r="B722" s="66"/>
      <c r="C722" s="66"/>
      <c r="D722" s="66"/>
      <c r="G722" s="67"/>
      <c r="V722" s="67"/>
    </row>
    <row r="723">
      <c r="A723" s="66"/>
      <c r="B723" s="66"/>
      <c r="C723" s="66"/>
      <c r="D723" s="66"/>
      <c r="G723" s="67"/>
      <c r="V723" s="67"/>
    </row>
    <row r="724">
      <c r="A724" s="66"/>
      <c r="B724" s="66"/>
      <c r="C724" s="66"/>
      <c r="D724" s="66"/>
      <c r="G724" s="67"/>
      <c r="V724" s="67"/>
    </row>
    <row r="725">
      <c r="A725" s="66"/>
      <c r="B725" s="66"/>
      <c r="C725" s="66"/>
      <c r="D725" s="66"/>
      <c r="G725" s="67"/>
      <c r="V725" s="67"/>
    </row>
    <row r="726">
      <c r="A726" s="66"/>
      <c r="B726" s="66"/>
      <c r="C726" s="66"/>
      <c r="D726" s="66"/>
      <c r="G726" s="67"/>
      <c r="V726" s="67"/>
    </row>
    <row r="727">
      <c r="A727" s="66"/>
      <c r="B727" s="66"/>
      <c r="C727" s="66"/>
      <c r="D727" s="66"/>
      <c r="G727" s="67"/>
      <c r="V727" s="67"/>
    </row>
    <row r="728">
      <c r="A728" s="66"/>
      <c r="B728" s="66"/>
      <c r="C728" s="66"/>
      <c r="D728" s="66"/>
      <c r="G728" s="67"/>
      <c r="V728" s="67"/>
    </row>
    <row r="729">
      <c r="A729" s="66"/>
      <c r="B729" s="66"/>
      <c r="C729" s="66"/>
      <c r="D729" s="66"/>
      <c r="G729" s="67"/>
      <c r="V729" s="67"/>
    </row>
    <row r="730">
      <c r="A730" s="66"/>
      <c r="B730" s="66"/>
      <c r="C730" s="66"/>
      <c r="D730" s="66"/>
      <c r="G730" s="67"/>
      <c r="V730" s="67"/>
    </row>
    <row r="731">
      <c r="A731" s="66"/>
      <c r="B731" s="66"/>
      <c r="C731" s="66"/>
      <c r="D731" s="66"/>
      <c r="G731" s="67"/>
      <c r="V731" s="67"/>
    </row>
    <row r="732">
      <c r="A732" s="66"/>
      <c r="B732" s="66"/>
      <c r="C732" s="66"/>
      <c r="D732" s="66"/>
      <c r="G732" s="67"/>
      <c r="V732" s="67"/>
    </row>
    <row r="733">
      <c r="A733" s="66"/>
      <c r="B733" s="66"/>
      <c r="C733" s="66"/>
      <c r="D733" s="66"/>
      <c r="G733" s="67"/>
      <c r="V733" s="67"/>
    </row>
    <row r="734">
      <c r="A734" s="66"/>
      <c r="B734" s="66"/>
      <c r="C734" s="66"/>
      <c r="D734" s="66"/>
      <c r="G734" s="67"/>
      <c r="V734" s="67"/>
    </row>
    <row r="735">
      <c r="A735" s="66"/>
      <c r="B735" s="66"/>
      <c r="C735" s="66"/>
      <c r="D735" s="66"/>
      <c r="G735" s="67"/>
      <c r="V735" s="67"/>
    </row>
    <row r="736">
      <c r="A736" s="66"/>
      <c r="B736" s="66"/>
      <c r="C736" s="66"/>
      <c r="D736" s="66"/>
      <c r="G736" s="67"/>
      <c r="V736" s="67"/>
    </row>
    <row r="737">
      <c r="A737" s="66"/>
      <c r="B737" s="66"/>
      <c r="C737" s="66"/>
      <c r="D737" s="66"/>
      <c r="G737" s="67"/>
      <c r="V737" s="67"/>
    </row>
    <row r="738">
      <c r="A738" s="66"/>
      <c r="B738" s="66"/>
      <c r="C738" s="66"/>
      <c r="D738" s="66"/>
      <c r="G738" s="67"/>
      <c r="V738" s="67"/>
    </row>
    <row r="739">
      <c r="A739" s="66"/>
      <c r="B739" s="66"/>
      <c r="C739" s="66"/>
      <c r="D739" s="66"/>
      <c r="G739" s="67"/>
      <c r="V739" s="67"/>
    </row>
    <row r="740">
      <c r="A740" s="66"/>
      <c r="B740" s="66"/>
      <c r="C740" s="66"/>
      <c r="D740" s="66"/>
      <c r="G740" s="67"/>
      <c r="V740" s="67"/>
    </row>
    <row r="741">
      <c r="A741" s="66"/>
      <c r="B741" s="66"/>
      <c r="C741" s="66"/>
      <c r="D741" s="66"/>
      <c r="G741" s="67"/>
      <c r="V741" s="67"/>
    </row>
    <row r="742">
      <c r="A742" s="66"/>
      <c r="B742" s="66"/>
      <c r="C742" s="66"/>
      <c r="D742" s="66"/>
      <c r="G742" s="67"/>
      <c r="V742" s="67"/>
    </row>
    <row r="743">
      <c r="A743" s="66"/>
      <c r="B743" s="66"/>
      <c r="C743" s="66"/>
      <c r="D743" s="66"/>
      <c r="G743" s="67"/>
      <c r="V743" s="67"/>
    </row>
    <row r="744">
      <c r="A744" s="66"/>
      <c r="B744" s="66"/>
      <c r="C744" s="66"/>
      <c r="D744" s="66"/>
      <c r="G744" s="67"/>
      <c r="V744" s="67"/>
    </row>
    <row r="745">
      <c r="A745" s="66"/>
      <c r="B745" s="66"/>
      <c r="C745" s="66"/>
      <c r="D745" s="66"/>
      <c r="G745" s="67"/>
      <c r="V745" s="67"/>
    </row>
    <row r="746">
      <c r="A746" s="66"/>
      <c r="B746" s="66"/>
      <c r="C746" s="66"/>
      <c r="D746" s="66"/>
      <c r="G746" s="67"/>
      <c r="V746" s="67"/>
    </row>
    <row r="747">
      <c r="A747" s="66"/>
      <c r="B747" s="66"/>
      <c r="C747" s="66"/>
      <c r="D747" s="66"/>
      <c r="G747" s="67"/>
      <c r="V747" s="67"/>
    </row>
    <row r="748">
      <c r="A748" s="66"/>
      <c r="B748" s="66"/>
      <c r="C748" s="66"/>
      <c r="D748" s="66"/>
      <c r="G748" s="67"/>
      <c r="V748" s="67"/>
    </row>
    <row r="749">
      <c r="A749" s="66"/>
      <c r="B749" s="66"/>
      <c r="C749" s="66"/>
      <c r="D749" s="66"/>
      <c r="G749" s="67"/>
      <c r="V749" s="67"/>
    </row>
    <row r="750">
      <c r="A750" s="66"/>
      <c r="B750" s="66"/>
      <c r="C750" s="66"/>
      <c r="D750" s="66"/>
      <c r="G750" s="67"/>
      <c r="V750" s="67"/>
    </row>
    <row r="751">
      <c r="A751" s="66"/>
      <c r="B751" s="66"/>
      <c r="C751" s="66"/>
      <c r="D751" s="66"/>
      <c r="G751" s="67"/>
      <c r="V751" s="67"/>
    </row>
    <row r="752">
      <c r="A752" s="66"/>
      <c r="B752" s="66"/>
      <c r="C752" s="66"/>
      <c r="D752" s="66"/>
      <c r="G752" s="67"/>
      <c r="V752" s="67"/>
    </row>
    <row r="753">
      <c r="A753" s="66"/>
      <c r="B753" s="66"/>
      <c r="C753" s="66"/>
      <c r="D753" s="66"/>
      <c r="G753" s="67"/>
      <c r="V753" s="67"/>
    </row>
    <row r="754">
      <c r="A754" s="66"/>
      <c r="B754" s="66"/>
      <c r="C754" s="66"/>
      <c r="D754" s="66"/>
      <c r="G754" s="67"/>
      <c r="V754" s="67"/>
    </row>
    <row r="755">
      <c r="A755" s="66"/>
      <c r="B755" s="66"/>
      <c r="C755" s="66"/>
      <c r="D755" s="66"/>
      <c r="G755" s="67"/>
      <c r="V755" s="67"/>
    </row>
    <row r="756">
      <c r="A756" s="66"/>
      <c r="B756" s="66"/>
      <c r="C756" s="66"/>
      <c r="D756" s="66"/>
      <c r="G756" s="67"/>
      <c r="V756" s="67"/>
    </row>
    <row r="757">
      <c r="A757" s="66"/>
      <c r="B757" s="66"/>
      <c r="C757" s="66"/>
      <c r="D757" s="66"/>
      <c r="G757" s="67"/>
      <c r="V757" s="67"/>
    </row>
    <row r="758">
      <c r="A758" s="66"/>
      <c r="B758" s="66"/>
      <c r="C758" s="66"/>
      <c r="D758" s="66"/>
      <c r="G758" s="67"/>
      <c r="V758" s="67"/>
    </row>
    <row r="759">
      <c r="A759" s="66"/>
      <c r="B759" s="66"/>
      <c r="C759" s="66"/>
      <c r="D759" s="66"/>
      <c r="G759" s="67"/>
      <c r="V759" s="67"/>
    </row>
    <row r="760">
      <c r="A760" s="66"/>
      <c r="B760" s="66"/>
      <c r="C760" s="66"/>
      <c r="D760" s="66"/>
      <c r="G760" s="67"/>
      <c r="V760" s="67"/>
    </row>
    <row r="761">
      <c r="A761" s="66"/>
      <c r="B761" s="66"/>
      <c r="C761" s="66"/>
      <c r="D761" s="66"/>
      <c r="G761" s="67"/>
      <c r="V761" s="67"/>
    </row>
    <row r="762">
      <c r="A762" s="66"/>
      <c r="B762" s="66"/>
      <c r="C762" s="66"/>
      <c r="D762" s="66"/>
      <c r="G762" s="67"/>
      <c r="V762" s="67"/>
    </row>
    <row r="763">
      <c r="A763" s="66"/>
      <c r="B763" s="66"/>
      <c r="C763" s="66"/>
      <c r="D763" s="66"/>
      <c r="G763" s="67"/>
      <c r="V763" s="67"/>
    </row>
    <row r="764">
      <c r="A764" s="66"/>
      <c r="B764" s="66"/>
      <c r="C764" s="66"/>
      <c r="D764" s="66"/>
      <c r="G764" s="67"/>
      <c r="V764" s="67"/>
    </row>
    <row r="765">
      <c r="A765" s="66"/>
      <c r="B765" s="66"/>
      <c r="C765" s="66"/>
      <c r="D765" s="66"/>
      <c r="G765" s="67"/>
      <c r="V765" s="67"/>
    </row>
    <row r="766">
      <c r="A766" s="66"/>
      <c r="B766" s="66"/>
      <c r="C766" s="66"/>
      <c r="D766" s="66"/>
      <c r="G766" s="67"/>
      <c r="V766" s="67"/>
    </row>
    <row r="767">
      <c r="A767" s="66"/>
      <c r="B767" s="66"/>
      <c r="C767" s="66"/>
      <c r="D767" s="66"/>
      <c r="G767" s="67"/>
      <c r="V767" s="67"/>
    </row>
    <row r="768">
      <c r="A768" s="66"/>
      <c r="B768" s="66"/>
      <c r="C768" s="66"/>
      <c r="D768" s="66"/>
      <c r="G768" s="67"/>
      <c r="V768" s="67"/>
    </row>
    <row r="769">
      <c r="A769" s="66"/>
      <c r="B769" s="66"/>
      <c r="C769" s="66"/>
      <c r="D769" s="66"/>
      <c r="G769" s="67"/>
      <c r="V769" s="67"/>
    </row>
    <row r="770">
      <c r="A770" s="66"/>
      <c r="B770" s="66"/>
      <c r="C770" s="66"/>
      <c r="D770" s="66"/>
      <c r="G770" s="67"/>
      <c r="V770" s="67"/>
    </row>
    <row r="771">
      <c r="A771" s="66"/>
      <c r="B771" s="66"/>
      <c r="C771" s="66"/>
      <c r="D771" s="66"/>
      <c r="G771" s="67"/>
      <c r="V771" s="67"/>
    </row>
    <row r="772">
      <c r="A772" s="66"/>
      <c r="B772" s="66"/>
      <c r="C772" s="66"/>
      <c r="D772" s="66"/>
      <c r="G772" s="67"/>
      <c r="V772" s="67"/>
    </row>
    <row r="773">
      <c r="A773" s="66"/>
      <c r="B773" s="66"/>
      <c r="C773" s="66"/>
      <c r="D773" s="66"/>
      <c r="G773" s="67"/>
      <c r="V773" s="67"/>
    </row>
    <row r="774">
      <c r="A774" s="66"/>
      <c r="B774" s="66"/>
      <c r="C774" s="66"/>
      <c r="D774" s="66"/>
      <c r="G774" s="67"/>
      <c r="V774" s="67"/>
    </row>
    <row r="775">
      <c r="A775" s="66"/>
      <c r="B775" s="66"/>
      <c r="C775" s="66"/>
      <c r="D775" s="66"/>
      <c r="G775" s="67"/>
      <c r="V775" s="67"/>
    </row>
    <row r="776">
      <c r="A776" s="66"/>
      <c r="B776" s="66"/>
      <c r="C776" s="66"/>
      <c r="D776" s="66"/>
      <c r="G776" s="67"/>
      <c r="V776" s="67"/>
    </row>
    <row r="777">
      <c r="A777" s="66"/>
      <c r="B777" s="66"/>
      <c r="C777" s="66"/>
      <c r="D777" s="66"/>
      <c r="G777" s="67"/>
      <c r="V777" s="67"/>
    </row>
    <row r="778">
      <c r="A778" s="66"/>
      <c r="B778" s="66"/>
      <c r="C778" s="66"/>
      <c r="D778" s="66"/>
      <c r="G778" s="67"/>
      <c r="V778" s="67"/>
    </row>
    <row r="779">
      <c r="A779" s="66"/>
      <c r="B779" s="66"/>
      <c r="C779" s="66"/>
      <c r="D779" s="66"/>
      <c r="G779" s="67"/>
      <c r="V779" s="67"/>
    </row>
    <row r="780">
      <c r="A780" s="66"/>
      <c r="B780" s="66"/>
      <c r="C780" s="66"/>
      <c r="D780" s="66"/>
      <c r="G780" s="67"/>
      <c r="V780" s="67"/>
    </row>
    <row r="781">
      <c r="A781" s="66"/>
      <c r="B781" s="66"/>
      <c r="C781" s="66"/>
      <c r="D781" s="66"/>
      <c r="G781" s="67"/>
      <c r="V781" s="67"/>
    </row>
    <row r="782">
      <c r="A782" s="66"/>
      <c r="B782" s="66"/>
      <c r="C782" s="66"/>
      <c r="D782" s="66"/>
      <c r="G782" s="67"/>
      <c r="V782" s="67"/>
    </row>
    <row r="783">
      <c r="A783" s="66"/>
      <c r="B783" s="66"/>
      <c r="C783" s="66"/>
      <c r="D783" s="66"/>
      <c r="G783" s="67"/>
      <c r="V783" s="67"/>
    </row>
    <row r="784">
      <c r="A784" s="66"/>
      <c r="B784" s="66"/>
      <c r="C784" s="66"/>
      <c r="D784" s="66"/>
      <c r="G784" s="67"/>
      <c r="V784" s="67"/>
    </row>
    <row r="785">
      <c r="A785" s="66"/>
      <c r="B785" s="66"/>
      <c r="C785" s="66"/>
      <c r="D785" s="66"/>
      <c r="G785" s="67"/>
      <c r="V785" s="67"/>
    </row>
    <row r="786">
      <c r="A786" s="66"/>
      <c r="B786" s="66"/>
      <c r="C786" s="66"/>
      <c r="D786" s="66"/>
      <c r="G786" s="67"/>
      <c r="V786" s="67"/>
    </row>
    <row r="787">
      <c r="A787" s="66"/>
      <c r="B787" s="66"/>
      <c r="C787" s="66"/>
      <c r="D787" s="66"/>
      <c r="G787" s="67"/>
      <c r="V787" s="67"/>
    </row>
    <row r="788">
      <c r="A788" s="66"/>
      <c r="B788" s="66"/>
      <c r="C788" s="66"/>
      <c r="D788" s="66"/>
      <c r="G788" s="67"/>
      <c r="V788" s="67"/>
    </row>
    <row r="789">
      <c r="A789" s="66"/>
      <c r="B789" s="66"/>
      <c r="C789" s="66"/>
      <c r="D789" s="66"/>
      <c r="G789" s="67"/>
      <c r="V789" s="67"/>
    </row>
    <row r="790">
      <c r="A790" s="66"/>
      <c r="B790" s="66"/>
      <c r="C790" s="66"/>
      <c r="D790" s="66"/>
      <c r="G790" s="67"/>
      <c r="V790" s="67"/>
    </row>
    <row r="791">
      <c r="A791" s="66"/>
      <c r="B791" s="66"/>
      <c r="C791" s="66"/>
      <c r="D791" s="66"/>
      <c r="G791" s="67"/>
      <c r="V791" s="67"/>
    </row>
    <row r="792">
      <c r="A792" s="66"/>
      <c r="B792" s="66"/>
      <c r="C792" s="66"/>
      <c r="D792" s="66"/>
      <c r="G792" s="67"/>
      <c r="V792" s="67"/>
    </row>
    <row r="793">
      <c r="A793" s="66"/>
      <c r="B793" s="66"/>
      <c r="C793" s="66"/>
      <c r="D793" s="66"/>
      <c r="G793" s="67"/>
      <c r="V793" s="67"/>
    </row>
    <row r="794">
      <c r="A794" s="66"/>
      <c r="B794" s="66"/>
      <c r="C794" s="66"/>
      <c r="D794" s="66"/>
      <c r="G794" s="67"/>
      <c r="V794" s="67"/>
    </row>
    <row r="795">
      <c r="A795" s="66"/>
      <c r="B795" s="66"/>
      <c r="C795" s="66"/>
      <c r="D795" s="66"/>
      <c r="G795" s="67"/>
      <c r="V795" s="67"/>
    </row>
    <row r="796">
      <c r="A796" s="66"/>
      <c r="B796" s="66"/>
      <c r="C796" s="66"/>
      <c r="D796" s="66"/>
      <c r="G796" s="67"/>
      <c r="V796" s="67"/>
    </row>
    <row r="797">
      <c r="A797" s="66"/>
      <c r="B797" s="66"/>
      <c r="C797" s="66"/>
      <c r="D797" s="66"/>
      <c r="G797" s="67"/>
      <c r="V797" s="67"/>
    </row>
    <row r="798">
      <c r="A798" s="66"/>
      <c r="B798" s="66"/>
      <c r="C798" s="66"/>
      <c r="D798" s="66"/>
      <c r="G798" s="67"/>
      <c r="V798" s="67"/>
    </row>
    <row r="799">
      <c r="A799" s="66"/>
      <c r="B799" s="66"/>
      <c r="C799" s="66"/>
      <c r="D799" s="66"/>
      <c r="G799" s="67"/>
      <c r="V799" s="67"/>
    </row>
    <row r="800">
      <c r="A800" s="66"/>
      <c r="B800" s="66"/>
      <c r="C800" s="66"/>
      <c r="D800" s="66"/>
      <c r="G800" s="67"/>
      <c r="V800" s="67"/>
    </row>
    <row r="801">
      <c r="A801" s="66"/>
      <c r="B801" s="66"/>
      <c r="C801" s="66"/>
      <c r="D801" s="66"/>
      <c r="G801" s="67"/>
      <c r="V801" s="67"/>
    </row>
    <row r="802">
      <c r="A802" s="66"/>
      <c r="B802" s="66"/>
      <c r="C802" s="66"/>
      <c r="D802" s="66"/>
      <c r="G802" s="67"/>
      <c r="V802" s="67"/>
    </row>
    <row r="803">
      <c r="A803" s="66"/>
      <c r="B803" s="66"/>
      <c r="C803" s="66"/>
      <c r="D803" s="66"/>
      <c r="G803" s="67"/>
      <c r="V803" s="67"/>
    </row>
    <row r="804">
      <c r="A804" s="66"/>
      <c r="B804" s="66"/>
      <c r="C804" s="66"/>
      <c r="D804" s="66"/>
      <c r="G804" s="67"/>
      <c r="V804" s="67"/>
    </row>
    <row r="805">
      <c r="A805" s="66"/>
      <c r="B805" s="66"/>
      <c r="C805" s="66"/>
      <c r="D805" s="66"/>
      <c r="G805" s="67"/>
      <c r="V805" s="67"/>
    </row>
    <row r="806">
      <c r="A806" s="66"/>
      <c r="B806" s="66"/>
      <c r="C806" s="66"/>
      <c r="D806" s="66"/>
      <c r="G806" s="67"/>
      <c r="V806" s="67"/>
    </row>
    <row r="807">
      <c r="A807" s="66"/>
      <c r="B807" s="66"/>
      <c r="C807" s="66"/>
      <c r="D807" s="66"/>
      <c r="G807" s="67"/>
      <c r="V807" s="67"/>
    </row>
    <row r="808">
      <c r="A808" s="66"/>
      <c r="B808" s="66"/>
      <c r="C808" s="66"/>
      <c r="D808" s="66"/>
      <c r="G808" s="67"/>
      <c r="V808" s="67"/>
    </row>
    <row r="809">
      <c r="A809" s="66"/>
      <c r="B809" s="66"/>
      <c r="C809" s="66"/>
      <c r="D809" s="66"/>
      <c r="G809" s="67"/>
      <c r="V809" s="67"/>
    </row>
    <row r="810">
      <c r="A810" s="66"/>
      <c r="B810" s="66"/>
      <c r="C810" s="66"/>
      <c r="D810" s="66"/>
      <c r="G810" s="67"/>
      <c r="V810" s="67"/>
    </row>
    <row r="811">
      <c r="A811" s="66"/>
      <c r="B811" s="66"/>
      <c r="C811" s="66"/>
      <c r="D811" s="66"/>
      <c r="G811" s="67"/>
      <c r="V811" s="67"/>
    </row>
    <row r="812">
      <c r="A812" s="66"/>
      <c r="B812" s="66"/>
      <c r="C812" s="66"/>
      <c r="D812" s="66"/>
      <c r="G812" s="67"/>
      <c r="V812" s="67"/>
    </row>
    <row r="813">
      <c r="A813" s="66"/>
      <c r="B813" s="66"/>
      <c r="C813" s="66"/>
      <c r="D813" s="66"/>
      <c r="G813" s="67"/>
      <c r="V813" s="67"/>
    </row>
    <row r="814">
      <c r="A814" s="66"/>
      <c r="B814" s="66"/>
      <c r="C814" s="66"/>
      <c r="D814" s="66"/>
      <c r="G814" s="67"/>
      <c r="V814" s="67"/>
    </row>
    <row r="815">
      <c r="A815" s="66"/>
      <c r="B815" s="66"/>
      <c r="C815" s="66"/>
      <c r="D815" s="66"/>
      <c r="G815" s="67"/>
      <c r="V815" s="67"/>
    </row>
    <row r="816">
      <c r="A816" s="66"/>
      <c r="B816" s="66"/>
      <c r="C816" s="66"/>
      <c r="D816" s="66"/>
      <c r="G816" s="67"/>
      <c r="V816" s="67"/>
    </row>
    <row r="817">
      <c r="A817" s="66"/>
      <c r="B817" s="66"/>
      <c r="C817" s="66"/>
      <c r="D817" s="66"/>
      <c r="G817" s="67"/>
      <c r="V817" s="67"/>
    </row>
    <row r="818">
      <c r="A818" s="66"/>
      <c r="B818" s="66"/>
      <c r="C818" s="66"/>
      <c r="D818" s="66"/>
      <c r="G818" s="67"/>
      <c r="V818" s="67"/>
    </row>
    <row r="819">
      <c r="A819" s="66"/>
      <c r="B819" s="66"/>
      <c r="C819" s="66"/>
      <c r="D819" s="66"/>
      <c r="G819" s="67"/>
      <c r="V819" s="67"/>
    </row>
    <row r="820">
      <c r="A820" s="66"/>
      <c r="B820" s="66"/>
      <c r="C820" s="66"/>
      <c r="D820" s="66"/>
      <c r="G820" s="67"/>
      <c r="V820" s="67"/>
    </row>
    <row r="821">
      <c r="A821" s="66"/>
      <c r="B821" s="66"/>
      <c r="C821" s="66"/>
      <c r="D821" s="66"/>
      <c r="G821" s="67"/>
      <c r="V821" s="67"/>
    </row>
    <row r="822">
      <c r="A822" s="66"/>
      <c r="B822" s="66"/>
      <c r="C822" s="66"/>
      <c r="D822" s="66"/>
      <c r="G822" s="67"/>
      <c r="V822" s="67"/>
    </row>
    <row r="823">
      <c r="A823" s="66"/>
      <c r="B823" s="66"/>
      <c r="C823" s="66"/>
      <c r="D823" s="66"/>
      <c r="G823" s="67"/>
      <c r="V823" s="67"/>
    </row>
    <row r="824">
      <c r="A824" s="66"/>
      <c r="B824" s="66"/>
      <c r="C824" s="66"/>
      <c r="D824" s="66"/>
      <c r="G824" s="67"/>
      <c r="V824" s="67"/>
    </row>
    <row r="825">
      <c r="A825" s="66"/>
      <c r="B825" s="66"/>
      <c r="C825" s="66"/>
      <c r="D825" s="66"/>
      <c r="G825" s="67"/>
      <c r="V825" s="67"/>
    </row>
    <row r="826">
      <c r="A826" s="66"/>
      <c r="B826" s="66"/>
      <c r="C826" s="66"/>
      <c r="D826" s="66"/>
      <c r="G826" s="67"/>
      <c r="V826" s="67"/>
    </row>
    <row r="827">
      <c r="A827" s="66"/>
      <c r="B827" s="66"/>
      <c r="C827" s="66"/>
      <c r="D827" s="66"/>
      <c r="G827" s="67"/>
      <c r="V827" s="67"/>
    </row>
    <row r="828">
      <c r="A828" s="66"/>
      <c r="B828" s="66"/>
      <c r="C828" s="66"/>
      <c r="D828" s="66"/>
      <c r="G828" s="67"/>
      <c r="V828" s="67"/>
    </row>
    <row r="829">
      <c r="A829" s="66"/>
      <c r="B829" s="66"/>
      <c r="C829" s="66"/>
      <c r="D829" s="66"/>
      <c r="G829" s="67"/>
      <c r="V829" s="67"/>
    </row>
    <row r="830">
      <c r="A830" s="66"/>
      <c r="B830" s="66"/>
      <c r="C830" s="66"/>
      <c r="D830" s="66"/>
      <c r="G830" s="67"/>
      <c r="V830" s="67"/>
    </row>
    <row r="831">
      <c r="A831" s="66"/>
      <c r="B831" s="66"/>
      <c r="C831" s="66"/>
      <c r="D831" s="66"/>
      <c r="G831" s="67"/>
      <c r="V831" s="67"/>
    </row>
    <row r="832">
      <c r="A832" s="66"/>
      <c r="B832" s="66"/>
      <c r="C832" s="66"/>
      <c r="D832" s="66"/>
      <c r="G832" s="67"/>
      <c r="V832" s="67"/>
    </row>
    <row r="833">
      <c r="A833" s="66"/>
      <c r="B833" s="66"/>
      <c r="C833" s="66"/>
      <c r="D833" s="66"/>
      <c r="G833" s="67"/>
      <c r="V833" s="67"/>
    </row>
    <row r="834">
      <c r="A834" s="66"/>
      <c r="B834" s="66"/>
      <c r="C834" s="66"/>
      <c r="D834" s="66"/>
      <c r="G834" s="67"/>
      <c r="V834" s="67"/>
    </row>
    <row r="835">
      <c r="A835" s="66"/>
      <c r="B835" s="66"/>
      <c r="C835" s="66"/>
      <c r="D835" s="66"/>
      <c r="G835" s="67"/>
      <c r="V835" s="67"/>
    </row>
    <row r="836">
      <c r="A836" s="66"/>
      <c r="B836" s="66"/>
      <c r="C836" s="66"/>
      <c r="D836" s="66"/>
      <c r="G836" s="67"/>
      <c r="V836" s="67"/>
    </row>
    <row r="837">
      <c r="A837" s="66"/>
      <c r="B837" s="66"/>
      <c r="C837" s="66"/>
      <c r="D837" s="66"/>
      <c r="G837" s="67"/>
      <c r="V837" s="67"/>
    </row>
    <row r="838">
      <c r="A838" s="66"/>
      <c r="B838" s="66"/>
      <c r="C838" s="66"/>
      <c r="D838" s="66"/>
      <c r="G838" s="67"/>
      <c r="V838" s="67"/>
    </row>
    <row r="839">
      <c r="A839" s="66"/>
      <c r="B839" s="66"/>
      <c r="C839" s="66"/>
      <c r="D839" s="66"/>
      <c r="G839" s="67"/>
      <c r="V839" s="67"/>
    </row>
    <row r="840">
      <c r="A840" s="66"/>
      <c r="B840" s="66"/>
      <c r="C840" s="66"/>
      <c r="D840" s="66"/>
      <c r="G840" s="67"/>
      <c r="V840" s="67"/>
    </row>
    <row r="841">
      <c r="A841" s="66"/>
      <c r="B841" s="66"/>
      <c r="C841" s="66"/>
      <c r="D841" s="66"/>
      <c r="G841" s="67"/>
      <c r="V841" s="67"/>
    </row>
    <row r="842">
      <c r="A842" s="66"/>
      <c r="B842" s="66"/>
      <c r="C842" s="66"/>
      <c r="D842" s="66"/>
      <c r="G842" s="67"/>
      <c r="V842" s="67"/>
    </row>
    <row r="843">
      <c r="A843" s="66"/>
      <c r="B843" s="66"/>
      <c r="C843" s="66"/>
      <c r="D843" s="66"/>
      <c r="G843" s="67"/>
      <c r="V843" s="67"/>
    </row>
    <row r="844">
      <c r="A844" s="66"/>
      <c r="B844" s="66"/>
      <c r="C844" s="66"/>
      <c r="D844" s="66"/>
      <c r="G844" s="67"/>
      <c r="V844" s="67"/>
    </row>
    <row r="845">
      <c r="A845" s="66"/>
      <c r="B845" s="66"/>
      <c r="C845" s="66"/>
      <c r="D845" s="66"/>
      <c r="G845" s="67"/>
      <c r="V845" s="67"/>
    </row>
    <row r="846">
      <c r="A846" s="66"/>
      <c r="B846" s="66"/>
      <c r="C846" s="66"/>
      <c r="D846" s="66"/>
      <c r="G846" s="67"/>
      <c r="V846" s="67"/>
    </row>
    <row r="847">
      <c r="A847" s="66"/>
      <c r="B847" s="66"/>
      <c r="C847" s="66"/>
      <c r="D847" s="66"/>
      <c r="G847" s="67"/>
      <c r="V847" s="67"/>
    </row>
    <row r="848">
      <c r="A848" s="66"/>
      <c r="B848" s="66"/>
      <c r="C848" s="66"/>
      <c r="D848" s="66"/>
      <c r="G848" s="67"/>
      <c r="V848" s="67"/>
    </row>
    <row r="849">
      <c r="A849" s="66"/>
      <c r="B849" s="66"/>
      <c r="C849" s="66"/>
      <c r="D849" s="66"/>
      <c r="G849" s="67"/>
      <c r="V849" s="67"/>
    </row>
    <row r="850">
      <c r="A850" s="66"/>
      <c r="B850" s="66"/>
      <c r="C850" s="66"/>
      <c r="D850" s="66"/>
      <c r="G850" s="67"/>
      <c r="V850" s="67"/>
    </row>
    <row r="851">
      <c r="A851" s="66"/>
      <c r="B851" s="66"/>
      <c r="C851" s="66"/>
      <c r="D851" s="66"/>
      <c r="G851" s="67"/>
      <c r="V851" s="67"/>
    </row>
    <row r="852">
      <c r="A852" s="66"/>
      <c r="B852" s="66"/>
      <c r="C852" s="66"/>
      <c r="D852" s="66"/>
      <c r="G852" s="67"/>
      <c r="V852" s="67"/>
    </row>
    <row r="853">
      <c r="A853" s="66"/>
      <c r="B853" s="66"/>
      <c r="C853" s="66"/>
      <c r="D853" s="66"/>
      <c r="G853" s="67"/>
      <c r="V853" s="67"/>
    </row>
    <row r="854">
      <c r="A854" s="66"/>
      <c r="B854" s="66"/>
      <c r="C854" s="66"/>
      <c r="D854" s="66"/>
      <c r="G854" s="67"/>
      <c r="V854" s="67"/>
    </row>
    <row r="855">
      <c r="A855" s="66"/>
      <c r="B855" s="66"/>
      <c r="C855" s="66"/>
      <c r="D855" s="66"/>
      <c r="G855" s="67"/>
      <c r="V855" s="67"/>
    </row>
    <row r="856">
      <c r="A856" s="66"/>
      <c r="B856" s="66"/>
      <c r="C856" s="66"/>
      <c r="D856" s="66"/>
      <c r="G856" s="67"/>
      <c r="V856" s="67"/>
    </row>
    <row r="857">
      <c r="A857" s="66"/>
      <c r="B857" s="66"/>
      <c r="C857" s="66"/>
      <c r="D857" s="66"/>
      <c r="G857" s="67"/>
      <c r="V857" s="67"/>
    </row>
    <row r="858">
      <c r="A858" s="66"/>
      <c r="B858" s="66"/>
      <c r="C858" s="66"/>
      <c r="D858" s="66"/>
      <c r="G858" s="67"/>
      <c r="V858" s="67"/>
    </row>
    <row r="859">
      <c r="A859" s="66"/>
      <c r="B859" s="66"/>
      <c r="C859" s="66"/>
      <c r="D859" s="66"/>
      <c r="G859" s="67"/>
      <c r="V859" s="67"/>
    </row>
    <row r="860">
      <c r="A860" s="66"/>
      <c r="B860" s="66"/>
      <c r="C860" s="66"/>
      <c r="D860" s="66"/>
      <c r="G860" s="67"/>
      <c r="V860" s="67"/>
    </row>
    <row r="861">
      <c r="A861" s="66"/>
      <c r="B861" s="66"/>
      <c r="C861" s="66"/>
      <c r="D861" s="66"/>
      <c r="G861" s="67"/>
      <c r="V861" s="67"/>
    </row>
    <row r="862">
      <c r="A862" s="66"/>
      <c r="B862" s="66"/>
      <c r="C862" s="66"/>
      <c r="D862" s="66"/>
      <c r="G862" s="67"/>
      <c r="V862" s="67"/>
    </row>
    <row r="863">
      <c r="A863" s="66"/>
      <c r="B863" s="66"/>
      <c r="C863" s="66"/>
      <c r="D863" s="66"/>
      <c r="G863" s="67"/>
      <c r="V863" s="67"/>
    </row>
    <row r="864">
      <c r="A864" s="66"/>
      <c r="B864" s="66"/>
      <c r="C864" s="66"/>
      <c r="D864" s="66"/>
      <c r="G864" s="67"/>
      <c r="V864" s="67"/>
    </row>
    <row r="865">
      <c r="A865" s="66"/>
      <c r="B865" s="66"/>
      <c r="C865" s="66"/>
      <c r="D865" s="66"/>
      <c r="G865" s="67"/>
      <c r="V865" s="67"/>
    </row>
    <row r="866">
      <c r="A866" s="66"/>
      <c r="B866" s="66"/>
      <c r="C866" s="66"/>
      <c r="D866" s="66"/>
      <c r="G866" s="67"/>
      <c r="V866" s="67"/>
    </row>
    <row r="867">
      <c r="A867" s="66"/>
      <c r="B867" s="66"/>
      <c r="C867" s="66"/>
      <c r="D867" s="66"/>
      <c r="G867" s="67"/>
      <c r="V867" s="67"/>
    </row>
    <row r="868">
      <c r="A868" s="66"/>
      <c r="B868" s="66"/>
      <c r="C868" s="66"/>
      <c r="D868" s="66"/>
      <c r="G868" s="67"/>
      <c r="V868" s="67"/>
    </row>
    <row r="869">
      <c r="A869" s="66"/>
      <c r="B869" s="66"/>
      <c r="C869" s="66"/>
      <c r="D869" s="66"/>
      <c r="G869" s="67"/>
      <c r="V869" s="67"/>
    </row>
    <row r="870">
      <c r="A870" s="66"/>
      <c r="B870" s="66"/>
      <c r="C870" s="66"/>
      <c r="D870" s="66"/>
      <c r="G870" s="67"/>
      <c r="V870" s="67"/>
    </row>
    <row r="871">
      <c r="A871" s="66"/>
      <c r="B871" s="66"/>
      <c r="C871" s="66"/>
      <c r="D871" s="66"/>
      <c r="G871" s="67"/>
      <c r="V871" s="67"/>
    </row>
    <row r="872">
      <c r="A872" s="66"/>
      <c r="B872" s="66"/>
      <c r="C872" s="66"/>
      <c r="D872" s="66"/>
      <c r="G872" s="67"/>
      <c r="V872" s="67"/>
    </row>
    <row r="873">
      <c r="A873" s="66"/>
      <c r="B873" s="66"/>
      <c r="C873" s="66"/>
      <c r="D873" s="66"/>
      <c r="G873" s="67"/>
      <c r="V873" s="67"/>
    </row>
    <row r="874">
      <c r="A874" s="66"/>
      <c r="B874" s="66"/>
      <c r="C874" s="66"/>
      <c r="D874" s="66"/>
      <c r="G874" s="67"/>
      <c r="V874" s="67"/>
    </row>
    <row r="875">
      <c r="A875" s="66"/>
      <c r="B875" s="66"/>
      <c r="C875" s="66"/>
      <c r="D875" s="66"/>
      <c r="G875" s="67"/>
      <c r="V875" s="67"/>
    </row>
    <row r="876">
      <c r="A876" s="66"/>
      <c r="B876" s="66"/>
      <c r="C876" s="66"/>
      <c r="D876" s="66"/>
      <c r="G876" s="67"/>
      <c r="V876" s="67"/>
    </row>
    <row r="877">
      <c r="A877" s="66"/>
      <c r="B877" s="66"/>
      <c r="C877" s="66"/>
      <c r="D877" s="66"/>
      <c r="G877" s="67"/>
      <c r="V877" s="67"/>
    </row>
    <row r="878">
      <c r="A878" s="66"/>
      <c r="B878" s="66"/>
      <c r="C878" s="66"/>
      <c r="D878" s="66"/>
      <c r="G878" s="67"/>
      <c r="V878" s="67"/>
    </row>
    <row r="879">
      <c r="A879" s="66"/>
      <c r="B879" s="66"/>
      <c r="C879" s="66"/>
      <c r="D879" s="66"/>
      <c r="G879" s="67"/>
      <c r="V879" s="67"/>
    </row>
    <row r="880">
      <c r="A880" s="66"/>
      <c r="B880" s="66"/>
      <c r="C880" s="66"/>
      <c r="D880" s="66"/>
      <c r="G880" s="67"/>
      <c r="V880" s="67"/>
    </row>
    <row r="881">
      <c r="A881" s="66"/>
      <c r="B881" s="66"/>
      <c r="C881" s="66"/>
      <c r="D881" s="66"/>
      <c r="G881" s="67"/>
      <c r="V881" s="67"/>
    </row>
    <row r="882">
      <c r="A882" s="66"/>
      <c r="B882" s="66"/>
      <c r="C882" s="66"/>
      <c r="D882" s="66"/>
      <c r="G882" s="67"/>
      <c r="V882" s="67"/>
    </row>
    <row r="883">
      <c r="A883" s="66"/>
      <c r="B883" s="66"/>
      <c r="C883" s="66"/>
      <c r="D883" s="66"/>
      <c r="G883" s="67"/>
      <c r="V883" s="67"/>
    </row>
    <row r="884">
      <c r="A884" s="66"/>
      <c r="B884" s="66"/>
      <c r="C884" s="66"/>
      <c r="D884" s="66"/>
      <c r="G884" s="67"/>
      <c r="V884" s="67"/>
    </row>
    <row r="885">
      <c r="A885" s="66"/>
      <c r="B885" s="66"/>
      <c r="C885" s="66"/>
      <c r="D885" s="66"/>
      <c r="G885" s="67"/>
      <c r="V885" s="67"/>
    </row>
    <row r="886">
      <c r="A886" s="66"/>
      <c r="B886" s="66"/>
      <c r="C886" s="66"/>
      <c r="D886" s="66"/>
      <c r="G886" s="67"/>
      <c r="V886" s="67"/>
    </row>
    <row r="887">
      <c r="A887" s="66"/>
      <c r="B887" s="66"/>
      <c r="C887" s="66"/>
      <c r="D887" s="66"/>
      <c r="G887" s="67"/>
      <c r="V887" s="67"/>
    </row>
    <row r="888">
      <c r="A888" s="66"/>
      <c r="B888" s="66"/>
      <c r="C888" s="66"/>
      <c r="D888" s="66"/>
      <c r="G888" s="67"/>
      <c r="V888" s="67"/>
    </row>
    <row r="889">
      <c r="A889" s="66"/>
      <c r="B889" s="66"/>
      <c r="C889" s="66"/>
      <c r="D889" s="66"/>
      <c r="G889" s="67"/>
      <c r="V889" s="67"/>
    </row>
    <row r="890">
      <c r="A890" s="66"/>
      <c r="B890" s="66"/>
      <c r="C890" s="66"/>
      <c r="D890" s="66"/>
      <c r="G890" s="67"/>
      <c r="V890" s="67"/>
    </row>
    <row r="891">
      <c r="A891" s="66"/>
      <c r="B891" s="66"/>
      <c r="C891" s="66"/>
      <c r="D891" s="66"/>
      <c r="G891" s="67"/>
      <c r="V891" s="67"/>
    </row>
    <row r="892">
      <c r="A892" s="66"/>
      <c r="B892" s="66"/>
      <c r="C892" s="66"/>
      <c r="D892" s="66"/>
      <c r="G892" s="67"/>
      <c r="V892" s="67"/>
    </row>
    <row r="893">
      <c r="A893" s="66"/>
      <c r="B893" s="66"/>
      <c r="C893" s="66"/>
      <c r="D893" s="66"/>
      <c r="G893" s="67"/>
      <c r="V893" s="67"/>
    </row>
    <row r="894">
      <c r="A894" s="66"/>
      <c r="B894" s="66"/>
      <c r="C894" s="66"/>
      <c r="D894" s="66"/>
      <c r="G894" s="67"/>
      <c r="V894" s="67"/>
    </row>
    <row r="895">
      <c r="A895" s="66"/>
      <c r="B895" s="66"/>
      <c r="C895" s="66"/>
      <c r="D895" s="66"/>
      <c r="G895" s="67"/>
      <c r="V895" s="67"/>
    </row>
    <row r="896">
      <c r="A896" s="66"/>
      <c r="B896" s="66"/>
      <c r="C896" s="66"/>
      <c r="D896" s="66"/>
      <c r="G896" s="67"/>
      <c r="V896" s="67"/>
    </row>
    <row r="897">
      <c r="A897" s="66"/>
      <c r="B897" s="66"/>
      <c r="C897" s="66"/>
      <c r="D897" s="66"/>
      <c r="G897" s="67"/>
      <c r="V897" s="67"/>
    </row>
    <row r="898">
      <c r="A898" s="66"/>
      <c r="B898" s="66"/>
      <c r="C898" s="66"/>
      <c r="D898" s="66"/>
      <c r="G898" s="67"/>
      <c r="V898" s="67"/>
    </row>
    <row r="899">
      <c r="A899" s="66"/>
      <c r="B899" s="66"/>
      <c r="C899" s="66"/>
      <c r="D899" s="66"/>
      <c r="G899" s="67"/>
      <c r="V899" s="67"/>
    </row>
    <row r="900">
      <c r="A900" s="66"/>
      <c r="B900" s="66"/>
      <c r="C900" s="66"/>
      <c r="D900" s="66"/>
      <c r="G900" s="67"/>
      <c r="V900" s="67"/>
    </row>
    <row r="901">
      <c r="A901" s="66"/>
      <c r="B901" s="66"/>
      <c r="C901" s="66"/>
      <c r="D901" s="66"/>
      <c r="G901" s="67"/>
      <c r="V901" s="67"/>
    </row>
    <row r="902">
      <c r="A902" s="66"/>
      <c r="B902" s="66"/>
      <c r="C902" s="66"/>
      <c r="D902" s="66"/>
      <c r="G902" s="67"/>
      <c r="V902" s="67"/>
    </row>
    <row r="903">
      <c r="A903" s="66"/>
      <c r="B903" s="66"/>
      <c r="C903" s="66"/>
      <c r="D903" s="66"/>
      <c r="G903" s="67"/>
      <c r="V903" s="67"/>
    </row>
    <row r="904">
      <c r="A904" s="66"/>
      <c r="B904" s="66"/>
      <c r="C904" s="66"/>
      <c r="D904" s="66"/>
      <c r="G904" s="67"/>
      <c r="V904" s="67"/>
    </row>
    <row r="905">
      <c r="A905" s="66"/>
      <c r="B905" s="66"/>
      <c r="C905" s="66"/>
      <c r="D905" s="66"/>
      <c r="G905" s="67"/>
      <c r="V905" s="67"/>
    </row>
    <row r="906">
      <c r="A906" s="66"/>
      <c r="B906" s="66"/>
      <c r="C906" s="66"/>
      <c r="D906" s="66"/>
      <c r="G906" s="67"/>
      <c r="V906" s="67"/>
    </row>
    <row r="907">
      <c r="A907" s="66"/>
      <c r="B907" s="66"/>
      <c r="C907" s="66"/>
      <c r="D907" s="66"/>
      <c r="G907" s="67"/>
      <c r="V907" s="67"/>
    </row>
    <row r="908">
      <c r="A908" s="66"/>
      <c r="B908" s="66"/>
      <c r="C908" s="66"/>
      <c r="D908" s="66"/>
      <c r="G908" s="67"/>
      <c r="V908" s="67"/>
    </row>
    <row r="909">
      <c r="A909" s="66"/>
      <c r="B909" s="66"/>
      <c r="C909" s="66"/>
      <c r="D909" s="66"/>
      <c r="G909" s="67"/>
      <c r="V909" s="67"/>
    </row>
    <row r="910">
      <c r="A910" s="66"/>
      <c r="B910" s="66"/>
      <c r="C910" s="66"/>
      <c r="D910" s="66"/>
      <c r="G910" s="67"/>
      <c r="V910" s="67"/>
    </row>
    <row r="911">
      <c r="A911" s="66"/>
      <c r="B911" s="66"/>
      <c r="C911" s="66"/>
      <c r="D911" s="66"/>
      <c r="G911" s="67"/>
      <c r="V911" s="67"/>
    </row>
    <row r="912">
      <c r="A912" s="66"/>
      <c r="B912" s="66"/>
      <c r="C912" s="66"/>
      <c r="D912" s="66"/>
      <c r="G912" s="67"/>
      <c r="V912" s="67"/>
    </row>
    <row r="913">
      <c r="A913" s="66"/>
      <c r="B913" s="66"/>
      <c r="C913" s="66"/>
      <c r="D913" s="66"/>
      <c r="G913" s="67"/>
      <c r="V913" s="67"/>
    </row>
    <row r="914">
      <c r="A914" s="66"/>
      <c r="B914" s="66"/>
      <c r="C914" s="66"/>
      <c r="D914" s="66"/>
      <c r="G914" s="67"/>
      <c r="V914" s="67"/>
    </row>
    <row r="915">
      <c r="A915" s="66"/>
      <c r="B915" s="66"/>
      <c r="C915" s="66"/>
      <c r="D915" s="66"/>
      <c r="G915" s="67"/>
      <c r="V915" s="67"/>
    </row>
    <row r="916">
      <c r="A916" s="66"/>
      <c r="B916" s="66"/>
      <c r="C916" s="66"/>
      <c r="D916" s="66"/>
      <c r="G916" s="67"/>
      <c r="V916" s="67"/>
    </row>
    <row r="917">
      <c r="A917" s="66"/>
      <c r="B917" s="66"/>
      <c r="C917" s="66"/>
      <c r="D917" s="66"/>
      <c r="G917" s="67"/>
      <c r="V917" s="67"/>
    </row>
    <row r="918">
      <c r="A918" s="66"/>
      <c r="B918" s="66"/>
      <c r="C918" s="66"/>
      <c r="D918" s="66"/>
      <c r="G918" s="67"/>
      <c r="V918" s="67"/>
    </row>
    <row r="919">
      <c r="A919" s="66"/>
      <c r="B919" s="66"/>
      <c r="C919" s="66"/>
      <c r="D919" s="66"/>
      <c r="G919" s="67"/>
      <c r="V919" s="67"/>
    </row>
    <row r="920">
      <c r="A920" s="66"/>
      <c r="B920" s="66"/>
      <c r="C920" s="66"/>
      <c r="D920" s="66"/>
      <c r="G920" s="67"/>
      <c r="V920" s="67"/>
    </row>
    <row r="921">
      <c r="A921" s="66"/>
      <c r="B921" s="66"/>
      <c r="C921" s="66"/>
      <c r="D921" s="66"/>
      <c r="G921" s="67"/>
      <c r="V921" s="67"/>
    </row>
    <row r="922">
      <c r="A922" s="66"/>
      <c r="B922" s="66"/>
      <c r="C922" s="66"/>
      <c r="D922" s="66"/>
      <c r="G922" s="67"/>
      <c r="V922" s="67"/>
    </row>
    <row r="923">
      <c r="A923" s="66"/>
      <c r="B923" s="66"/>
      <c r="C923" s="66"/>
      <c r="D923" s="66"/>
      <c r="G923" s="67"/>
      <c r="V923" s="67"/>
    </row>
    <row r="924">
      <c r="A924" s="66"/>
      <c r="B924" s="66"/>
      <c r="C924" s="66"/>
      <c r="D924" s="66"/>
      <c r="G924" s="67"/>
      <c r="V924" s="67"/>
    </row>
    <row r="925">
      <c r="A925" s="66"/>
      <c r="B925" s="66"/>
      <c r="C925" s="66"/>
      <c r="D925" s="66"/>
      <c r="G925" s="67"/>
      <c r="V925" s="67"/>
    </row>
    <row r="926">
      <c r="A926" s="66"/>
      <c r="B926" s="66"/>
      <c r="C926" s="66"/>
      <c r="D926" s="66"/>
      <c r="G926" s="67"/>
      <c r="V926" s="67"/>
    </row>
    <row r="927">
      <c r="A927" s="66"/>
      <c r="B927" s="66"/>
      <c r="C927" s="66"/>
      <c r="D927" s="66"/>
      <c r="G927" s="67"/>
      <c r="V927" s="67"/>
    </row>
    <row r="928">
      <c r="A928" s="66"/>
      <c r="B928" s="66"/>
      <c r="C928" s="66"/>
      <c r="D928" s="66"/>
      <c r="G928" s="67"/>
      <c r="V928" s="67"/>
    </row>
    <row r="929">
      <c r="A929" s="66"/>
      <c r="B929" s="66"/>
      <c r="C929" s="66"/>
      <c r="D929" s="66"/>
      <c r="G929" s="67"/>
      <c r="V929" s="67"/>
    </row>
    <row r="930">
      <c r="A930" s="66"/>
      <c r="B930" s="66"/>
      <c r="C930" s="66"/>
      <c r="D930" s="66"/>
      <c r="G930" s="67"/>
      <c r="V930" s="67"/>
    </row>
    <row r="931">
      <c r="A931" s="66"/>
      <c r="B931" s="66"/>
      <c r="C931" s="66"/>
      <c r="D931" s="66"/>
      <c r="G931" s="67"/>
      <c r="V931" s="67"/>
    </row>
    <row r="932">
      <c r="A932" s="66"/>
      <c r="B932" s="66"/>
      <c r="C932" s="66"/>
      <c r="D932" s="66"/>
      <c r="G932" s="67"/>
      <c r="V932" s="67"/>
    </row>
    <row r="933">
      <c r="A933" s="66"/>
      <c r="B933" s="66"/>
      <c r="C933" s="66"/>
      <c r="D933" s="66"/>
      <c r="G933" s="67"/>
      <c r="V933" s="67"/>
    </row>
    <row r="934">
      <c r="A934" s="66"/>
      <c r="B934" s="66"/>
      <c r="C934" s="66"/>
      <c r="D934" s="66"/>
      <c r="G934" s="67"/>
      <c r="V934" s="67"/>
    </row>
    <row r="935">
      <c r="A935" s="66"/>
      <c r="B935" s="66"/>
      <c r="C935" s="66"/>
      <c r="D935" s="66"/>
      <c r="G935" s="67"/>
      <c r="V935" s="67"/>
    </row>
    <row r="936">
      <c r="A936" s="66"/>
      <c r="B936" s="66"/>
      <c r="C936" s="66"/>
      <c r="D936" s="66"/>
      <c r="G936" s="67"/>
      <c r="V936" s="67"/>
    </row>
    <row r="937">
      <c r="A937" s="66"/>
      <c r="B937" s="66"/>
      <c r="C937" s="66"/>
      <c r="D937" s="66"/>
      <c r="G937" s="67"/>
      <c r="V937" s="67"/>
    </row>
    <row r="938">
      <c r="A938" s="66"/>
      <c r="B938" s="66"/>
      <c r="C938" s="66"/>
      <c r="D938" s="66"/>
      <c r="G938" s="67"/>
      <c r="V938" s="67"/>
    </row>
    <row r="939">
      <c r="A939" s="66"/>
      <c r="B939" s="66"/>
      <c r="C939" s="66"/>
      <c r="D939" s="66"/>
      <c r="G939" s="67"/>
      <c r="V939" s="67"/>
    </row>
    <row r="940">
      <c r="A940" s="66"/>
      <c r="B940" s="66"/>
      <c r="C940" s="66"/>
      <c r="D940" s="66"/>
      <c r="G940" s="67"/>
      <c r="V940" s="67"/>
    </row>
    <row r="941">
      <c r="A941" s="66"/>
      <c r="B941" s="66"/>
      <c r="C941" s="66"/>
      <c r="D941" s="66"/>
      <c r="G941" s="67"/>
      <c r="V941" s="67"/>
    </row>
    <row r="942">
      <c r="A942" s="66"/>
      <c r="B942" s="66"/>
      <c r="C942" s="66"/>
      <c r="D942" s="66"/>
      <c r="G942" s="67"/>
      <c r="V942" s="67"/>
    </row>
    <row r="943">
      <c r="A943" s="66"/>
      <c r="B943" s="66"/>
      <c r="C943" s="66"/>
      <c r="D943" s="66"/>
      <c r="G943" s="67"/>
      <c r="V943" s="67"/>
    </row>
    <row r="944">
      <c r="A944" s="66"/>
      <c r="B944" s="66"/>
      <c r="C944" s="66"/>
      <c r="D944" s="66"/>
      <c r="G944" s="67"/>
      <c r="V944" s="67"/>
    </row>
    <row r="945">
      <c r="A945" s="66"/>
      <c r="B945" s="66"/>
      <c r="C945" s="66"/>
      <c r="D945" s="66"/>
      <c r="G945" s="67"/>
      <c r="V945" s="67"/>
    </row>
    <row r="946">
      <c r="A946" s="66"/>
      <c r="B946" s="66"/>
      <c r="C946" s="66"/>
      <c r="D946" s="66"/>
      <c r="G946" s="67"/>
      <c r="V946" s="67"/>
    </row>
    <row r="947">
      <c r="A947" s="66"/>
      <c r="B947" s="66"/>
      <c r="C947" s="66"/>
      <c r="D947" s="66"/>
      <c r="G947" s="67"/>
      <c r="V947" s="67"/>
    </row>
    <row r="948">
      <c r="A948" s="66"/>
      <c r="B948" s="66"/>
      <c r="C948" s="66"/>
      <c r="D948" s="66"/>
      <c r="G948" s="67"/>
      <c r="V948" s="67"/>
    </row>
    <row r="949">
      <c r="A949" s="66"/>
      <c r="B949" s="66"/>
      <c r="C949" s="66"/>
      <c r="D949" s="66"/>
      <c r="G949" s="67"/>
      <c r="V949" s="67"/>
    </row>
    <row r="950">
      <c r="A950" s="66"/>
      <c r="B950" s="66"/>
      <c r="C950" s="66"/>
      <c r="D950" s="66"/>
      <c r="G950" s="67"/>
      <c r="V950" s="67"/>
    </row>
    <row r="951">
      <c r="A951" s="66"/>
      <c r="B951" s="66"/>
      <c r="C951" s="66"/>
      <c r="D951" s="66"/>
      <c r="G951" s="67"/>
      <c r="V951" s="67"/>
    </row>
    <row r="952">
      <c r="A952" s="66"/>
      <c r="B952" s="66"/>
      <c r="C952" s="66"/>
      <c r="D952" s="66"/>
      <c r="G952" s="67"/>
      <c r="V952" s="67"/>
    </row>
    <row r="953">
      <c r="A953" s="66"/>
      <c r="B953" s="66"/>
      <c r="C953" s="66"/>
      <c r="D953" s="66"/>
      <c r="G953" s="67"/>
      <c r="V953" s="67"/>
    </row>
    <row r="954">
      <c r="A954" s="66"/>
      <c r="B954" s="66"/>
      <c r="C954" s="66"/>
      <c r="D954" s="66"/>
      <c r="G954" s="67"/>
      <c r="V954" s="67"/>
    </row>
    <row r="955">
      <c r="A955" s="66"/>
      <c r="B955" s="66"/>
      <c r="C955" s="66"/>
      <c r="D955" s="66"/>
      <c r="G955" s="67"/>
      <c r="V955" s="67"/>
    </row>
    <row r="956">
      <c r="A956" s="66"/>
      <c r="B956" s="66"/>
      <c r="C956" s="66"/>
      <c r="D956" s="66"/>
      <c r="G956" s="67"/>
      <c r="V956" s="67"/>
    </row>
    <row r="957">
      <c r="A957" s="66"/>
      <c r="B957" s="66"/>
      <c r="C957" s="66"/>
      <c r="D957" s="66"/>
      <c r="G957" s="67"/>
      <c r="V957" s="67"/>
    </row>
    <row r="958">
      <c r="A958" s="66"/>
      <c r="B958" s="66"/>
      <c r="C958" s="66"/>
      <c r="D958" s="66"/>
      <c r="G958" s="67"/>
      <c r="V958" s="67"/>
    </row>
    <row r="959">
      <c r="A959" s="66"/>
      <c r="B959" s="66"/>
      <c r="C959" s="66"/>
      <c r="D959" s="66"/>
      <c r="G959" s="67"/>
      <c r="V959" s="67"/>
    </row>
    <row r="960">
      <c r="A960" s="66"/>
      <c r="B960" s="66"/>
      <c r="C960" s="66"/>
      <c r="D960" s="66"/>
      <c r="G960" s="67"/>
      <c r="V960" s="67"/>
    </row>
    <row r="961">
      <c r="A961" s="66"/>
      <c r="B961" s="66"/>
      <c r="C961" s="66"/>
      <c r="D961" s="66"/>
      <c r="G961" s="67"/>
      <c r="V961" s="67"/>
    </row>
    <row r="962">
      <c r="A962" s="66"/>
      <c r="B962" s="66"/>
      <c r="C962" s="66"/>
      <c r="D962" s="66"/>
      <c r="G962" s="67"/>
      <c r="V962" s="67"/>
    </row>
    <row r="963">
      <c r="A963" s="66"/>
      <c r="B963" s="66"/>
      <c r="C963" s="66"/>
      <c r="D963" s="66"/>
      <c r="G963" s="67"/>
      <c r="V963" s="67"/>
    </row>
    <row r="964">
      <c r="A964" s="66"/>
      <c r="B964" s="66"/>
      <c r="C964" s="66"/>
      <c r="D964" s="66"/>
      <c r="G964" s="67"/>
      <c r="V964" s="67"/>
    </row>
    <row r="965">
      <c r="A965" s="66"/>
      <c r="B965" s="66"/>
      <c r="C965" s="66"/>
      <c r="D965" s="66"/>
      <c r="G965" s="67"/>
      <c r="V965" s="67"/>
    </row>
    <row r="966">
      <c r="A966" s="66"/>
      <c r="B966" s="66"/>
      <c r="C966" s="66"/>
      <c r="D966" s="66"/>
      <c r="G966" s="67"/>
      <c r="V966" s="67"/>
    </row>
    <row r="967">
      <c r="A967" s="66"/>
      <c r="B967" s="66"/>
      <c r="C967" s="66"/>
      <c r="D967" s="66"/>
      <c r="G967" s="67"/>
      <c r="V967" s="67"/>
    </row>
    <row r="968">
      <c r="A968" s="66"/>
      <c r="B968" s="66"/>
      <c r="C968" s="66"/>
      <c r="D968" s="66"/>
      <c r="G968" s="67"/>
      <c r="V968" s="67"/>
    </row>
    <row r="969">
      <c r="A969" s="66"/>
      <c r="B969" s="66"/>
      <c r="C969" s="66"/>
      <c r="D969" s="66"/>
      <c r="G969" s="67"/>
      <c r="V969" s="67"/>
    </row>
    <row r="970">
      <c r="A970" s="66"/>
      <c r="B970" s="66"/>
      <c r="C970" s="66"/>
      <c r="D970" s="66"/>
      <c r="G970" s="67"/>
      <c r="V970" s="67"/>
    </row>
    <row r="971">
      <c r="A971" s="66"/>
      <c r="B971" s="66"/>
      <c r="C971" s="66"/>
      <c r="D971" s="66"/>
      <c r="G971" s="67"/>
      <c r="V971" s="67"/>
    </row>
    <row r="972">
      <c r="A972" s="66"/>
      <c r="B972" s="66"/>
      <c r="C972" s="66"/>
      <c r="D972" s="66"/>
      <c r="G972" s="67"/>
      <c r="V972" s="67"/>
    </row>
    <row r="973">
      <c r="A973" s="66"/>
      <c r="B973" s="66"/>
      <c r="C973" s="66"/>
      <c r="D973" s="66"/>
      <c r="G973" s="67"/>
      <c r="V973" s="67"/>
    </row>
    <row r="974">
      <c r="A974" s="66"/>
      <c r="B974" s="66"/>
      <c r="C974" s="66"/>
      <c r="D974" s="66"/>
      <c r="G974" s="67"/>
      <c r="V974" s="67"/>
    </row>
    <row r="975">
      <c r="A975" s="66"/>
      <c r="B975" s="66"/>
      <c r="C975" s="66"/>
      <c r="D975" s="66"/>
      <c r="G975" s="67"/>
      <c r="V975" s="67"/>
    </row>
    <row r="976">
      <c r="A976" s="66"/>
      <c r="B976" s="66"/>
      <c r="C976" s="66"/>
      <c r="D976" s="66"/>
      <c r="G976" s="67"/>
      <c r="V976" s="67"/>
    </row>
    <row r="977">
      <c r="A977" s="66"/>
      <c r="B977" s="66"/>
      <c r="C977" s="66"/>
      <c r="D977" s="66"/>
      <c r="G977" s="67"/>
      <c r="V977" s="67"/>
    </row>
    <row r="978">
      <c r="A978" s="66"/>
      <c r="B978" s="66"/>
      <c r="C978" s="66"/>
      <c r="D978" s="66"/>
      <c r="G978" s="67"/>
      <c r="V978" s="67"/>
    </row>
    <row r="979">
      <c r="A979" s="66"/>
      <c r="B979" s="66"/>
      <c r="C979" s="66"/>
      <c r="D979" s="66"/>
      <c r="G979" s="67"/>
      <c r="V979" s="67"/>
    </row>
    <row r="980">
      <c r="A980" s="66"/>
      <c r="B980" s="66"/>
      <c r="C980" s="66"/>
      <c r="D980" s="66"/>
      <c r="G980" s="67"/>
      <c r="V980" s="67"/>
    </row>
    <row r="981">
      <c r="A981" s="66"/>
      <c r="B981" s="66"/>
      <c r="C981" s="66"/>
      <c r="D981" s="66"/>
      <c r="G981" s="67"/>
      <c r="V981" s="67"/>
    </row>
    <row r="982">
      <c r="A982" s="66"/>
      <c r="B982" s="66"/>
      <c r="C982" s="66"/>
      <c r="D982" s="66"/>
      <c r="G982" s="67"/>
      <c r="V982" s="67"/>
    </row>
    <row r="983">
      <c r="A983" s="66"/>
      <c r="B983" s="66"/>
      <c r="C983" s="66"/>
      <c r="D983" s="66"/>
      <c r="G983" s="67"/>
      <c r="V983" s="67"/>
    </row>
    <row r="984">
      <c r="A984" s="66"/>
      <c r="B984" s="66"/>
      <c r="C984" s="66"/>
      <c r="D984" s="66"/>
      <c r="G984" s="67"/>
      <c r="V984" s="67"/>
    </row>
    <row r="985">
      <c r="A985" s="66"/>
      <c r="B985" s="66"/>
      <c r="C985" s="66"/>
      <c r="D985" s="66"/>
      <c r="G985" s="67"/>
      <c r="V985" s="67"/>
    </row>
    <row r="986">
      <c r="A986" s="66"/>
      <c r="B986" s="66"/>
      <c r="C986" s="66"/>
      <c r="D986" s="66"/>
      <c r="G986" s="67"/>
      <c r="V986" s="67"/>
    </row>
    <row r="987">
      <c r="A987" s="66"/>
      <c r="B987" s="66"/>
      <c r="C987" s="66"/>
      <c r="D987" s="66"/>
      <c r="G987" s="67"/>
      <c r="V987" s="67"/>
    </row>
    <row r="988">
      <c r="A988" s="66"/>
      <c r="B988" s="66"/>
      <c r="C988" s="66"/>
      <c r="D988" s="66"/>
      <c r="G988" s="67"/>
      <c r="V988" s="67"/>
    </row>
    <row r="989">
      <c r="A989" s="66"/>
      <c r="B989" s="66"/>
      <c r="C989" s="66"/>
      <c r="D989" s="66"/>
      <c r="G989" s="67"/>
      <c r="V989" s="67"/>
    </row>
    <row r="990">
      <c r="A990" s="66"/>
      <c r="B990" s="66"/>
      <c r="C990" s="66"/>
      <c r="D990" s="66"/>
      <c r="G990" s="67"/>
      <c r="V990" s="67"/>
    </row>
    <row r="991">
      <c r="A991" s="66"/>
      <c r="B991" s="66"/>
      <c r="C991" s="66"/>
      <c r="D991" s="66"/>
      <c r="G991" s="67"/>
      <c r="V991" s="67"/>
    </row>
    <row r="992">
      <c r="A992" s="66"/>
      <c r="B992" s="66"/>
      <c r="C992" s="66"/>
      <c r="D992" s="66"/>
      <c r="G992" s="67"/>
      <c r="V992" s="67"/>
    </row>
    <row r="993">
      <c r="A993" s="66"/>
      <c r="B993" s="66"/>
      <c r="C993" s="66"/>
      <c r="D993" s="66"/>
      <c r="G993" s="67"/>
      <c r="V993" s="67"/>
    </row>
    <row r="994">
      <c r="A994" s="66"/>
      <c r="B994" s="66"/>
      <c r="C994" s="66"/>
      <c r="D994" s="66"/>
      <c r="G994" s="67"/>
      <c r="V994" s="67"/>
    </row>
    <row r="995">
      <c r="A995" s="66"/>
      <c r="B995" s="66"/>
      <c r="C995" s="66"/>
      <c r="D995" s="66"/>
      <c r="G995" s="67"/>
      <c r="V995" s="67"/>
    </row>
    <row r="996">
      <c r="A996" s="66"/>
      <c r="B996" s="66"/>
      <c r="C996" s="66"/>
      <c r="D996" s="66"/>
      <c r="G996" s="67"/>
      <c r="V996" s="67"/>
    </row>
    <row r="997">
      <c r="A997" s="66"/>
      <c r="B997" s="66"/>
      <c r="C997" s="66"/>
      <c r="D997" s="66"/>
      <c r="G997" s="67"/>
      <c r="V997" s="67"/>
    </row>
    <row r="998">
      <c r="A998" s="66"/>
      <c r="B998" s="66"/>
      <c r="C998" s="66"/>
      <c r="D998" s="66"/>
      <c r="G998" s="67"/>
      <c r="V998" s="67"/>
    </row>
    <row r="999">
      <c r="A999" s="66"/>
      <c r="B999" s="66"/>
      <c r="C999" s="66"/>
      <c r="D999" s="66"/>
      <c r="G999" s="67"/>
      <c r="V999" s="67"/>
    </row>
    <row r="1000">
      <c r="A1000" s="66"/>
      <c r="B1000" s="66"/>
      <c r="C1000" s="66"/>
      <c r="D1000" s="66"/>
      <c r="G1000" s="67"/>
      <c r="V1000" s="67"/>
    </row>
    <row r="1001">
      <c r="A1001" s="66"/>
      <c r="B1001" s="66"/>
      <c r="C1001" s="66"/>
      <c r="D1001" s="66"/>
      <c r="G1001" s="67"/>
      <c r="V1001" s="67"/>
    </row>
  </sheetData>
  <mergeCells count="9">
    <mergeCell ref="O12:O14"/>
    <mergeCell ref="O15:O17"/>
    <mergeCell ref="A1:D1"/>
    <mergeCell ref="F1:M1"/>
    <mergeCell ref="O1:T1"/>
    <mergeCell ref="V1:AB1"/>
    <mergeCell ref="O3:O5"/>
    <mergeCell ref="O6:O8"/>
    <mergeCell ref="O9:O1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15.0"/>
    <col customWidth="1" min="3" max="3" width="15.38"/>
    <col customWidth="1" min="4" max="4" width="260.25"/>
    <col customWidth="1" min="6" max="6" width="5.0"/>
    <col customWidth="1" min="7" max="7" width="15.63"/>
    <col customWidth="1" min="8" max="8" width="44.13"/>
    <col customWidth="1" min="15" max="15" width="14.75"/>
    <col customWidth="1" min="16" max="16" width="21.38"/>
    <col customWidth="1" min="17" max="17" width="104.75"/>
    <col customWidth="1" min="18" max="18" width="43.38"/>
    <col customWidth="1" min="22" max="22" width="5.0"/>
    <col customWidth="1" min="23" max="23" width="26.38"/>
    <col customWidth="1" min="24" max="24" width="117.25"/>
    <col customWidth="1" min="25" max="25" width="74.63"/>
    <col customWidth="1" min="26" max="26" width="12.13"/>
    <col customWidth="1" min="27" max="27" width="11.13"/>
  </cols>
  <sheetData>
    <row r="1">
      <c r="A1" s="1" t="s">
        <v>0</v>
      </c>
      <c r="B1" s="2"/>
      <c r="C1" s="2"/>
      <c r="D1" s="3"/>
      <c r="F1" s="4" t="s">
        <v>1</v>
      </c>
      <c r="G1" s="2"/>
      <c r="H1" s="2"/>
      <c r="I1" s="2"/>
      <c r="J1" s="2"/>
      <c r="K1" s="2"/>
      <c r="L1" s="2"/>
      <c r="M1" s="3"/>
      <c r="O1" s="5" t="s">
        <v>2</v>
      </c>
      <c r="P1" s="2"/>
      <c r="Q1" s="2"/>
      <c r="R1" s="2"/>
      <c r="S1" s="2"/>
      <c r="T1" s="3"/>
      <c r="V1" s="5" t="s">
        <v>3</v>
      </c>
      <c r="W1" s="2"/>
      <c r="X1" s="2"/>
      <c r="Y1" s="2"/>
      <c r="Z1" s="2"/>
      <c r="AA1" s="2"/>
      <c r="AB1" s="3"/>
    </row>
    <row r="2">
      <c r="A2" s="6" t="s">
        <v>4</v>
      </c>
      <c r="B2" s="6" t="s">
        <v>5</v>
      </c>
      <c r="C2" s="6" t="s">
        <v>6</v>
      </c>
      <c r="D2" s="6" t="s">
        <v>8</v>
      </c>
      <c r="F2" s="8" t="s">
        <v>4</v>
      </c>
      <c r="G2" s="9" t="s">
        <v>9</v>
      </c>
      <c r="H2" s="8" t="s">
        <v>11</v>
      </c>
      <c r="I2" s="8" t="s">
        <v>12</v>
      </c>
      <c r="J2" s="8" t="s">
        <v>13</v>
      </c>
      <c r="K2" s="8" t="s">
        <v>14</v>
      </c>
      <c r="L2" s="8" t="s">
        <v>15</v>
      </c>
      <c r="M2" s="8" t="s">
        <v>16</v>
      </c>
      <c r="O2" s="10" t="s">
        <v>17</v>
      </c>
      <c r="P2" s="10"/>
      <c r="Q2" s="10"/>
      <c r="R2" s="10"/>
      <c r="S2" s="12" t="s">
        <v>24</v>
      </c>
      <c r="T2" s="12" t="s">
        <v>25</v>
      </c>
      <c r="V2" s="10" t="s">
        <v>4</v>
      </c>
      <c r="W2" s="10" t="s">
        <v>26</v>
      </c>
      <c r="X2" s="10" t="s">
        <v>20</v>
      </c>
      <c r="Y2" s="10" t="s">
        <v>22</v>
      </c>
      <c r="Z2" s="12" t="s">
        <v>24</v>
      </c>
      <c r="AA2" s="12" t="s">
        <v>25</v>
      </c>
      <c r="AB2" s="12" t="s">
        <v>27</v>
      </c>
    </row>
    <row r="3">
      <c r="A3" s="13">
        <v>1.0</v>
      </c>
      <c r="B3" s="13">
        <v>1.0</v>
      </c>
      <c r="C3" s="13">
        <v>12.0</v>
      </c>
      <c r="D3" s="14" t="s">
        <v>366</v>
      </c>
      <c r="F3" s="15">
        <v>1.0</v>
      </c>
      <c r="G3" s="16">
        <v>2.0</v>
      </c>
      <c r="H3" s="15" t="s">
        <v>367</v>
      </c>
      <c r="I3" s="15">
        <v>2.0</v>
      </c>
      <c r="J3" s="15" t="s">
        <v>42</v>
      </c>
      <c r="K3" s="15" t="s">
        <v>42</v>
      </c>
      <c r="L3" s="15" t="s">
        <v>42</v>
      </c>
      <c r="M3" s="15" t="s">
        <v>42</v>
      </c>
      <c r="O3" s="17">
        <v>1.0</v>
      </c>
      <c r="P3" s="18" t="s">
        <v>370</v>
      </c>
      <c r="Q3" s="19" t="s">
        <v>371</v>
      </c>
      <c r="R3" s="20" t="s">
        <v>372</v>
      </c>
      <c r="S3" s="21">
        <v>0.0</v>
      </c>
      <c r="T3" s="21">
        <v>0.0</v>
      </c>
      <c r="V3" s="22">
        <v>1.0</v>
      </c>
      <c r="W3" s="24" t="s">
        <v>367</v>
      </c>
      <c r="X3" s="25" t="s">
        <v>375</v>
      </c>
      <c r="Y3" s="25" t="s">
        <v>376</v>
      </c>
      <c r="Z3" s="22">
        <v>6.0</v>
      </c>
      <c r="AA3" s="22">
        <v>1.0</v>
      </c>
    </row>
    <row r="4">
      <c r="A4" s="27">
        <v>2.0</v>
      </c>
      <c r="B4" s="28">
        <v>6.0</v>
      </c>
      <c r="C4" s="27">
        <v>18.0</v>
      </c>
      <c r="D4" s="28" t="s">
        <v>377</v>
      </c>
      <c r="F4" s="29">
        <v>2.0</v>
      </c>
      <c r="G4" s="30">
        <v>2.0</v>
      </c>
      <c r="H4" s="29" t="s">
        <v>378</v>
      </c>
      <c r="I4" s="29">
        <v>3.0</v>
      </c>
      <c r="J4" s="29" t="s">
        <v>42</v>
      </c>
      <c r="K4" s="29" t="s">
        <v>42</v>
      </c>
      <c r="L4" s="29" t="s">
        <v>42</v>
      </c>
      <c r="M4" s="29" t="s">
        <v>42</v>
      </c>
      <c r="O4" s="53">
        <v>1.0</v>
      </c>
      <c r="P4" s="32" t="s">
        <v>117</v>
      </c>
      <c r="Q4" s="33" t="s">
        <v>379</v>
      </c>
      <c r="R4" s="34" t="s">
        <v>380</v>
      </c>
      <c r="S4" s="35">
        <v>30.0</v>
      </c>
      <c r="T4" s="35">
        <v>3.0</v>
      </c>
      <c r="V4" s="36">
        <v>2.0</v>
      </c>
      <c r="W4" s="37" t="s">
        <v>378</v>
      </c>
      <c r="X4" s="38" t="s">
        <v>381</v>
      </c>
      <c r="Y4" s="38" t="s">
        <v>382</v>
      </c>
      <c r="Z4" s="36">
        <v>18.0</v>
      </c>
      <c r="AA4" s="36">
        <v>3.0</v>
      </c>
    </row>
    <row r="5">
      <c r="A5" s="13">
        <v>3.0</v>
      </c>
      <c r="B5" s="14">
        <v>6.0</v>
      </c>
      <c r="C5" s="13">
        <v>24.0</v>
      </c>
      <c r="D5" s="14" t="s">
        <v>383</v>
      </c>
      <c r="F5" s="15">
        <v>3.0</v>
      </c>
      <c r="G5" s="16">
        <v>2.0</v>
      </c>
      <c r="H5" s="15" t="s">
        <v>384</v>
      </c>
      <c r="I5" s="15">
        <v>4.0</v>
      </c>
      <c r="J5" s="15">
        <v>2.0</v>
      </c>
      <c r="K5" s="15" t="s">
        <v>42</v>
      </c>
      <c r="L5" s="15" t="s">
        <v>42</v>
      </c>
      <c r="M5" s="15" t="s">
        <v>42</v>
      </c>
      <c r="O5" s="53">
        <v>1.0</v>
      </c>
      <c r="P5" s="32" t="s">
        <v>385</v>
      </c>
      <c r="Q5" s="33" t="s">
        <v>386</v>
      </c>
      <c r="R5" s="34" t="s">
        <v>387</v>
      </c>
      <c r="S5" s="35">
        <v>12.0</v>
      </c>
      <c r="T5" s="35">
        <v>2.0</v>
      </c>
      <c r="V5" s="39">
        <v>3.0</v>
      </c>
      <c r="W5" s="40" t="s">
        <v>384</v>
      </c>
      <c r="X5" s="41" t="s">
        <v>389</v>
      </c>
      <c r="Y5" s="41" t="s">
        <v>390</v>
      </c>
      <c r="Z5" s="39">
        <v>16.0</v>
      </c>
      <c r="AA5" s="39">
        <v>2.0</v>
      </c>
    </row>
    <row r="6">
      <c r="A6" s="27">
        <v>4.0</v>
      </c>
      <c r="B6" s="28">
        <v>6.0</v>
      </c>
      <c r="C6" s="27">
        <v>24.0</v>
      </c>
      <c r="D6" s="28" t="s">
        <v>393</v>
      </c>
      <c r="F6" s="29">
        <v>4.0</v>
      </c>
      <c r="G6" s="30">
        <v>2.0</v>
      </c>
      <c r="H6" s="29" t="s">
        <v>76</v>
      </c>
      <c r="I6" s="29">
        <v>4.0</v>
      </c>
      <c r="J6" s="29">
        <v>2.0</v>
      </c>
      <c r="K6" s="29" t="s">
        <v>42</v>
      </c>
      <c r="L6" s="29" t="s">
        <v>42</v>
      </c>
      <c r="M6" s="29" t="s">
        <v>42</v>
      </c>
      <c r="O6" s="53">
        <v>1.0</v>
      </c>
      <c r="P6" s="32" t="s">
        <v>398</v>
      </c>
      <c r="Q6" s="33" t="s">
        <v>399</v>
      </c>
      <c r="R6" s="34" t="s">
        <v>400</v>
      </c>
      <c r="S6" s="35">
        <v>10.0</v>
      </c>
      <c r="T6" s="35">
        <v>1.0</v>
      </c>
      <c r="V6" s="39">
        <v>4.0</v>
      </c>
      <c r="W6" s="40" t="s">
        <v>76</v>
      </c>
      <c r="X6" s="41" t="s">
        <v>116</v>
      </c>
      <c r="Y6" s="41" t="s">
        <v>372</v>
      </c>
      <c r="Z6" s="39">
        <v>0.0</v>
      </c>
      <c r="AA6" s="39">
        <v>0.0</v>
      </c>
    </row>
    <row r="7">
      <c r="A7" s="13">
        <v>5.0</v>
      </c>
      <c r="B7" s="14">
        <v>10.0</v>
      </c>
      <c r="C7" s="13">
        <v>36.0</v>
      </c>
      <c r="D7" s="14" t="s">
        <v>401</v>
      </c>
      <c r="F7" s="15">
        <v>5.0</v>
      </c>
      <c r="G7" s="16">
        <v>3.0</v>
      </c>
      <c r="H7" s="15" t="s">
        <v>402</v>
      </c>
      <c r="I7" s="15">
        <v>4.0</v>
      </c>
      <c r="J7" s="15">
        <v>2.0</v>
      </c>
      <c r="K7" s="15">
        <v>1.0</v>
      </c>
      <c r="L7" s="15" t="s">
        <v>42</v>
      </c>
      <c r="M7" s="15" t="s">
        <v>42</v>
      </c>
      <c r="O7" s="84">
        <v>2.0</v>
      </c>
      <c r="P7" s="46" t="s">
        <v>403</v>
      </c>
      <c r="Q7" s="47" t="s">
        <v>404</v>
      </c>
      <c r="R7" s="47" t="s">
        <v>69</v>
      </c>
      <c r="S7" s="48">
        <v>13.0</v>
      </c>
      <c r="T7" s="48">
        <v>2.0</v>
      </c>
      <c r="V7" s="22">
        <v>5.0</v>
      </c>
      <c r="W7" s="24" t="s">
        <v>402</v>
      </c>
      <c r="X7" s="25" t="s">
        <v>405</v>
      </c>
      <c r="Y7" s="25" t="s">
        <v>406</v>
      </c>
      <c r="Z7" s="22">
        <v>12.0</v>
      </c>
      <c r="AA7" s="22">
        <v>2.0</v>
      </c>
    </row>
    <row r="8">
      <c r="A8" s="27">
        <v>6.0</v>
      </c>
      <c r="B8" s="28">
        <v>22.0</v>
      </c>
      <c r="C8" s="27">
        <v>60.0</v>
      </c>
      <c r="D8" s="28" t="s">
        <v>407</v>
      </c>
      <c r="F8" s="29">
        <v>6.0</v>
      </c>
      <c r="G8" s="30">
        <v>3.0</v>
      </c>
      <c r="H8" s="29" t="s">
        <v>408</v>
      </c>
      <c r="I8" s="29">
        <v>4.0</v>
      </c>
      <c r="J8" s="29">
        <v>2.0</v>
      </c>
      <c r="K8" s="29">
        <v>1.0</v>
      </c>
      <c r="L8" s="29" t="s">
        <v>42</v>
      </c>
      <c r="M8" s="29" t="s">
        <v>42</v>
      </c>
      <c r="O8" s="84">
        <v>2.0</v>
      </c>
      <c r="P8" s="46" t="s">
        <v>410</v>
      </c>
      <c r="Q8" s="47" t="s">
        <v>411</v>
      </c>
      <c r="R8" s="47" t="s">
        <v>412</v>
      </c>
      <c r="S8" s="48">
        <v>30.0</v>
      </c>
      <c r="T8" s="48">
        <v>3.0</v>
      </c>
      <c r="V8" s="36">
        <v>6.0</v>
      </c>
      <c r="W8" s="37" t="s">
        <v>408</v>
      </c>
      <c r="X8" s="38" t="s">
        <v>413</v>
      </c>
      <c r="Y8" s="38" t="s">
        <v>415</v>
      </c>
      <c r="Z8" s="36">
        <v>14.0</v>
      </c>
      <c r="AA8" s="36">
        <v>2.0</v>
      </c>
    </row>
    <row r="9">
      <c r="A9" s="13">
        <v>7.0</v>
      </c>
      <c r="B9" s="14">
        <v>32.0</v>
      </c>
      <c r="C9" s="13">
        <v>90.0</v>
      </c>
      <c r="D9" s="14" t="s">
        <v>416</v>
      </c>
      <c r="F9" s="15">
        <v>7.0</v>
      </c>
      <c r="G9" s="16">
        <v>3.0</v>
      </c>
      <c r="H9" s="15" t="s">
        <v>417</v>
      </c>
      <c r="I9" s="15">
        <v>4.0</v>
      </c>
      <c r="J9" s="15">
        <v>3.0</v>
      </c>
      <c r="K9" s="15">
        <v>2.0</v>
      </c>
      <c r="L9" s="15" t="s">
        <v>42</v>
      </c>
      <c r="M9" s="15" t="s">
        <v>42</v>
      </c>
      <c r="O9" s="84">
        <v>2.0</v>
      </c>
      <c r="P9" s="46" t="s">
        <v>420</v>
      </c>
      <c r="Q9" s="47" t="s">
        <v>421</v>
      </c>
      <c r="R9" s="47" t="s">
        <v>372</v>
      </c>
      <c r="S9" s="48">
        <v>0.0</v>
      </c>
      <c r="T9" s="48">
        <v>0.0</v>
      </c>
      <c r="V9" s="39">
        <v>7.0</v>
      </c>
      <c r="W9" s="40" t="s">
        <v>417</v>
      </c>
      <c r="X9" s="41" t="s">
        <v>422</v>
      </c>
      <c r="Y9" s="41" t="s">
        <v>238</v>
      </c>
      <c r="Z9" s="39">
        <v>20.0</v>
      </c>
      <c r="AA9" s="39">
        <v>2.0</v>
      </c>
    </row>
    <row r="10">
      <c r="A10" s="27">
        <v>8.0</v>
      </c>
      <c r="B10" s="28">
        <v>32.0</v>
      </c>
      <c r="C10" s="27">
        <v>90.0</v>
      </c>
      <c r="D10" s="28" t="s">
        <v>423</v>
      </c>
      <c r="F10" s="29">
        <v>8.0</v>
      </c>
      <c r="G10" s="30">
        <v>3.0</v>
      </c>
      <c r="H10" s="29" t="s">
        <v>76</v>
      </c>
      <c r="I10" s="29">
        <v>4.0</v>
      </c>
      <c r="J10" s="29">
        <v>3.0</v>
      </c>
      <c r="K10" s="29">
        <v>2.0</v>
      </c>
      <c r="L10" s="29" t="s">
        <v>42</v>
      </c>
      <c r="M10" s="29" t="s">
        <v>42</v>
      </c>
      <c r="O10" s="84">
        <v>2.0</v>
      </c>
      <c r="P10" s="46" t="s">
        <v>424</v>
      </c>
      <c r="Q10" s="47" t="s">
        <v>425</v>
      </c>
      <c r="R10" s="47" t="s">
        <v>426</v>
      </c>
      <c r="S10" s="48">
        <v>30.0</v>
      </c>
      <c r="T10" s="48">
        <v>3.0</v>
      </c>
      <c r="V10" s="39">
        <v>8.0</v>
      </c>
      <c r="W10" s="40" t="s">
        <v>76</v>
      </c>
      <c r="X10" s="41" t="s">
        <v>116</v>
      </c>
      <c r="Y10" s="41" t="s">
        <v>372</v>
      </c>
      <c r="Z10" s="39">
        <v>0.0</v>
      </c>
      <c r="AA10" s="39">
        <v>0.0</v>
      </c>
    </row>
    <row r="11">
      <c r="A11" s="13">
        <v>9.0</v>
      </c>
      <c r="B11" s="14">
        <v>48.0</v>
      </c>
      <c r="C11" s="13">
        <v>108.0</v>
      </c>
      <c r="D11" s="14" t="s">
        <v>427</v>
      </c>
      <c r="F11" s="15">
        <v>9.0</v>
      </c>
      <c r="G11" s="16">
        <v>4.0</v>
      </c>
      <c r="H11" s="15" t="s">
        <v>428</v>
      </c>
      <c r="I11" s="15">
        <v>4.0</v>
      </c>
      <c r="J11" s="15">
        <v>3.0</v>
      </c>
      <c r="K11" s="15">
        <v>2.0</v>
      </c>
      <c r="L11" s="15">
        <v>1.0</v>
      </c>
      <c r="M11" s="15" t="s">
        <v>42</v>
      </c>
      <c r="O11" s="53">
        <v>3.0</v>
      </c>
      <c r="P11" s="32" t="s">
        <v>429</v>
      </c>
      <c r="Q11" s="33" t="s">
        <v>430</v>
      </c>
      <c r="R11" s="34" t="s">
        <v>431</v>
      </c>
      <c r="S11" s="35">
        <v>18.0</v>
      </c>
      <c r="T11" s="35">
        <v>3.0</v>
      </c>
      <c r="V11" s="22">
        <v>9.0</v>
      </c>
      <c r="W11" s="24" t="s">
        <v>428</v>
      </c>
      <c r="X11" s="25" t="s">
        <v>432</v>
      </c>
      <c r="Y11" s="25" t="s">
        <v>433</v>
      </c>
      <c r="Z11" s="22">
        <v>36.0</v>
      </c>
      <c r="AA11" s="22">
        <v>6.0</v>
      </c>
    </row>
    <row r="12">
      <c r="A12" s="27">
        <v>10.0</v>
      </c>
      <c r="B12" s="28">
        <v>56.0</v>
      </c>
      <c r="C12" s="27">
        <v>120.0</v>
      </c>
      <c r="D12" s="28" t="s">
        <v>434</v>
      </c>
      <c r="F12" s="29">
        <v>10.0</v>
      </c>
      <c r="G12" s="30">
        <v>4.0</v>
      </c>
      <c r="H12" s="29" t="s">
        <v>435</v>
      </c>
      <c r="I12" s="29">
        <v>4.0</v>
      </c>
      <c r="J12" s="29">
        <v>3.0</v>
      </c>
      <c r="K12" s="29">
        <v>2.0</v>
      </c>
      <c r="L12" s="29">
        <v>1.0</v>
      </c>
      <c r="M12" s="29" t="s">
        <v>42</v>
      </c>
      <c r="O12" s="53">
        <v>3.0</v>
      </c>
      <c r="P12" s="32" t="s">
        <v>436</v>
      </c>
      <c r="Q12" s="33" t="s">
        <v>438</v>
      </c>
      <c r="R12" s="34" t="s">
        <v>372</v>
      </c>
      <c r="S12" s="35">
        <v>0.0</v>
      </c>
      <c r="T12" s="35">
        <v>0.0</v>
      </c>
      <c r="V12" s="36">
        <v>10.0</v>
      </c>
      <c r="W12" s="37" t="s">
        <v>435</v>
      </c>
      <c r="X12" s="38" t="s">
        <v>440</v>
      </c>
      <c r="Y12" s="38" t="s">
        <v>441</v>
      </c>
      <c r="Z12" s="36">
        <v>48.0</v>
      </c>
      <c r="AA12" s="36">
        <v>8.0</v>
      </c>
    </row>
    <row r="13">
      <c r="A13" s="13">
        <v>11.0</v>
      </c>
      <c r="B13" s="14">
        <v>61.0</v>
      </c>
      <c r="C13" s="13">
        <v>130.0</v>
      </c>
      <c r="D13" s="14" t="s">
        <v>444</v>
      </c>
      <c r="F13" s="15">
        <v>11.0</v>
      </c>
      <c r="G13" s="16">
        <v>4.0</v>
      </c>
      <c r="H13" s="15" t="s">
        <v>446</v>
      </c>
      <c r="I13" s="15">
        <v>4.0</v>
      </c>
      <c r="J13" s="15">
        <v>3.0</v>
      </c>
      <c r="K13" s="15">
        <v>3.0</v>
      </c>
      <c r="L13" s="15">
        <v>1.0</v>
      </c>
      <c r="M13" s="15" t="s">
        <v>42</v>
      </c>
      <c r="O13" s="53">
        <v>3.0</v>
      </c>
      <c r="P13" s="32" t="s">
        <v>447</v>
      </c>
      <c r="Q13" s="33" t="s">
        <v>448</v>
      </c>
      <c r="R13" s="34" t="s">
        <v>372</v>
      </c>
      <c r="S13" s="35">
        <v>0.0</v>
      </c>
      <c r="T13" s="35">
        <v>0.0</v>
      </c>
      <c r="V13" s="39">
        <v>11.0</v>
      </c>
      <c r="W13" s="40" t="s">
        <v>446</v>
      </c>
      <c r="X13" s="41" t="s">
        <v>449</v>
      </c>
      <c r="Y13" s="41" t="s">
        <v>450</v>
      </c>
      <c r="Z13" s="39">
        <v>5.0</v>
      </c>
      <c r="AA13" s="39">
        <v>5.0</v>
      </c>
    </row>
    <row r="14">
      <c r="A14" s="27">
        <v>12.0</v>
      </c>
      <c r="B14" s="28">
        <v>61.0</v>
      </c>
      <c r="C14" s="27">
        <v>130.0</v>
      </c>
      <c r="D14" s="28" t="s">
        <v>451</v>
      </c>
      <c r="F14" s="29">
        <v>12.0</v>
      </c>
      <c r="G14" s="30">
        <v>4.0</v>
      </c>
      <c r="H14" s="29" t="s">
        <v>76</v>
      </c>
      <c r="I14" s="29">
        <v>4.0</v>
      </c>
      <c r="J14" s="29">
        <v>3.0</v>
      </c>
      <c r="K14" s="29">
        <v>3.0</v>
      </c>
      <c r="L14" s="29">
        <v>1.0</v>
      </c>
      <c r="M14" s="29" t="s">
        <v>42</v>
      </c>
      <c r="O14" s="84">
        <v>4.0</v>
      </c>
      <c r="P14" s="46" t="s">
        <v>452</v>
      </c>
      <c r="Q14" s="47" t="s">
        <v>453</v>
      </c>
      <c r="R14" s="47" t="s">
        <v>454</v>
      </c>
      <c r="S14" s="48">
        <v>36.0</v>
      </c>
      <c r="T14" s="48">
        <v>6.0</v>
      </c>
      <c r="V14" s="39">
        <v>12.0</v>
      </c>
      <c r="W14" s="40" t="s">
        <v>76</v>
      </c>
      <c r="X14" s="41" t="s">
        <v>116</v>
      </c>
      <c r="Y14" s="41" t="s">
        <v>372</v>
      </c>
      <c r="Z14" s="39">
        <v>0.0</v>
      </c>
      <c r="AA14" s="39">
        <v>0.0</v>
      </c>
    </row>
    <row r="15">
      <c r="A15" s="13">
        <v>13.0</v>
      </c>
      <c r="B15" s="14">
        <v>72.0</v>
      </c>
      <c r="C15" s="13">
        <v>152.0</v>
      </c>
      <c r="D15" s="14" t="s">
        <v>455</v>
      </c>
      <c r="F15" s="15">
        <v>13.0</v>
      </c>
      <c r="G15" s="16">
        <v>5.0</v>
      </c>
      <c r="H15" s="15" t="s">
        <v>456</v>
      </c>
      <c r="I15" s="15">
        <v>4.0</v>
      </c>
      <c r="J15" s="15">
        <v>3.0</v>
      </c>
      <c r="K15" s="15">
        <v>3.0</v>
      </c>
      <c r="L15" s="15">
        <v>2.0</v>
      </c>
      <c r="M15" s="15" t="s">
        <v>42</v>
      </c>
      <c r="O15" s="84">
        <v>4.0</v>
      </c>
      <c r="P15" s="46" t="s">
        <v>457</v>
      </c>
      <c r="Q15" s="47" t="s">
        <v>458</v>
      </c>
      <c r="R15" s="47" t="s">
        <v>459</v>
      </c>
      <c r="S15" s="48">
        <v>40.0</v>
      </c>
      <c r="T15" s="48">
        <v>5.0</v>
      </c>
      <c r="V15" s="22">
        <v>13.0</v>
      </c>
      <c r="W15" s="24" t="s">
        <v>456</v>
      </c>
      <c r="X15" s="25" t="s">
        <v>460</v>
      </c>
      <c r="Y15" s="25" t="s">
        <v>461</v>
      </c>
      <c r="Z15" s="22">
        <v>24.0</v>
      </c>
      <c r="AA15" s="22">
        <v>4.0</v>
      </c>
    </row>
    <row r="16">
      <c r="A16" s="27">
        <v>15.0</v>
      </c>
      <c r="B16" s="28">
        <v>75.0</v>
      </c>
      <c r="C16" s="27">
        <v>180.0</v>
      </c>
      <c r="D16" s="28" t="s">
        <v>464</v>
      </c>
      <c r="F16" s="29">
        <v>14.0</v>
      </c>
      <c r="G16" s="30">
        <v>5.0</v>
      </c>
      <c r="H16" s="29" t="s">
        <v>76</v>
      </c>
      <c r="I16" s="29">
        <v>4.0</v>
      </c>
      <c r="J16" s="29">
        <v>3.0</v>
      </c>
      <c r="K16" s="29">
        <v>3.0</v>
      </c>
      <c r="L16" s="29">
        <v>2.0</v>
      </c>
      <c r="M16" s="29" t="s">
        <v>42</v>
      </c>
      <c r="O16" s="84">
        <v>4.0</v>
      </c>
      <c r="P16" s="46" t="s">
        <v>466</v>
      </c>
      <c r="Q16" s="47" t="s">
        <v>467</v>
      </c>
      <c r="R16" s="47" t="s">
        <v>468</v>
      </c>
      <c r="S16" s="48">
        <v>30.0</v>
      </c>
      <c r="T16" s="48">
        <v>5.0</v>
      </c>
      <c r="V16" s="36">
        <v>15.0</v>
      </c>
      <c r="W16" s="37" t="s">
        <v>470</v>
      </c>
      <c r="X16" s="38" t="s">
        <v>471</v>
      </c>
      <c r="Y16" s="38" t="s">
        <v>473</v>
      </c>
      <c r="Z16" s="36">
        <v>30.0</v>
      </c>
      <c r="AA16" s="36">
        <v>5.0</v>
      </c>
    </row>
    <row r="17">
      <c r="A17" s="13">
        <v>18.0</v>
      </c>
      <c r="B17" s="14">
        <v>88.0</v>
      </c>
      <c r="C17" s="13">
        <v>216.0</v>
      </c>
      <c r="D17" s="14" t="s">
        <v>474</v>
      </c>
      <c r="F17" s="15">
        <v>15.0</v>
      </c>
      <c r="G17" s="16">
        <v>5.0</v>
      </c>
      <c r="H17" s="15" t="s">
        <v>470</v>
      </c>
      <c r="I17" s="15">
        <v>4.0</v>
      </c>
      <c r="J17" s="15">
        <v>3.0</v>
      </c>
      <c r="K17" s="15">
        <v>3.0</v>
      </c>
      <c r="L17" s="15">
        <v>2.0</v>
      </c>
      <c r="M17" s="15">
        <v>1.0</v>
      </c>
      <c r="O17" s="17">
        <v>5.0</v>
      </c>
      <c r="P17" s="18" t="s">
        <v>475</v>
      </c>
      <c r="Q17" s="19" t="s">
        <v>476</v>
      </c>
      <c r="R17" s="20" t="s">
        <v>478</v>
      </c>
      <c r="S17" s="21">
        <v>48.0</v>
      </c>
      <c r="T17" s="21">
        <v>6.0</v>
      </c>
      <c r="V17" s="39">
        <v>18.0</v>
      </c>
      <c r="W17" s="40" t="s">
        <v>481</v>
      </c>
      <c r="X17" s="41" t="s">
        <v>482</v>
      </c>
      <c r="Y17" s="41" t="s">
        <v>441</v>
      </c>
      <c r="Z17" s="39">
        <v>48.0</v>
      </c>
      <c r="AA17" s="39">
        <v>8.0</v>
      </c>
    </row>
    <row r="18">
      <c r="A18" s="27">
        <v>20.0</v>
      </c>
      <c r="B18" s="28">
        <v>100.0</v>
      </c>
      <c r="C18" s="27">
        <f>60*5</f>
        <v>300</v>
      </c>
      <c r="D18" s="28" t="s">
        <v>486</v>
      </c>
      <c r="F18" s="29">
        <v>16.0</v>
      </c>
      <c r="G18" s="30">
        <v>5.0</v>
      </c>
      <c r="H18" s="29" t="s">
        <v>76</v>
      </c>
      <c r="I18" s="29">
        <v>4.0</v>
      </c>
      <c r="J18" s="29">
        <v>3.0</v>
      </c>
      <c r="K18" s="29">
        <v>3.0</v>
      </c>
      <c r="L18" s="29">
        <v>2.0</v>
      </c>
      <c r="M18" s="29">
        <v>1.0</v>
      </c>
      <c r="O18" s="71">
        <v>5.0</v>
      </c>
      <c r="P18" s="72" t="s">
        <v>487</v>
      </c>
      <c r="Q18" s="91" t="s">
        <v>489</v>
      </c>
      <c r="R18" s="74" t="s">
        <v>492</v>
      </c>
      <c r="S18" s="75">
        <v>50.0</v>
      </c>
      <c r="T18" s="75">
        <v>5.0</v>
      </c>
      <c r="V18" s="39">
        <v>20.0</v>
      </c>
      <c r="W18" s="40" t="s">
        <v>493</v>
      </c>
      <c r="X18" s="41" t="s">
        <v>494</v>
      </c>
      <c r="Y18" s="41" t="s">
        <v>495</v>
      </c>
      <c r="Z18" s="39">
        <v>60.0</v>
      </c>
      <c r="AA18" s="39">
        <v>10.0</v>
      </c>
    </row>
    <row r="19">
      <c r="A19" s="13"/>
      <c r="B19" s="14"/>
      <c r="C19" s="13"/>
      <c r="D19" s="14"/>
      <c r="F19" s="15">
        <v>17.0</v>
      </c>
      <c r="G19" s="16">
        <v>6.0</v>
      </c>
      <c r="H19" s="15" t="s">
        <v>481</v>
      </c>
      <c r="I19" s="15">
        <v>4.0</v>
      </c>
      <c r="J19" s="15">
        <v>3.0</v>
      </c>
      <c r="K19" s="15">
        <v>3.0</v>
      </c>
      <c r="L19" s="15">
        <v>2.0</v>
      </c>
      <c r="M19" s="15">
        <v>1.0</v>
      </c>
      <c r="O19" s="53"/>
      <c r="P19" s="45"/>
      <c r="Q19" s="46"/>
      <c r="R19" s="47"/>
      <c r="S19" s="48"/>
      <c r="T19" s="48"/>
      <c r="V19" s="22"/>
      <c r="W19" s="24"/>
      <c r="X19" s="25"/>
      <c r="Y19" s="25"/>
      <c r="Z19" s="22"/>
      <c r="AA19" s="22"/>
    </row>
    <row r="20">
      <c r="A20" s="27"/>
      <c r="B20" s="28"/>
      <c r="C20" s="27"/>
      <c r="D20" s="28"/>
      <c r="F20" s="29">
        <v>18.0</v>
      </c>
      <c r="G20" s="30">
        <v>6.0</v>
      </c>
      <c r="H20" s="29" t="s">
        <v>76</v>
      </c>
      <c r="I20" s="29">
        <v>4.0</v>
      </c>
      <c r="J20" s="29">
        <v>3.0</v>
      </c>
      <c r="K20" s="29">
        <v>3.0</v>
      </c>
      <c r="L20" s="29">
        <v>2.0</v>
      </c>
      <c r="M20" s="29">
        <v>1.0</v>
      </c>
      <c r="O20" s="53"/>
      <c r="P20" s="45"/>
      <c r="Q20" s="46"/>
      <c r="R20" s="47"/>
      <c r="S20" s="48"/>
      <c r="T20" s="48"/>
      <c r="V20" s="36"/>
      <c r="W20" s="37"/>
      <c r="X20" s="38"/>
      <c r="Y20" s="38"/>
      <c r="Z20" s="36"/>
      <c r="AA20" s="36"/>
    </row>
    <row r="21">
      <c r="A21" s="13"/>
      <c r="B21" s="14"/>
      <c r="C21" s="13"/>
      <c r="D21" s="14"/>
      <c r="F21" s="15">
        <v>19.0</v>
      </c>
      <c r="G21" s="16">
        <v>6.0</v>
      </c>
      <c r="H21" s="15" t="s">
        <v>76</v>
      </c>
      <c r="I21" s="15">
        <v>4.0</v>
      </c>
      <c r="J21" s="15">
        <v>3.0</v>
      </c>
      <c r="K21" s="15">
        <v>3.0</v>
      </c>
      <c r="L21" s="15">
        <v>2.0</v>
      </c>
      <c r="M21" s="15">
        <v>2.0</v>
      </c>
      <c r="O21" s="53"/>
      <c r="P21" s="45"/>
      <c r="Q21" s="46"/>
      <c r="R21" s="47"/>
      <c r="S21" s="48"/>
      <c r="T21" s="48"/>
      <c r="V21" s="39"/>
      <c r="W21" s="40"/>
      <c r="X21" s="41"/>
      <c r="Y21" s="41"/>
      <c r="Z21" s="39"/>
      <c r="AA21" s="39"/>
    </row>
    <row r="22">
      <c r="A22" s="60"/>
      <c r="B22" s="60"/>
      <c r="C22" s="60"/>
      <c r="D22" s="60"/>
      <c r="F22" s="62">
        <v>20.0</v>
      </c>
      <c r="G22" s="63">
        <v>6.0</v>
      </c>
      <c r="H22" s="62" t="s">
        <v>493</v>
      </c>
      <c r="I22" s="62">
        <v>4.0</v>
      </c>
      <c r="J22" s="62">
        <v>3.0</v>
      </c>
      <c r="K22" s="62">
        <v>3.0</v>
      </c>
      <c r="L22" s="62">
        <v>2.0</v>
      </c>
      <c r="M22" s="62">
        <v>2.0</v>
      </c>
      <c r="O22" s="53"/>
      <c r="P22" s="45"/>
      <c r="Q22" s="46"/>
      <c r="R22" s="47"/>
      <c r="S22" s="48"/>
      <c r="T22" s="48"/>
      <c r="V22" s="39"/>
      <c r="W22" s="40"/>
      <c r="X22" s="41"/>
      <c r="Y22" s="41"/>
      <c r="Z22" s="39"/>
      <c r="AA22" s="39"/>
    </row>
    <row r="23">
      <c r="A23" s="66"/>
      <c r="B23" s="66"/>
      <c r="C23" s="66"/>
      <c r="D23" s="66"/>
      <c r="G23" s="67"/>
      <c r="O23" s="53"/>
      <c r="P23" s="32"/>
      <c r="Q23" s="33"/>
      <c r="R23" s="34"/>
      <c r="S23" s="35"/>
      <c r="T23" s="35"/>
      <c r="V23" s="22"/>
      <c r="W23" s="24"/>
      <c r="X23" s="25"/>
      <c r="Y23" s="25"/>
      <c r="Z23" s="22"/>
      <c r="AA23" s="22"/>
    </row>
    <row r="24">
      <c r="A24" s="66"/>
      <c r="B24" s="66"/>
      <c r="C24" s="66"/>
      <c r="D24" s="66"/>
      <c r="G24" s="67"/>
      <c r="O24" s="53"/>
      <c r="P24" s="32"/>
      <c r="Q24" s="33"/>
      <c r="R24" s="34"/>
      <c r="S24" s="35"/>
      <c r="T24" s="35"/>
      <c r="V24" s="36"/>
      <c r="W24" s="37"/>
      <c r="X24" s="38"/>
      <c r="Y24" s="38"/>
      <c r="Z24" s="36"/>
      <c r="AA24" s="36"/>
    </row>
    <row r="25">
      <c r="A25" s="66"/>
      <c r="B25" s="66"/>
      <c r="C25" s="66"/>
      <c r="D25" s="66"/>
      <c r="G25" s="67"/>
      <c r="O25" s="53"/>
      <c r="P25" s="32"/>
      <c r="Q25" s="33"/>
      <c r="R25" s="34"/>
      <c r="S25" s="35"/>
      <c r="T25" s="35"/>
      <c r="V25" s="39"/>
      <c r="W25" s="40"/>
      <c r="X25" s="41"/>
      <c r="Y25" s="41"/>
      <c r="Z25" s="39"/>
      <c r="AA25" s="39"/>
    </row>
    <row r="26">
      <c r="A26" s="66"/>
      <c r="B26" s="66"/>
      <c r="C26" s="66"/>
      <c r="D26" s="66"/>
      <c r="G26" s="67"/>
      <c r="O26" s="53"/>
      <c r="P26" s="32"/>
      <c r="Q26" s="33"/>
      <c r="R26" s="34"/>
      <c r="S26" s="35"/>
      <c r="T26" s="35"/>
      <c r="V26" s="39"/>
      <c r="W26" s="40"/>
      <c r="X26" s="41"/>
      <c r="Y26" s="41"/>
      <c r="Z26" s="39"/>
      <c r="AA26" s="39"/>
    </row>
    <row r="27">
      <c r="A27" s="66"/>
      <c r="B27" s="66"/>
      <c r="C27" s="66"/>
      <c r="D27" s="66"/>
      <c r="G27" s="67"/>
      <c r="O27" s="71"/>
      <c r="P27" s="72"/>
      <c r="Q27" s="73"/>
      <c r="R27" s="74"/>
      <c r="S27" s="75"/>
      <c r="T27" s="75"/>
      <c r="V27" s="22"/>
      <c r="W27" s="24"/>
      <c r="X27" s="25"/>
      <c r="Y27" s="25"/>
      <c r="Z27" s="22"/>
      <c r="AA27" s="22"/>
    </row>
    <row r="28">
      <c r="A28" s="66"/>
      <c r="B28" s="66"/>
      <c r="C28" s="66"/>
      <c r="D28" s="66"/>
      <c r="G28" s="67"/>
      <c r="P28" s="76"/>
      <c r="V28" s="36"/>
      <c r="W28" s="37"/>
      <c r="X28" s="38"/>
      <c r="Y28" s="38"/>
      <c r="Z28" s="36"/>
      <c r="AA28" s="36"/>
    </row>
    <row r="29">
      <c r="A29" s="66"/>
      <c r="B29" s="66"/>
      <c r="C29" s="66"/>
      <c r="D29" s="66"/>
      <c r="G29" s="67"/>
      <c r="P29" s="77"/>
      <c r="V29" s="39"/>
      <c r="W29" s="40"/>
      <c r="X29" s="41"/>
      <c r="Y29" s="41"/>
      <c r="Z29" s="39"/>
      <c r="AA29" s="39"/>
    </row>
    <row r="30">
      <c r="B30" s="66"/>
      <c r="C30" s="66"/>
      <c r="D30" s="66"/>
      <c r="G30" s="67"/>
      <c r="P30" s="76"/>
      <c r="V30" s="39"/>
      <c r="W30" s="40"/>
      <c r="X30" s="41"/>
      <c r="Y30" s="41"/>
      <c r="Z30" s="39"/>
      <c r="AA30" s="39"/>
    </row>
    <row r="31">
      <c r="A31" s="66"/>
      <c r="B31" s="66"/>
      <c r="C31" s="66"/>
      <c r="D31" s="66"/>
      <c r="G31" s="67"/>
      <c r="P31" s="77"/>
      <c r="V31" s="22"/>
      <c r="W31" s="24"/>
      <c r="X31" s="25"/>
      <c r="Y31" s="25"/>
      <c r="Z31" s="22"/>
      <c r="AA31" s="22"/>
    </row>
    <row r="32">
      <c r="A32" s="66"/>
      <c r="B32" s="66"/>
      <c r="C32" s="66"/>
      <c r="D32" s="66"/>
      <c r="G32" s="67"/>
      <c r="P32" s="76"/>
      <c r="V32" s="36"/>
      <c r="W32" s="37"/>
      <c r="X32" s="38"/>
      <c r="Y32" s="38"/>
      <c r="Z32" s="36"/>
      <c r="AA32" s="36"/>
    </row>
    <row r="33">
      <c r="A33" s="66"/>
      <c r="B33" s="66"/>
      <c r="C33" s="66"/>
      <c r="D33" s="81"/>
      <c r="G33" s="67"/>
      <c r="P33" s="76"/>
      <c r="R33" s="82"/>
      <c r="V33" s="39"/>
      <c r="W33" s="40"/>
      <c r="X33" s="41"/>
      <c r="Y33" s="41"/>
      <c r="Z33" s="39"/>
      <c r="AA33" s="39"/>
    </row>
    <row r="34">
      <c r="A34" s="66"/>
      <c r="B34" s="66"/>
      <c r="C34" s="66"/>
      <c r="D34" s="81"/>
      <c r="G34" s="67"/>
      <c r="P34" s="76"/>
      <c r="R34" s="82"/>
      <c r="V34" s="39"/>
      <c r="W34" s="40"/>
      <c r="X34" s="41"/>
      <c r="Y34" s="41"/>
      <c r="Z34" s="39"/>
      <c r="AA34" s="39"/>
    </row>
    <row r="35">
      <c r="A35" s="66"/>
      <c r="B35" s="66"/>
      <c r="C35" s="66"/>
      <c r="D35" s="66"/>
      <c r="G35" s="67"/>
      <c r="P35" s="76"/>
      <c r="R35" s="82"/>
      <c r="V35" s="22"/>
      <c r="W35" s="24"/>
      <c r="X35" s="25"/>
      <c r="Y35" s="25"/>
      <c r="Z35" s="22"/>
      <c r="AA35" s="22"/>
    </row>
    <row r="36">
      <c r="A36" s="66"/>
      <c r="B36" s="66"/>
      <c r="C36" s="66"/>
      <c r="D36" s="66"/>
      <c r="G36" s="67"/>
      <c r="P36" s="77"/>
      <c r="R36" s="82"/>
      <c r="V36" s="36"/>
      <c r="W36" s="37"/>
      <c r="X36" s="38"/>
      <c r="Y36" s="38"/>
      <c r="Z36" s="36"/>
      <c r="AA36" s="36"/>
    </row>
    <row r="37">
      <c r="A37" s="66"/>
      <c r="B37" s="66"/>
      <c r="C37" s="66"/>
      <c r="D37" s="66"/>
      <c r="G37" s="67"/>
      <c r="P37" s="76"/>
      <c r="R37" s="82"/>
      <c r="V37" s="39"/>
      <c r="W37" s="40"/>
      <c r="X37" s="41"/>
      <c r="Y37" s="41"/>
      <c r="Z37" s="39"/>
      <c r="AA37" s="39"/>
    </row>
    <row r="38">
      <c r="A38" s="66"/>
      <c r="B38" s="66"/>
      <c r="C38" s="66"/>
      <c r="D38" s="66"/>
      <c r="G38" s="67"/>
      <c r="P38" s="77"/>
      <c r="R38" s="82"/>
      <c r="V38" s="39"/>
      <c r="W38" s="40"/>
      <c r="X38" s="41"/>
      <c r="Y38" s="41"/>
      <c r="Z38" s="39"/>
      <c r="AA38" s="39"/>
    </row>
    <row r="39">
      <c r="A39" s="66"/>
      <c r="C39" s="66"/>
      <c r="D39" s="66"/>
      <c r="G39" s="67"/>
      <c r="R39" s="82"/>
      <c r="V39" s="22"/>
      <c r="W39" s="24"/>
      <c r="X39" s="25"/>
      <c r="Y39" s="25"/>
      <c r="Z39" s="22"/>
      <c r="AA39" s="22"/>
    </row>
    <row r="40">
      <c r="A40" s="66"/>
      <c r="B40" s="66"/>
      <c r="C40" s="66"/>
      <c r="D40" s="66"/>
      <c r="G40" s="67"/>
      <c r="P40" s="76"/>
      <c r="R40" s="82"/>
      <c r="V40" s="36"/>
      <c r="W40" s="37"/>
      <c r="X40" s="38"/>
      <c r="Y40" s="38"/>
      <c r="Z40" s="36"/>
      <c r="AA40" s="36"/>
    </row>
    <row r="41">
      <c r="A41" s="66"/>
      <c r="B41" s="66"/>
      <c r="C41" s="66"/>
      <c r="D41" s="66"/>
      <c r="G41" s="67"/>
      <c r="P41" s="76"/>
      <c r="R41" s="82"/>
      <c r="V41" s="39"/>
      <c r="W41" s="40"/>
      <c r="X41" s="41"/>
      <c r="Y41" s="41"/>
      <c r="Z41" s="39"/>
      <c r="AA41" s="39"/>
    </row>
    <row r="42">
      <c r="A42" s="66"/>
      <c r="B42" s="66"/>
      <c r="C42" s="66"/>
      <c r="D42" s="66"/>
      <c r="G42" s="67"/>
      <c r="P42" s="76"/>
      <c r="V42" s="39"/>
      <c r="W42" s="40"/>
      <c r="X42" s="41"/>
      <c r="Y42" s="41"/>
      <c r="Z42" s="39"/>
      <c r="AA42" s="39"/>
    </row>
    <row r="43">
      <c r="A43" s="66"/>
      <c r="B43" s="66"/>
      <c r="C43" s="66"/>
      <c r="D43" s="66"/>
      <c r="G43" s="67"/>
      <c r="P43" s="77"/>
    </row>
    <row r="44">
      <c r="A44" s="66"/>
      <c r="B44" s="66"/>
      <c r="C44" s="66"/>
      <c r="D44" s="66"/>
      <c r="G44" s="67"/>
      <c r="P44" s="76"/>
    </row>
    <row r="45">
      <c r="A45" s="66"/>
      <c r="C45" s="66"/>
      <c r="D45" s="66"/>
      <c r="G45" s="67"/>
      <c r="P45" s="77"/>
    </row>
    <row r="46">
      <c r="A46" s="66"/>
      <c r="B46" s="66"/>
      <c r="C46" s="66"/>
      <c r="D46" s="66"/>
      <c r="G46" s="67"/>
    </row>
    <row r="47">
      <c r="A47" s="66"/>
      <c r="B47" s="66"/>
      <c r="C47" s="66"/>
      <c r="D47" s="66"/>
      <c r="G47" s="67"/>
      <c r="P47" s="76"/>
    </row>
    <row r="48">
      <c r="A48" s="66"/>
      <c r="B48" s="66"/>
      <c r="C48" s="66"/>
      <c r="D48" s="66"/>
      <c r="G48" s="67"/>
      <c r="P48" s="76"/>
      <c r="V48" s="67"/>
    </row>
    <row r="49">
      <c r="A49" s="66"/>
      <c r="B49" s="66"/>
      <c r="C49" s="66"/>
      <c r="D49" s="66"/>
      <c r="G49" s="67"/>
      <c r="P49" s="76"/>
      <c r="V49" s="67"/>
    </row>
    <row r="50">
      <c r="A50" s="66"/>
      <c r="B50" s="66"/>
      <c r="C50" s="66"/>
      <c r="D50" s="66"/>
      <c r="G50" s="67"/>
      <c r="P50" s="77"/>
      <c r="V50" s="67"/>
    </row>
    <row r="51">
      <c r="A51" s="66"/>
      <c r="B51" s="66"/>
      <c r="C51" s="66"/>
      <c r="D51" s="66"/>
      <c r="G51" s="67"/>
      <c r="P51" s="76"/>
      <c r="V51" s="67"/>
    </row>
    <row r="52">
      <c r="A52" s="66"/>
      <c r="B52" s="66"/>
      <c r="C52" s="66"/>
      <c r="D52" s="66"/>
      <c r="G52" s="67"/>
      <c r="P52" s="77"/>
      <c r="V52" s="67"/>
    </row>
    <row r="53">
      <c r="A53" s="66"/>
      <c r="B53" s="66"/>
      <c r="C53" s="66"/>
      <c r="D53" s="66"/>
      <c r="G53" s="67"/>
      <c r="V53" s="67"/>
    </row>
    <row r="54">
      <c r="A54" s="66"/>
      <c r="B54" s="66"/>
      <c r="C54" s="66"/>
      <c r="D54" s="66"/>
      <c r="G54" s="67"/>
      <c r="P54" s="76"/>
      <c r="V54" s="67"/>
    </row>
    <row r="55">
      <c r="A55" s="66"/>
      <c r="B55" s="66"/>
      <c r="C55" s="66"/>
      <c r="D55" s="66"/>
      <c r="G55" s="67"/>
      <c r="P55" s="76"/>
      <c r="V55" s="67"/>
    </row>
    <row r="56">
      <c r="A56" s="66"/>
      <c r="B56" s="66"/>
      <c r="C56" s="66"/>
      <c r="D56" s="66"/>
      <c r="G56" s="67"/>
      <c r="P56" s="76"/>
      <c r="V56" s="67"/>
    </row>
    <row r="57">
      <c r="A57" s="66"/>
      <c r="B57" s="66"/>
      <c r="C57" s="66"/>
      <c r="D57" s="66"/>
      <c r="G57" s="67"/>
      <c r="P57" s="77"/>
      <c r="V57" s="67"/>
    </row>
    <row r="58">
      <c r="A58" s="66"/>
      <c r="B58" s="66"/>
      <c r="C58" s="66"/>
      <c r="D58" s="66"/>
      <c r="G58" s="67"/>
      <c r="P58" s="76"/>
      <c r="V58" s="67"/>
    </row>
    <row r="59">
      <c r="A59" s="66"/>
      <c r="B59" s="66"/>
      <c r="C59" s="66"/>
      <c r="D59" s="66"/>
      <c r="G59" s="67"/>
      <c r="P59" s="77"/>
      <c r="V59" s="67"/>
    </row>
    <row r="60">
      <c r="A60" s="66"/>
      <c r="B60" s="66"/>
      <c r="C60" s="66"/>
      <c r="D60" s="66"/>
      <c r="G60" s="67"/>
      <c r="V60" s="67"/>
    </row>
    <row r="61">
      <c r="A61" s="66"/>
      <c r="B61" s="66"/>
      <c r="C61" s="66"/>
      <c r="D61" s="66"/>
      <c r="G61" s="67"/>
      <c r="P61" s="76"/>
      <c r="V61" s="67"/>
    </row>
    <row r="62">
      <c r="A62" s="66"/>
      <c r="B62" s="66"/>
      <c r="C62" s="66"/>
      <c r="D62" s="66"/>
      <c r="G62" s="67"/>
      <c r="P62" s="76"/>
      <c r="V62" s="67"/>
    </row>
    <row r="63">
      <c r="A63" s="66"/>
      <c r="B63" s="66"/>
      <c r="C63" s="66"/>
      <c r="D63" s="66"/>
      <c r="G63" s="67"/>
      <c r="P63" s="76"/>
      <c r="V63" s="67"/>
    </row>
    <row r="64">
      <c r="A64" s="66"/>
      <c r="B64" s="66"/>
      <c r="C64" s="66"/>
      <c r="D64" s="66"/>
      <c r="G64" s="67"/>
      <c r="V64" s="67"/>
    </row>
    <row r="65">
      <c r="A65" s="66"/>
      <c r="B65" s="66"/>
      <c r="C65" s="66"/>
      <c r="D65" s="66"/>
      <c r="G65" s="67"/>
      <c r="V65" s="67"/>
    </row>
    <row r="66">
      <c r="A66" s="66"/>
      <c r="B66" s="66"/>
      <c r="C66" s="66"/>
      <c r="D66" s="66"/>
      <c r="G66" s="67"/>
      <c r="V66" s="67"/>
    </row>
    <row r="67">
      <c r="A67" s="66"/>
      <c r="B67" s="66"/>
      <c r="C67" s="66"/>
      <c r="D67" s="66"/>
      <c r="G67" s="67"/>
      <c r="V67" s="67"/>
    </row>
    <row r="68">
      <c r="A68" s="66"/>
      <c r="B68" s="66"/>
      <c r="C68" s="66"/>
      <c r="D68" s="66"/>
      <c r="G68" s="67"/>
      <c r="V68" s="67"/>
    </row>
    <row r="69">
      <c r="A69" s="66"/>
      <c r="B69" s="66"/>
      <c r="C69" s="66"/>
      <c r="D69" s="66"/>
      <c r="G69" s="67"/>
      <c r="V69" s="67"/>
    </row>
    <row r="70">
      <c r="A70" s="66"/>
      <c r="B70" s="66"/>
      <c r="C70" s="66"/>
      <c r="D70" s="66"/>
      <c r="G70" s="67"/>
      <c r="V70" s="67"/>
    </row>
    <row r="71">
      <c r="A71" s="66"/>
      <c r="B71" s="66"/>
      <c r="C71" s="66"/>
      <c r="D71" s="66"/>
      <c r="G71" s="67"/>
      <c r="V71" s="67"/>
    </row>
    <row r="72">
      <c r="A72" s="66"/>
      <c r="B72" s="66"/>
      <c r="C72" s="66"/>
      <c r="D72" s="66"/>
      <c r="G72" s="67"/>
      <c r="V72" s="67"/>
    </row>
    <row r="73">
      <c r="A73" s="66"/>
      <c r="B73" s="66"/>
      <c r="C73" s="66"/>
      <c r="D73" s="66"/>
      <c r="G73" s="67"/>
      <c r="V73" s="67"/>
    </row>
    <row r="74">
      <c r="A74" s="66"/>
      <c r="B74" s="66"/>
      <c r="C74" s="66"/>
      <c r="D74" s="66"/>
      <c r="G74" s="67"/>
      <c r="V74" s="67"/>
    </row>
    <row r="75">
      <c r="A75" s="66"/>
      <c r="B75" s="66"/>
      <c r="C75" s="66"/>
      <c r="D75" s="66"/>
      <c r="G75" s="67"/>
      <c r="V75" s="67"/>
    </row>
    <row r="76">
      <c r="A76" s="66"/>
      <c r="B76" s="66"/>
      <c r="C76" s="66"/>
      <c r="D76" s="66"/>
      <c r="G76" s="67"/>
      <c r="V76" s="67"/>
    </row>
    <row r="77">
      <c r="A77" s="66"/>
      <c r="B77" s="66"/>
      <c r="C77" s="66"/>
      <c r="D77" s="66"/>
      <c r="G77" s="67"/>
      <c r="V77" s="67"/>
    </row>
    <row r="78">
      <c r="A78" s="66"/>
      <c r="B78" s="66"/>
      <c r="C78" s="66"/>
      <c r="D78" s="66"/>
      <c r="G78" s="67"/>
      <c r="V78" s="67"/>
    </row>
    <row r="79">
      <c r="A79" s="66"/>
      <c r="B79" s="66"/>
      <c r="C79" s="66"/>
      <c r="D79" s="66"/>
      <c r="G79" s="67"/>
      <c r="V79" s="67"/>
    </row>
    <row r="80">
      <c r="A80" s="66"/>
      <c r="B80" s="66"/>
      <c r="C80" s="66"/>
      <c r="D80" s="66"/>
      <c r="G80" s="67"/>
      <c r="V80" s="67"/>
    </row>
    <row r="81">
      <c r="A81" s="66"/>
      <c r="B81" s="66"/>
      <c r="C81" s="66"/>
      <c r="D81" s="66"/>
      <c r="G81" s="67"/>
      <c r="V81" s="67"/>
    </row>
    <row r="82">
      <c r="A82" s="66"/>
      <c r="B82" s="66"/>
      <c r="C82" s="66"/>
      <c r="D82" s="66"/>
      <c r="G82" s="67"/>
      <c r="V82" s="67"/>
    </row>
    <row r="83">
      <c r="A83" s="66"/>
      <c r="B83" s="66"/>
      <c r="C83" s="66"/>
      <c r="D83" s="66"/>
      <c r="G83" s="67"/>
      <c r="V83" s="67"/>
    </row>
    <row r="84">
      <c r="A84" s="66"/>
      <c r="B84" s="66"/>
      <c r="C84" s="66"/>
      <c r="D84" s="66"/>
      <c r="G84" s="67"/>
      <c r="V84" s="67"/>
    </row>
    <row r="85">
      <c r="A85" s="66"/>
      <c r="B85" s="66"/>
      <c r="C85" s="66"/>
      <c r="D85" s="66"/>
      <c r="G85" s="67"/>
      <c r="V85" s="67"/>
    </row>
    <row r="86">
      <c r="A86" s="66"/>
      <c r="B86" s="66"/>
      <c r="C86" s="66"/>
      <c r="D86" s="66"/>
      <c r="G86" s="67"/>
      <c r="V86" s="67"/>
    </row>
    <row r="87">
      <c r="A87" s="66"/>
      <c r="B87" s="66"/>
      <c r="C87" s="66"/>
      <c r="D87" s="66"/>
      <c r="G87" s="67"/>
      <c r="V87" s="67"/>
    </row>
    <row r="88">
      <c r="A88" s="66"/>
      <c r="B88" s="66"/>
      <c r="C88" s="66"/>
      <c r="D88" s="66"/>
      <c r="G88" s="67"/>
      <c r="V88" s="67"/>
    </row>
    <row r="89">
      <c r="A89" s="66"/>
      <c r="B89" s="66"/>
      <c r="C89" s="66"/>
      <c r="D89" s="66"/>
      <c r="G89" s="67"/>
      <c r="V89" s="67"/>
    </row>
    <row r="90">
      <c r="A90" s="66"/>
      <c r="B90" s="66"/>
      <c r="C90" s="66"/>
      <c r="D90" s="66"/>
      <c r="G90" s="67"/>
      <c r="V90" s="67"/>
    </row>
    <row r="91">
      <c r="A91" s="66"/>
      <c r="B91" s="66"/>
      <c r="C91" s="66"/>
      <c r="D91" s="66"/>
      <c r="G91" s="67"/>
      <c r="V91" s="67"/>
    </row>
    <row r="92">
      <c r="A92" s="66"/>
      <c r="B92" s="66"/>
      <c r="C92" s="66"/>
      <c r="D92" s="66"/>
      <c r="G92" s="67"/>
      <c r="V92" s="67"/>
    </row>
    <row r="93">
      <c r="A93" s="66"/>
      <c r="B93" s="66"/>
      <c r="C93" s="66"/>
      <c r="D93" s="66"/>
      <c r="G93" s="67"/>
      <c r="V93" s="67"/>
    </row>
    <row r="94">
      <c r="A94" s="66"/>
      <c r="B94" s="66"/>
      <c r="C94" s="66"/>
      <c r="D94" s="66"/>
      <c r="G94" s="67"/>
      <c r="V94" s="67"/>
    </row>
    <row r="95">
      <c r="A95" s="66"/>
      <c r="B95" s="66"/>
      <c r="C95" s="66"/>
      <c r="D95" s="66"/>
      <c r="G95" s="67"/>
      <c r="V95" s="67"/>
    </row>
    <row r="96">
      <c r="A96" s="66"/>
      <c r="B96" s="66"/>
      <c r="C96" s="66"/>
      <c r="D96" s="66"/>
      <c r="G96" s="67"/>
      <c r="V96" s="67"/>
    </row>
    <row r="97">
      <c r="A97" s="66"/>
      <c r="B97" s="66"/>
      <c r="C97" s="66"/>
      <c r="D97" s="66"/>
      <c r="G97" s="67"/>
      <c r="V97" s="67"/>
    </row>
    <row r="98">
      <c r="A98" s="66"/>
      <c r="B98" s="66"/>
      <c r="C98" s="66"/>
      <c r="D98" s="66"/>
      <c r="G98" s="67"/>
      <c r="V98" s="67"/>
    </row>
    <row r="99">
      <c r="A99" s="66"/>
      <c r="B99" s="66"/>
      <c r="C99" s="66"/>
      <c r="D99" s="66"/>
      <c r="G99" s="67"/>
      <c r="V99" s="67"/>
    </row>
    <row r="100">
      <c r="A100" s="66"/>
      <c r="B100" s="66"/>
      <c r="C100" s="66"/>
      <c r="D100" s="66"/>
      <c r="G100" s="67"/>
      <c r="V100" s="67"/>
    </row>
    <row r="101">
      <c r="A101" s="66"/>
      <c r="B101" s="66"/>
      <c r="C101" s="66"/>
      <c r="D101" s="66"/>
      <c r="G101" s="67"/>
      <c r="V101" s="67"/>
    </row>
    <row r="102">
      <c r="A102" s="66"/>
      <c r="B102" s="66"/>
      <c r="C102" s="66"/>
      <c r="D102" s="66"/>
      <c r="G102" s="67"/>
      <c r="V102" s="67"/>
    </row>
    <row r="103">
      <c r="A103" s="66"/>
      <c r="B103" s="66"/>
      <c r="C103" s="66"/>
      <c r="D103" s="66"/>
      <c r="G103" s="67"/>
      <c r="V103" s="67"/>
    </row>
    <row r="104">
      <c r="A104" s="66"/>
      <c r="B104" s="66"/>
      <c r="C104" s="66"/>
      <c r="D104" s="66"/>
      <c r="G104" s="67"/>
      <c r="V104" s="67"/>
    </row>
    <row r="105">
      <c r="A105" s="66"/>
      <c r="B105" s="66"/>
      <c r="C105" s="66"/>
      <c r="D105" s="66"/>
      <c r="G105" s="67"/>
      <c r="V105" s="67"/>
    </row>
    <row r="106">
      <c r="A106" s="66"/>
      <c r="B106" s="66"/>
      <c r="C106" s="66"/>
      <c r="D106" s="66"/>
      <c r="G106" s="67"/>
      <c r="V106" s="67"/>
    </row>
    <row r="107">
      <c r="A107" s="66"/>
      <c r="B107" s="66"/>
      <c r="C107" s="66"/>
      <c r="D107" s="66"/>
      <c r="G107" s="67"/>
      <c r="V107" s="67"/>
    </row>
    <row r="108">
      <c r="A108" s="66"/>
      <c r="B108" s="66"/>
      <c r="C108" s="66"/>
      <c r="D108" s="66"/>
      <c r="G108" s="67"/>
      <c r="V108" s="67"/>
    </row>
    <row r="109">
      <c r="A109" s="66"/>
      <c r="B109" s="66"/>
      <c r="C109" s="66"/>
      <c r="D109" s="66"/>
      <c r="G109" s="67"/>
      <c r="V109" s="67"/>
    </row>
    <row r="110">
      <c r="A110" s="66"/>
      <c r="B110" s="66"/>
      <c r="C110" s="66"/>
      <c r="D110" s="66"/>
      <c r="G110" s="67"/>
      <c r="V110" s="67"/>
    </row>
    <row r="111">
      <c r="A111" s="66"/>
      <c r="B111" s="66"/>
      <c r="C111" s="66"/>
      <c r="D111" s="66"/>
      <c r="G111" s="67"/>
      <c r="V111" s="67"/>
    </row>
    <row r="112">
      <c r="A112" s="66"/>
      <c r="B112" s="66"/>
      <c r="C112" s="66"/>
      <c r="D112" s="66"/>
      <c r="G112" s="67"/>
      <c r="V112" s="67"/>
    </row>
    <row r="113">
      <c r="A113" s="66"/>
      <c r="B113" s="66"/>
      <c r="C113" s="66"/>
      <c r="D113" s="66"/>
      <c r="G113" s="67"/>
      <c r="V113" s="67"/>
    </row>
    <row r="114">
      <c r="A114" s="66"/>
      <c r="B114" s="66"/>
      <c r="C114" s="66"/>
      <c r="D114" s="66"/>
      <c r="G114" s="67"/>
      <c r="V114" s="67"/>
    </row>
    <row r="115">
      <c r="A115" s="66"/>
      <c r="B115" s="66"/>
      <c r="C115" s="66"/>
      <c r="D115" s="66"/>
      <c r="G115" s="67"/>
      <c r="V115" s="67"/>
    </row>
    <row r="116">
      <c r="A116" s="66"/>
      <c r="B116" s="66"/>
      <c r="C116" s="66"/>
      <c r="D116" s="66"/>
      <c r="G116" s="67"/>
      <c r="V116" s="67"/>
    </row>
    <row r="117">
      <c r="A117" s="66"/>
      <c r="B117" s="66"/>
      <c r="C117" s="66"/>
      <c r="D117" s="66"/>
      <c r="G117" s="67"/>
      <c r="V117" s="67"/>
    </row>
    <row r="118">
      <c r="A118" s="66"/>
      <c r="B118" s="66"/>
      <c r="C118" s="66"/>
      <c r="D118" s="66"/>
      <c r="G118" s="67"/>
      <c r="V118" s="67"/>
    </row>
    <row r="119">
      <c r="A119" s="66"/>
      <c r="B119" s="66"/>
      <c r="C119" s="66"/>
      <c r="D119" s="66"/>
      <c r="G119" s="67"/>
      <c r="V119" s="67"/>
    </row>
    <row r="120">
      <c r="A120" s="66"/>
      <c r="B120" s="66"/>
      <c r="C120" s="66"/>
      <c r="D120" s="66"/>
      <c r="G120" s="67"/>
      <c r="V120" s="67"/>
    </row>
    <row r="121">
      <c r="A121" s="66"/>
      <c r="B121" s="66"/>
      <c r="C121" s="66"/>
      <c r="D121" s="66"/>
      <c r="G121" s="67"/>
      <c r="V121" s="67"/>
    </row>
    <row r="122">
      <c r="A122" s="66"/>
      <c r="B122" s="66"/>
      <c r="C122" s="66"/>
      <c r="D122" s="66"/>
      <c r="G122" s="67"/>
      <c r="V122" s="67"/>
    </row>
    <row r="123">
      <c r="A123" s="66"/>
      <c r="B123" s="66"/>
      <c r="C123" s="66"/>
      <c r="D123" s="66"/>
      <c r="G123" s="67"/>
      <c r="V123" s="67"/>
    </row>
    <row r="124">
      <c r="A124" s="66"/>
      <c r="B124" s="66"/>
      <c r="C124" s="66"/>
      <c r="D124" s="66"/>
      <c r="G124" s="67"/>
      <c r="V124" s="67"/>
    </row>
    <row r="125">
      <c r="A125" s="66"/>
      <c r="B125" s="66"/>
      <c r="C125" s="66"/>
      <c r="D125" s="66"/>
      <c r="G125" s="67"/>
      <c r="V125" s="67"/>
    </row>
    <row r="126">
      <c r="A126" s="66"/>
      <c r="B126" s="66"/>
      <c r="C126" s="66"/>
      <c r="D126" s="66"/>
      <c r="G126" s="67"/>
      <c r="V126" s="67"/>
    </row>
    <row r="127">
      <c r="A127" s="66"/>
      <c r="B127" s="66"/>
      <c r="C127" s="66"/>
      <c r="D127" s="66"/>
      <c r="G127" s="67"/>
      <c r="V127" s="67"/>
    </row>
    <row r="128">
      <c r="A128" s="66"/>
      <c r="B128" s="66"/>
      <c r="C128" s="66"/>
      <c r="D128" s="66"/>
      <c r="G128" s="67"/>
      <c r="V128" s="67"/>
    </row>
    <row r="129">
      <c r="A129" s="66"/>
      <c r="B129" s="66"/>
      <c r="C129" s="66"/>
      <c r="D129" s="66"/>
      <c r="G129" s="67"/>
      <c r="V129" s="67"/>
    </row>
    <row r="130">
      <c r="A130" s="66"/>
      <c r="B130" s="66"/>
      <c r="C130" s="66"/>
      <c r="D130" s="66"/>
      <c r="G130" s="67"/>
      <c r="V130" s="67"/>
    </row>
    <row r="131">
      <c r="A131" s="66"/>
      <c r="B131" s="66"/>
      <c r="C131" s="66"/>
      <c r="D131" s="66"/>
      <c r="G131" s="67"/>
      <c r="V131" s="67"/>
    </row>
    <row r="132">
      <c r="A132" s="66"/>
      <c r="B132" s="66"/>
      <c r="C132" s="66"/>
      <c r="D132" s="66"/>
      <c r="G132" s="67"/>
      <c r="V132" s="67"/>
    </row>
    <row r="133">
      <c r="A133" s="66"/>
      <c r="B133" s="66"/>
      <c r="C133" s="66"/>
      <c r="D133" s="66"/>
      <c r="G133" s="67"/>
      <c r="V133" s="67"/>
    </row>
    <row r="134">
      <c r="A134" s="66"/>
      <c r="B134" s="66"/>
      <c r="C134" s="66"/>
      <c r="D134" s="66"/>
      <c r="G134" s="67"/>
      <c r="V134" s="67"/>
    </row>
    <row r="135">
      <c r="A135" s="66"/>
      <c r="B135" s="66"/>
      <c r="C135" s="66"/>
      <c r="D135" s="66"/>
      <c r="G135" s="67"/>
      <c r="V135" s="67"/>
    </row>
    <row r="136">
      <c r="A136" s="66"/>
      <c r="B136" s="66"/>
      <c r="C136" s="66"/>
      <c r="D136" s="66"/>
      <c r="G136" s="67"/>
      <c r="V136" s="67"/>
    </row>
    <row r="137">
      <c r="A137" s="66"/>
      <c r="B137" s="66"/>
      <c r="C137" s="66"/>
      <c r="D137" s="66"/>
      <c r="G137" s="67"/>
      <c r="V137" s="67"/>
    </row>
    <row r="138">
      <c r="A138" s="66"/>
      <c r="B138" s="66"/>
      <c r="C138" s="66"/>
      <c r="D138" s="66"/>
      <c r="G138" s="67"/>
      <c r="V138" s="67"/>
    </row>
    <row r="139">
      <c r="A139" s="66"/>
      <c r="B139" s="66"/>
      <c r="C139" s="66"/>
      <c r="D139" s="66"/>
      <c r="G139" s="67"/>
      <c r="V139" s="67"/>
    </row>
    <row r="140">
      <c r="A140" s="66"/>
      <c r="B140" s="66"/>
      <c r="C140" s="66"/>
      <c r="D140" s="66"/>
      <c r="G140" s="67"/>
      <c r="V140" s="67"/>
    </row>
    <row r="141">
      <c r="A141" s="66"/>
      <c r="B141" s="66"/>
      <c r="C141" s="66"/>
      <c r="D141" s="66"/>
      <c r="G141" s="67"/>
      <c r="V141" s="67"/>
    </row>
    <row r="142">
      <c r="A142" s="66"/>
      <c r="B142" s="66"/>
      <c r="C142" s="66"/>
      <c r="D142" s="66"/>
      <c r="G142" s="67"/>
      <c r="V142" s="67"/>
    </row>
    <row r="143">
      <c r="A143" s="66"/>
      <c r="B143" s="66"/>
      <c r="C143" s="66"/>
      <c r="D143" s="66"/>
      <c r="G143" s="67"/>
      <c r="V143" s="67"/>
    </row>
    <row r="144">
      <c r="A144" s="66"/>
      <c r="B144" s="66"/>
      <c r="C144" s="66"/>
      <c r="D144" s="66"/>
      <c r="G144" s="67"/>
      <c r="V144" s="67"/>
    </row>
    <row r="145">
      <c r="A145" s="66"/>
      <c r="B145" s="66"/>
      <c r="C145" s="66"/>
      <c r="D145" s="66"/>
      <c r="G145" s="67"/>
      <c r="V145" s="67"/>
    </row>
    <row r="146">
      <c r="A146" s="66"/>
      <c r="B146" s="66"/>
      <c r="C146" s="66"/>
      <c r="D146" s="66"/>
      <c r="G146" s="67"/>
      <c r="V146" s="67"/>
    </row>
    <row r="147">
      <c r="A147" s="66"/>
      <c r="B147" s="66"/>
      <c r="C147" s="66"/>
      <c r="D147" s="66"/>
      <c r="G147" s="67"/>
      <c r="V147" s="67"/>
    </row>
    <row r="148">
      <c r="A148" s="66"/>
      <c r="B148" s="66"/>
      <c r="C148" s="66"/>
      <c r="D148" s="66"/>
      <c r="G148" s="67"/>
      <c r="V148" s="67"/>
    </row>
    <row r="149">
      <c r="A149" s="66"/>
      <c r="B149" s="66"/>
      <c r="C149" s="66"/>
      <c r="D149" s="66"/>
      <c r="G149" s="67"/>
      <c r="V149" s="67"/>
    </row>
    <row r="150">
      <c r="A150" s="66"/>
      <c r="B150" s="66"/>
      <c r="C150" s="66"/>
      <c r="D150" s="66"/>
      <c r="G150" s="67"/>
      <c r="V150" s="67"/>
    </row>
    <row r="151">
      <c r="A151" s="66"/>
      <c r="B151" s="66"/>
      <c r="C151" s="66"/>
      <c r="D151" s="66"/>
      <c r="G151" s="67"/>
      <c r="V151" s="67"/>
    </row>
    <row r="152">
      <c r="A152" s="66"/>
      <c r="B152" s="66"/>
      <c r="C152" s="66"/>
      <c r="D152" s="66"/>
      <c r="G152" s="67"/>
      <c r="V152" s="67"/>
    </row>
    <row r="153">
      <c r="A153" s="66"/>
      <c r="B153" s="66"/>
      <c r="C153" s="66"/>
      <c r="D153" s="66"/>
      <c r="G153" s="67"/>
      <c r="V153" s="67"/>
    </row>
    <row r="154">
      <c r="A154" s="66"/>
      <c r="B154" s="66"/>
      <c r="C154" s="66"/>
      <c r="D154" s="66"/>
      <c r="G154" s="67"/>
      <c r="V154" s="67"/>
    </row>
    <row r="155">
      <c r="A155" s="66"/>
      <c r="B155" s="66"/>
      <c r="C155" s="66"/>
      <c r="D155" s="66"/>
      <c r="G155" s="67"/>
      <c r="V155" s="67"/>
    </row>
    <row r="156">
      <c r="A156" s="66"/>
      <c r="B156" s="66"/>
      <c r="C156" s="66"/>
      <c r="D156" s="66"/>
      <c r="G156" s="67"/>
      <c r="V156" s="67"/>
    </row>
    <row r="157">
      <c r="A157" s="66"/>
      <c r="B157" s="66"/>
      <c r="C157" s="66"/>
      <c r="D157" s="66"/>
      <c r="G157" s="67"/>
      <c r="V157" s="67"/>
    </row>
    <row r="158">
      <c r="A158" s="66"/>
      <c r="B158" s="66"/>
      <c r="C158" s="66"/>
      <c r="D158" s="66"/>
      <c r="G158" s="67"/>
      <c r="V158" s="67"/>
    </row>
    <row r="159">
      <c r="A159" s="66"/>
      <c r="B159" s="66"/>
      <c r="C159" s="66"/>
      <c r="D159" s="66"/>
      <c r="G159" s="67"/>
      <c r="V159" s="67"/>
    </row>
    <row r="160">
      <c r="A160" s="66"/>
      <c r="B160" s="66"/>
      <c r="C160" s="66"/>
      <c r="D160" s="66"/>
      <c r="G160" s="67"/>
      <c r="V160" s="67"/>
    </row>
    <row r="161">
      <c r="A161" s="66"/>
      <c r="B161" s="66"/>
      <c r="C161" s="66"/>
      <c r="D161" s="66"/>
      <c r="G161" s="67"/>
      <c r="V161" s="67"/>
    </row>
    <row r="162">
      <c r="A162" s="66"/>
      <c r="B162" s="66"/>
      <c r="C162" s="66"/>
      <c r="D162" s="66"/>
      <c r="G162" s="67"/>
      <c r="V162" s="67"/>
    </row>
    <row r="163">
      <c r="A163" s="66"/>
      <c r="B163" s="66"/>
      <c r="C163" s="66"/>
      <c r="D163" s="66"/>
      <c r="G163" s="67"/>
      <c r="V163" s="67"/>
    </row>
    <row r="164">
      <c r="A164" s="66"/>
      <c r="B164" s="66"/>
      <c r="C164" s="66"/>
      <c r="D164" s="66"/>
      <c r="G164" s="67"/>
      <c r="V164" s="67"/>
    </row>
    <row r="165">
      <c r="A165" s="66"/>
      <c r="B165" s="66"/>
      <c r="C165" s="66"/>
      <c r="D165" s="66"/>
      <c r="G165" s="67"/>
      <c r="V165" s="67"/>
    </row>
    <row r="166">
      <c r="A166" s="66"/>
      <c r="B166" s="66"/>
      <c r="C166" s="66"/>
      <c r="D166" s="66"/>
      <c r="G166" s="67"/>
      <c r="V166" s="67"/>
    </row>
    <row r="167">
      <c r="A167" s="66"/>
      <c r="B167" s="66"/>
      <c r="C167" s="66"/>
      <c r="D167" s="66"/>
      <c r="G167" s="67"/>
      <c r="V167" s="67"/>
    </row>
    <row r="168">
      <c r="A168" s="66"/>
      <c r="B168" s="66"/>
      <c r="C168" s="66"/>
      <c r="D168" s="66"/>
      <c r="G168" s="67"/>
      <c r="V168" s="67"/>
    </row>
    <row r="169">
      <c r="A169" s="66"/>
      <c r="B169" s="66"/>
      <c r="C169" s="66"/>
      <c r="D169" s="66"/>
      <c r="G169" s="67"/>
      <c r="V169" s="67"/>
    </row>
    <row r="170">
      <c r="A170" s="66"/>
      <c r="B170" s="66"/>
      <c r="C170" s="66"/>
      <c r="D170" s="66"/>
      <c r="G170" s="67"/>
      <c r="V170" s="67"/>
    </row>
    <row r="171">
      <c r="A171" s="66"/>
      <c r="B171" s="66"/>
      <c r="C171" s="66"/>
      <c r="D171" s="66"/>
      <c r="G171" s="67"/>
      <c r="V171" s="67"/>
    </row>
    <row r="172">
      <c r="A172" s="66"/>
      <c r="B172" s="66"/>
      <c r="C172" s="66"/>
      <c r="D172" s="66"/>
      <c r="G172" s="67"/>
      <c r="V172" s="67"/>
    </row>
    <row r="173">
      <c r="A173" s="66"/>
      <c r="B173" s="66"/>
      <c r="C173" s="66"/>
      <c r="D173" s="66"/>
      <c r="G173" s="67"/>
      <c r="V173" s="67"/>
    </row>
    <row r="174">
      <c r="A174" s="66"/>
      <c r="B174" s="66"/>
      <c r="C174" s="66"/>
      <c r="D174" s="66"/>
      <c r="G174" s="67"/>
      <c r="V174" s="67"/>
    </row>
    <row r="175">
      <c r="A175" s="66"/>
      <c r="B175" s="66"/>
      <c r="C175" s="66"/>
      <c r="D175" s="66"/>
      <c r="G175" s="67"/>
      <c r="V175" s="67"/>
    </row>
    <row r="176">
      <c r="A176" s="66"/>
      <c r="B176" s="66"/>
      <c r="C176" s="66"/>
      <c r="D176" s="66"/>
      <c r="G176" s="67"/>
      <c r="V176" s="67"/>
    </row>
    <row r="177">
      <c r="A177" s="66"/>
      <c r="B177" s="66"/>
      <c r="C177" s="66"/>
      <c r="D177" s="66"/>
      <c r="G177" s="67"/>
      <c r="V177" s="67"/>
    </row>
    <row r="178">
      <c r="A178" s="66"/>
      <c r="B178" s="66"/>
      <c r="C178" s="66"/>
      <c r="D178" s="66"/>
      <c r="G178" s="67"/>
      <c r="V178" s="67"/>
    </row>
    <row r="179">
      <c r="A179" s="66"/>
      <c r="B179" s="66"/>
      <c r="C179" s="66"/>
      <c r="D179" s="66"/>
      <c r="G179" s="67"/>
      <c r="V179" s="67"/>
    </row>
    <row r="180">
      <c r="A180" s="66"/>
      <c r="B180" s="66"/>
      <c r="C180" s="66"/>
      <c r="D180" s="66"/>
      <c r="G180" s="67"/>
      <c r="V180" s="67"/>
    </row>
    <row r="181">
      <c r="A181" s="66"/>
      <c r="B181" s="66"/>
      <c r="C181" s="66"/>
      <c r="D181" s="66"/>
      <c r="G181" s="67"/>
      <c r="V181" s="67"/>
    </row>
    <row r="182">
      <c r="A182" s="66"/>
      <c r="B182" s="66"/>
      <c r="C182" s="66"/>
      <c r="D182" s="66"/>
      <c r="G182" s="67"/>
      <c r="V182" s="67"/>
    </row>
    <row r="183">
      <c r="A183" s="66"/>
      <c r="B183" s="66"/>
      <c r="C183" s="66"/>
      <c r="D183" s="66"/>
      <c r="G183" s="67"/>
      <c r="V183" s="67"/>
    </row>
    <row r="184">
      <c r="A184" s="66"/>
      <c r="B184" s="66"/>
      <c r="C184" s="66"/>
      <c r="D184" s="66"/>
      <c r="G184" s="67"/>
      <c r="V184" s="67"/>
    </row>
    <row r="185">
      <c r="A185" s="66"/>
      <c r="B185" s="66"/>
      <c r="C185" s="66"/>
      <c r="D185" s="66"/>
      <c r="G185" s="67"/>
      <c r="V185" s="67"/>
    </row>
    <row r="186">
      <c r="A186" s="66"/>
      <c r="B186" s="66"/>
      <c r="C186" s="66"/>
      <c r="D186" s="66"/>
      <c r="G186" s="67"/>
      <c r="V186" s="67"/>
    </row>
    <row r="187">
      <c r="A187" s="66"/>
      <c r="B187" s="66"/>
      <c r="C187" s="66"/>
      <c r="D187" s="66"/>
      <c r="G187" s="67"/>
      <c r="V187" s="67"/>
    </row>
    <row r="188">
      <c r="A188" s="66"/>
      <c r="B188" s="66"/>
      <c r="C188" s="66"/>
      <c r="D188" s="66"/>
      <c r="G188" s="67"/>
      <c r="V188" s="67"/>
    </row>
    <row r="189">
      <c r="A189" s="66"/>
      <c r="B189" s="66"/>
      <c r="C189" s="66"/>
      <c r="D189" s="66"/>
      <c r="G189" s="67"/>
      <c r="V189" s="67"/>
    </row>
    <row r="190">
      <c r="A190" s="66"/>
      <c r="B190" s="66"/>
      <c r="C190" s="66"/>
      <c r="D190" s="66"/>
      <c r="G190" s="67"/>
      <c r="V190" s="67"/>
    </row>
    <row r="191">
      <c r="A191" s="66"/>
      <c r="B191" s="66"/>
      <c r="C191" s="66"/>
      <c r="D191" s="66"/>
      <c r="G191" s="67"/>
      <c r="V191" s="67"/>
    </row>
    <row r="192">
      <c r="A192" s="66"/>
      <c r="B192" s="66"/>
      <c r="C192" s="66"/>
      <c r="D192" s="66"/>
      <c r="G192" s="67"/>
      <c r="V192" s="67"/>
    </row>
    <row r="193">
      <c r="A193" s="66"/>
      <c r="B193" s="66"/>
      <c r="C193" s="66"/>
      <c r="D193" s="66"/>
      <c r="G193" s="67"/>
      <c r="V193" s="67"/>
    </row>
    <row r="194">
      <c r="A194" s="66"/>
      <c r="B194" s="66"/>
      <c r="C194" s="66"/>
      <c r="D194" s="66"/>
      <c r="G194" s="67"/>
      <c r="V194" s="67"/>
    </row>
    <row r="195">
      <c r="A195" s="66"/>
      <c r="B195" s="66"/>
      <c r="C195" s="66"/>
      <c r="D195" s="66"/>
      <c r="G195" s="67"/>
      <c r="V195" s="67"/>
    </row>
    <row r="196">
      <c r="A196" s="66"/>
      <c r="B196" s="66"/>
      <c r="C196" s="66"/>
      <c r="D196" s="66"/>
      <c r="G196" s="67"/>
      <c r="V196" s="67"/>
    </row>
    <row r="197">
      <c r="A197" s="66"/>
      <c r="B197" s="66"/>
      <c r="C197" s="66"/>
      <c r="D197" s="66"/>
      <c r="G197" s="67"/>
      <c r="V197" s="67"/>
    </row>
    <row r="198">
      <c r="A198" s="66"/>
      <c r="B198" s="66"/>
      <c r="C198" s="66"/>
      <c r="D198" s="66"/>
      <c r="G198" s="67"/>
      <c r="V198" s="67"/>
    </row>
    <row r="199">
      <c r="A199" s="66"/>
      <c r="B199" s="66"/>
      <c r="C199" s="66"/>
      <c r="D199" s="66"/>
      <c r="G199" s="67"/>
      <c r="V199" s="67"/>
    </row>
    <row r="200">
      <c r="A200" s="66"/>
      <c r="B200" s="66"/>
      <c r="C200" s="66"/>
      <c r="D200" s="66"/>
      <c r="G200" s="67"/>
      <c r="V200" s="67"/>
    </row>
    <row r="201">
      <c r="A201" s="66"/>
      <c r="B201" s="66"/>
      <c r="C201" s="66"/>
      <c r="D201" s="66"/>
      <c r="G201" s="67"/>
      <c r="V201" s="67"/>
    </row>
    <row r="202">
      <c r="A202" s="66"/>
      <c r="B202" s="66"/>
      <c r="C202" s="66"/>
      <c r="D202" s="66"/>
      <c r="G202" s="67"/>
      <c r="V202" s="67"/>
    </row>
    <row r="203">
      <c r="A203" s="66"/>
      <c r="B203" s="66"/>
      <c r="C203" s="66"/>
      <c r="D203" s="66"/>
      <c r="G203" s="67"/>
      <c r="V203" s="67"/>
    </row>
    <row r="204">
      <c r="A204" s="66"/>
      <c r="B204" s="66"/>
      <c r="C204" s="66"/>
      <c r="D204" s="66"/>
      <c r="G204" s="67"/>
      <c r="V204" s="67"/>
    </row>
    <row r="205">
      <c r="A205" s="66"/>
      <c r="B205" s="66"/>
      <c r="C205" s="66"/>
      <c r="D205" s="66"/>
      <c r="G205" s="67"/>
      <c r="V205" s="67"/>
    </row>
    <row r="206">
      <c r="A206" s="66"/>
      <c r="B206" s="66"/>
      <c r="C206" s="66"/>
      <c r="D206" s="66"/>
      <c r="G206" s="67"/>
      <c r="V206" s="67"/>
    </row>
    <row r="207">
      <c r="A207" s="66"/>
      <c r="B207" s="66"/>
      <c r="C207" s="66"/>
      <c r="D207" s="66"/>
      <c r="G207" s="67"/>
      <c r="V207" s="67"/>
    </row>
    <row r="208">
      <c r="A208" s="66"/>
      <c r="B208" s="66"/>
      <c r="C208" s="66"/>
      <c r="D208" s="66"/>
      <c r="G208" s="67"/>
      <c r="V208" s="67"/>
    </row>
    <row r="209">
      <c r="A209" s="66"/>
      <c r="B209" s="66"/>
      <c r="C209" s="66"/>
      <c r="D209" s="66"/>
      <c r="G209" s="67"/>
      <c r="V209" s="67"/>
    </row>
    <row r="210">
      <c r="A210" s="66"/>
      <c r="B210" s="66"/>
      <c r="C210" s="66"/>
      <c r="D210" s="66"/>
      <c r="G210" s="67"/>
      <c r="V210" s="67"/>
    </row>
    <row r="211">
      <c r="A211" s="66"/>
      <c r="B211" s="66"/>
      <c r="C211" s="66"/>
      <c r="D211" s="66"/>
      <c r="G211" s="67"/>
      <c r="V211" s="67"/>
    </row>
    <row r="212">
      <c r="A212" s="66"/>
      <c r="B212" s="66"/>
      <c r="C212" s="66"/>
      <c r="D212" s="66"/>
      <c r="G212" s="67"/>
      <c r="V212" s="67"/>
    </row>
    <row r="213">
      <c r="A213" s="66"/>
      <c r="B213" s="66"/>
      <c r="C213" s="66"/>
      <c r="D213" s="66"/>
      <c r="G213" s="67"/>
      <c r="V213" s="67"/>
    </row>
    <row r="214">
      <c r="A214" s="66"/>
      <c r="B214" s="66"/>
      <c r="C214" s="66"/>
      <c r="D214" s="66"/>
      <c r="G214" s="67"/>
      <c r="V214" s="67"/>
    </row>
    <row r="215">
      <c r="A215" s="66"/>
      <c r="B215" s="66"/>
      <c r="C215" s="66"/>
      <c r="D215" s="66"/>
      <c r="G215" s="67"/>
      <c r="V215" s="67"/>
    </row>
    <row r="216">
      <c r="A216" s="66"/>
      <c r="B216" s="66"/>
      <c r="C216" s="66"/>
      <c r="D216" s="66"/>
      <c r="G216" s="67"/>
      <c r="V216" s="67"/>
    </row>
    <row r="217">
      <c r="A217" s="66"/>
      <c r="B217" s="66"/>
      <c r="C217" s="66"/>
      <c r="D217" s="66"/>
      <c r="G217" s="67"/>
      <c r="V217" s="67"/>
    </row>
    <row r="218">
      <c r="A218" s="66"/>
      <c r="B218" s="66"/>
      <c r="C218" s="66"/>
      <c r="D218" s="66"/>
      <c r="G218" s="67"/>
      <c r="V218" s="67"/>
    </row>
    <row r="219">
      <c r="A219" s="66"/>
      <c r="B219" s="66"/>
      <c r="C219" s="66"/>
      <c r="D219" s="66"/>
      <c r="G219" s="67"/>
      <c r="V219" s="67"/>
    </row>
    <row r="220">
      <c r="A220" s="66"/>
      <c r="B220" s="66"/>
      <c r="C220" s="66"/>
      <c r="D220" s="66"/>
      <c r="G220" s="67"/>
      <c r="V220" s="67"/>
    </row>
    <row r="221">
      <c r="A221" s="66"/>
      <c r="B221" s="66"/>
      <c r="C221" s="66"/>
      <c r="D221" s="66"/>
      <c r="G221" s="67"/>
      <c r="V221" s="67"/>
    </row>
    <row r="222">
      <c r="A222" s="66"/>
      <c r="B222" s="66"/>
      <c r="C222" s="66"/>
      <c r="D222" s="66"/>
      <c r="G222" s="67"/>
      <c r="V222" s="67"/>
    </row>
    <row r="223">
      <c r="A223" s="66"/>
      <c r="B223" s="66"/>
      <c r="C223" s="66"/>
      <c r="D223" s="66"/>
      <c r="G223" s="67"/>
      <c r="V223" s="67"/>
    </row>
    <row r="224">
      <c r="A224" s="66"/>
      <c r="B224" s="66"/>
      <c r="C224" s="66"/>
      <c r="D224" s="66"/>
      <c r="G224" s="67"/>
      <c r="V224" s="67"/>
    </row>
    <row r="225">
      <c r="A225" s="66"/>
      <c r="B225" s="66"/>
      <c r="C225" s="66"/>
      <c r="D225" s="66"/>
      <c r="G225" s="67"/>
      <c r="V225" s="67"/>
    </row>
    <row r="226">
      <c r="A226" s="66"/>
      <c r="B226" s="66"/>
      <c r="C226" s="66"/>
      <c r="D226" s="66"/>
      <c r="G226" s="67"/>
      <c r="V226" s="67"/>
    </row>
    <row r="227">
      <c r="A227" s="66"/>
      <c r="B227" s="66"/>
      <c r="C227" s="66"/>
      <c r="D227" s="66"/>
      <c r="G227" s="67"/>
      <c r="V227" s="67"/>
    </row>
    <row r="228">
      <c r="A228" s="66"/>
      <c r="B228" s="66"/>
      <c r="C228" s="66"/>
      <c r="D228" s="66"/>
      <c r="G228" s="67"/>
      <c r="V228" s="67"/>
    </row>
    <row r="229">
      <c r="A229" s="66"/>
      <c r="B229" s="66"/>
      <c r="C229" s="66"/>
      <c r="D229" s="66"/>
      <c r="G229" s="67"/>
      <c r="V229" s="67"/>
    </row>
    <row r="230">
      <c r="A230" s="66"/>
      <c r="B230" s="66"/>
      <c r="C230" s="66"/>
      <c r="D230" s="66"/>
      <c r="G230" s="67"/>
      <c r="V230" s="67"/>
    </row>
    <row r="231">
      <c r="A231" s="66"/>
      <c r="B231" s="66"/>
      <c r="C231" s="66"/>
      <c r="D231" s="66"/>
      <c r="G231" s="67"/>
      <c r="V231" s="67"/>
    </row>
    <row r="232">
      <c r="A232" s="66"/>
      <c r="B232" s="66"/>
      <c r="C232" s="66"/>
      <c r="D232" s="66"/>
      <c r="G232" s="67"/>
      <c r="V232" s="67"/>
    </row>
    <row r="233">
      <c r="A233" s="66"/>
      <c r="B233" s="66"/>
      <c r="C233" s="66"/>
      <c r="D233" s="66"/>
      <c r="G233" s="67"/>
      <c r="V233" s="67"/>
    </row>
    <row r="234">
      <c r="A234" s="66"/>
      <c r="B234" s="66"/>
      <c r="C234" s="66"/>
      <c r="D234" s="66"/>
      <c r="G234" s="67"/>
      <c r="V234" s="67"/>
    </row>
    <row r="235">
      <c r="A235" s="66"/>
      <c r="B235" s="66"/>
      <c r="C235" s="66"/>
      <c r="D235" s="66"/>
      <c r="G235" s="67"/>
      <c r="V235" s="67"/>
    </row>
    <row r="236">
      <c r="A236" s="66"/>
      <c r="B236" s="66"/>
      <c r="C236" s="66"/>
      <c r="D236" s="66"/>
      <c r="G236" s="67"/>
      <c r="V236" s="67"/>
    </row>
    <row r="237">
      <c r="A237" s="66"/>
      <c r="B237" s="66"/>
      <c r="C237" s="66"/>
      <c r="D237" s="66"/>
      <c r="G237" s="67"/>
      <c r="V237" s="67"/>
    </row>
    <row r="238">
      <c r="A238" s="66"/>
      <c r="B238" s="66"/>
      <c r="C238" s="66"/>
      <c r="D238" s="66"/>
      <c r="G238" s="67"/>
      <c r="V238" s="67"/>
    </row>
    <row r="239">
      <c r="A239" s="66"/>
      <c r="B239" s="66"/>
      <c r="C239" s="66"/>
      <c r="D239" s="66"/>
      <c r="G239" s="67"/>
      <c r="V239" s="67"/>
    </row>
    <row r="240">
      <c r="A240" s="66"/>
      <c r="B240" s="66"/>
      <c r="C240" s="66"/>
      <c r="D240" s="66"/>
      <c r="G240" s="67"/>
      <c r="V240" s="67"/>
    </row>
    <row r="241">
      <c r="A241" s="66"/>
      <c r="B241" s="66"/>
      <c r="C241" s="66"/>
      <c r="D241" s="66"/>
      <c r="G241" s="67"/>
      <c r="V241" s="67"/>
    </row>
    <row r="242">
      <c r="A242" s="66"/>
      <c r="B242" s="66"/>
      <c r="C242" s="66"/>
      <c r="D242" s="66"/>
      <c r="G242" s="67"/>
      <c r="V242" s="67"/>
    </row>
    <row r="243">
      <c r="A243" s="66"/>
      <c r="B243" s="66"/>
      <c r="C243" s="66"/>
      <c r="D243" s="66"/>
      <c r="G243" s="67"/>
      <c r="V243" s="67"/>
    </row>
    <row r="244">
      <c r="A244" s="66"/>
      <c r="B244" s="66"/>
      <c r="C244" s="66"/>
      <c r="D244" s="66"/>
      <c r="G244" s="67"/>
      <c r="V244" s="67"/>
    </row>
    <row r="245">
      <c r="A245" s="66"/>
      <c r="B245" s="66"/>
      <c r="C245" s="66"/>
      <c r="D245" s="66"/>
      <c r="G245" s="67"/>
      <c r="V245" s="67"/>
    </row>
    <row r="246">
      <c r="A246" s="66"/>
      <c r="B246" s="66"/>
      <c r="C246" s="66"/>
      <c r="D246" s="66"/>
      <c r="G246" s="67"/>
      <c r="V246" s="67"/>
    </row>
    <row r="247">
      <c r="A247" s="66"/>
      <c r="B247" s="66"/>
      <c r="C247" s="66"/>
      <c r="D247" s="66"/>
      <c r="G247" s="67"/>
      <c r="V247" s="67"/>
    </row>
    <row r="248">
      <c r="A248" s="66"/>
      <c r="B248" s="66"/>
      <c r="C248" s="66"/>
      <c r="D248" s="66"/>
      <c r="G248" s="67"/>
      <c r="V248" s="67"/>
    </row>
    <row r="249">
      <c r="A249" s="66"/>
      <c r="B249" s="66"/>
      <c r="C249" s="66"/>
      <c r="D249" s="66"/>
      <c r="G249" s="67"/>
      <c r="V249" s="67"/>
    </row>
    <row r="250">
      <c r="A250" s="66"/>
      <c r="B250" s="66"/>
      <c r="C250" s="66"/>
      <c r="D250" s="66"/>
      <c r="G250" s="67"/>
      <c r="V250" s="67"/>
    </row>
    <row r="251">
      <c r="A251" s="66"/>
      <c r="B251" s="66"/>
      <c r="C251" s="66"/>
      <c r="D251" s="66"/>
      <c r="G251" s="67"/>
      <c r="V251" s="67"/>
    </row>
    <row r="252">
      <c r="A252" s="66"/>
      <c r="B252" s="66"/>
      <c r="C252" s="66"/>
      <c r="D252" s="66"/>
      <c r="G252" s="67"/>
      <c r="V252" s="67"/>
    </row>
    <row r="253">
      <c r="A253" s="66"/>
      <c r="B253" s="66"/>
      <c r="C253" s="66"/>
      <c r="D253" s="66"/>
      <c r="G253" s="67"/>
      <c r="V253" s="67"/>
    </row>
    <row r="254">
      <c r="A254" s="66"/>
      <c r="B254" s="66"/>
      <c r="C254" s="66"/>
      <c r="D254" s="66"/>
      <c r="G254" s="67"/>
      <c r="V254" s="67"/>
    </row>
    <row r="255">
      <c r="A255" s="66"/>
      <c r="B255" s="66"/>
      <c r="C255" s="66"/>
      <c r="D255" s="66"/>
      <c r="G255" s="67"/>
      <c r="V255" s="67"/>
    </row>
    <row r="256">
      <c r="A256" s="66"/>
      <c r="B256" s="66"/>
      <c r="C256" s="66"/>
      <c r="D256" s="66"/>
      <c r="G256" s="67"/>
      <c r="V256" s="67"/>
    </row>
    <row r="257">
      <c r="A257" s="66"/>
      <c r="B257" s="66"/>
      <c r="C257" s="66"/>
      <c r="D257" s="66"/>
      <c r="G257" s="67"/>
      <c r="V257" s="67"/>
    </row>
    <row r="258">
      <c r="A258" s="66"/>
      <c r="B258" s="66"/>
      <c r="C258" s="66"/>
      <c r="D258" s="66"/>
      <c r="G258" s="67"/>
      <c r="V258" s="67"/>
    </row>
    <row r="259">
      <c r="A259" s="66"/>
      <c r="B259" s="66"/>
      <c r="C259" s="66"/>
      <c r="D259" s="66"/>
      <c r="G259" s="67"/>
      <c r="V259" s="67"/>
    </row>
    <row r="260">
      <c r="A260" s="66"/>
      <c r="B260" s="66"/>
      <c r="C260" s="66"/>
      <c r="D260" s="66"/>
      <c r="G260" s="67"/>
      <c r="V260" s="67"/>
    </row>
    <row r="261">
      <c r="A261" s="66"/>
      <c r="B261" s="66"/>
      <c r="C261" s="66"/>
      <c r="D261" s="66"/>
      <c r="G261" s="67"/>
      <c r="V261" s="67"/>
    </row>
    <row r="262">
      <c r="A262" s="66"/>
      <c r="B262" s="66"/>
      <c r="C262" s="66"/>
      <c r="D262" s="66"/>
      <c r="G262" s="67"/>
      <c r="V262" s="67"/>
    </row>
    <row r="263">
      <c r="A263" s="66"/>
      <c r="B263" s="66"/>
      <c r="C263" s="66"/>
      <c r="D263" s="66"/>
      <c r="G263" s="67"/>
      <c r="V263" s="67"/>
    </row>
    <row r="264">
      <c r="A264" s="66"/>
      <c r="B264" s="66"/>
      <c r="C264" s="66"/>
      <c r="D264" s="66"/>
      <c r="G264" s="67"/>
      <c r="V264" s="67"/>
    </row>
    <row r="265">
      <c r="A265" s="66"/>
      <c r="B265" s="66"/>
      <c r="C265" s="66"/>
      <c r="D265" s="66"/>
      <c r="G265" s="67"/>
      <c r="V265" s="67"/>
    </row>
    <row r="266">
      <c r="A266" s="66"/>
      <c r="B266" s="66"/>
      <c r="C266" s="66"/>
      <c r="D266" s="66"/>
      <c r="G266" s="67"/>
      <c r="V266" s="67"/>
    </row>
    <row r="267">
      <c r="A267" s="66"/>
      <c r="B267" s="66"/>
      <c r="C267" s="66"/>
      <c r="D267" s="66"/>
      <c r="G267" s="67"/>
      <c r="V267" s="67"/>
    </row>
    <row r="268">
      <c r="A268" s="66"/>
      <c r="B268" s="66"/>
      <c r="C268" s="66"/>
      <c r="D268" s="66"/>
      <c r="G268" s="67"/>
      <c r="V268" s="67"/>
    </row>
    <row r="269">
      <c r="A269" s="66"/>
      <c r="B269" s="66"/>
      <c r="C269" s="66"/>
      <c r="D269" s="66"/>
      <c r="G269" s="67"/>
      <c r="V269" s="67"/>
    </row>
    <row r="270">
      <c r="A270" s="66"/>
      <c r="B270" s="66"/>
      <c r="C270" s="66"/>
      <c r="D270" s="66"/>
      <c r="G270" s="67"/>
      <c r="V270" s="67"/>
    </row>
    <row r="271">
      <c r="A271" s="66"/>
      <c r="B271" s="66"/>
      <c r="C271" s="66"/>
      <c r="D271" s="66"/>
      <c r="G271" s="67"/>
      <c r="V271" s="67"/>
    </row>
    <row r="272">
      <c r="A272" s="66"/>
      <c r="B272" s="66"/>
      <c r="C272" s="66"/>
      <c r="D272" s="66"/>
      <c r="G272" s="67"/>
      <c r="V272" s="67"/>
    </row>
    <row r="273">
      <c r="A273" s="66"/>
      <c r="B273" s="66"/>
      <c r="C273" s="66"/>
      <c r="D273" s="66"/>
      <c r="G273" s="67"/>
      <c r="V273" s="67"/>
    </row>
    <row r="274">
      <c r="A274" s="66"/>
      <c r="B274" s="66"/>
      <c r="C274" s="66"/>
      <c r="D274" s="66"/>
      <c r="G274" s="67"/>
      <c r="V274" s="67"/>
    </row>
    <row r="275">
      <c r="A275" s="66"/>
      <c r="B275" s="66"/>
      <c r="C275" s="66"/>
      <c r="D275" s="66"/>
      <c r="G275" s="67"/>
      <c r="V275" s="67"/>
    </row>
    <row r="276">
      <c r="A276" s="66"/>
      <c r="B276" s="66"/>
      <c r="C276" s="66"/>
      <c r="D276" s="66"/>
      <c r="G276" s="67"/>
      <c r="V276" s="67"/>
    </row>
    <row r="277">
      <c r="A277" s="66"/>
      <c r="B277" s="66"/>
      <c r="C277" s="66"/>
      <c r="D277" s="66"/>
      <c r="G277" s="67"/>
      <c r="V277" s="67"/>
    </row>
    <row r="278">
      <c r="A278" s="66"/>
      <c r="B278" s="66"/>
      <c r="C278" s="66"/>
      <c r="D278" s="66"/>
      <c r="G278" s="67"/>
      <c r="V278" s="67"/>
    </row>
    <row r="279">
      <c r="A279" s="66"/>
      <c r="B279" s="66"/>
      <c r="C279" s="66"/>
      <c r="D279" s="66"/>
      <c r="G279" s="67"/>
      <c r="V279" s="67"/>
    </row>
    <row r="280">
      <c r="A280" s="66"/>
      <c r="B280" s="66"/>
      <c r="C280" s="66"/>
      <c r="D280" s="66"/>
      <c r="G280" s="67"/>
      <c r="V280" s="67"/>
    </row>
    <row r="281">
      <c r="A281" s="66"/>
      <c r="B281" s="66"/>
      <c r="C281" s="66"/>
      <c r="D281" s="66"/>
      <c r="G281" s="67"/>
      <c r="V281" s="67"/>
    </row>
    <row r="282">
      <c r="A282" s="66"/>
      <c r="B282" s="66"/>
      <c r="C282" s="66"/>
      <c r="D282" s="66"/>
      <c r="G282" s="67"/>
      <c r="V282" s="67"/>
    </row>
    <row r="283">
      <c r="A283" s="66"/>
      <c r="B283" s="66"/>
      <c r="C283" s="66"/>
      <c r="D283" s="66"/>
      <c r="G283" s="67"/>
      <c r="V283" s="67"/>
    </row>
    <row r="284">
      <c r="A284" s="66"/>
      <c r="B284" s="66"/>
      <c r="C284" s="66"/>
      <c r="D284" s="66"/>
      <c r="G284" s="67"/>
      <c r="V284" s="67"/>
    </row>
    <row r="285">
      <c r="A285" s="66"/>
      <c r="B285" s="66"/>
      <c r="C285" s="66"/>
      <c r="D285" s="66"/>
      <c r="G285" s="67"/>
      <c r="V285" s="67"/>
    </row>
    <row r="286">
      <c r="A286" s="66"/>
      <c r="B286" s="66"/>
      <c r="C286" s="66"/>
      <c r="D286" s="66"/>
      <c r="G286" s="67"/>
      <c r="V286" s="67"/>
    </row>
    <row r="287">
      <c r="A287" s="66"/>
      <c r="B287" s="66"/>
      <c r="C287" s="66"/>
      <c r="D287" s="66"/>
      <c r="G287" s="67"/>
      <c r="V287" s="67"/>
    </row>
    <row r="288">
      <c r="A288" s="66"/>
      <c r="B288" s="66"/>
      <c r="C288" s="66"/>
      <c r="D288" s="66"/>
      <c r="G288" s="67"/>
      <c r="V288" s="67"/>
    </row>
    <row r="289">
      <c r="A289" s="66"/>
      <c r="B289" s="66"/>
      <c r="C289" s="66"/>
      <c r="D289" s="66"/>
      <c r="G289" s="67"/>
      <c r="V289" s="67"/>
    </row>
    <row r="290">
      <c r="A290" s="66"/>
      <c r="B290" s="66"/>
      <c r="C290" s="66"/>
      <c r="D290" s="66"/>
      <c r="G290" s="67"/>
      <c r="V290" s="67"/>
    </row>
    <row r="291">
      <c r="A291" s="66"/>
      <c r="B291" s="66"/>
      <c r="C291" s="66"/>
      <c r="D291" s="66"/>
      <c r="G291" s="67"/>
      <c r="V291" s="67"/>
    </row>
    <row r="292">
      <c r="A292" s="66"/>
      <c r="B292" s="66"/>
      <c r="C292" s="66"/>
      <c r="D292" s="66"/>
      <c r="G292" s="67"/>
      <c r="V292" s="67"/>
    </row>
    <row r="293">
      <c r="A293" s="66"/>
      <c r="B293" s="66"/>
      <c r="C293" s="66"/>
      <c r="D293" s="66"/>
      <c r="G293" s="67"/>
      <c r="V293" s="67"/>
    </row>
    <row r="294">
      <c r="A294" s="66"/>
      <c r="B294" s="66"/>
      <c r="C294" s="66"/>
      <c r="D294" s="66"/>
      <c r="G294" s="67"/>
      <c r="V294" s="67"/>
    </row>
    <row r="295">
      <c r="A295" s="66"/>
      <c r="B295" s="66"/>
      <c r="C295" s="66"/>
      <c r="D295" s="66"/>
      <c r="G295" s="67"/>
      <c r="V295" s="67"/>
    </row>
    <row r="296">
      <c r="A296" s="66"/>
      <c r="B296" s="66"/>
      <c r="C296" s="66"/>
      <c r="D296" s="66"/>
      <c r="G296" s="67"/>
      <c r="V296" s="67"/>
    </row>
    <row r="297">
      <c r="A297" s="66"/>
      <c r="B297" s="66"/>
      <c r="C297" s="66"/>
      <c r="D297" s="66"/>
      <c r="G297" s="67"/>
      <c r="V297" s="67"/>
    </row>
    <row r="298">
      <c r="A298" s="66"/>
      <c r="B298" s="66"/>
      <c r="C298" s="66"/>
      <c r="D298" s="66"/>
      <c r="G298" s="67"/>
      <c r="V298" s="67"/>
    </row>
    <row r="299">
      <c r="A299" s="66"/>
      <c r="B299" s="66"/>
      <c r="C299" s="66"/>
      <c r="D299" s="66"/>
      <c r="G299" s="67"/>
      <c r="V299" s="67"/>
    </row>
    <row r="300">
      <c r="A300" s="66"/>
      <c r="B300" s="66"/>
      <c r="C300" s="66"/>
      <c r="D300" s="66"/>
      <c r="G300" s="67"/>
      <c r="V300" s="67"/>
    </row>
    <row r="301">
      <c r="A301" s="66"/>
      <c r="B301" s="66"/>
      <c r="C301" s="66"/>
      <c r="D301" s="66"/>
      <c r="G301" s="67"/>
      <c r="V301" s="67"/>
    </row>
    <row r="302">
      <c r="A302" s="66"/>
      <c r="B302" s="66"/>
      <c r="C302" s="66"/>
      <c r="D302" s="66"/>
      <c r="G302" s="67"/>
      <c r="V302" s="67"/>
    </row>
    <row r="303">
      <c r="A303" s="66"/>
      <c r="B303" s="66"/>
      <c r="C303" s="66"/>
      <c r="D303" s="66"/>
      <c r="G303" s="67"/>
      <c r="V303" s="67"/>
    </row>
    <row r="304">
      <c r="A304" s="66"/>
      <c r="B304" s="66"/>
      <c r="C304" s="66"/>
      <c r="D304" s="66"/>
      <c r="G304" s="67"/>
      <c r="V304" s="67"/>
    </row>
    <row r="305">
      <c r="A305" s="66"/>
      <c r="B305" s="66"/>
      <c r="C305" s="66"/>
      <c r="D305" s="66"/>
      <c r="G305" s="67"/>
      <c r="V305" s="67"/>
    </row>
    <row r="306">
      <c r="A306" s="66"/>
      <c r="B306" s="66"/>
      <c r="C306" s="66"/>
      <c r="D306" s="66"/>
      <c r="G306" s="67"/>
      <c r="V306" s="67"/>
    </row>
    <row r="307">
      <c r="A307" s="66"/>
      <c r="B307" s="66"/>
      <c r="C307" s="66"/>
      <c r="D307" s="66"/>
      <c r="G307" s="67"/>
      <c r="V307" s="67"/>
    </row>
    <row r="308">
      <c r="A308" s="66"/>
      <c r="B308" s="66"/>
      <c r="C308" s="66"/>
      <c r="D308" s="66"/>
      <c r="G308" s="67"/>
      <c r="V308" s="67"/>
    </row>
    <row r="309">
      <c r="A309" s="66"/>
      <c r="B309" s="66"/>
      <c r="C309" s="66"/>
      <c r="D309" s="66"/>
      <c r="G309" s="67"/>
      <c r="V309" s="67"/>
    </row>
    <row r="310">
      <c r="A310" s="66"/>
      <c r="B310" s="66"/>
      <c r="C310" s="66"/>
      <c r="D310" s="66"/>
      <c r="G310" s="67"/>
      <c r="V310" s="67"/>
    </row>
    <row r="311">
      <c r="A311" s="66"/>
      <c r="B311" s="66"/>
      <c r="C311" s="66"/>
      <c r="D311" s="66"/>
      <c r="G311" s="67"/>
      <c r="V311" s="67"/>
    </row>
    <row r="312">
      <c r="A312" s="66"/>
      <c r="B312" s="66"/>
      <c r="C312" s="66"/>
      <c r="D312" s="66"/>
      <c r="G312" s="67"/>
      <c r="V312" s="67"/>
    </row>
    <row r="313">
      <c r="A313" s="66"/>
      <c r="B313" s="66"/>
      <c r="C313" s="66"/>
      <c r="D313" s="66"/>
      <c r="G313" s="67"/>
      <c r="V313" s="67"/>
    </row>
    <row r="314">
      <c r="A314" s="66"/>
      <c r="B314" s="66"/>
      <c r="C314" s="66"/>
      <c r="D314" s="66"/>
      <c r="G314" s="67"/>
      <c r="V314" s="67"/>
    </row>
    <row r="315">
      <c r="A315" s="66"/>
      <c r="B315" s="66"/>
      <c r="C315" s="66"/>
      <c r="D315" s="66"/>
      <c r="G315" s="67"/>
      <c r="V315" s="67"/>
    </row>
    <row r="316">
      <c r="A316" s="66"/>
      <c r="B316" s="66"/>
      <c r="C316" s="66"/>
      <c r="D316" s="66"/>
      <c r="G316" s="67"/>
      <c r="V316" s="67"/>
    </row>
    <row r="317">
      <c r="A317" s="66"/>
      <c r="B317" s="66"/>
      <c r="C317" s="66"/>
      <c r="D317" s="66"/>
      <c r="G317" s="67"/>
      <c r="V317" s="67"/>
    </row>
    <row r="318">
      <c r="A318" s="66"/>
      <c r="B318" s="66"/>
      <c r="C318" s="66"/>
      <c r="D318" s="66"/>
      <c r="G318" s="67"/>
      <c r="V318" s="67"/>
    </row>
    <row r="319">
      <c r="A319" s="66"/>
      <c r="B319" s="66"/>
      <c r="C319" s="66"/>
      <c r="D319" s="66"/>
      <c r="G319" s="67"/>
      <c r="V319" s="67"/>
    </row>
    <row r="320">
      <c r="A320" s="66"/>
      <c r="B320" s="66"/>
      <c r="C320" s="66"/>
      <c r="D320" s="66"/>
      <c r="G320" s="67"/>
      <c r="V320" s="67"/>
    </row>
    <row r="321">
      <c r="A321" s="66"/>
      <c r="B321" s="66"/>
      <c r="C321" s="66"/>
      <c r="D321" s="66"/>
      <c r="G321" s="67"/>
      <c r="V321" s="67"/>
    </row>
    <row r="322">
      <c r="A322" s="66"/>
      <c r="B322" s="66"/>
      <c r="C322" s="66"/>
      <c r="D322" s="66"/>
      <c r="G322" s="67"/>
      <c r="V322" s="67"/>
    </row>
    <row r="323">
      <c r="A323" s="66"/>
      <c r="B323" s="66"/>
      <c r="C323" s="66"/>
      <c r="D323" s="66"/>
      <c r="G323" s="67"/>
      <c r="V323" s="67"/>
    </row>
    <row r="324">
      <c r="A324" s="66"/>
      <c r="B324" s="66"/>
      <c r="C324" s="66"/>
      <c r="D324" s="66"/>
      <c r="G324" s="67"/>
      <c r="V324" s="67"/>
    </row>
    <row r="325">
      <c r="A325" s="66"/>
      <c r="B325" s="66"/>
      <c r="C325" s="66"/>
      <c r="D325" s="66"/>
      <c r="G325" s="67"/>
      <c r="V325" s="67"/>
    </row>
    <row r="326">
      <c r="A326" s="66"/>
      <c r="B326" s="66"/>
      <c r="C326" s="66"/>
      <c r="D326" s="66"/>
      <c r="G326" s="67"/>
      <c r="V326" s="67"/>
    </row>
    <row r="327">
      <c r="A327" s="66"/>
      <c r="B327" s="66"/>
      <c r="C327" s="66"/>
      <c r="D327" s="66"/>
      <c r="G327" s="67"/>
      <c r="V327" s="67"/>
    </row>
    <row r="328">
      <c r="A328" s="66"/>
      <c r="B328" s="66"/>
      <c r="C328" s="66"/>
      <c r="D328" s="66"/>
      <c r="G328" s="67"/>
      <c r="V328" s="67"/>
    </row>
    <row r="329">
      <c r="A329" s="66"/>
      <c r="B329" s="66"/>
      <c r="C329" s="66"/>
      <c r="D329" s="66"/>
      <c r="G329" s="67"/>
      <c r="V329" s="67"/>
    </row>
    <row r="330">
      <c r="A330" s="66"/>
      <c r="B330" s="66"/>
      <c r="C330" s="66"/>
      <c r="D330" s="66"/>
      <c r="G330" s="67"/>
      <c r="V330" s="67"/>
    </row>
    <row r="331">
      <c r="A331" s="66"/>
      <c r="B331" s="66"/>
      <c r="C331" s="66"/>
      <c r="D331" s="66"/>
      <c r="G331" s="67"/>
      <c r="V331" s="67"/>
    </row>
    <row r="332">
      <c r="A332" s="66"/>
      <c r="B332" s="66"/>
      <c r="C332" s="66"/>
      <c r="D332" s="66"/>
      <c r="G332" s="67"/>
      <c r="V332" s="67"/>
    </row>
    <row r="333">
      <c r="A333" s="66"/>
      <c r="B333" s="66"/>
      <c r="C333" s="66"/>
      <c r="D333" s="66"/>
      <c r="G333" s="67"/>
      <c r="V333" s="67"/>
    </row>
    <row r="334">
      <c r="A334" s="66"/>
      <c r="B334" s="66"/>
      <c r="C334" s="66"/>
      <c r="D334" s="66"/>
      <c r="G334" s="67"/>
      <c r="V334" s="67"/>
    </row>
    <row r="335">
      <c r="A335" s="66"/>
      <c r="B335" s="66"/>
      <c r="C335" s="66"/>
      <c r="D335" s="66"/>
      <c r="G335" s="67"/>
      <c r="V335" s="67"/>
    </row>
    <row r="336">
      <c r="A336" s="66"/>
      <c r="B336" s="66"/>
      <c r="C336" s="66"/>
      <c r="D336" s="66"/>
      <c r="G336" s="67"/>
      <c r="V336" s="67"/>
    </row>
    <row r="337">
      <c r="A337" s="66"/>
      <c r="B337" s="66"/>
      <c r="C337" s="66"/>
      <c r="D337" s="66"/>
      <c r="G337" s="67"/>
      <c r="V337" s="67"/>
    </row>
    <row r="338">
      <c r="A338" s="66"/>
      <c r="B338" s="66"/>
      <c r="C338" s="66"/>
      <c r="D338" s="66"/>
      <c r="G338" s="67"/>
      <c r="V338" s="67"/>
    </row>
    <row r="339">
      <c r="A339" s="66"/>
      <c r="B339" s="66"/>
      <c r="C339" s="66"/>
      <c r="D339" s="66"/>
      <c r="G339" s="67"/>
      <c r="V339" s="67"/>
    </row>
    <row r="340">
      <c r="A340" s="66"/>
      <c r="B340" s="66"/>
      <c r="C340" s="66"/>
      <c r="D340" s="66"/>
      <c r="G340" s="67"/>
      <c r="V340" s="67"/>
    </row>
    <row r="341">
      <c r="A341" s="66"/>
      <c r="B341" s="66"/>
      <c r="C341" s="66"/>
      <c r="D341" s="66"/>
      <c r="G341" s="67"/>
      <c r="V341" s="67"/>
    </row>
    <row r="342">
      <c r="A342" s="66"/>
      <c r="B342" s="66"/>
      <c r="C342" s="66"/>
      <c r="D342" s="66"/>
      <c r="G342" s="67"/>
      <c r="V342" s="67"/>
    </row>
    <row r="343">
      <c r="A343" s="66"/>
      <c r="B343" s="66"/>
      <c r="C343" s="66"/>
      <c r="D343" s="66"/>
      <c r="G343" s="67"/>
      <c r="V343" s="67"/>
    </row>
    <row r="344">
      <c r="A344" s="66"/>
      <c r="B344" s="66"/>
      <c r="C344" s="66"/>
      <c r="D344" s="66"/>
      <c r="G344" s="67"/>
      <c r="V344" s="67"/>
    </row>
    <row r="345">
      <c r="A345" s="66"/>
      <c r="B345" s="66"/>
      <c r="C345" s="66"/>
      <c r="D345" s="66"/>
      <c r="G345" s="67"/>
      <c r="V345" s="67"/>
    </row>
    <row r="346">
      <c r="A346" s="66"/>
      <c r="B346" s="66"/>
      <c r="C346" s="66"/>
      <c r="D346" s="66"/>
      <c r="G346" s="67"/>
      <c r="V346" s="67"/>
    </row>
    <row r="347">
      <c r="A347" s="66"/>
      <c r="B347" s="66"/>
      <c r="C347" s="66"/>
      <c r="D347" s="66"/>
      <c r="G347" s="67"/>
      <c r="V347" s="67"/>
    </row>
    <row r="348">
      <c r="A348" s="66"/>
      <c r="B348" s="66"/>
      <c r="C348" s="66"/>
      <c r="D348" s="66"/>
      <c r="G348" s="67"/>
      <c r="V348" s="67"/>
    </row>
    <row r="349">
      <c r="A349" s="66"/>
      <c r="B349" s="66"/>
      <c r="C349" s="66"/>
      <c r="D349" s="66"/>
      <c r="G349" s="67"/>
      <c r="V349" s="67"/>
    </row>
    <row r="350">
      <c r="A350" s="66"/>
      <c r="B350" s="66"/>
      <c r="C350" s="66"/>
      <c r="D350" s="66"/>
      <c r="G350" s="67"/>
      <c r="V350" s="67"/>
    </row>
    <row r="351">
      <c r="A351" s="66"/>
      <c r="B351" s="66"/>
      <c r="C351" s="66"/>
      <c r="D351" s="66"/>
      <c r="G351" s="67"/>
      <c r="V351" s="67"/>
    </row>
    <row r="352">
      <c r="A352" s="66"/>
      <c r="B352" s="66"/>
      <c r="C352" s="66"/>
      <c r="D352" s="66"/>
      <c r="G352" s="67"/>
      <c r="V352" s="67"/>
    </row>
    <row r="353">
      <c r="A353" s="66"/>
      <c r="B353" s="66"/>
      <c r="C353" s="66"/>
      <c r="D353" s="66"/>
      <c r="G353" s="67"/>
      <c r="V353" s="67"/>
    </row>
    <row r="354">
      <c r="A354" s="66"/>
      <c r="B354" s="66"/>
      <c r="C354" s="66"/>
      <c r="D354" s="66"/>
      <c r="G354" s="67"/>
      <c r="V354" s="67"/>
    </row>
    <row r="355">
      <c r="A355" s="66"/>
      <c r="B355" s="66"/>
      <c r="C355" s="66"/>
      <c r="D355" s="66"/>
      <c r="G355" s="67"/>
      <c r="V355" s="67"/>
    </row>
    <row r="356">
      <c r="A356" s="66"/>
      <c r="B356" s="66"/>
      <c r="C356" s="66"/>
      <c r="D356" s="66"/>
      <c r="G356" s="67"/>
      <c r="V356" s="67"/>
    </row>
    <row r="357">
      <c r="A357" s="66"/>
      <c r="B357" s="66"/>
      <c r="C357" s="66"/>
      <c r="D357" s="66"/>
      <c r="G357" s="67"/>
      <c r="V357" s="67"/>
    </row>
    <row r="358">
      <c r="A358" s="66"/>
      <c r="B358" s="66"/>
      <c r="C358" s="66"/>
      <c r="D358" s="66"/>
      <c r="G358" s="67"/>
      <c r="V358" s="67"/>
    </row>
    <row r="359">
      <c r="A359" s="66"/>
      <c r="B359" s="66"/>
      <c r="C359" s="66"/>
      <c r="D359" s="66"/>
      <c r="G359" s="67"/>
      <c r="V359" s="67"/>
    </row>
    <row r="360">
      <c r="A360" s="66"/>
      <c r="B360" s="66"/>
      <c r="C360" s="66"/>
      <c r="D360" s="66"/>
      <c r="G360" s="67"/>
      <c r="V360" s="67"/>
    </row>
    <row r="361">
      <c r="A361" s="66"/>
      <c r="B361" s="66"/>
      <c r="C361" s="66"/>
      <c r="D361" s="66"/>
      <c r="G361" s="67"/>
      <c r="V361" s="67"/>
    </row>
    <row r="362">
      <c r="A362" s="66"/>
      <c r="B362" s="66"/>
      <c r="C362" s="66"/>
      <c r="D362" s="66"/>
      <c r="G362" s="67"/>
      <c r="V362" s="67"/>
    </row>
    <row r="363">
      <c r="A363" s="66"/>
      <c r="B363" s="66"/>
      <c r="C363" s="66"/>
      <c r="D363" s="66"/>
      <c r="G363" s="67"/>
      <c r="V363" s="67"/>
    </row>
    <row r="364">
      <c r="A364" s="66"/>
      <c r="B364" s="66"/>
      <c r="C364" s="66"/>
      <c r="D364" s="66"/>
      <c r="G364" s="67"/>
      <c r="V364" s="67"/>
    </row>
    <row r="365">
      <c r="A365" s="66"/>
      <c r="B365" s="66"/>
      <c r="C365" s="66"/>
      <c r="D365" s="66"/>
      <c r="G365" s="67"/>
      <c r="V365" s="67"/>
    </row>
    <row r="366">
      <c r="A366" s="66"/>
      <c r="B366" s="66"/>
      <c r="C366" s="66"/>
      <c r="D366" s="66"/>
      <c r="G366" s="67"/>
      <c r="V366" s="67"/>
    </row>
    <row r="367">
      <c r="A367" s="66"/>
      <c r="B367" s="66"/>
      <c r="C367" s="66"/>
      <c r="D367" s="66"/>
      <c r="G367" s="67"/>
      <c r="V367" s="67"/>
    </row>
    <row r="368">
      <c r="A368" s="66"/>
      <c r="B368" s="66"/>
      <c r="C368" s="66"/>
      <c r="D368" s="66"/>
      <c r="G368" s="67"/>
      <c r="V368" s="67"/>
    </row>
    <row r="369">
      <c r="A369" s="66"/>
      <c r="B369" s="66"/>
      <c r="C369" s="66"/>
      <c r="D369" s="66"/>
      <c r="G369" s="67"/>
      <c r="V369" s="67"/>
    </row>
    <row r="370">
      <c r="A370" s="66"/>
      <c r="B370" s="66"/>
      <c r="C370" s="66"/>
      <c r="D370" s="66"/>
      <c r="G370" s="67"/>
      <c r="V370" s="67"/>
    </row>
    <row r="371">
      <c r="A371" s="66"/>
      <c r="B371" s="66"/>
      <c r="C371" s="66"/>
      <c r="D371" s="66"/>
      <c r="G371" s="67"/>
      <c r="V371" s="67"/>
    </row>
    <row r="372">
      <c r="A372" s="66"/>
      <c r="B372" s="66"/>
      <c r="C372" s="66"/>
      <c r="D372" s="66"/>
      <c r="G372" s="67"/>
      <c r="V372" s="67"/>
    </row>
    <row r="373">
      <c r="A373" s="66"/>
      <c r="B373" s="66"/>
      <c r="C373" s="66"/>
      <c r="D373" s="66"/>
      <c r="G373" s="67"/>
      <c r="V373" s="67"/>
    </row>
    <row r="374">
      <c r="A374" s="66"/>
      <c r="B374" s="66"/>
      <c r="C374" s="66"/>
      <c r="D374" s="66"/>
      <c r="G374" s="67"/>
      <c r="V374" s="67"/>
    </row>
    <row r="375">
      <c r="A375" s="66"/>
      <c r="B375" s="66"/>
      <c r="C375" s="66"/>
      <c r="D375" s="66"/>
      <c r="G375" s="67"/>
      <c r="V375" s="67"/>
    </row>
    <row r="376">
      <c r="A376" s="66"/>
      <c r="B376" s="66"/>
      <c r="C376" s="66"/>
      <c r="D376" s="66"/>
      <c r="G376" s="67"/>
      <c r="V376" s="67"/>
    </row>
    <row r="377">
      <c r="A377" s="66"/>
      <c r="B377" s="66"/>
      <c r="C377" s="66"/>
      <c r="D377" s="66"/>
      <c r="G377" s="67"/>
      <c r="V377" s="67"/>
    </row>
    <row r="378">
      <c r="A378" s="66"/>
      <c r="B378" s="66"/>
      <c r="C378" s="66"/>
      <c r="D378" s="66"/>
      <c r="G378" s="67"/>
      <c r="V378" s="67"/>
    </row>
    <row r="379">
      <c r="A379" s="66"/>
      <c r="B379" s="66"/>
      <c r="C379" s="66"/>
      <c r="D379" s="66"/>
      <c r="G379" s="67"/>
      <c r="V379" s="67"/>
    </row>
    <row r="380">
      <c r="A380" s="66"/>
      <c r="B380" s="66"/>
      <c r="C380" s="66"/>
      <c r="D380" s="66"/>
      <c r="G380" s="67"/>
      <c r="V380" s="67"/>
    </row>
    <row r="381">
      <c r="A381" s="66"/>
      <c r="B381" s="66"/>
      <c r="C381" s="66"/>
      <c r="D381" s="66"/>
      <c r="G381" s="67"/>
      <c r="V381" s="67"/>
    </row>
    <row r="382">
      <c r="A382" s="66"/>
      <c r="B382" s="66"/>
      <c r="C382" s="66"/>
      <c r="D382" s="66"/>
      <c r="G382" s="67"/>
      <c r="V382" s="67"/>
    </row>
    <row r="383">
      <c r="A383" s="66"/>
      <c r="B383" s="66"/>
      <c r="C383" s="66"/>
      <c r="D383" s="66"/>
      <c r="G383" s="67"/>
      <c r="V383" s="67"/>
    </row>
    <row r="384">
      <c r="A384" s="66"/>
      <c r="B384" s="66"/>
      <c r="C384" s="66"/>
      <c r="D384" s="66"/>
      <c r="G384" s="67"/>
      <c r="V384" s="67"/>
    </row>
    <row r="385">
      <c r="A385" s="66"/>
      <c r="B385" s="66"/>
      <c r="C385" s="66"/>
      <c r="D385" s="66"/>
      <c r="G385" s="67"/>
      <c r="V385" s="67"/>
    </row>
    <row r="386">
      <c r="A386" s="66"/>
      <c r="B386" s="66"/>
      <c r="C386" s="66"/>
      <c r="D386" s="66"/>
      <c r="G386" s="67"/>
      <c r="V386" s="67"/>
    </row>
    <row r="387">
      <c r="A387" s="66"/>
      <c r="B387" s="66"/>
      <c r="C387" s="66"/>
      <c r="D387" s="66"/>
      <c r="G387" s="67"/>
      <c r="V387" s="67"/>
    </row>
    <row r="388">
      <c r="A388" s="66"/>
      <c r="B388" s="66"/>
      <c r="C388" s="66"/>
      <c r="D388" s="66"/>
      <c r="G388" s="67"/>
      <c r="V388" s="67"/>
    </row>
    <row r="389">
      <c r="A389" s="66"/>
      <c r="B389" s="66"/>
      <c r="C389" s="66"/>
      <c r="D389" s="66"/>
      <c r="G389" s="67"/>
      <c r="V389" s="67"/>
    </row>
    <row r="390">
      <c r="A390" s="66"/>
      <c r="B390" s="66"/>
      <c r="C390" s="66"/>
      <c r="D390" s="66"/>
      <c r="G390" s="67"/>
      <c r="V390" s="67"/>
    </row>
    <row r="391">
      <c r="A391" s="66"/>
      <c r="B391" s="66"/>
      <c r="C391" s="66"/>
      <c r="D391" s="66"/>
      <c r="G391" s="67"/>
      <c r="V391" s="67"/>
    </row>
    <row r="392">
      <c r="A392" s="66"/>
      <c r="B392" s="66"/>
      <c r="C392" s="66"/>
      <c r="D392" s="66"/>
      <c r="G392" s="67"/>
      <c r="V392" s="67"/>
    </row>
    <row r="393">
      <c r="A393" s="66"/>
      <c r="B393" s="66"/>
      <c r="C393" s="66"/>
      <c r="D393" s="66"/>
      <c r="G393" s="67"/>
      <c r="V393" s="67"/>
    </row>
    <row r="394">
      <c r="A394" s="66"/>
      <c r="B394" s="66"/>
      <c r="C394" s="66"/>
      <c r="D394" s="66"/>
      <c r="G394" s="67"/>
      <c r="V394" s="67"/>
    </row>
    <row r="395">
      <c r="A395" s="66"/>
      <c r="B395" s="66"/>
      <c r="C395" s="66"/>
      <c r="D395" s="66"/>
      <c r="G395" s="67"/>
      <c r="V395" s="67"/>
    </row>
    <row r="396">
      <c r="A396" s="66"/>
      <c r="B396" s="66"/>
      <c r="C396" s="66"/>
      <c r="D396" s="66"/>
      <c r="G396" s="67"/>
      <c r="V396" s="67"/>
    </row>
    <row r="397">
      <c r="A397" s="66"/>
      <c r="B397" s="66"/>
      <c r="C397" s="66"/>
      <c r="D397" s="66"/>
      <c r="G397" s="67"/>
      <c r="V397" s="67"/>
    </row>
    <row r="398">
      <c r="A398" s="66"/>
      <c r="B398" s="66"/>
      <c r="C398" s="66"/>
      <c r="D398" s="66"/>
      <c r="G398" s="67"/>
      <c r="V398" s="67"/>
    </row>
    <row r="399">
      <c r="A399" s="66"/>
      <c r="B399" s="66"/>
      <c r="C399" s="66"/>
      <c r="D399" s="66"/>
      <c r="G399" s="67"/>
      <c r="V399" s="67"/>
    </row>
    <row r="400">
      <c r="A400" s="66"/>
      <c r="B400" s="66"/>
      <c r="C400" s="66"/>
      <c r="D400" s="66"/>
      <c r="G400" s="67"/>
      <c r="V400" s="67"/>
    </row>
    <row r="401">
      <c r="A401" s="66"/>
      <c r="B401" s="66"/>
      <c r="C401" s="66"/>
      <c r="D401" s="66"/>
      <c r="G401" s="67"/>
      <c r="V401" s="67"/>
    </row>
    <row r="402">
      <c r="A402" s="66"/>
      <c r="B402" s="66"/>
      <c r="C402" s="66"/>
      <c r="D402" s="66"/>
      <c r="G402" s="67"/>
      <c r="V402" s="67"/>
    </row>
    <row r="403">
      <c r="A403" s="66"/>
      <c r="B403" s="66"/>
      <c r="C403" s="66"/>
      <c r="D403" s="66"/>
      <c r="G403" s="67"/>
      <c r="V403" s="67"/>
    </row>
    <row r="404">
      <c r="A404" s="66"/>
      <c r="B404" s="66"/>
      <c r="C404" s="66"/>
      <c r="D404" s="66"/>
      <c r="G404" s="67"/>
      <c r="V404" s="67"/>
    </row>
    <row r="405">
      <c r="A405" s="66"/>
      <c r="B405" s="66"/>
      <c r="C405" s="66"/>
      <c r="D405" s="66"/>
      <c r="G405" s="67"/>
      <c r="V405" s="67"/>
    </row>
    <row r="406">
      <c r="A406" s="66"/>
      <c r="B406" s="66"/>
      <c r="C406" s="66"/>
      <c r="D406" s="66"/>
      <c r="G406" s="67"/>
      <c r="V406" s="67"/>
    </row>
    <row r="407">
      <c r="A407" s="66"/>
      <c r="B407" s="66"/>
      <c r="C407" s="66"/>
      <c r="D407" s="66"/>
      <c r="G407" s="67"/>
      <c r="V407" s="67"/>
    </row>
    <row r="408">
      <c r="A408" s="66"/>
      <c r="B408" s="66"/>
      <c r="C408" s="66"/>
      <c r="D408" s="66"/>
      <c r="G408" s="67"/>
      <c r="V408" s="67"/>
    </row>
    <row r="409">
      <c r="A409" s="66"/>
      <c r="B409" s="66"/>
      <c r="C409" s="66"/>
      <c r="D409" s="66"/>
      <c r="G409" s="67"/>
      <c r="V409" s="67"/>
    </row>
    <row r="410">
      <c r="A410" s="66"/>
      <c r="B410" s="66"/>
      <c r="C410" s="66"/>
      <c r="D410" s="66"/>
      <c r="G410" s="67"/>
      <c r="V410" s="67"/>
    </row>
    <row r="411">
      <c r="A411" s="66"/>
      <c r="B411" s="66"/>
      <c r="C411" s="66"/>
      <c r="D411" s="66"/>
      <c r="G411" s="67"/>
      <c r="V411" s="67"/>
    </row>
    <row r="412">
      <c r="A412" s="66"/>
      <c r="B412" s="66"/>
      <c r="C412" s="66"/>
      <c r="D412" s="66"/>
      <c r="G412" s="67"/>
      <c r="V412" s="67"/>
    </row>
    <row r="413">
      <c r="A413" s="66"/>
      <c r="B413" s="66"/>
      <c r="C413" s="66"/>
      <c r="D413" s="66"/>
      <c r="G413" s="67"/>
      <c r="V413" s="67"/>
    </row>
    <row r="414">
      <c r="A414" s="66"/>
      <c r="B414" s="66"/>
      <c r="C414" s="66"/>
      <c r="D414" s="66"/>
      <c r="G414" s="67"/>
      <c r="V414" s="67"/>
    </row>
    <row r="415">
      <c r="A415" s="66"/>
      <c r="B415" s="66"/>
      <c r="C415" s="66"/>
      <c r="D415" s="66"/>
      <c r="G415" s="67"/>
      <c r="V415" s="67"/>
    </row>
    <row r="416">
      <c r="A416" s="66"/>
      <c r="B416" s="66"/>
      <c r="C416" s="66"/>
      <c r="D416" s="66"/>
      <c r="G416" s="67"/>
      <c r="V416" s="67"/>
    </row>
    <row r="417">
      <c r="A417" s="66"/>
      <c r="B417" s="66"/>
      <c r="C417" s="66"/>
      <c r="D417" s="66"/>
      <c r="G417" s="67"/>
      <c r="V417" s="67"/>
    </row>
    <row r="418">
      <c r="A418" s="66"/>
      <c r="B418" s="66"/>
      <c r="C418" s="66"/>
      <c r="D418" s="66"/>
      <c r="G418" s="67"/>
      <c r="V418" s="67"/>
    </row>
    <row r="419">
      <c r="A419" s="66"/>
      <c r="B419" s="66"/>
      <c r="C419" s="66"/>
      <c r="D419" s="66"/>
      <c r="G419" s="67"/>
      <c r="V419" s="67"/>
    </row>
    <row r="420">
      <c r="A420" s="66"/>
      <c r="B420" s="66"/>
      <c r="C420" s="66"/>
      <c r="D420" s="66"/>
      <c r="G420" s="67"/>
      <c r="V420" s="67"/>
    </row>
    <row r="421">
      <c r="A421" s="66"/>
      <c r="B421" s="66"/>
      <c r="C421" s="66"/>
      <c r="D421" s="66"/>
      <c r="G421" s="67"/>
      <c r="V421" s="67"/>
    </row>
    <row r="422">
      <c r="A422" s="66"/>
      <c r="B422" s="66"/>
      <c r="C422" s="66"/>
      <c r="D422" s="66"/>
      <c r="G422" s="67"/>
      <c r="V422" s="67"/>
    </row>
    <row r="423">
      <c r="A423" s="66"/>
      <c r="B423" s="66"/>
      <c r="C423" s="66"/>
      <c r="D423" s="66"/>
      <c r="G423" s="67"/>
      <c r="V423" s="67"/>
    </row>
    <row r="424">
      <c r="A424" s="66"/>
      <c r="B424" s="66"/>
      <c r="C424" s="66"/>
      <c r="D424" s="66"/>
      <c r="G424" s="67"/>
      <c r="V424" s="67"/>
    </row>
    <row r="425">
      <c r="A425" s="66"/>
      <c r="B425" s="66"/>
      <c r="C425" s="66"/>
      <c r="D425" s="66"/>
      <c r="G425" s="67"/>
      <c r="V425" s="67"/>
    </row>
    <row r="426">
      <c r="A426" s="66"/>
      <c r="B426" s="66"/>
      <c r="C426" s="66"/>
      <c r="D426" s="66"/>
      <c r="G426" s="67"/>
      <c r="V426" s="67"/>
    </row>
    <row r="427">
      <c r="A427" s="66"/>
      <c r="B427" s="66"/>
      <c r="C427" s="66"/>
      <c r="D427" s="66"/>
      <c r="G427" s="67"/>
      <c r="V427" s="67"/>
    </row>
    <row r="428">
      <c r="A428" s="66"/>
      <c r="B428" s="66"/>
      <c r="C428" s="66"/>
      <c r="D428" s="66"/>
      <c r="G428" s="67"/>
      <c r="V428" s="67"/>
    </row>
    <row r="429">
      <c r="A429" s="66"/>
      <c r="B429" s="66"/>
      <c r="C429" s="66"/>
      <c r="D429" s="66"/>
      <c r="G429" s="67"/>
      <c r="V429" s="67"/>
    </row>
    <row r="430">
      <c r="A430" s="66"/>
      <c r="B430" s="66"/>
      <c r="C430" s="66"/>
      <c r="D430" s="66"/>
      <c r="G430" s="67"/>
      <c r="V430" s="67"/>
    </row>
    <row r="431">
      <c r="A431" s="66"/>
      <c r="B431" s="66"/>
      <c r="C431" s="66"/>
      <c r="D431" s="66"/>
      <c r="G431" s="67"/>
      <c r="V431" s="67"/>
    </row>
    <row r="432">
      <c r="A432" s="66"/>
      <c r="B432" s="66"/>
      <c r="C432" s="66"/>
      <c r="D432" s="66"/>
      <c r="G432" s="67"/>
      <c r="V432" s="67"/>
    </row>
    <row r="433">
      <c r="A433" s="66"/>
      <c r="B433" s="66"/>
      <c r="C433" s="66"/>
      <c r="D433" s="66"/>
      <c r="G433" s="67"/>
      <c r="V433" s="67"/>
    </row>
    <row r="434">
      <c r="A434" s="66"/>
      <c r="B434" s="66"/>
      <c r="C434" s="66"/>
      <c r="D434" s="66"/>
      <c r="G434" s="67"/>
      <c r="V434" s="67"/>
    </row>
    <row r="435">
      <c r="A435" s="66"/>
      <c r="B435" s="66"/>
      <c r="C435" s="66"/>
      <c r="D435" s="66"/>
      <c r="G435" s="67"/>
      <c r="V435" s="67"/>
    </row>
    <row r="436">
      <c r="A436" s="66"/>
      <c r="B436" s="66"/>
      <c r="C436" s="66"/>
      <c r="D436" s="66"/>
      <c r="G436" s="67"/>
      <c r="V436" s="67"/>
    </row>
    <row r="437">
      <c r="A437" s="66"/>
      <c r="B437" s="66"/>
      <c r="C437" s="66"/>
      <c r="D437" s="66"/>
      <c r="G437" s="67"/>
      <c r="V437" s="67"/>
    </row>
    <row r="438">
      <c r="A438" s="66"/>
      <c r="B438" s="66"/>
      <c r="C438" s="66"/>
      <c r="D438" s="66"/>
      <c r="G438" s="67"/>
      <c r="V438" s="67"/>
    </row>
    <row r="439">
      <c r="A439" s="66"/>
      <c r="B439" s="66"/>
      <c r="C439" s="66"/>
      <c r="D439" s="66"/>
      <c r="G439" s="67"/>
      <c r="V439" s="67"/>
    </row>
    <row r="440">
      <c r="A440" s="66"/>
      <c r="B440" s="66"/>
      <c r="C440" s="66"/>
      <c r="D440" s="66"/>
      <c r="G440" s="67"/>
      <c r="V440" s="67"/>
    </row>
    <row r="441">
      <c r="A441" s="66"/>
      <c r="B441" s="66"/>
      <c r="C441" s="66"/>
      <c r="D441" s="66"/>
      <c r="G441" s="67"/>
      <c r="V441" s="67"/>
    </row>
    <row r="442">
      <c r="A442" s="66"/>
      <c r="B442" s="66"/>
      <c r="C442" s="66"/>
      <c r="D442" s="66"/>
      <c r="G442" s="67"/>
      <c r="V442" s="67"/>
    </row>
    <row r="443">
      <c r="A443" s="66"/>
      <c r="B443" s="66"/>
      <c r="C443" s="66"/>
      <c r="D443" s="66"/>
      <c r="G443" s="67"/>
      <c r="V443" s="67"/>
    </row>
    <row r="444">
      <c r="A444" s="66"/>
      <c r="B444" s="66"/>
      <c r="C444" s="66"/>
      <c r="D444" s="66"/>
      <c r="G444" s="67"/>
      <c r="V444" s="67"/>
    </row>
    <row r="445">
      <c r="A445" s="66"/>
      <c r="B445" s="66"/>
      <c r="C445" s="66"/>
      <c r="D445" s="66"/>
      <c r="G445" s="67"/>
      <c r="V445" s="67"/>
    </row>
    <row r="446">
      <c r="A446" s="66"/>
      <c r="B446" s="66"/>
      <c r="C446" s="66"/>
      <c r="D446" s="66"/>
      <c r="G446" s="67"/>
      <c r="V446" s="67"/>
    </row>
    <row r="447">
      <c r="A447" s="66"/>
      <c r="B447" s="66"/>
      <c r="C447" s="66"/>
      <c r="D447" s="66"/>
      <c r="G447" s="67"/>
      <c r="V447" s="67"/>
    </row>
    <row r="448">
      <c r="A448" s="66"/>
      <c r="B448" s="66"/>
      <c r="C448" s="66"/>
      <c r="D448" s="66"/>
      <c r="G448" s="67"/>
      <c r="V448" s="67"/>
    </row>
    <row r="449">
      <c r="A449" s="66"/>
      <c r="B449" s="66"/>
      <c r="C449" s="66"/>
      <c r="D449" s="66"/>
      <c r="G449" s="67"/>
      <c r="V449" s="67"/>
    </row>
    <row r="450">
      <c r="A450" s="66"/>
      <c r="B450" s="66"/>
      <c r="C450" s="66"/>
      <c r="D450" s="66"/>
      <c r="G450" s="67"/>
      <c r="V450" s="67"/>
    </row>
    <row r="451">
      <c r="A451" s="66"/>
      <c r="B451" s="66"/>
      <c r="C451" s="66"/>
      <c r="D451" s="66"/>
      <c r="G451" s="67"/>
      <c r="V451" s="67"/>
    </row>
    <row r="452">
      <c r="A452" s="66"/>
      <c r="B452" s="66"/>
      <c r="C452" s="66"/>
      <c r="D452" s="66"/>
      <c r="G452" s="67"/>
      <c r="V452" s="67"/>
    </row>
    <row r="453">
      <c r="A453" s="66"/>
      <c r="B453" s="66"/>
      <c r="C453" s="66"/>
      <c r="D453" s="66"/>
      <c r="G453" s="67"/>
      <c r="V453" s="67"/>
    </row>
    <row r="454">
      <c r="A454" s="66"/>
      <c r="B454" s="66"/>
      <c r="C454" s="66"/>
      <c r="D454" s="66"/>
      <c r="G454" s="67"/>
      <c r="V454" s="67"/>
    </row>
    <row r="455">
      <c r="A455" s="66"/>
      <c r="B455" s="66"/>
      <c r="C455" s="66"/>
      <c r="D455" s="66"/>
      <c r="G455" s="67"/>
      <c r="V455" s="67"/>
    </row>
    <row r="456">
      <c r="A456" s="66"/>
      <c r="B456" s="66"/>
      <c r="C456" s="66"/>
      <c r="D456" s="66"/>
      <c r="G456" s="67"/>
      <c r="V456" s="67"/>
    </row>
    <row r="457">
      <c r="A457" s="66"/>
      <c r="B457" s="66"/>
      <c r="C457" s="66"/>
      <c r="D457" s="66"/>
      <c r="G457" s="67"/>
      <c r="V457" s="67"/>
    </row>
    <row r="458">
      <c r="A458" s="66"/>
      <c r="B458" s="66"/>
      <c r="C458" s="66"/>
      <c r="D458" s="66"/>
      <c r="G458" s="67"/>
      <c r="V458" s="67"/>
    </row>
    <row r="459">
      <c r="A459" s="66"/>
      <c r="B459" s="66"/>
      <c r="C459" s="66"/>
      <c r="D459" s="66"/>
      <c r="G459" s="67"/>
      <c r="V459" s="67"/>
    </row>
    <row r="460">
      <c r="A460" s="66"/>
      <c r="B460" s="66"/>
      <c r="C460" s="66"/>
      <c r="D460" s="66"/>
      <c r="G460" s="67"/>
      <c r="V460" s="67"/>
    </row>
    <row r="461">
      <c r="A461" s="66"/>
      <c r="B461" s="66"/>
      <c r="C461" s="66"/>
      <c r="D461" s="66"/>
      <c r="G461" s="67"/>
      <c r="V461" s="67"/>
    </row>
    <row r="462">
      <c r="A462" s="66"/>
      <c r="B462" s="66"/>
      <c r="C462" s="66"/>
      <c r="D462" s="66"/>
      <c r="G462" s="67"/>
      <c r="V462" s="67"/>
    </row>
    <row r="463">
      <c r="A463" s="66"/>
      <c r="B463" s="66"/>
      <c r="C463" s="66"/>
      <c r="D463" s="66"/>
      <c r="G463" s="67"/>
      <c r="V463" s="67"/>
    </row>
    <row r="464">
      <c r="A464" s="66"/>
      <c r="B464" s="66"/>
      <c r="C464" s="66"/>
      <c r="D464" s="66"/>
      <c r="G464" s="67"/>
      <c r="V464" s="67"/>
    </row>
    <row r="465">
      <c r="A465" s="66"/>
      <c r="B465" s="66"/>
      <c r="C465" s="66"/>
      <c r="D465" s="66"/>
      <c r="G465" s="67"/>
      <c r="V465" s="67"/>
    </row>
    <row r="466">
      <c r="A466" s="66"/>
      <c r="B466" s="66"/>
      <c r="C466" s="66"/>
      <c r="D466" s="66"/>
      <c r="G466" s="67"/>
      <c r="V466" s="67"/>
    </row>
    <row r="467">
      <c r="A467" s="66"/>
      <c r="B467" s="66"/>
      <c r="C467" s="66"/>
      <c r="D467" s="66"/>
      <c r="G467" s="67"/>
      <c r="V467" s="67"/>
    </row>
    <row r="468">
      <c r="A468" s="66"/>
      <c r="B468" s="66"/>
      <c r="C468" s="66"/>
      <c r="D468" s="66"/>
      <c r="G468" s="67"/>
      <c r="V468" s="67"/>
    </row>
    <row r="469">
      <c r="A469" s="66"/>
      <c r="B469" s="66"/>
      <c r="C469" s="66"/>
      <c r="D469" s="66"/>
      <c r="G469" s="67"/>
      <c r="V469" s="67"/>
    </row>
    <row r="470">
      <c r="A470" s="66"/>
      <c r="B470" s="66"/>
      <c r="C470" s="66"/>
      <c r="D470" s="66"/>
      <c r="G470" s="67"/>
      <c r="V470" s="67"/>
    </row>
    <row r="471">
      <c r="A471" s="66"/>
      <c r="B471" s="66"/>
      <c r="C471" s="66"/>
      <c r="D471" s="66"/>
      <c r="G471" s="67"/>
      <c r="V471" s="67"/>
    </row>
    <row r="472">
      <c r="A472" s="66"/>
      <c r="B472" s="66"/>
      <c r="C472" s="66"/>
      <c r="D472" s="66"/>
      <c r="G472" s="67"/>
      <c r="V472" s="67"/>
    </row>
    <row r="473">
      <c r="A473" s="66"/>
      <c r="B473" s="66"/>
      <c r="C473" s="66"/>
      <c r="D473" s="66"/>
      <c r="G473" s="67"/>
      <c r="V473" s="67"/>
    </row>
    <row r="474">
      <c r="A474" s="66"/>
      <c r="B474" s="66"/>
      <c r="C474" s="66"/>
      <c r="D474" s="66"/>
      <c r="G474" s="67"/>
      <c r="V474" s="67"/>
    </row>
    <row r="475">
      <c r="A475" s="66"/>
      <c r="B475" s="66"/>
      <c r="C475" s="66"/>
      <c r="D475" s="66"/>
      <c r="G475" s="67"/>
      <c r="V475" s="67"/>
    </row>
    <row r="476">
      <c r="A476" s="66"/>
      <c r="B476" s="66"/>
      <c r="C476" s="66"/>
      <c r="D476" s="66"/>
      <c r="G476" s="67"/>
      <c r="V476" s="67"/>
    </row>
    <row r="477">
      <c r="A477" s="66"/>
      <c r="B477" s="66"/>
      <c r="C477" s="66"/>
      <c r="D477" s="66"/>
      <c r="G477" s="67"/>
      <c r="V477" s="67"/>
    </row>
    <row r="478">
      <c r="A478" s="66"/>
      <c r="B478" s="66"/>
      <c r="C478" s="66"/>
      <c r="D478" s="66"/>
      <c r="G478" s="67"/>
      <c r="V478" s="67"/>
    </row>
    <row r="479">
      <c r="A479" s="66"/>
      <c r="B479" s="66"/>
      <c r="C479" s="66"/>
      <c r="D479" s="66"/>
      <c r="G479" s="67"/>
      <c r="V479" s="67"/>
    </row>
    <row r="480">
      <c r="A480" s="66"/>
      <c r="B480" s="66"/>
      <c r="C480" s="66"/>
      <c r="D480" s="66"/>
      <c r="G480" s="67"/>
      <c r="V480" s="67"/>
    </row>
    <row r="481">
      <c r="A481" s="66"/>
      <c r="B481" s="66"/>
      <c r="C481" s="66"/>
      <c r="D481" s="66"/>
      <c r="G481" s="67"/>
      <c r="V481" s="67"/>
    </row>
    <row r="482">
      <c r="A482" s="66"/>
      <c r="B482" s="66"/>
      <c r="C482" s="66"/>
      <c r="D482" s="66"/>
      <c r="G482" s="67"/>
      <c r="V482" s="67"/>
    </row>
    <row r="483">
      <c r="A483" s="66"/>
      <c r="B483" s="66"/>
      <c r="C483" s="66"/>
      <c r="D483" s="66"/>
      <c r="G483" s="67"/>
      <c r="V483" s="67"/>
    </row>
    <row r="484">
      <c r="A484" s="66"/>
      <c r="B484" s="66"/>
      <c r="C484" s="66"/>
      <c r="D484" s="66"/>
      <c r="G484" s="67"/>
      <c r="V484" s="67"/>
    </row>
    <row r="485">
      <c r="A485" s="66"/>
      <c r="B485" s="66"/>
      <c r="C485" s="66"/>
      <c r="D485" s="66"/>
      <c r="G485" s="67"/>
      <c r="V485" s="67"/>
    </row>
    <row r="486">
      <c r="A486" s="66"/>
      <c r="B486" s="66"/>
      <c r="C486" s="66"/>
      <c r="D486" s="66"/>
      <c r="G486" s="67"/>
      <c r="V486" s="67"/>
    </row>
    <row r="487">
      <c r="A487" s="66"/>
      <c r="B487" s="66"/>
      <c r="C487" s="66"/>
      <c r="D487" s="66"/>
      <c r="G487" s="67"/>
      <c r="V487" s="67"/>
    </row>
    <row r="488">
      <c r="A488" s="66"/>
      <c r="B488" s="66"/>
      <c r="C488" s="66"/>
      <c r="D488" s="66"/>
      <c r="G488" s="67"/>
      <c r="V488" s="67"/>
    </row>
    <row r="489">
      <c r="A489" s="66"/>
      <c r="B489" s="66"/>
      <c r="C489" s="66"/>
      <c r="D489" s="66"/>
      <c r="G489" s="67"/>
      <c r="V489" s="67"/>
    </row>
    <row r="490">
      <c r="A490" s="66"/>
      <c r="B490" s="66"/>
      <c r="C490" s="66"/>
      <c r="D490" s="66"/>
      <c r="G490" s="67"/>
      <c r="V490" s="67"/>
    </row>
    <row r="491">
      <c r="A491" s="66"/>
      <c r="B491" s="66"/>
      <c r="C491" s="66"/>
      <c r="D491" s="66"/>
      <c r="G491" s="67"/>
      <c r="V491" s="67"/>
    </row>
    <row r="492">
      <c r="A492" s="66"/>
      <c r="B492" s="66"/>
      <c r="C492" s="66"/>
      <c r="D492" s="66"/>
      <c r="G492" s="67"/>
      <c r="V492" s="67"/>
    </row>
    <row r="493">
      <c r="A493" s="66"/>
      <c r="B493" s="66"/>
      <c r="C493" s="66"/>
      <c r="D493" s="66"/>
      <c r="G493" s="67"/>
      <c r="V493" s="67"/>
    </row>
    <row r="494">
      <c r="A494" s="66"/>
      <c r="B494" s="66"/>
      <c r="C494" s="66"/>
      <c r="D494" s="66"/>
      <c r="G494" s="67"/>
      <c r="V494" s="67"/>
    </row>
    <row r="495">
      <c r="A495" s="66"/>
      <c r="B495" s="66"/>
      <c r="C495" s="66"/>
      <c r="D495" s="66"/>
      <c r="G495" s="67"/>
      <c r="V495" s="67"/>
    </row>
    <row r="496">
      <c r="A496" s="66"/>
      <c r="B496" s="66"/>
      <c r="C496" s="66"/>
      <c r="D496" s="66"/>
      <c r="G496" s="67"/>
      <c r="V496" s="67"/>
    </row>
    <row r="497">
      <c r="A497" s="66"/>
      <c r="B497" s="66"/>
      <c r="C497" s="66"/>
      <c r="D497" s="66"/>
      <c r="G497" s="67"/>
      <c r="V497" s="67"/>
    </row>
    <row r="498">
      <c r="A498" s="66"/>
      <c r="B498" s="66"/>
      <c r="C498" s="66"/>
      <c r="D498" s="66"/>
      <c r="G498" s="67"/>
      <c r="V498" s="67"/>
    </row>
    <row r="499">
      <c r="A499" s="66"/>
      <c r="B499" s="66"/>
      <c r="C499" s="66"/>
      <c r="D499" s="66"/>
      <c r="G499" s="67"/>
      <c r="V499" s="67"/>
    </row>
    <row r="500">
      <c r="A500" s="66"/>
      <c r="B500" s="66"/>
      <c r="C500" s="66"/>
      <c r="D500" s="66"/>
      <c r="G500" s="67"/>
      <c r="V500" s="67"/>
    </row>
    <row r="501">
      <c r="A501" s="66"/>
      <c r="B501" s="66"/>
      <c r="C501" s="66"/>
      <c r="D501" s="66"/>
      <c r="G501" s="67"/>
      <c r="V501" s="67"/>
    </row>
    <row r="502">
      <c r="A502" s="66"/>
      <c r="B502" s="66"/>
      <c r="C502" s="66"/>
      <c r="D502" s="66"/>
      <c r="G502" s="67"/>
      <c r="V502" s="67"/>
    </row>
    <row r="503">
      <c r="A503" s="66"/>
      <c r="B503" s="66"/>
      <c r="C503" s="66"/>
      <c r="D503" s="66"/>
      <c r="G503" s="67"/>
      <c r="V503" s="67"/>
    </row>
    <row r="504">
      <c r="A504" s="66"/>
      <c r="B504" s="66"/>
      <c r="C504" s="66"/>
      <c r="D504" s="66"/>
      <c r="G504" s="67"/>
      <c r="V504" s="67"/>
    </row>
    <row r="505">
      <c r="A505" s="66"/>
      <c r="B505" s="66"/>
      <c r="C505" s="66"/>
      <c r="D505" s="66"/>
      <c r="G505" s="67"/>
      <c r="V505" s="67"/>
    </row>
    <row r="506">
      <c r="A506" s="66"/>
      <c r="B506" s="66"/>
      <c r="C506" s="66"/>
      <c r="D506" s="66"/>
      <c r="G506" s="67"/>
      <c r="V506" s="67"/>
    </row>
    <row r="507">
      <c r="A507" s="66"/>
      <c r="B507" s="66"/>
      <c r="C507" s="66"/>
      <c r="D507" s="66"/>
      <c r="G507" s="67"/>
      <c r="V507" s="67"/>
    </row>
    <row r="508">
      <c r="A508" s="66"/>
      <c r="B508" s="66"/>
      <c r="C508" s="66"/>
      <c r="D508" s="66"/>
      <c r="G508" s="67"/>
      <c r="V508" s="67"/>
    </row>
    <row r="509">
      <c r="A509" s="66"/>
      <c r="B509" s="66"/>
      <c r="C509" s="66"/>
      <c r="D509" s="66"/>
      <c r="G509" s="67"/>
      <c r="V509" s="67"/>
    </row>
    <row r="510">
      <c r="A510" s="66"/>
      <c r="B510" s="66"/>
      <c r="C510" s="66"/>
      <c r="D510" s="66"/>
      <c r="G510" s="67"/>
      <c r="V510" s="67"/>
    </row>
    <row r="511">
      <c r="A511" s="66"/>
      <c r="B511" s="66"/>
      <c r="C511" s="66"/>
      <c r="D511" s="66"/>
      <c r="G511" s="67"/>
      <c r="V511" s="67"/>
    </row>
    <row r="512">
      <c r="A512" s="66"/>
      <c r="B512" s="66"/>
      <c r="C512" s="66"/>
      <c r="D512" s="66"/>
      <c r="G512" s="67"/>
      <c r="V512" s="67"/>
    </row>
    <row r="513">
      <c r="A513" s="66"/>
      <c r="B513" s="66"/>
      <c r="C513" s="66"/>
      <c r="D513" s="66"/>
      <c r="G513" s="67"/>
      <c r="V513" s="67"/>
    </row>
    <row r="514">
      <c r="A514" s="66"/>
      <c r="B514" s="66"/>
      <c r="C514" s="66"/>
      <c r="D514" s="66"/>
      <c r="G514" s="67"/>
      <c r="V514" s="67"/>
    </row>
    <row r="515">
      <c r="A515" s="66"/>
      <c r="B515" s="66"/>
      <c r="C515" s="66"/>
      <c r="D515" s="66"/>
      <c r="G515" s="67"/>
      <c r="V515" s="67"/>
    </row>
    <row r="516">
      <c r="A516" s="66"/>
      <c r="B516" s="66"/>
      <c r="C516" s="66"/>
      <c r="D516" s="66"/>
      <c r="G516" s="67"/>
      <c r="V516" s="67"/>
    </row>
    <row r="517">
      <c r="A517" s="66"/>
      <c r="B517" s="66"/>
      <c r="C517" s="66"/>
      <c r="D517" s="66"/>
      <c r="G517" s="67"/>
      <c r="V517" s="67"/>
    </row>
    <row r="518">
      <c r="A518" s="66"/>
      <c r="B518" s="66"/>
      <c r="C518" s="66"/>
      <c r="D518" s="66"/>
      <c r="G518" s="67"/>
      <c r="V518" s="67"/>
    </row>
    <row r="519">
      <c r="A519" s="66"/>
      <c r="B519" s="66"/>
      <c r="C519" s="66"/>
      <c r="D519" s="66"/>
      <c r="G519" s="67"/>
      <c r="V519" s="67"/>
    </row>
    <row r="520">
      <c r="A520" s="66"/>
      <c r="B520" s="66"/>
      <c r="C520" s="66"/>
      <c r="D520" s="66"/>
      <c r="G520" s="67"/>
      <c r="V520" s="67"/>
    </row>
    <row r="521">
      <c r="A521" s="66"/>
      <c r="B521" s="66"/>
      <c r="C521" s="66"/>
      <c r="D521" s="66"/>
      <c r="G521" s="67"/>
      <c r="V521" s="67"/>
    </row>
    <row r="522">
      <c r="A522" s="66"/>
      <c r="B522" s="66"/>
      <c r="C522" s="66"/>
      <c r="D522" s="66"/>
      <c r="G522" s="67"/>
      <c r="V522" s="67"/>
    </row>
    <row r="523">
      <c r="A523" s="66"/>
      <c r="B523" s="66"/>
      <c r="C523" s="66"/>
      <c r="D523" s="66"/>
      <c r="G523" s="67"/>
      <c r="V523" s="67"/>
    </row>
    <row r="524">
      <c r="A524" s="66"/>
      <c r="B524" s="66"/>
      <c r="C524" s="66"/>
      <c r="D524" s="66"/>
      <c r="G524" s="67"/>
      <c r="V524" s="67"/>
    </row>
    <row r="525">
      <c r="A525" s="66"/>
      <c r="B525" s="66"/>
      <c r="C525" s="66"/>
      <c r="D525" s="66"/>
      <c r="G525" s="67"/>
      <c r="V525" s="67"/>
    </row>
    <row r="526">
      <c r="A526" s="66"/>
      <c r="B526" s="66"/>
      <c r="C526" s="66"/>
      <c r="D526" s="66"/>
      <c r="G526" s="67"/>
      <c r="V526" s="67"/>
    </row>
    <row r="527">
      <c r="A527" s="66"/>
      <c r="B527" s="66"/>
      <c r="C527" s="66"/>
      <c r="D527" s="66"/>
      <c r="G527" s="67"/>
      <c r="V527" s="67"/>
    </row>
    <row r="528">
      <c r="A528" s="66"/>
      <c r="B528" s="66"/>
      <c r="C528" s="66"/>
      <c r="D528" s="66"/>
      <c r="G528" s="67"/>
      <c r="V528" s="67"/>
    </row>
    <row r="529">
      <c r="A529" s="66"/>
      <c r="B529" s="66"/>
      <c r="C529" s="66"/>
      <c r="D529" s="66"/>
      <c r="G529" s="67"/>
      <c r="V529" s="67"/>
    </row>
    <row r="530">
      <c r="A530" s="66"/>
      <c r="B530" s="66"/>
      <c r="C530" s="66"/>
      <c r="D530" s="66"/>
      <c r="G530" s="67"/>
      <c r="V530" s="67"/>
    </row>
    <row r="531">
      <c r="A531" s="66"/>
      <c r="B531" s="66"/>
      <c r="C531" s="66"/>
      <c r="D531" s="66"/>
      <c r="G531" s="67"/>
      <c r="V531" s="67"/>
    </row>
    <row r="532">
      <c r="A532" s="66"/>
      <c r="B532" s="66"/>
      <c r="C532" s="66"/>
      <c r="D532" s="66"/>
      <c r="G532" s="67"/>
      <c r="V532" s="67"/>
    </row>
    <row r="533">
      <c r="A533" s="66"/>
      <c r="B533" s="66"/>
      <c r="C533" s="66"/>
      <c r="D533" s="66"/>
      <c r="G533" s="67"/>
      <c r="V533" s="67"/>
    </row>
    <row r="534">
      <c r="A534" s="66"/>
      <c r="B534" s="66"/>
      <c r="C534" s="66"/>
      <c r="D534" s="66"/>
      <c r="G534" s="67"/>
      <c r="V534" s="67"/>
    </row>
    <row r="535">
      <c r="A535" s="66"/>
      <c r="B535" s="66"/>
      <c r="C535" s="66"/>
      <c r="D535" s="66"/>
      <c r="G535" s="67"/>
      <c r="V535" s="67"/>
    </row>
    <row r="536">
      <c r="A536" s="66"/>
      <c r="B536" s="66"/>
      <c r="C536" s="66"/>
      <c r="D536" s="66"/>
      <c r="G536" s="67"/>
      <c r="V536" s="67"/>
    </row>
    <row r="537">
      <c r="A537" s="66"/>
      <c r="B537" s="66"/>
      <c r="C537" s="66"/>
      <c r="D537" s="66"/>
      <c r="G537" s="67"/>
      <c r="V537" s="67"/>
    </row>
    <row r="538">
      <c r="A538" s="66"/>
      <c r="B538" s="66"/>
      <c r="C538" s="66"/>
      <c r="D538" s="66"/>
      <c r="G538" s="67"/>
      <c r="V538" s="67"/>
    </row>
    <row r="539">
      <c r="A539" s="66"/>
      <c r="B539" s="66"/>
      <c r="C539" s="66"/>
      <c r="D539" s="66"/>
      <c r="G539" s="67"/>
      <c r="V539" s="67"/>
    </row>
    <row r="540">
      <c r="A540" s="66"/>
      <c r="B540" s="66"/>
      <c r="C540" s="66"/>
      <c r="D540" s="66"/>
      <c r="G540" s="67"/>
      <c r="V540" s="67"/>
    </row>
    <row r="541">
      <c r="A541" s="66"/>
      <c r="B541" s="66"/>
      <c r="C541" s="66"/>
      <c r="D541" s="66"/>
      <c r="G541" s="67"/>
      <c r="V541" s="67"/>
    </row>
    <row r="542">
      <c r="A542" s="66"/>
      <c r="B542" s="66"/>
      <c r="C542" s="66"/>
      <c r="D542" s="66"/>
      <c r="G542" s="67"/>
      <c r="V542" s="67"/>
    </row>
    <row r="543">
      <c r="A543" s="66"/>
      <c r="B543" s="66"/>
      <c r="C543" s="66"/>
      <c r="D543" s="66"/>
      <c r="G543" s="67"/>
      <c r="V543" s="67"/>
    </row>
    <row r="544">
      <c r="A544" s="66"/>
      <c r="B544" s="66"/>
      <c r="C544" s="66"/>
      <c r="D544" s="66"/>
      <c r="G544" s="67"/>
      <c r="V544" s="67"/>
    </row>
    <row r="545">
      <c r="A545" s="66"/>
      <c r="B545" s="66"/>
      <c r="C545" s="66"/>
      <c r="D545" s="66"/>
      <c r="G545" s="67"/>
      <c r="V545" s="67"/>
    </row>
    <row r="546">
      <c r="A546" s="66"/>
      <c r="B546" s="66"/>
      <c r="C546" s="66"/>
      <c r="D546" s="66"/>
      <c r="G546" s="67"/>
      <c r="V546" s="67"/>
    </row>
    <row r="547">
      <c r="A547" s="66"/>
      <c r="B547" s="66"/>
      <c r="C547" s="66"/>
      <c r="D547" s="66"/>
      <c r="G547" s="67"/>
      <c r="V547" s="67"/>
    </row>
    <row r="548">
      <c r="A548" s="66"/>
      <c r="B548" s="66"/>
      <c r="C548" s="66"/>
      <c r="D548" s="66"/>
      <c r="G548" s="67"/>
      <c r="V548" s="67"/>
    </row>
    <row r="549">
      <c r="A549" s="66"/>
      <c r="B549" s="66"/>
      <c r="C549" s="66"/>
      <c r="D549" s="66"/>
      <c r="G549" s="67"/>
      <c r="V549" s="67"/>
    </row>
    <row r="550">
      <c r="A550" s="66"/>
      <c r="B550" s="66"/>
      <c r="C550" s="66"/>
      <c r="D550" s="66"/>
      <c r="G550" s="67"/>
      <c r="V550" s="67"/>
    </row>
    <row r="551">
      <c r="A551" s="66"/>
      <c r="B551" s="66"/>
      <c r="C551" s="66"/>
      <c r="D551" s="66"/>
      <c r="G551" s="67"/>
      <c r="V551" s="67"/>
    </row>
    <row r="552">
      <c r="A552" s="66"/>
      <c r="B552" s="66"/>
      <c r="C552" s="66"/>
      <c r="D552" s="66"/>
      <c r="G552" s="67"/>
      <c r="V552" s="67"/>
    </row>
    <row r="553">
      <c r="A553" s="66"/>
      <c r="B553" s="66"/>
      <c r="C553" s="66"/>
      <c r="D553" s="66"/>
      <c r="G553" s="67"/>
      <c r="V553" s="67"/>
    </row>
    <row r="554">
      <c r="A554" s="66"/>
      <c r="B554" s="66"/>
      <c r="C554" s="66"/>
      <c r="D554" s="66"/>
      <c r="G554" s="67"/>
      <c r="V554" s="67"/>
    </row>
    <row r="555">
      <c r="A555" s="66"/>
      <c r="B555" s="66"/>
      <c r="C555" s="66"/>
      <c r="D555" s="66"/>
      <c r="G555" s="67"/>
      <c r="V555" s="67"/>
    </row>
    <row r="556">
      <c r="A556" s="66"/>
      <c r="B556" s="66"/>
      <c r="C556" s="66"/>
      <c r="D556" s="66"/>
      <c r="G556" s="67"/>
      <c r="V556" s="67"/>
    </row>
    <row r="557">
      <c r="A557" s="66"/>
      <c r="B557" s="66"/>
      <c r="C557" s="66"/>
      <c r="D557" s="66"/>
      <c r="G557" s="67"/>
      <c r="V557" s="67"/>
    </row>
    <row r="558">
      <c r="A558" s="66"/>
      <c r="B558" s="66"/>
      <c r="C558" s="66"/>
      <c r="D558" s="66"/>
      <c r="G558" s="67"/>
      <c r="V558" s="67"/>
    </row>
    <row r="559">
      <c r="A559" s="66"/>
      <c r="B559" s="66"/>
      <c r="C559" s="66"/>
      <c r="D559" s="66"/>
      <c r="G559" s="67"/>
      <c r="V559" s="67"/>
    </row>
    <row r="560">
      <c r="A560" s="66"/>
      <c r="B560" s="66"/>
      <c r="C560" s="66"/>
      <c r="D560" s="66"/>
      <c r="G560" s="67"/>
      <c r="V560" s="67"/>
    </row>
    <row r="561">
      <c r="A561" s="66"/>
      <c r="B561" s="66"/>
      <c r="C561" s="66"/>
      <c r="D561" s="66"/>
      <c r="G561" s="67"/>
      <c r="V561" s="67"/>
    </row>
    <row r="562">
      <c r="A562" s="66"/>
      <c r="B562" s="66"/>
      <c r="C562" s="66"/>
      <c r="D562" s="66"/>
      <c r="G562" s="67"/>
      <c r="V562" s="67"/>
    </row>
    <row r="563">
      <c r="A563" s="66"/>
      <c r="B563" s="66"/>
      <c r="C563" s="66"/>
      <c r="D563" s="66"/>
      <c r="G563" s="67"/>
      <c r="V563" s="67"/>
    </row>
    <row r="564">
      <c r="A564" s="66"/>
      <c r="B564" s="66"/>
      <c r="C564" s="66"/>
      <c r="D564" s="66"/>
      <c r="G564" s="67"/>
      <c r="V564" s="67"/>
    </row>
    <row r="565">
      <c r="A565" s="66"/>
      <c r="B565" s="66"/>
      <c r="C565" s="66"/>
      <c r="D565" s="66"/>
      <c r="G565" s="67"/>
      <c r="V565" s="67"/>
    </row>
    <row r="566">
      <c r="A566" s="66"/>
      <c r="B566" s="66"/>
      <c r="C566" s="66"/>
      <c r="D566" s="66"/>
      <c r="G566" s="67"/>
      <c r="V566" s="67"/>
    </row>
    <row r="567">
      <c r="A567" s="66"/>
      <c r="B567" s="66"/>
      <c r="C567" s="66"/>
      <c r="D567" s="66"/>
      <c r="G567" s="67"/>
      <c r="V567" s="67"/>
    </row>
    <row r="568">
      <c r="A568" s="66"/>
      <c r="B568" s="66"/>
      <c r="C568" s="66"/>
      <c r="D568" s="66"/>
      <c r="G568" s="67"/>
      <c r="V568" s="67"/>
    </row>
    <row r="569">
      <c r="A569" s="66"/>
      <c r="B569" s="66"/>
      <c r="C569" s="66"/>
      <c r="D569" s="66"/>
      <c r="G569" s="67"/>
      <c r="V569" s="67"/>
    </row>
    <row r="570">
      <c r="A570" s="66"/>
      <c r="B570" s="66"/>
      <c r="C570" s="66"/>
      <c r="D570" s="66"/>
      <c r="G570" s="67"/>
      <c r="V570" s="67"/>
    </row>
    <row r="571">
      <c r="A571" s="66"/>
      <c r="B571" s="66"/>
      <c r="C571" s="66"/>
      <c r="D571" s="66"/>
      <c r="G571" s="67"/>
      <c r="V571" s="67"/>
    </row>
    <row r="572">
      <c r="A572" s="66"/>
      <c r="B572" s="66"/>
      <c r="C572" s="66"/>
      <c r="D572" s="66"/>
      <c r="G572" s="67"/>
      <c r="V572" s="67"/>
    </row>
    <row r="573">
      <c r="A573" s="66"/>
      <c r="B573" s="66"/>
      <c r="C573" s="66"/>
      <c r="D573" s="66"/>
      <c r="G573" s="67"/>
      <c r="V573" s="67"/>
    </row>
    <row r="574">
      <c r="A574" s="66"/>
      <c r="B574" s="66"/>
      <c r="C574" s="66"/>
      <c r="D574" s="66"/>
      <c r="G574" s="67"/>
      <c r="V574" s="67"/>
    </row>
    <row r="575">
      <c r="A575" s="66"/>
      <c r="B575" s="66"/>
      <c r="C575" s="66"/>
      <c r="D575" s="66"/>
      <c r="G575" s="67"/>
      <c r="V575" s="67"/>
    </row>
    <row r="576">
      <c r="A576" s="66"/>
      <c r="B576" s="66"/>
      <c r="C576" s="66"/>
      <c r="D576" s="66"/>
      <c r="G576" s="67"/>
      <c r="V576" s="67"/>
    </row>
    <row r="577">
      <c r="A577" s="66"/>
      <c r="B577" s="66"/>
      <c r="C577" s="66"/>
      <c r="D577" s="66"/>
      <c r="G577" s="67"/>
      <c r="V577" s="67"/>
    </row>
    <row r="578">
      <c r="A578" s="66"/>
      <c r="B578" s="66"/>
      <c r="C578" s="66"/>
      <c r="D578" s="66"/>
      <c r="G578" s="67"/>
      <c r="V578" s="67"/>
    </row>
    <row r="579">
      <c r="A579" s="66"/>
      <c r="B579" s="66"/>
      <c r="C579" s="66"/>
      <c r="D579" s="66"/>
      <c r="G579" s="67"/>
      <c r="V579" s="67"/>
    </row>
    <row r="580">
      <c r="A580" s="66"/>
      <c r="B580" s="66"/>
      <c r="C580" s="66"/>
      <c r="D580" s="66"/>
      <c r="G580" s="67"/>
      <c r="V580" s="67"/>
    </row>
    <row r="581">
      <c r="A581" s="66"/>
      <c r="B581" s="66"/>
      <c r="C581" s="66"/>
      <c r="D581" s="66"/>
      <c r="G581" s="67"/>
      <c r="V581" s="67"/>
    </row>
    <row r="582">
      <c r="A582" s="66"/>
      <c r="B582" s="66"/>
      <c r="C582" s="66"/>
      <c r="D582" s="66"/>
      <c r="G582" s="67"/>
      <c r="V582" s="67"/>
    </row>
    <row r="583">
      <c r="A583" s="66"/>
      <c r="B583" s="66"/>
      <c r="C583" s="66"/>
      <c r="D583" s="66"/>
      <c r="G583" s="67"/>
      <c r="V583" s="67"/>
    </row>
    <row r="584">
      <c r="A584" s="66"/>
      <c r="B584" s="66"/>
      <c r="C584" s="66"/>
      <c r="D584" s="66"/>
      <c r="G584" s="67"/>
      <c r="V584" s="67"/>
    </row>
    <row r="585">
      <c r="A585" s="66"/>
      <c r="B585" s="66"/>
      <c r="C585" s="66"/>
      <c r="D585" s="66"/>
      <c r="G585" s="67"/>
      <c r="V585" s="67"/>
    </row>
    <row r="586">
      <c r="A586" s="66"/>
      <c r="B586" s="66"/>
      <c r="C586" s="66"/>
      <c r="D586" s="66"/>
      <c r="G586" s="67"/>
      <c r="V586" s="67"/>
    </row>
    <row r="587">
      <c r="A587" s="66"/>
      <c r="B587" s="66"/>
      <c r="C587" s="66"/>
      <c r="D587" s="66"/>
      <c r="G587" s="67"/>
      <c r="V587" s="67"/>
    </row>
    <row r="588">
      <c r="A588" s="66"/>
      <c r="B588" s="66"/>
      <c r="C588" s="66"/>
      <c r="D588" s="66"/>
      <c r="G588" s="67"/>
      <c r="V588" s="67"/>
    </row>
    <row r="589">
      <c r="A589" s="66"/>
      <c r="B589" s="66"/>
      <c r="C589" s="66"/>
      <c r="D589" s="66"/>
      <c r="G589" s="67"/>
      <c r="V589" s="67"/>
    </row>
    <row r="590">
      <c r="A590" s="66"/>
      <c r="B590" s="66"/>
      <c r="C590" s="66"/>
      <c r="D590" s="66"/>
      <c r="G590" s="67"/>
      <c r="V590" s="67"/>
    </row>
    <row r="591">
      <c r="A591" s="66"/>
      <c r="B591" s="66"/>
      <c r="C591" s="66"/>
      <c r="D591" s="66"/>
      <c r="G591" s="67"/>
      <c r="V591" s="67"/>
    </row>
    <row r="592">
      <c r="A592" s="66"/>
      <c r="B592" s="66"/>
      <c r="C592" s="66"/>
      <c r="D592" s="66"/>
      <c r="G592" s="67"/>
      <c r="V592" s="67"/>
    </row>
    <row r="593">
      <c r="A593" s="66"/>
      <c r="B593" s="66"/>
      <c r="C593" s="66"/>
      <c r="D593" s="66"/>
      <c r="G593" s="67"/>
      <c r="V593" s="67"/>
    </row>
    <row r="594">
      <c r="A594" s="66"/>
      <c r="B594" s="66"/>
      <c r="C594" s="66"/>
      <c r="D594" s="66"/>
      <c r="G594" s="67"/>
      <c r="V594" s="67"/>
    </row>
    <row r="595">
      <c r="A595" s="66"/>
      <c r="B595" s="66"/>
      <c r="C595" s="66"/>
      <c r="D595" s="66"/>
      <c r="G595" s="67"/>
      <c r="V595" s="67"/>
    </row>
    <row r="596">
      <c r="A596" s="66"/>
      <c r="B596" s="66"/>
      <c r="C596" s="66"/>
      <c r="D596" s="66"/>
      <c r="G596" s="67"/>
      <c r="V596" s="67"/>
    </row>
    <row r="597">
      <c r="A597" s="66"/>
      <c r="B597" s="66"/>
      <c r="C597" s="66"/>
      <c r="D597" s="66"/>
      <c r="G597" s="67"/>
      <c r="V597" s="67"/>
    </row>
    <row r="598">
      <c r="A598" s="66"/>
      <c r="B598" s="66"/>
      <c r="C598" s="66"/>
      <c r="D598" s="66"/>
      <c r="G598" s="67"/>
      <c r="V598" s="67"/>
    </row>
    <row r="599">
      <c r="A599" s="66"/>
      <c r="B599" s="66"/>
      <c r="C599" s="66"/>
      <c r="D599" s="66"/>
      <c r="G599" s="67"/>
      <c r="V599" s="67"/>
    </row>
    <row r="600">
      <c r="A600" s="66"/>
      <c r="B600" s="66"/>
      <c r="C600" s="66"/>
      <c r="D600" s="66"/>
      <c r="G600" s="67"/>
      <c r="V600" s="67"/>
    </row>
    <row r="601">
      <c r="A601" s="66"/>
      <c r="B601" s="66"/>
      <c r="C601" s="66"/>
      <c r="D601" s="66"/>
      <c r="G601" s="67"/>
      <c r="V601" s="67"/>
    </row>
    <row r="602">
      <c r="A602" s="66"/>
      <c r="B602" s="66"/>
      <c r="C602" s="66"/>
      <c r="D602" s="66"/>
      <c r="G602" s="67"/>
      <c r="V602" s="67"/>
    </row>
    <row r="603">
      <c r="A603" s="66"/>
      <c r="B603" s="66"/>
      <c r="C603" s="66"/>
      <c r="D603" s="66"/>
      <c r="G603" s="67"/>
      <c r="V603" s="67"/>
    </row>
    <row r="604">
      <c r="A604" s="66"/>
      <c r="B604" s="66"/>
      <c r="C604" s="66"/>
      <c r="D604" s="66"/>
      <c r="G604" s="67"/>
      <c r="V604" s="67"/>
    </row>
    <row r="605">
      <c r="A605" s="66"/>
      <c r="B605" s="66"/>
      <c r="C605" s="66"/>
      <c r="D605" s="66"/>
      <c r="G605" s="67"/>
      <c r="V605" s="67"/>
    </row>
    <row r="606">
      <c r="A606" s="66"/>
      <c r="B606" s="66"/>
      <c r="C606" s="66"/>
      <c r="D606" s="66"/>
      <c r="G606" s="67"/>
      <c r="V606" s="67"/>
    </row>
    <row r="607">
      <c r="A607" s="66"/>
      <c r="B607" s="66"/>
      <c r="C607" s="66"/>
      <c r="D607" s="66"/>
      <c r="G607" s="67"/>
      <c r="V607" s="67"/>
    </row>
    <row r="608">
      <c r="A608" s="66"/>
      <c r="B608" s="66"/>
      <c r="C608" s="66"/>
      <c r="D608" s="66"/>
      <c r="G608" s="67"/>
      <c r="V608" s="67"/>
    </row>
    <row r="609">
      <c r="A609" s="66"/>
      <c r="B609" s="66"/>
      <c r="C609" s="66"/>
      <c r="D609" s="66"/>
      <c r="G609" s="67"/>
      <c r="V609" s="67"/>
    </row>
    <row r="610">
      <c r="A610" s="66"/>
      <c r="B610" s="66"/>
      <c r="C610" s="66"/>
      <c r="D610" s="66"/>
      <c r="G610" s="67"/>
      <c r="V610" s="67"/>
    </row>
    <row r="611">
      <c r="A611" s="66"/>
      <c r="B611" s="66"/>
      <c r="C611" s="66"/>
      <c r="D611" s="66"/>
      <c r="G611" s="67"/>
      <c r="V611" s="67"/>
    </row>
    <row r="612">
      <c r="A612" s="66"/>
      <c r="B612" s="66"/>
      <c r="C612" s="66"/>
      <c r="D612" s="66"/>
      <c r="G612" s="67"/>
      <c r="V612" s="67"/>
    </row>
    <row r="613">
      <c r="A613" s="66"/>
      <c r="B613" s="66"/>
      <c r="C613" s="66"/>
      <c r="D613" s="66"/>
      <c r="G613" s="67"/>
      <c r="V613" s="67"/>
    </row>
    <row r="614">
      <c r="A614" s="66"/>
      <c r="B614" s="66"/>
      <c r="C614" s="66"/>
      <c r="D614" s="66"/>
      <c r="G614" s="67"/>
      <c r="V614" s="67"/>
    </row>
    <row r="615">
      <c r="A615" s="66"/>
      <c r="B615" s="66"/>
      <c r="C615" s="66"/>
      <c r="D615" s="66"/>
      <c r="G615" s="67"/>
      <c r="V615" s="67"/>
    </row>
    <row r="616">
      <c r="A616" s="66"/>
      <c r="B616" s="66"/>
      <c r="C616" s="66"/>
      <c r="D616" s="66"/>
      <c r="G616" s="67"/>
      <c r="V616" s="67"/>
    </row>
    <row r="617">
      <c r="A617" s="66"/>
      <c r="B617" s="66"/>
      <c r="C617" s="66"/>
      <c r="D617" s="66"/>
      <c r="G617" s="67"/>
      <c r="V617" s="67"/>
    </row>
    <row r="618">
      <c r="A618" s="66"/>
      <c r="B618" s="66"/>
      <c r="C618" s="66"/>
      <c r="D618" s="66"/>
      <c r="G618" s="67"/>
      <c r="V618" s="67"/>
    </row>
    <row r="619">
      <c r="A619" s="66"/>
      <c r="B619" s="66"/>
      <c r="C619" s="66"/>
      <c r="D619" s="66"/>
      <c r="G619" s="67"/>
      <c r="V619" s="67"/>
    </row>
    <row r="620">
      <c r="A620" s="66"/>
      <c r="B620" s="66"/>
      <c r="C620" s="66"/>
      <c r="D620" s="66"/>
      <c r="G620" s="67"/>
      <c r="V620" s="67"/>
    </row>
    <row r="621">
      <c r="A621" s="66"/>
      <c r="B621" s="66"/>
      <c r="C621" s="66"/>
      <c r="D621" s="66"/>
      <c r="G621" s="67"/>
      <c r="V621" s="67"/>
    </row>
    <row r="622">
      <c r="A622" s="66"/>
      <c r="B622" s="66"/>
      <c r="C622" s="66"/>
      <c r="D622" s="66"/>
      <c r="G622" s="67"/>
      <c r="V622" s="67"/>
    </row>
    <row r="623">
      <c r="A623" s="66"/>
      <c r="B623" s="66"/>
      <c r="C623" s="66"/>
      <c r="D623" s="66"/>
      <c r="G623" s="67"/>
      <c r="V623" s="67"/>
    </row>
    <row r="624">
      <c r="A624" s="66"/>
      <c r="B624" s="66"/>
      <c r="C624" s="66"/>
      <c r="D624" s="66"/>
      <c r="G624" s="67"/>
      <c r="V624" s="67"/>
    </row>
    <row r="625">
      <c r="A625" s="66"/>
      <c r="B625" s="66"/>
      <c r="C625" s="66"/>
      <c r="D625" s="66"/>
      <c r="G625" s="67"/>
      <c r="V625" s="67"/>
    </row>
    <row r="626">
      <c r="A626" s="66"/>
      <c r="B626" s="66"/>
      <c r="C626" s="66"/>
      <c r="D626" s="66"/>
      <c r="G626" s="67"/>
      <c r="V626" s="67"/>
    </row>
    <row r="627">
      <c r="A627" s="66"/>
      <c r="B627" s="66"/>
      <c r="C627" s="66"/>
      <c r="D627" s="66"/>
      <c r="G627" s="67"/>
      <c r="V627" s="67"/>
    </row>
    <row r="628">
      <c r="A628" s="66"/>
      <c r="B628" s="66"/>
      <c r="C628" s="66"/>
      <c r="D628" s="66"/>
      <c r="G628" s="67"/>
      <c r="V628" s="67"/>
    </row>
    <row r="629">
      <c r="A629" s="66"/>
      <c r="B629" s="66"/>
      <c r="C629" s="66"/>
      <c r="D629" s="66"/>
      <c r="G629" s="67"/>
      <c r="V629" s="67"/>
    </row>
    <row r="630">
      <c r="A630" s="66"/>
      <c r="B630" s="66"/>
      <c r="C630" s="66"/>
      <c r="D630" s="66"/>
      <c r="G630" s="67"/>
      <c r="V630" s="67"/>
    </row>
    <row r="631">
      <c r="A631" s="66"/>
      <c r="B631" s="66"/>
      <c r="C631" s="66"/>
      <c r="D631" s="66"/>
      <c r="G631" s="67"/>
      <c r="V631" s="67"/>
    </row>
    <row r="632">
      <c r="A632" s="66"/>
      <c r="B632" s="66"/>
      <c r="C632" s="66"/>
      <c r="D632" s="66"/>
      <c r="G632" s="67"/>
      <c r="V632" s="67"/>
    </row>
    <row r="633">
      <c r="A633" s="66"/>
      <c r="B633" s="66"/>
      <c r="C633" s="66"/>
      <c r="D633" s="66"/>
      <c r="G633" s="67"/>
      <c r="V633" s="67"/>
    </row>
    <row r="634">
      <c r="A634" s="66"/>
      <c r="B634" s="66"/>
      <c r="C634" s="66"/>
      <c r="D634" s="66"/>
      <c r="G634" s="67"/>
      <c r="V634" s="67"/>
    </row>
    <row r="635">
      <c r="A635" s="66"/>
      <c r="B635" s="66"/>
      <c r="C635" s="66"/>
      <c r="D635" s="66"/>
      <c r="G635" s="67"/>
      <c r="V635" s="67"/>
    </row>
    <row r="636">
      <c r="A636" s="66"/>
      <c r="B636" s="66"/>
      <c r="C636" s="66"/>
      <c r="D636" s="66"/>
      <c r="G636" s="67"/>
      <c r="V636" s="67"/>
    </row>
    <row r="637">
      <c r="A637" s="66"/>
      <c r="B637" s="66"/>
      <c r="C637" s="66"/>
      <c r="D637" s="66"/>
      <c r="G637" s="67"/>
      <c r="V637" s="67"/>
    </row>
    <row r="638">
      <c r="A638" s="66"/>
      <c r="B638" s="66"/>
      <c r="C638" s="66"/>
      <c r="D638" s="66"/>
      <c r="G638" s="67"/>
      <c r="V638" s="67"/>
    </row>
    <row r="639">
      <c r="A639" s="66"/>
      <c r="B639" s="66"/>
      <c r="C639" s="66"/>
      <c r="D639" s="66"/>
      <c r="G639" s="67"/>
      <c r="V639" s="67"/>
    </row>
    <row r="640">
      <c r="A640" s="66"/>
      <c r="B640" s="66"/>
      <c r="C640" s="66"/>
      <c r="D640" s="66"/>
      <c r="G640" s="67"/>
      <c r="V640" s="67"/>
    </row>
    <row r="641">
      <c r="A641" s="66"/>
      <c r="B641" s="66"/>
      <c r="C641" s="66"/>
      <c r="D641" s="66"/>
      <c r="G641" s="67"/>
      <c r="V641" s="67"/>
    </row>
    <row r="642">
      <c r="A642" s="66"/>
      <c r="B642" s="66"/>
      <c r="C642" s="66"/>
      <c r="D642" s="66"/>
      <c r="G642" s="67"/>
      <c r="V642" s="67"/>
    </row>
    <row r="643">
      <c r="A643" s="66"/>
      <c r="B643" s="66"/>
      <c r="C643" s="66"/>
      <c r="D643" s="66"/>
      <c r="G643" s="67"/>
      <c r="V643" s="67"/>
    </row>
    <row r="644">
      <c r="A644" s="66"/>
      <c r="B644" s="66"/>
      <c r="C644" s="66"/>
      <c r="D644" s="66"/>
      <c r="G644" s="67"/>
      <c r="V644" s="67"/>
    </row>
    <row r="645">
      <c r="A645" s="66"/>
      <c r="B645" s="66"/>
      <c r="C645" s="66"/>
      <c r="D645" s="66"/>
      <c r="G645" s="67"/>
      <c r="V645" s="67"/>
    </row>
    <row r="646">
      <c r="A646" s="66"/>
      <c r="B646" s="66"/>
      <c r="C646" s="66"/>
      <c r="D646" s="66"/>
      <c r="G646" s="67"/>
      <c r="V646" s="67"/>
    </row>
    <row r="647">
      <c r="A647" s="66"/>
      <c r="B647" s="66"/>
      <c r="C647" s="66"/>
      <c r="D647" s="66"/>
      <c r="G647" s="67"/>
      <c r="V647" s="67"/>
    </row>
    <row r="648">
      <c r="A648" s="66"/>
      <c r="B648" s="66"/>
      <c r="C648" s="66"/>
      <c r="D648" s="66"/>
      <c r="G648" s="67"/>
      <c r="V648" s="67"/>
    </row>
    <row r="649">
      <c r="A649" s="66"/>
      <c r="B649" s="66"/>
      <c r="C649" s="66"/>
      <c r="D649" s="66"/>
      <c r="G649" s="67"/>
      <c r="V649" s="67"/>
    </row>
    <row r="650">
      <c r="A650" s="66"/>
      <c r="B650" s="66"/>
      <c r="C650" s="66"/>
      <c r="D650" s="66"/>
      <c r="G650" s="67"/>
      <c r="V650" s="67"/>
    </row>
    <row r="651">
      <c r="A651" s="66"/>
      <c r="B651" s="66"/>
      <c r="C651" s="66"/>
      <c r="D651" s="66"/>
      <c r="G651" s="67"/>
      <c r="V651" s="67"/>
    </row>
    <row r="652">
      <c r="A652" s="66"/>
      <c r="B652" s="66"/>
      <c r="C652" s="66"/>
      <c r="D652" s="66"/>
      <c r="G652" s="67"/>
      <c r="V652" s="67"/>
    </row>
    <row r="653">
      <c r="A653" s="66"/>
      <c r="B653" s="66"/>
      <c r="C653" s="66"/>
      <c r="D653" s="66"/>
      <c r="G653" s="67"/>
      <c r="V653" s="67"/>
    </row>
    <row r="654">
      <c r="A654" s="66"/>
      <c r="B654" s="66"/>
      <c r="C654" s="66"/>
      <c r="D654" s="66"/>
      <c r="G654" s="67"/>
      <c r="V654" s="67"/>
    </row>
    <row r="655">
      <c r="A655" s="66"/>
      <c r="B655" s="66"/>
      <c r="C655" s="66"/>
      <c r="D655" s="66"/>
      <c r="G655" s="67"/>
      <c r="V655" s="67"/>
    </row>
    <row r="656">
      <c r="A656" s="66"/>
      <c r="B656" s="66"/>
      <c r="C656" s="66"/>
      <c r="D656" s="66"/>
      <c r="G656" s="67"/>
      <c r="V656" s="67"/>
    </row>
    <row r="657">
      <c r="A657" s="66"/>
      <c r="B657" s="66"/>
      <c r="C657" s="66"/>
      <c r="D657" s="66"/>
      <c r="G657" s="67"/>
      <c r="V657" s="67"/>
    </row>
    <row r="658">
      <c r="A658" s="66"/>
      <c r="B658" s="66"/>
      <c r="C658" s="66"/>
      <c r="D658" s="66"/>
      <c r="G658" s="67"/>
      <c r="V658" s="67"/>
    </row>
    <row r="659">
      <c r="A659" s="66"/>
      <c r="B659" s="66"/>
      <c r="C659" s="66"/>
      <c r="D659" s="66"/>
      <c r="G659" s="67"/>
      <c r="V659" s="67"/>
    </row>
    <row r="660">
      <c r="A660" s="66"/>
      <c r="B660" s="66"/>
      <c r="C660" s="66"/>
      <c r="D660" s="66"/>
      <c r="G660" s="67"/>
      <c r="V660" s="67"/>
    </row>
    <row r="661">
      <c r="A661" s="66"/>
      <c r="B661" s="66"/>
      <c r="C661" s="66"/>
      <c r="D661" s="66"/>
      <c r="G661" s="67"/>
      <c r="V661" s="67"/>
    </row>
    <row r="662">
      <c r="A662" s="66"/>
      <c r="B662" s="66"/>
      <c r="C662" s="66"/>
      <c r="D662" s="66"/>
      <c r="G662" s="67"/>
      <c r="V662" s="67"/>
    </row>
    <row r="663">
      <c r="A663" s="66"/>
      <c r="B663" s="66"/>
      <c r="C663" s="66"/>
      <c r="D663" s="66"/>
      <c r="G663" s="67"/>
      <c r="V663" s="67"/>
    </row>
    <row r="664">
      <c r="A664" s="66"/>
      <c r="B664" s="66"/>
      <c r="C664" s="66"/>
      <c r="D664" s="66"/>
      <c r="G664" s="67"/>
      <c r="V664" s="67"/>
    </row>
    <row r="665">
      <c r="A665" s="66"/>
      <c r="B665" s="66"/>
      <c r="C665" s="66"/>
      <c r="D665" s="66"/>
      <c r="G665" s="67"/>
      <c r="V665" s="67"/>
    </row>
    <row r="666">
      <c r="A666" s="66"/>
      <c r="B666" s="66"/>
      <c r="C666" s="66"/>
      <c r="D666" s="66"/>
      <c r="G666" s="67"/>
      <c r="V666" s="67"/>
    </row>
    <row r="667">
      <c r="A667" s="66"/>
      <c r="B667" s="66"/>
      <c r="C667" s="66"/>
      <c r="D667" s="66"/>
      <c r="G667" s="67"/>
      <c r="V667" s="67"/>
    </row>
    <row r="668">
      <c r="A668" s="66"/>
      <c r="B668" s="66"/>
      <c r="C668" s="66"/>
      <c r="D668" s="66"/>
      <c r="G668" s="67"/>
      <c r="V668" s="67"/>
    </row>
    <row r="669">
      <c r="A669" s="66"/>
      <c r="B669" s="66"/>
      <c r="C669" s="66"/>
      <c r="D669" s="66"/>
      <c r="G669" s="67"/>
      <c r="V669" s="67"/>
    </row>
    <row r="670">
      <c r="A670" s="66"/>
      <c r="B670" s="66"/>
      <c r="C670" s="66"/>
      <c r="D670" s="66"/>
      <c r="G670" s="67"/>
      <c r="V670" s="67"/>
    </row>
    <row r="671">
      <c r="A671" s="66"/>
      <c r="B671" s="66"/>
      <c r="C671" s="66"/>
      <c r="D671" s="66"/>
      <c r="G671" s="67"/>
      <c r="V671" s="67"/>
    </row>
    <row r="672">
      <c r="A672" s="66"/>
      <c r="B672" s="66"/>
      <c r="C672" s="66"/>
      <c r="D672" s="66"/>
      <c r="G672" s="67"/>
      <c r="V672" s="67"/>
    </row>
    <row r="673">
      <c r="A673" s="66"/>
      <c r="B673" s="66"/>
      <c r="C673" s="66"/>
      <c r="D673" s="66"/>
      <c r="G673" s="67"/>
      <c r="V673" s="67"/>
    </row>
    <row r="674">
      <c r="A674" s="66"/>
      <c r="B674" s="66"/>
      <c r="C674" s="66"/>
      <c r="D674" s="66"/>
      <c r="G674" s="67"/>
      <c r="V674" s="67"/>
    </row>
    <row r="675">
      <c r="A675" s="66"/>
      <c r="B675" s="66"/>
      <c r="C675" s="66"/>
      <c r="D675" s="66"/>
      <c r="G675" s="67"/>
      <c r="V675" s="67"/>
    </row>
    <row r="676">
      <c r="A676" s="66"/>
      <c r="B676" s="66"/>
      <c r="C676" s="66"/>
      <c r="D676" s="66"/>
      <c r="G676" s="67"/>
      <c r="V676" s="67"/>
    </row>
    <row r="677">
      <c r="A677" s="66"/>
      <c r="B677" s="66"/>
      <c r="C677" s="66"/>
      <c r="D677" s="66"/>
      <c r="G677" s="67"/>
      <c r="V677" s="67"/>
    </row>
    <row r="678">
      <c r="A678" s="66"/>
      <c r="B678" s="66"/>
      <c r="C678" s="66"/>
      <c r="D678" s="66"/>
      <c r="G678" s="67"/>
      <c r="V678" s="67"/>
    </row>
    <row r="679">
      <c r="A679" s="66"/>
      <c r="B679" s="66"/>
      <c r="C679" s="66"/>
      <c r="D679" s="66"/>
      <c r="G679" s="67"/>
      <c r="V679" s="67"/>
    </row>
    <row r="680">
      <c r="A680" s="66"/>
      <c r="B680" s="66"/>
      <c r="C680" s="66"/>
      <c r="D680" s="66"/>
      <c r="G680" s="67"/>
      <c r="V680" s="67"/>
    </row>
    <row r="681">
      <c r="A681" s="66"/>
      <c r="B681" s="66"/>
      <c r="C681" s="66"/>
      <c r="D681" s="66"/>
      <c r="G681" s="67"/>
      <c r="V681" s="67"/>
    </row>
    <row r="682">
      <c r="A682" s="66"/>
      <c r="B682" s="66"/>
      <c r="C682" s="66"/>
      <c r="D682" s="66"/>
      <c r="G682" s="67"/>
      <c r="V682" s="67"/>
    </row>
    <row r="683">
      <c r="A683" s="66"/>
      <c r="B683" s="66"/>
      <c r="C683" s="66"/>
      <c r="D683" s="66"/>
      <c r="G683" s="67"/>
      <c r="V683" s="67"/>
    </row>
    <row r="684">
      <c r="A684" s="66"/>
      <c r="B684" s="66"/>
      <c r="C684" s="66"/>
      <c r="D684" s="66"/>
      <c r="G684" s="67"/>
      <c r="V684" s="67"/>
    </row>
    <row r="685">
      <c r="A685" s="66"/>
      <c r="B685" s="66"/>
      <c r="C685" s="66"/>
      <c r="D685" s="66"/>
      <c r="G685" s="67"/>
      <c r="V685" s="67"/>
    </row>
    <row r="686">
      <c r="A686" s="66"/>
      <c r="B686" s="66"/>
      <c r="C686" s="66"/>
      <c r="D686" s="66"/>
      <c r="G686" s="67"/>
      <c r="V686" s="67"/>
    </row>
    <row r="687">
      <c r="A687" s="66"/>
      <c r="B687" s="66"/>
      <c r="C687" s="66"/>
      <c r="D687" s="66"/>
      <c r="G687" s="67"/>
      <c r="V687" s="67"/>
    </row>
    <row r="688">
      <c r="A688" s="66"/>
      <c r="B688" s="66"/>
      <c r="C688" s="66"/>
      <c r="D688" s="66"/>
      <c r="G688" s="67"/>
      <c r="V688" s="67"/>
    </row>
    <row r="689">
      <c r="A689" s="66"/>
      <c r="B689" s="66"/>
      <c r="C689" s="66"/>
      <c r="D689" s="66"/>
      <c r="G689" s="67"/>
      <c r="V689" s="67"/>
    </row>
    <row r="690">
      <c r="A690" s="66"/>
      <c r="B690" s="66"/>
      <c r="C690" s="66"/>
      <c r="D690" s="66"/>
      <c r="G690" s="67"/>
      <c r="V690" s="67"/>
    </row>
    <row r="691">
      <c r="A691" s="66"/>
      <c r="B691" s="66"/>
      <c r="C691" s="66"/>
      <c r="D691" s="66"/>
      <c r="G691" s="67"/>
      <c r="V691" s="67"/>
    </row>
    <row r="692">
      <c r="A692" s="66"/>
      <c r="B692" s="66"/>
      <c r="C692" s="66"/>
      <c r="D692" s="66"/>
      <c r="G692" s="67"/>
      <c r="V692" s="67"/>
    </row>
    <row r="693">
      <c r="A693" s="66"/>
      <c r="B693" s="66"/>
      <c r="C693" s="66"/>
      <c r="D693" s="66"/>
      <c r="G693" s="67"/>
      <c r="V693" s="67"/>
    </row>
    <row r="694">
      <c r="A694" s="66"/>
      <c r="B694" s="66"/>
      <c r="C694" s="66"/>
      <c r="D694" s="66"/>
      <c r="G694" s="67"/>
      <c r="V694" s="67"/>
    </row>
    <row r="695">
      <c r="A695" s="66"/>
      <c r="B695" s="66"/>
      <c r="C695" s="66"/>
      <c r="D695" s="66"/>
      <c r="G695" s="67"/>
      <c r="V695" s="67"/>
    </row>
    <row r="696">
      <c r="A696" s="66"/>
      <c r="B696" s="66"/>
      <c r="C696" s="66"/>
      <c r="D696" s="66"/>
      <c r="G696" s="67"/>
      <c r="V696" s="67"/>
    </row>
    <row r="697">
      <c r="A697" s="66"/>
      <c r="B697" s="66"/>
      <c r="C697" s="66"/>
      <c r="D697" s="66"/>
      <c r="G697" s="67"/>
      <c r="V697" s="67"/>
    </row>
    <row r="698">
      <c r="A698" s="66"/>
      <c r="B698" s="66"/>
      <c r="C698" s="66"/>
      <c r="D698" s="66"/>
      <c r="G698" s="67"/>
      <c r="V698" s="67"/>
    </row>
    <row r="699">
      <c r="A699" s="66"/>
      <c r="B699" s="66"/>
      <c r="C699" s="66"/>
      <c r="D699" s="66"/>
      <c r="G699" s="67"/>
      <c r="V699" s="67"/>
    </row>
    <row r="700">
      <c r="A700" s="66"/>
      <c r="B700" s="66"/>
      <c r="C700" s="66"/>
      <c r="D700" s="66"/>
      <c r="G700" s="67"/>
      <c r="V700" s="67"/>
    </row>
    <row r="701">
      <c r="A701" s="66"/>
      <c r="B701" s="66"/>
      <c r="C701" s="66"/>
      <c r="D701" s="66"/>
      <c r="G701" s="67"/>
      <c r="V701" s="67"/>
    </row>
    <row r="702">
      <c r="A702" s="66"/>
      <c r="B702" s="66"/>
      <c r="C702" s="66"/>
      <c r="D702" s="66"/>
      <c r="G702" s="67"/>
      <c r="V702" s="67"/>
    </row>
    <row r="703">
      <c r="A703" s="66"/>
      <c r="B703" s="66"/>
      <c r="C703" s="66"/>
      <c r="D703" s="66"/>
      <c r="G703" s="67"/>
      <c r="V703" s="67"/>
    </row>
    <row r="704">
      <c r="A704" s="66"/>
      <c r="B704" s="66"/>
      <c r="C704" s="66"/>
      <c r="D704" s="66"/>
      <c r="G704" s="67"/>
      <c r="V704" s="67"/>
    </row>
    <row r="705">
      <c r="A705" s="66"/>
      <c r="B705" s="66"/>
      <c r="C705" s="66"/>
      <c r="D705" s="66"/>
      <c r="G705" s="67"/>
      <c r="V705" s="67"/>
    </row>
    <row r="706">
      <c r="A706" s="66"/>
      <c r="B706" s="66"/>
      <c r="C706" s="66"/>
      <c r="D706" s="66"/>
      <c r="G706" s="67"/>
      <c r="V706" s="67"/>
    </row>
    <row r="707">
      <c r="A707" s="66"/>
      <c r="B707" s="66"/>
      <c r="C707" s="66"/>
      <c r="D707" s="66"/>
      <c r="G707" s="67"/>
      <c r="V707" s="67"/>
    </row>
    <row r="708">
      <c r="A708" s="66"/>
      <c r="B708" s="66"/>
      <c r="C708" s="66"/>
      <c r="D708" s="66"/>
      <c r="G708" s="67"/>
      <c r="V708" s="67"/>
    </row>
    <row r="709">
      <c r="A709" s="66"/>
      <c r="B709" s="66"/>
      <c r="C709" s="66"/>
      <c r="D709" s="66"/>
      <c r="G709" s="67"/>
      <c r="V709" s="67"/>
    </row>
    <row r="710">
      <c r="A710" s="66"/>
      <c r="B710" s="66"/>
      <c r="C710" s="66"/>
      <c r="D710" s="66"/>
      <c r="G710" s="67"/>
      <c r="V710" s="67"/>
    </row>
    <row r="711">
      <c r="A711" s="66"/>
      <c r="B711" s="66"/>
      <c r="C711" s="66"/>
      <c r="D711" s="66"/>
      <c r="G711" s="67"/>
      <c r="V711" s="67"/>
    </row>
    <row r="712">
      <c r="A712" s="66"/>
      <c r="B712" s="66"/>
      <c r="C712" s="66"/>
      <c r="D712" s="66"/>
      <c r="G712" s="67"/>
      <c r="V712" s="67"/>
    </row>
    <row r="713">
      <c r="A713" s="66"/>
      <c r="B713" s="66"/>
      <c r="C713" s="66"/>
      <c r="D713" s="66"/>
      <c r="G713" s="67"/>
      <c r="V713" s="67"/>
    </row>
    <row r="714">
      <c r="A714" s="66"/>
      <c r="B714" s="66"/>
      <c r="C714" s="66"/>
      <c r="D714" s="66"/>
      <c r="G714" s="67"/>
      <c r="V714" s="67"/>
    </row>
    <row r="715">
      <c r="A715" s="66"/>
      <c r="B715" s="66"/>
      <c r="C715" s="66"/>
      <c r="D715" s="66"/>
      <c r="G715" s="67"/>
      <c r="V715" s="67"/>
    </row>
    <row r="716">
      <c r="A716" s="66"/>
      <c r="B716" s="66"/>
      <c r="C716" s="66"/>
      <c r="D716" s="66"/>
      <c r="G716" s="67"/>
      <c r="V716" s="67"/>
    </row>
    <row r="717">
      <c r="A717" s="66"/>
      <c r="B717" s="66"/>
      <c r="C717" s="66"/>
      <c r="D717" s="66"/>
      <c r="G717" s="67"/>
      <c r="V717" s="67"/>
    </row>
    <row r="718">
      <c r="A718" s="66"/>
      <c r="B718" s="66"/>
      <c r="C718" s="66"/>
      <c r="D718" s="66"/>
      <c r="G718" s="67"/>
      <c r="V718" s="67"/>
    </row>
    <row r="719">
      <c r="A719" s="66"/>
      <c r="B719" s="66"/>
      <c r="C719" s="66"/>
      <c r="D719" s="66"/>
      <c r="G719" s="67"/>
      <c r="V719" s="67"/>
    </row>
    <row r="720">
      <c r="A720" s="66"/>
      <c r="B720" s="66"/>
      <c r="C720" s="66"/>
      <c r="D720" s="66"/>
      <c r="G720" s="67"/>
      <c r="V720" s="67"/>
    </row>
    <row r="721">
      <c r="A721" s="66"/>
      <c r="B721" s="66"/>
      <c r="C721" s="66"/>
      <c r="D721" s="66"/>
      <c r="G721" s="67"/>
      <c r="V721" s="67"/>
    </row>
    <row r="722">
      <c r="A722" s="66"/>
      <c r="B722" s="66"/>
      <c r="C722" s="66"/>
      <c r="D722" s="66"/>
      <c r="G722" s="67"/>
      <c r="V722" s="67"/>
    </row>
    <row r="723">
      <c r="A723" s="66"/>
      <c r="B723" s="66"/>
      <c r="C723" s="66"/>
      <c r="D723" s="66"/>
      <c r="G723" s="67"/>
      <c r="V723" s="67"/>
    </row>
    <row r="724">
      <c r="A724" s="66"/>
      <c r="B724" s="66"/>
      <c r="C724" s="66"/>
      <c r="D724" s="66"/>
      <c r="G724" s="67"/>
      <c r="V724" s="67"/>
    </row>
    <row r="725">
      <c r="A725" s="66"/>
      <c r="B725" s="66"/>
      <c r="C725" s="66"/>
      <c r="D725" s="66"/>
      <c r="G725" s="67"/>
      <c r="V725" s="67"/>
    </row>
    <row r="726">
      <c r="A726" s="66"/>
      <c r="B726" s="66"/>
      <c r="C726" s="66"/>
      <c r="D726" s="66"/>
      <c r="G726" s="67"/>
      <c r="V726" s="67"/>
    </row>
    <row r="727">
      <c r="A727" s="66"/>
      <c r="B727" s="66"/>
      <c r="C727" s="66"/>
      <c r="D727" s="66"/>
      <c r="G727" s="67"/>
      <c r="V727" s="67"/>
    </row>
    <row r="728">
      <c r="A728" s="66"/>
      <c r="B728" s="66"/>
      <c r="C728" s="66"/>
      <c r="D728" s="66"/>
      <c r="G728" s="67"/>
      <c r="V728" s="67"/>
    </row>
    <row r="729">
      <c r="A729" s="66"/>
      <c r="B729" s="66"/>
      <c r="C729" s="66"/>
      <c r="D729" s="66"/>
      <c r="G729" s="67"/>
      <c r="V729" s="67"/>
    </row>
    <row r="730">
      <c r="A730" s="66"/>
      <c r="B730" s="66"/>
      <c r="C730" s="66"/>
      <c r="D730" s="66"/>
      <c r="G730" s="67"/>
      <c r="V730" s="67"/>
    </row>
    <row r="731">
      <c r="A731" s="66"/>
      <c r="B731" s="66"/>
      <c r="C731" s="66"/>
      <c r="D731" s="66"/>
      <c r="G731" s="67"/>
      <c r="V731" s="67"/>
    </row>
    <row r="732">
      <c r="A732" s="66"/>
      <c r="B732" s="66"/>
      <c r="C732" s="66"/>
      <c r="D732" s="66"/>
      <c r="G732" s="67"/>
      <c r="V732" s="67"/>
    </row>
    <row r="733">
      <c r="A733" s="66"/>
      <c r="B733" s="66"/>
      <c r="C733" s="66"/>
      <c r="D733" s="66"/>
      <c r="G733" s="67"/>
      <c r="V733" s="67"/>
    </row>
    <row r="734">
      <c r="A734" s="66"/>
      <c r="B734" s="66"/>
      <c r="C734" s="66"/>
      <c r="D734" s="66"/>
      <c r="G734" s="67"/>
      <c r="V734" s="67"/>
    </row>
    <row r="735">
      <c r="A735" s="66"/>
      <c r="B735" s="66"/>
      <c r="C735" s="66"/>
      <c r="D735" s="66"/>
      <c r="G735" s="67"/>
      <c r="V735" s="67"/>
    </row>
    <row r="736">
      <c r="A736" s="66"/>
      <c r="B736" s="66"/>
      <c r="C736" s="66"/>
      <c r="D736" s="66"/>
      <c r="G736" s="67"/>
      <c r="V736" s="67"/>
    </row>
    <row r="737">
      <c r="A737" s="66"/>
      <c r="B737" s="66"/>
      <c r="C737" s="66"/>
      <c r="D737" s="66"/>
      <c r="G737" s="67"/>
      <c r="V737" s="67"/>
    </row>
    <row r="738">
      <c r="A738" s="66"/>
      <c r="B738" s="66"/>
      <c r="C738" s="66"/>
      <c r="D738" s="66"/>
      <c r="G738" s="67"/>
      <c r="V738" s="67"/>
    </row>
    <row r="739">
      <c r="A739" s="66"/>
      <c r="B739" s="66"/>
      <c r="C739" s="66"/>
      <c r="D739" s="66"/>
      <c r="G739" s="67"/>
      <c r="V739" s="67"/>
    </row>
    <row r="740">
      <c r="A740" s="66"/>
      <c r="B740" s="66"/>
      <c r="C740" s="66"/>
      <c r="D740" s="66"/>
      <c r="G740" s="67"/>
      <c r="V740" s="67"/>
    </row>
    <row r="741">
      <c r="A741" s="66"/>
      <c r="B741" s="66"/>
      <c r="C741" s="66"/>
      <c r="D741" s="66"/>
      <c r="G741" s="67"/>
      <c r="V741" s="67"/>
    </row>
    <row r="742">
      <c r="A742" s="66"/>
      <c r="B742" s="66"/>
      <c r="C742" s="66"/>
      <c r="D742" s="66"/>
      <c r="G742" s="67"/>
      <c r="V742" s="67"/>
    </row>
    <row r="743">
      <c r="A743" s="66"/>
      <c r="B743" s="66"/>
      <c r="C743" s="66"/>
      <c r="D743" s="66"/>
      <c r="G743" s="67"/>
      <c r="V743" s="67"/>
    </row>
    <row r="744">
      <c r="A744" s="66"/>
      <c r="B744" s="66"/>
      <c r="C744" s="66"/>
      <c r="D744" s="66"/>
      <c r="G744" s="67"/>
      <c r="V744" s="67"/>
    </row>
    <row r="745">
      <c r="A745" s="66"/>
      <c r="B745" s="66"/>
      <c r="C745" s="66"/>
      <c r="D745" s="66"/>
      <c r="G745" s="67"/>
      <c r="V745" s="67"/>
    </row>
    <row r="746">
      <c r="A746" s="66"/>
      <c r="B746" s="66"/>
      <c r="C746" s="66"/>
      <c r="D746" s="66"/>
      <c r="G746" s="67"/>
      <c r="V746" s="67"/>
    </row>
    <row r="747">
      <c r="A747" s="66"/>
      <c r="B747" s="66"/>
      <c r="C747" s="66"/>
      <c r="D747" s="66"/>
      <c r="G747" s="67"/>
      <c r="V747" s="67"/>
    </row>
    <row r="748">
      <c r="A748" s="66"/>
      <c r="B748" s="66"/>
      <c r="C748" s="66"/>
      <c r="D748" s="66"/>
      <c r="G748" s="67"/>
      <c r="V748" s="67"/>
    </row>
    <row r="749">
      <c r="A749" s="66"/>
      <c r="B749" s="66"/>
      <c r="C749" s="66"/>
      <c r="D749" s="66"/>
      <c r="G749" s="67"/>
      <c r="V749" s="67"/>
    </row>
    <row r="750">
      <c r="A750" s="66"/>
      <c r="B750" s="66"/>
      <c r="C750" s="66"/>
      <c r="D750" s="66"/>
      <c r="G750" s="67"/>
      <c r="V750" s="67"/>
    </row>
    <row r="751">
      <c r="A751" s="66"/>
      <c r="B751" s="66"/>
      <c r="C751" s="66"/>
      <c r="D751" s="66"/>
      <c r="G751" s="67"/>
      <c r="V751" s="67"/>
    </row>
    <row r="752">
      <c r="A752" s="66"/>
      <c r="B752" s="66"/>
      <c r="C752" s="66"/>
      <c r="D752" s="66"/>
      <c r="G752" s="67"/>
      <c r="V752" s="67"/>
    </row>
    <row r="753">
      <c r="A753" s="66"/>
      <c r="B753" s="66"/>
      <c r="C753" s="66"/>
      <c r="D753" s="66"/>
      <c r="G753" s="67"/>
      <c r="V753" s="67"/>
    </row>
    <row r="754">
      <c r="A754" s="66"/>
      <c r="B754" s="66"/>
      <c r="C754" s="66"/>
      <c r="D754" s="66"/>
      <c r="G754" s="67"/>
      <c r="V754" s="67"/>
    </row>
    <row r="755">
      <c r="A755" s="66"/>
      <c r="B755" s="66"/>
      <c r="C755" s="66"/>
      <c r="D755" s="66"/>
      <c r="G755" s="67"/>
      <c r="V755" s="67"/>
    </row>
    <row r="756">
      <c r="A756" s="66"/>
      <c r="B756" s="66"/>
      <c r="C756" s="66"/>
      <c r="D756" s="66"/>
      <c r="G756" s="67"/>
      <c r="V756" s="67"/>
    </row>
    <row r="757">
      <c r="A757" s="66"/>
      <c r="B757" s="66"/>
      <c r="C757" s="66"/>
      <c r="D757" s="66"/>
      <c r="G757" s="67"/>
      <c r="V757" s="67"/>
    </row>
    <row r="758">
      <c r="A758" s="66"/>
      <c r="B758" s="66"/>
      <c r="C758" s="66"/>
      <c r="D758" s="66"/>
      <c r="G758" s="67"/>
      <c r="V758" s="67"/>
    </row>
    <row r="759">
      <c r="A759" s="66"/>
      <c r="B759" s="66"/>
      <c r="C759" s="66"/>
      <c r="D759" s="66"/>
      <c r="G759" s="67"/>
      <c r="V759" s="67"/>
    </row>
    <row r="760">
      <c r="A760" s="66"/>
      <c r="B760" s="66"/>
      <c r="C760" s="66"/>
      <c r="D760" s="66"/>
      <c r="G760" s="67"/>
      <c r="V760" s="67"/>
    </row>
    <row r="761">
      <c r="A761" s="66"/>
      <c r="B761" s="66"/>
      <c r="C761" s="66"/>
      <c r="D761" s="66"/>
      <c r="G761" s="67"/>
      <c r="V761" s="67"/>
    </row>
    <row r="762">
      <c r="A762" s="66"/>
      <c r="B762" s="66"/>
      <c r="C762" s="66"/>
      <c r="D762" s="66"/>
      <c r="G762" s="67"/>
      <c r="V762" s="67"/>
    </row>
    <row r="763">
      <c r="A763" s="66"/>
      <c r="B763" s="66"/>
      <c r="C763" s="66"/>
      <c r="D763" s="66"/>
      <c r="G763" s="67"/>
      <c r="V763" s="67"/>
    </row>
    <row r="764">
      <c r="A764" s="66"/>
      <c r="B764" s="66"/>
      <c r="C764" s="66"/>
      <c r="D764" s="66"/>
      <c r="G764" s="67"/>
      <c r="V764" s="67"/>
    </row>
    <row r="765">
      <c r="A765" s="66"/>
      <c r="B765" s="66"/>
      <c r="C765" s="66"/>
      <c r="D765" s="66"/>
      <c r="G765" s="67"/>
      <c r="V765" s="67"/>
    </row>
    <row r="766">
      <c r="A766" s="66"/>
      <c r="B766" s="66"/>
      <c r="C766" s="66"/>
      <c r="D766" s="66"/>
      <c r="G766" s="67"/>
      <c r="V766" s="67"/>
    </row>
    <row r="767">
      <c r="A767" s="66"/>
      <c r="B767" s="66"/>
      <c r="C767" s="66"/>
      <c r="D767" s="66"/>
      <c r="G767" s="67"/>
      <c r="V767" s="67"/>
    </row>
    <row r="768">
      <c r="A768" s="66"/>
      <c r="B768" s="66"/>
      <c r="C768" s="66"/>
      <c r="D768" s="66"/>
      <c r="G768" s="67"/>
      <c r="V768" s="67"/>
    </row>
    <row r="769">
      <c r="A769" s="66"/>
      <c r="B769" s="66"/>
      <c r="C769" s="66"/>
      <c r="D769" s="66"/>
      <c r="G769" s="67"/>
      <c r="V769" s="67"/>
    </row>
    <row r="770">
      <c r="A770" s="66"/>
      <c r="B770" s="66"/>
      <c r="C770" s="66"/>
      <c r="D770" s="66"/>
      <c r="G770" s="67"/>
      <c r="V770" s="67"/>
    </row>
    <row r="771">
      <c r="A771" s="66"/>
      <c r="B771" s="66"/>
      <c r="C771" s="66"/>
      <c r="D771" s="66"/>
      <c r="G771" s="67"/>
      <c r="V771" s="67"/>
    </row>
    <row r="772">
      <c r="A772" s="66"/>
      <c r="B772" s="66"/>
      <c r="C772" s="66"/>
      <c r="D772" s="66"/>
      <c r="G772" s="67"/>
      <c r="V772" s="67"/>
    </row>
    <row r="773">
      <c r="A773" s="66"/>
      <c r="B773" s="66"/>
      <c r="C773" s="66"/>
      <c r="D773" s="66"/>
      <c r="G773" s="67"/>
      <c r="V773" s="67"/>
    </row>
    <row r="774">
      <c r="A774" s="66"/>
      <c r="B774" s="66"/>
      <c r="C774" s="66"/>
      <c r="D774" s="66"/>
      <c r="G774" s="67"/>
      <c r="V774" s="67"/>
    </row>
    <row r="775">
      <c r="A775" s="66"/>
      <c r="B775" s="66"/>
      <c r="C775" s="66"/>
      <c r="D775" s="66"/>
      <c r="G775" s="67"/>
      <c r="V775" s="67"/>
    </row>
    <row r="776">
      <c r="A776" s="66"/>
      <c r="B776" s="66"/>
      <c r="C776" s="66"/>
      <c r="D776" s="66"/>
      <c r="G776" s="67"/>
      <c r="V776" s="67"/>
    </row>
    <row r="777">
      <c r="A777" s="66"/>
      <c r="B777" s="66"/>
      <c r="C777" s="66"/>
      <c r="D777" s="66"/>
      <c r="G777" s="67"/>
      <c r="V777" s="67"/>
    </row>
    <row r="778">
      <c r="A778" s="66"/>
      <c r="B778" s="66"/>
      <c r="C778" s="66"/>
      <c r="D778" s="66"/>
      <c r="G778" s="67"/>
      <c r="V778" s="67"/>
    </row>
    <row r="779">
      <c r="A779" s="66"/>
      <c r="B779" s="66"/>
      <c r="C779" s="66"/>
      <c r="D779" s="66"/>
      <c r="G779" s="67"/>
      <c r="V779" s="67"/>
    </row>
    <row r="780">
      <c r="A780" s="66"/>
      <c r="B780" s="66"/>
      <c r="C780" s="66"/>
      <c r="D780" s="66"/>
      <c r="G780" s="67"/>
      <c r="V780" s="67"/>
    </row>
    <row r="781">
      <c r="A781" s="66"/>
      <c r="B781" s="66"/>
      <c r="C781" s="66"/>
      <c r="D781" s="66"/>
      <c r="G781" s="67"/>
      <c r="V781" s="67"/>
    </row>
    <row r="782">
      <c r="A782" s="66"/>
      <c r="B782" s="66"/>
      <c r="C782" s="66"/>
      <c r="D782" s="66"/>
      <c r="G782" s="67"/>
      <c r="V782" s="67"/>
    </row>
    <row r="783">
      <c r="A783" s="66"/>
      <c r="B783" s="66"/>
      <c r="C783" s="66"/>
      <c r="D783" s="66"/>
      <c r="G783" s="67"/>
      <c r="V783" s="67"/>
    </row>
    <row r="784">
      <c r="A784" s="66"/>
      <c r="B784" s="66"/>
      <c r="C784" s="66"/>
      <c r="D784" s="66"/>
      <c r="G784" s="67"/>
      <c r="V784" s="67"/>
    </row>
    <row r="785">
      <c r="A785" s="66"/>
      <c r="B785" s="66"/>
      <c r="C785" s="66"/>
      <c r="D785" s="66"/>
      <c r="G785" s="67"/>
      <c r="V785" s="67"/>
    </row>
    <row r="786">
      <c r="A786" s="66"/>
      <c r="B786" s="66"/>
      <c r="C786" s="66"/>
      <c r="D786" s="66"/>
      <c r="G786" s="67"/>
      <c r="V786" s="67"/>
    </row>
    <row r="787">
      <c r="A787" s="66"/>
      <c r="B787" s="66"/>
      <c r="C787" s="66"/>
      <c r="D787" s="66"/>
      <c r="G787" s="67"/>
      <c r="V787" s="67"/>
    </row>
    <row r="788">
      <c r="A788" s="66"/>
      <c r="B788" s="66"/>
      <c r="C788" s="66"/>
      <c r="D788" s="66"/>
      <c r="G788" s="67"/>
      <c r="V788" s="67"/>
    </row>
    <row r="789">
      <c r="A789" s="66"/>
      <c r="B789" s="66"/>
      <c r="C789" s="66"/>
      <c r="D789" s="66"/>
      <c r="G789" s="67"/>
      <c r="V789" s="67"/>
    </row>
    <row r="790">
      <c r="A790" s="66"/>
      <c r="B790" s="66"/>
      <c r="C790" s="66"/>
      <c r="D790" s="66"/>
      <c r="G790" s="67"/>
      <c r="V790" s="67"/>
    </row>
    <row r="791">
      <c r="A791" s="66"/>
      <c r="B791" s="66"/>
      <c r="C791" s="66"/>
      <c r="D791" s="66"/>
      <c r="G791" s="67"/>
      <c r="V791" s="67"/>
    </row>
    <row r="792">
      <c r="A792" s="66"/>
      <c r="B792" s="66"/>
      <c r="C792" s="66"/>
      <c r="D792" s="66"/>
      <c r="G792" s="67"/>
      <c r="V792" s="67"/>
    </row>
    <row r="793">
      <c r="A793" s="66"/>
      <c r="B793" s="66"/>
      <c r="C793" s="66"/>
      <c r="D793" s="66"/>
      <c r="G793" s="67"/>
      <c r="V793" s="67"/>
    </row>
    <row r="794">
      <c r="A794" s="66"/>
      <c r="B794" s="66"/>
      <c r="C794" s="66"/>
      <c r="D794" s="66"/>
      <c r="G794" s="67"/>
      <c r="V794" s="67"/>
    </row>
    <row r="795">
      <c r="A795" s="66"/>
      <c r="B795" s="66"/>
      <c r="C795" s="66"/>
      <c r="D795" s="66"/>
      <c r="G795" s="67"/>
      <c r="V795" s="67"/>
    </row>
    <row r="796">
      <c r="A796" s="66"/>
      <c r="B796" s="66"/>
      <c r="C796" s="66"/>
      <c r="D796" s="66"/>
      <c r="G796" s="67"/>
      <c r="V796" s="67"/>
    </row>
    <row r="797">
      <c r="A797" s="66"/>
      <c r="B797" s="66"/>
      <c r="C797" s="66"/>
      <c r="D797" s="66"/>
      <c r="G797" s="67"/>
      <c r="V797" s="67"/>
    </row>
    <row r="798">
      <c r="A798" s="66"/>
      <c r="B798" s="66"/>
      <c r="C798" s="66"/>
      <c r="D798" s="66"/>
      <c r="G798" s="67"/>
      <c r="V798" s="67"/>
    </row>
    <row r="799">
      <c r="A799" s="66"/>
      <c r="B799" s="66"/>
      <c r="C799" s="66"/>
      <c r="D799" s="66"/>
      <c r="G799" s="67"/>
      <c r="V799" s="67"/>
    </row>
    <row r="800">
      <c r="A800" s="66"/>
      <c r="B800" s="66"/>
      <c r="C800" s="66"/>
      <c r="D800" s="66"/>
      <c r="G800" s="67"/>
      <c r="V800" s="67"/>
    </row>
    <row r="801">
      <c r="A801" s="66"/>
      <c r="B801" s="66"/>
      <c r="C801" s="66"/>
      <c r="D801" s="66"/>
      <c r="G801" s="67"/>
      <c r="V801" s="67"/>
    </row>
    <row r="802">
      <c r="A802" s="66"/>
      <c r="B802" s="66"/>
      <c r="C802" s="66"/>
      <c r="D802" s="66"/>
      <c r="G802" s="67"/>
      <c r="V802" s="67"/>
    </row>
    <row r="803">
      <c r="A803" s="66"/>
      <c r="B803" s="66"/>
      <c r="C803" s="66"/>
      <c r="D803" s="66"/>
      <c r="G803" s="67"/>
      <c r="V803" s="67"/>
    </row>
    <row r="804">
      <c r="A804" s="66"/>
      <c r="B804" s="66"/>
      <c r="C804" s="66"/>
      <c r="D804" s="66"/>
      <c r="G804" s="67"/>
      <c r="V804" s="67"/>
    </row>
    <row r="805">
      <c r="A805" s="66"/>
      <c r="B805" s="66"/>
      <c r="C805" s="66"/>
      <c r="D805" s="66"/>
      <c r="G805" s="67"/>
      <c r="V805" s="67"/>
    </row>
    <row r="806">
      <c r="A806" s="66"/>
      <c r="B806" s="66"/>
      <c r="C806" s="66"/>
      <c r="D806" s="66"/>
      <c r="G806" s="67"/>
      <c r="V806" s="67"/>
    </row>
    <row r="807">
      <c r="A807" s="66"/>
      <c r="B807" s="66"/>
      <c r="C807" s="66"/>
      <c r="D807" s="66"/>
      <c r="G807" s="67"/>
      <c r="V807" s="67"/>
    </row>
    <row r="808">
      <c r="A808" s="66"/>
      <c r="B808" s="66"/>
      <c r="C808" s="66"/>
      <c r="D808" s="66"/>
      <c r="G808" s="67"/>
      <c r="V808" s="67"/>
    </row>
    <row r="809">
      <c r="A809" s="66"/>
      <c r="B809" s="66"/>
      <c r="C809" s="66"/>
      <c r="D809" s="66"/>
      <c r="G809" s="67"/>
      <c r="V809" s="67"/>
    </row>
    <row r="810">
      <c r="A810" s="66"/>
      <c r="B810" s="66"/>
      <c r="C810" s="66"/>
      <c r="D810" s="66"/>
      <c r="G810" s="67"/>
      <c r="V810" s="67"/>
    </row>
    <row r="811">
      <c r="A811" s="66"/>
      <c r="B811" s="66"/>
      <c r="C811" s="66"/>
      <c r="D811" s="66"/>
      <c r="G811" s="67"/>
      <c r="V811" s="67"/>
    </row>
    <row r="812">
      <c r="A812" s="66"/>
      <c r="B812" s="66"/>
      <c r="C812" s="66"/>
      <c r="D812" s="66"/>
      <c r="G812" s="67"/>
      <c r="V812" s="67"/>
    </row>
    <row r="813">
      <c r="A813" s="66"/>
      <c r="B813" s="66"/>
      <c r="C813" s="66"/>
      <c r="D813" s="66"/>
      <c r="G813" s="67"/>
      <c r="V813" s="67"/>
    </row>
    <row r="814">
      <c r="A814" s="66"/>
      <c r="B814" s="66"/>
      <c r="C814" s="66"/>
      <c r="D814" s="66"/>
      <c r="G814" s="67"/>
      <c r="V814" s="67"/>
    </row>
    <row r="815">
      <c r="A815" s="66"/>
      <c r="B815" s="66"/>
      <c r="C815" s="66"/>
      <c r="D815" s="66"/>
      <c r="G815" s="67"/>
      <c r="V815" s="67"/>
    </row>
    <row r="816">
      <c r="A816" s="66"/>
      <c r="B816" s="66"/>
      <c r="C816" s="66"/>
      <c r="D816" s="66"/>
      <c r="G816" s="67"/>
      <c r="V816" s="67"/>
    </row>
    <row r="817">
      <c r="A817" s="66"/>
      <c r="B817" s="66"/>
      <c r="C817" s="66"/>
      <c r="D817" s="66"/>
      <c r="G817" s="67"/>
      <c r="V817" s="67"/>
    </row>
    <row r="818">
      <c r="A818" s="66"/>
      <c r="B818" s="66"/>
      <c r="C818" s="66"/>
      <c r="D818" s="66"/>
      <c r="G818" s="67"/>
      <c r="V818" s="67"/>
    </row>
    <row r="819">
      <c r="A819" s="66"/>
      <c r="B819" s="66"/>
      <c r="C819" s="66"/>
      <c r="D819" s="66"/>
      <c r="G819" s="67"/>
      <c r="V819" s="67"/>
    </row>
    <row r="820">
      <c r="A820" s="66"/>
      <c r="B820" s="66"/>
      <c r="C820" s="66"/>
      <c r="D820" s="66"/>
      <c r="G820" s="67"/>
      <c r="V820" s="67"/>
    </row>
    <row r="821">
      <c r="A821" s="66"/>
      <c r="B821" s="66"/>
      <c r="C821" s="66"/>
      <c r="D821" s="66"/>
      <c r="G821" s="67"/>
      <c r="V821" s="67"/>
    </row>
    <row r="822">
      <c r="A822" s="66"/>
      <c r="B822" s="66"/>
      <c r="C822" s="66"/>
      <c r="D822" s="66"/>
      <c r="G822" s="67"/>
      <c r="V822" s="67"/>
    </row>
    <row r="823">
      <c r="A823" s="66"/>
      <c r="B823" s="66"/>
      <c r="C823" s="66"/>
      <c r="D823" s="66"/>
      <c r="G823" s="67"/>
      <c r="V823" s="67"/>
    </row>
    <row r="824">
      <c r="A824" s="66"/>
      <c r="B824" s="66"/>
      <c r="C824" s="66"/>
      <c r="D824" s="66"/>
      <c r="G824" s="67"/>
      <c r="V824" s="67"/>
    </row>
    <row r="825">
      <c r="A825" s="66"/>
      <c r="B825" s="66"/>
      <c r="C825" s="66"/>
      <c r="D825" s="66"/>
      <c r="G825" s="67"/>
      <c r="V825" s="67"/>
    </row>
    <row r="826">
      <c r="A826" s="66"/>
      <c r="B826" s="66"/>
      <c r="C826" s="66"/>
      <c r="D826" s="66"/>
      <c r="G826" s="67"/>
      <c r="V826" s="67"/>
    </row>
    <row r="827">
      <c r="A827" s="66"/>
      <c r="B827" s="66"/>
      <c r="C827" s="66"/>
      <c r="D827" s="66"/>
      <c r="G827" s="67"/>
      <c r="V827" s="67"/>
    </row>
    <row r="828">
      <c r="A828" s="66"/>
      <c r="B828" s="66"/>
      <c r="C828" s="66"/>
      <c r="D828" s="66"/>
      <c r="G828" s="67"/>
      <c r="V828" s="67"/>
    </row>
    <row r="829">
      <c r="A829" s="66"/>
      <c r="B829" s="66"/>
      <c r="C829" s="66"/>
      <c r="D829" s="66"/>
      <c r="G829" s="67"/>
      <c r="V829" s="67"/>
    </row>
    <row r="830">
      <c r="A830" s="66"/>
      <c r="B830" s="66"/>
      <c r="C830" s="66"/>
      <c r="D830" s="66"/>
      <c r="G830" s="67"/>
      <c r="V830" s="67"/>
    </row>
    <row r="831">
      <c r="A831" s="66"/>
      <c r="B831" s="66"/>
      <c r="C831" s="66"/>
      <c r="D831" s="66"/>
      <c r="G831" s="67"/>
      <c r="V831" s="67"/>
    </row>
    <row r="832">
      <c r="A832" s="66"/>
      <c r="B832" s="66"/>
      <c r="C832" s="66"/>
      <c r="D832" s="66"/>
      <c r="G832" s="67"/>
      <c r="V832" s="67"/>
    </row>
    <row r="833">
      <c r="A833" s="66"/>
      <c r="B833" s="66"/>
      <c r="C833" s="66"/>
      <c r="D833" s="66"/>
      <c r="G833" s="67"/>
      <c r="V833" s="67"/>
    </row>
    <row r="834">
      <c r="A834" s="66"/>
      <c r="B834" s="66"/>
      <c r="C834" s="66"/>
      <c r="D834" s="66"/>
      <c r="G834" s="67"/>
      <c r="V834" s="67"/>
    </row>
    <row r="835">
      <c r="A835" s="66"/>
      <c r="B835" s="66"/>
      <c r="C835" s="66"/>
      <c r="D835" s="66"/>
      <c r="G835" s="67"/>
      <c r="V835" s="67"/>
    </row>
    <row r="836">
      <c r="A836" s="66"/>
      <c r="B836" s="66"/>
      <c r="C836" s="66"/>
      <c r="D836" s="66"/>
      <c r="G836" s="67"/>
      <c r="V836" s="67"/>
    </row>
    <row r="837">
      <c r="A837" s="66"/>
      <c r="B837" s="66"/>
      <c r="C837" s="66"/>
      <c r="D837" s="66"/>
      <c r="G837" s="67"/>
      <c r="V837" s="67"/>
    </row>
    <row r="838">
      <c r="A838" s="66"/>
      <c r="B838" s="66"/>
      <c r="C838" s="66"/>
      <c r="D838" s="66"/>
      <c r="G838" s="67"/>
      <c r="V838" s="67"/>
    </row>
    <row r="839">
      <c r="A839" s="66"/>
      <c r="B839" s="66"/>
      <c r="C839" s="66"/>
      <c r="D839" s="66"/>
      <c r="G839" s="67"/>
      <c r="V839" s="67"/>
    </row>
    <row r="840">
      <c r="A840" s="66"/>
      <c r="B840" s="66"/>
      <c r="C840" s="66"/>
      <c r="D840" s="66"/>
      <c r="G840" s="67"/>
      <c r="V840" s="67"/>
    </row>
    <row r="841">
      <c r="A841" s="66"/>
      <c r="B841" s="66"/>
      <c r="C841" s="66"/>
      <c r="D841" s="66"/>
      <c r="G841" s="67"/>
      <c r="V841" s="67"/>
    </row>
    <row r="842">
      <c r="A842" s="66"/>
      <c r="B842" s="66"/>
      <c r="C842" s="66"/>
      <c r="D842" s="66"/>
      <c r="G842" s="67"/>
      <c r="V842" s="67"/>
    </row>
    <row r="843">
      <c r="A843" s="66"/>
      <c r="B843" s="66"/>
      <c r="C843" s="66"/>
      <c r="D843" s="66"/>
      <c r="G843" s="67"/>
      <c r="V843" s="67"/>
    </row>
    <row r="844">
      <c r="A844" s="66"/>
      <c r="B844" s="66"/>
      <c r="C844" s="66"/>
      <c r="D844" s="66"/>
      <c r="G844" s="67"/>
      <c r="V844" s="67"/>
    </row>
    <row r="845">
      <c r="A845" s="66"/>
      <c r="B845" s="66"/>
      <c r="C845" s="66"/>
      <c r="D845" s="66"/>
      <c r="G845" s="67"/>
      <c r="V845" s="67"/>
    </row>
    <row r="846">
      <c r="A846" s="66"/>
      <c r="B846" s="66"/>
      <c r="C846" s="66"/>
      <c r="D846" s="66"/>
      <c r="G846" s="67"/>
      <c r="V846" s="67"/>
    </row>
    <row r="847">
      <c r="A847" s="66"/>
      <c r="B847" s="66"/>
      <c r="C847" s="66"/>
      <c r="D847" s="66"/>
      <c r="G847" s="67"/>
      <c r="V847" s="67"/>
    </row>
    <row r="848">
      <c r="A848" s="66"/>
      <c r="B848" s="66"/>
      <c r="C848" s="66"/>
      <c r="D848" s="66"/>
      <c r="G848" s="67"/>
      <c r="V848" s="67"/>
    </row>
    <row r="849">
      <c r="A849" s="66"/>
      <c r="B849" s="66"/>
      <c r="C849" s="66"/>
      <c r="D849" s="66"/>
      <c r="G849" s="67"/>
      <c r="V849" s="67"/>
    </row>
    <row r="850">
      <c r="A850" s="66"/>
      <c r="B850" s="66"/>
      <c r="C850" s="66"/>
      <c r="D850" s="66"/>
      <c r="G850" s="67"/>
      <c r="V850" s="67"/>
    </row>
    <row r="851">
      <c r="A851" s="66"/>
      <c r="B851" s="66"/>
      <c r="C851" s="66"/>
      <c r="D851" s="66"/>
      <c r="G851" s="67"/>
      <c r="V851" s="67"/>
    </row>
    <row r="852">
      <c r="A852" s="66"/>
      <c r="B852" s="66"/>
      <c r="C852" s="66"/>
      <c r="D852" s="66"/>
      <c r="G852" s="67"/>
      <c r="V852" s="67"/>
    </row>
    <row r="853">
      <c r="A853" s="66"/>
      <c r="B853" s="66"/>
      <c r="C853" s="66"/>
      <c r="D853" s="66"/>
      <c r="G853" s="67"/>
      <c r="V853" s="67"/>
    </row>
    <row r="854">
      <c r="A854" s="66"/>
      <c r="B854" s="66"/>
      <c r="C854" s="66"/>
      <c r="D854" s="66"/>
      <c r="G854" s="67"/>
      <c r="V854" s="67"/>
    </row>
    <row r="855">
      <c r="A855" s="66"/>
      <c r="B855" s="66"/>
      <c r="C855" s="66"/>
      <c r="D855" s="66"/>
      <c r="G855" s="67"/>
      <c r="V855" s="67"/>
    </row>
    <row r="856">
      <c r="A856" s="66"/>
      <c r="B856" s="66"/>
      <c r="C856" s="66"/>
      <c r="D856" s="66"/>
      <c r="G856" s="67"/>
      <c r="V856" s="67"/>
    </row>
    <row r="857">
      <c r="A857" s="66"/>
      <c r="B857" s="66"/>
      <c r="C857" s="66"/>
      <c r="D857" s="66"/>
      <c r="G857" s="67"/>
      <c r="V857" s="67"/>
    </row>
    <row r="858">
      <c r="A858" s="66"/>
      <c r="B858" s="66"/>
      <c r="C858" s="66"/>
      <c r="D858" s="66"/>
      <c r="G858" s="67"/>
      <c r="V858" s="67"/>
    </row>
    <row r="859">
      <c r="A859" s="66"/>
      <c r="B859" s="66"/>
      <c r="C859" s="66"/>
      <c r="D859" s="66"/>
      <c r="G859" s="67"/>
      <c r="V859" s="67"/>
    </row>
    <row r="860">
      <c r="A860" s="66"/>
      <c r="B860" s="66"/>
      <c r="C860" s="66"/>
      <c r="D860" s="66"/>
      <c r="G860" s="67"/>
      <c r="V860" s="67"/>
    </row>
    <row r="861">
      <c r="A861" s="66"/>
      <c r="B861" s="66"/>
      <c r="C861" s="66"/>
      <c r="D861" s="66"/>
      <c r="G861" s="67"/>
      <c r="V861" s="67"/>
    </row>
    <row r="862">
      <c r="A862" s="66"/>
      <c r="B862" s="66"/>
      <c r="C862" s="66"/>
      <c r="D862" s="66"/>
      <c r="G862" s="67"/>
      <c r="V862" s="67"/>
    </row>
    <row r="863">
      <c r="A863" s="66"/>
      <c r="B863" s="66"/>
      <c r="C863" s="66"/>
      <c r="D863" s="66"/>
      <c r="G863" s="67"/>
      <c r="V863" s="67"/>
    </row>
    <row r="864">
      <c r="A864" s="66"/>
      <c r="B864" s="66"/>
      <c r="C864" s="66"/>
      <c r="D864" s="66"/>
      <c r="G864" s="67"/>
      <c r="V864" s="67"/>
    </row>
    <row r="865">
      <c r="A865" s="66"/>
      <c r="B865" s="66"/>
      <c r="C865" s="66"/>
      <c r="D865" s="66"/>
      <c r="G865" s="67"/>
      <c r="V865" s="67"/>
    </row>
    <row r="866">
      <c r="A866" s="66"/>
      <c r="B866" s="66"/>
      <c r="C866" s="66"/>
      <c r="D866" s="66"/>
      <c r="G866" s="67"/>
      <c r="V866" s="67"/>
    </row>
    <row r="867">
      <c r="A867" s="66"/>
      <c r="B867" s="66"/>
      <c r="C867" s="66"/>
      <c r="D867" s="66"/>
      <c r="G867" s="67"/>
      <c r="V867" s="67"/>
    </row>
    <row r="868">
      <c r="A868" s="66"/>
      <c r="B868" s="66"/>
      <c r="C868" s="66"/>
      <c r="D868" s="66"/>
      <c r="G868" s="67"/>
      <c r="V868" s="67"/>
    </row>
    <row r="869">
      <c r="A869" s="66"/>
      <c r="B869" s="66"/>
      <c r="C869" s="66"/>
      <c r="D869" s="66"/>
      <c r="G869" s="67"/>
      <c r="V869" s="67"/>
    </row>
    <row r="870">
      <c r="A870" s="66"/>
      <c r="B870" s="66"/>
      <c r="C870" s="66"/>
      <c r="D870" s="66"/>
      <c r="G870" s="67"/>
      <c r="V870" s="67"/>
    </row>
    <row r="871">
      <c r="A871" s="66"/>
      <c r="B871" s="66"/>
      <c r="C871" s="66"/>
      <c r="D871" s="66"/>
      <c r="G871" s="67"/>
      <c r="V871" s="67"/>
    </row>
    <row r="872">
      <c r="A872" s="66"/>
      <c r="B872" s="66"/>
      <c r="C872" s="66"/>
      <c r="D872" s="66"/>
      <c r="G872" s="67"/>
      <c r="V872" s="67"/>
    </row>
    <row r="873">
      <c r="A873" s="66"/>
      <c r="B873" s="66"/>
      <c r="C873" s="66"/>
      <c r="D873" s="66"/>
      <c r="G873" s="67"/>
      <c r="V873" s="67"/>
    </row>
    <row r="874">
      <c r="A874" s="66"/>
      <c r="B874" s="66"/>
      <c r="C874" s="66"/>
      <c r="D874" s="66"/>
      <c r="G874" s="67"/>
      <c r="V874" s="67"/>
    </row>
    <row r="875">
      <c r="A875" s="66"/>
      <c r="B875" s="66"/>
      <c r="C875" s="66"/>
      <c r="D875" s="66"/>
      <c r="G875" s="67"/>
      <c r="V875" s="67"/>
    </row>
    <row r="876">
      <c r="A876" s="66"/>
      <c r="B876" s="66"/>
      <c r="C876" s="66"/>
      <c r="D876" s="66"/>
      <c r="G876" s="67"/>
      <c r="V876" s="67"/>
    </row>
    <row r="877">
      <c r="A877" s="66"/>
      <c r="B877" s="66"/>
      <c r="C877" s="66"/>
      <c r="D877" s="66"/>
      <c r="G877" s="67"/>
      <c r="V877" s="67"/>
    </row>
    <row r="878">
      <c r="A878" s="66"/>
      <c r="B878" s="66"/>
      <c r="C878" s="66"/>
      <c r="D878" s="66"/>
      <c r="G878" s="67"/>
      <c r="V878" s="67"/>
    </row>
    <row r="879">
      <c r="A879" s="66"/>
      <c r="B879" s="66"/>
      <c r="C879" s="66"/>
      <c r="D879" s="66"/>
      <c r="G879" s="67"/>
      <c r="V879" s="67"/>
    </row>
    <row r="880">
      <c r="A880" s="66"/>
      <c r="B880" s="66"/>
      <c r="C880" s="66"/>
      <c r="D880" s="66"/>
      <c r="G880" s="67"/>
      <c r="V880" s="67"/>
    </row>
    <row r="881">
      <c r="A881" s="66"/>
      <c r="B881" s="66"/>
      <c r="C881" s="66"/>
      <c r="D881" s="66"/>
      <c r="G881" s="67"/>
      <c r="V881" s="67"/>
    </row>
    <row r="882">
      <c r="A882" s="66"/>
      <c r="B882" s="66"/>
      <c r="C882" s="66"/>
      <c r="D882" s="66"/>
      <c r="G882" s="67"/>
      <c r="V882" s="67"/>
    </row>
    <row r="883">
      <c r="A883" s="66"/>
      <c r="B883" s="66"/>
      <c r="C883" s="66"/>
      <c r="D883" s="66"/>
      <c r="G883" s="67"/>
      <c r="V883" s="67"/>
    </row>
    <row r="884">
      <c r="A884" s="66"/>
      <c r="B884" s="66"/>
      <c r="C884" s="66"/>
      <c r="D884" s="66"/>
      <c r="G884" s="67"/>
      <c r="V884" s="67"/>
    </row>
    <row r="885">
      <c r="A885" s="66"/>
      <c r="B885" s="66"/>
      <c r="C885" s="66"/>
      <c r="D885" s="66"/>
      <c r="G885" s="67"/>
      <c r="V885" s="67"/>
    </row>
    <row r="886">
      <c r="A886" s="66"/>
      <c r="B886" s="66"/>
      <c r="C886" s="66"/>
      <c r="D886" s="66"/>
      <c r="G886" s="67"/>
      <c r="V886" s="67"/>
    </row>
    <row r="887">
      <c r="A887" s="66"/>
      <c r="B887" s="66"/>
      <c r="C887" s="66"/>
      <c r="D887" s="66"/>
      <c r="G887" s="67"/>
      <c r="V887" s="67"/>
    </row>
    <row r="888">
      <c r="A888" s="66"/>
      <c r="B888" s="66"/>
      <c r="C888" s="66"/>
      <c r="D888" s="66"/>
      <c r="G888" s="67"/>
      <c r="V888" s="67"/>
    </row>
    <row r="889">
      <c r="A889" s="66"/>
      <c r="B889" s="66"/>
      <c r="C889" s="66"/>
      <c r="D889" s="66"/>
      <c r="G889" s="67"/>
      <c r="V889" s="67"/>
    </row>
    <row r="890">
      <c r="A890" s="66"/>
      <c r="B890" s="66"/>
      <c r="C890" s="66"/>
      <c r="D890" s="66"/>
      <c r="G890" s="67"/>
      <c r="V890" s="67"/>
    </row>
    <row r="891">
      <c r="A891" s="66"/>
      <c r="B891" s="66"/>
      <c r="C891" s="66"/>
      <c r="D891" s="66"/>
      <c r="G891" s="67"/>
      <c r="V891" s="67"/>
    </row>
    <row r="892">
      <c r="A892" s="66"/>
      <c r="B892" s="66"/>
      <c r="C892" s="66"/>
      <c r="D892" s="66"/>
      <c r="G892" s="67"/>
      <c r="V892" s="67"/>
    </row>
    <row r="893">
      <c r="A893" s="66"/>
      <c r="B893" s="66"/>
      <c r="C893" s="66"/>
      <c r="D893" s="66"/>
      <c r="G893" s="67"/>
      <c r="V893" s="67"/>
    </row>
    <row r="894">
      <c r="A894" s="66"/>
      <c r="B894" s="66"/>
      <c r="C894" s="66"/>
      <c r="D894" s="66"/>
      <c r="G894" s="67"/>
      <c r="V894" s="67"/>
    </row>
    <row r="895">
      <c r="A895" s="66"/>
      <c r="B895" s="66"/>
      <c r="C895" s="66"/>
      <c r="D895" s="66"/>
      <c r="G895" s="67"/>
      <c r="V895" s="67"/>
    </row>
    <row r="896">
      <c r="A896" s="66"/>
      <c r="B896" s="66"/>
      <c r="C896" s="66"/>
      <c r="D896" s="66"/>
      <c r="G896" s="67"/>
      <c r="V896" s="67"/>
    </row>
    <row r="897">
      <c r="A897" s="66"/>
      <c r="B897" s="66"/>
      <c r="C897" s="66"/>
      <c r="D897" s="66"/>
      <c r="G897" s="67"/>
      <c r="V897" s="67"/>
    </row>
    <row r="898">
      <c r="A898" s="66"/>
      <c r="B898" s="66"/>
      <c r="C898" s="66"/>
      <c r="D898" s="66"/>
      <c r="G898" s="67"/>
      <c r="V898" s="67"/>
    </row>
    <row r="899">
      <c r="A899" s="66"/>
      <c r="B899" s="66"/>
      <c r="C899" s="66"/>
      <c r="D899" s="66"/>
      <c r="G899" s="67"/>
      <c r="V899" s="67"/>
    </row>
    <row r="900">
      <c r="A900" s="66"/>
      <c r="B900" s="66"/>
      <c r="C900" s="66"/>
      <c r="D900" s="66"/>
      <c r="G900" s="67"/>
      <c r="V900" s="67"/>
    </row>
    <row r="901">
      <c r="A901" s="66"/>
      <c r="B901" s="66"/>
      <c r="C901" s="66"/>
      <c r="D901" s="66"/>
      <c r="G901" s="67"/>
      <c r="V901" s="67"/>
    </row>
    <row r="902">
      <c r="A902" s="66"/>
      <c r="B902" s="66"/>
      <c r="C902" s="66"/>
      <c r="D902" s="66"/>
      <c r="G902" s="67"/>
      <c r="V902" s="67"/>
    </row>
    <row r="903">
      <c r="A903" s="66"/>
      <c r="B903" s="66"/>
      <c r="C903" s="66"/>
      <c r="D903" s="66"/>
      <c r="G903" s="67"/>
      <c r="V903" s="67"/>
    </row>
    <row r="904">
      <c r="A904" s="66"/>
      <c r="B904" s="66"/>
      <c r="C904" s="66"/>
      <c r="D904" s="66"/>
      <c r="G904" s="67"/>
      <c r="V904" s="67"/>
    </row>
    <row r="905">
      <c r="A905" s="66"/>
      <c r="B905" s="66"/>
      <c r="C905" s="66"/>
      <c r="D905" s="66"/>
      <c r="G905" s="67"/>
      <c r="V905" s="67"/>
    </row>
    <row r="906">
      <c r="A906" s="66"/>
      <c r="B906" s="66"/>
      <c r="C906" s="66"/>
      <c r="D906" s="66"/>
      <c r="G906" s="67"/>
      <c r="V906" s="67"/>
    </row>
    <row r="907">
      <c r="A907" s="66"/>
      <c r="B907" s="66"/>
      <c r="C907" s="66"/>
      <c r="D907" s="66"/>
      <c r="G907" s="67"/>
      <c r="V907" s="67"/>
    </row>
    <row r="908">
      <c r="A908" s="66"/>
      <c r="B908" s="66"/>
      <c r="C908" s="66"/>
      <c r="D908" s="66"/>
      <c r="G908" s="67"/>
      <c r="V908" s="67"/>
    </row>
    <row r="909">
      <c r="A909" s="66"/>
      <c r="B909" s="66"/>
      <c r="C909" s="66"/>
      <c r="D909" s="66"/>
      <c r="G909" s="67"/>
      <c r="V909" s="67"/>
    </row>
    <row r="910">
      <c r="A910" s="66"/>
      <c r="B910" s="66"/>
      <c r="C910" s="66"/>
      <c r="D910" s="66"/>
      <c r="G910" s="67"/>
      <c r="V910" s="67"/>
    </row>
    <row r="911">
      <c r="A911" s="66"/>
      <c r="B911" s="66"/>
      <c r="C911" s="66"/>
      <c r="D911" s="66"/>
      <c r="G911" s="67"/>
      <c r="V911" s="67"/>
    </row>
    <row r="912">
      <c r="A912" s="66"/>
      <c r="B912" s="66"/>
      <c r="C912" s="66"/>
      <c r="D912" s="66"/>
      <c r="G912" s="67"/>
      <c r="V912" s="67"/>
    </row>
    <row r="913">
      <c r="A913" s="66"/>
      <c r="B913" s="66"/>
      <c r="C913" s="66"/>
      <c r="D913" s="66"/>
      <c r="G913" s="67"/>
      <c r="V913" s="67"/>
    </row>
    <row r="914">
      <c r="A914" s="66"/>
      <c r="B914" s="66"/>
      <c r="C914" s="66"/>
      <c r="D914" s="66"/>
      <c r="G914" s="67"/>
      <c r="V914" s="67"/>
    </row>
    <row r="915">
      <c r="A915" s="66"/>
      <c r="B915" s="66"/>
      <c r="C915" s="66"/>
      <c r="D915" s="66"/>
      <c r="G915" s="67"/>
      <c r="V915" s="67"/>
    </row>
    <row r="916">
      <c r="A916" s="66"/>
      <c r="B916" s="66"/>
      <c r="C916" s="66"/>
      <c r="D916" s="66"/>
      <c r="G916" s="67"/>
      <c r="V916" s="67"/>
    </row>
    <row r="917">
      <c r="A917" s="66"/>
      <c r="B917" s="66"/>
      <c r="C917" s="66"/>
      <c r="D917" s="66"/>
      <c r="G917" s="67"/>
      <c r="V917" s="67"/>
    </row>
    <row r="918">
      <c r="A918" s="66"/>
      <c r="B918" s="66"/>
      <c r="C918" s="66"/>
      <c r="D918" s="66"/>
      <c r="G918" s="67"/>
      <c r="V918" s="67"/>
    </row>
    <row r="919">
      <c r="A919" s="66"/>
      <c r="B919" s="66"/>
      <c r="C919" s="66"/>
      <c r="D919" s="66"/>
      <c r="G919" s="67"/>
      <c r="V919" s="67"/>
    </row>
    <row r="920">
      <c r="A920" s="66"/>
      <c r="B920" s="66"/>
      <c r="C920" s="66"/>
      <c r="D920" s="66"/>
      <c r="G920" s="67"/>
      <c r="V920" s="67"/>
    </row>
    <row r="921">
      <c r="A921" s="66"/>
      <c r="B921" s="66"/>
      <c r="C921" s="66"/>
      <c r="D921" s="66"/>
      <c r="G921" s="67"/>
      <c r="V921" s="67"/>
    </row>
    <row r="922">
      <c r="A922" s="66"/>
      <c r="B922" s="66"/>
      <c r="C922" s="66"/>
      <c r="D922" s="66"/>
      <c r="G922" s="67"/>
      <c r="V922" s="67"/>
    </row>
    <row r="923">
      <c r="A923" s="66"/>
      <c r="B923" s="66"/>
      <c r="C923" s="66"/>
      <c r="D923" s="66"/>
      <c r="G923" s="67"/>
      <c r="V923" s="67"/>
    </row>
    <row r="924">
      <c r="A924" s="66"/>
      <c r="B924" s="66"/>
      <c r="C924" s="66"/>
      <c r="D924" s="66"/>
      <c r="G924" s="67"/>
      <c r="V924" s="67"/>
    </row>
    <row r="925">
      <c r="A925" s="66"/>
      <c r="B925" s="66"/>
      <c r="C925" s="66"/>
      <c r="D925" s="66"/>
      <c r="G925" s="67"/>
      <c r="V925" s="67"/>
    </row>
    <row r="926">
      <c r="A926" s="66"/>
      <c r="B926" s="66"/>
      <c r="C926" s="66"/>
      <c r="D926" s="66"/>
      <c r="G926" s="67"/>
      <c r="V926" s="67"/>
    </row>
    <row r="927">
      <c r="A927" s="66"/>
      <c r="B927" s="66"/>
      <c r="C927" s="66"/>
      <c r="D927" s="66"/>
      <c r="G927" s="67"/>
      <c r="V927" s="67"/>
    </row>
    <row r="928">
      <c r="A928" s="66"/>
      <c r="B928" s="66"/>
      <c r="C928" s="66"/>
      <c r="D928" s="66"/>
      <c r="G928" s="67"/>
      <c r="V928" s="67"/>
    </row>
    <row r="929">
      <c r="A929" s="66"/>
      <c r="B929" s="66"/>
      <c r="C929" s="66"/>
      <c r="D929" s="66"/>
      <c r="G929" s="67"/>
      <c r="V929" s="67"/>
    </row>
    <row r="930">
      <c r="A930" s="66"/>
      <c r="B930" s="66"/>
      <c r="C930" s="66"/>
      <c r="D930" s="66"/>
      <c r="G930" s="67"/>
      <c r="V930" s="67"/>
    </row>
    <row r="931">
      <c r="A931" s="66"/>
      <c r="B931" s="66"/>
      <c r="C931" s="66"/>
      <c r="D931" s="66"/>
      <c r="G931" s="67"/>
      <c r="V931" s="67"/>
    </row>
    <row r="932">
      <c r="A932" s="66"/>
      <c r="B932" s="66"/>
      <c r="C932" s="66"/>
      <c r="D932" s="66"/>
      <c r="G932" s="67"/>
      <c r="V932" s="67"/>
    </row>
    <row r="933">
      <c r="A933" s="66"/>
      <c r="B933" s="66"/>
      <c r="C933" s="66"/>
      <c r="D933" s="66"/>
      <c r="G933" s="67"/>
      <c r="V933" s="67"/>
    </row>
    <row r="934">
      <c r="A934" s="66"/>
      <c r="B934" s="66"/>
      <c r="C934" s="66"/>
      <c r="D934" s="66"/>
      <c r="G934" s="67"/>
      <c r="V934" s="67"/>
    </row>
    <row r="935">
      <c r="A935" s="66"/>
      <c r="B935" s="66"/>
      <c r="C935" s="66"/>
      <c r="D935" s="66"/>
      <c r="G935" s="67"/>
      <c r="V935" s="67"/>
    </row>
    <row r="936">
      <c r="A936" s="66"/>
      <c r="B936" s="66"/>
      <c r="C936" s="66"/>
      <c r="D936" s="66"/>
      <c r="G936" s="67"/>
      <c r="V936" s="67"/>
    </row>
    <row r="937">
      <c r="A937" s="66"/>
      <c r="B937" s="66"/>
      <c r="C937" s="66"/>
      <c r="D937" s="66"/>
      <c r="G937" s="67"/>
      <c r="V937" s="67"/>
    </row>
    <row r="938">
      <c r="A938" s="66"/>
      <c r="B938" s="66"/>
      <c r="C938" s="66"/>
      <c r="D938" s="66"/>
      <c r="G938" s="67"/>
      <c r="V938" s="67"/>
    </row>
    <row r="939">
      <c r="A939" s="66"/>
      <c r="B939" s="66"/>
      <c r="C939" s="66"/>
      <c r="D939" s="66"/>
      <c r="G939" s="67"/>
      <c r="V939" s="67"/>
    </row>
    <row r="940">
      <c r="A940" s="66"/>
      <c r="B940" s="66"/>
      <c r="C940" s="66"/>
      <c r="D940" s="66"/>
      <c r="G940" s="67"/>
      <c r="V940" s="67"/>
    </row>
    <row r="941">
      <c r="A941" s="66"/>
      <c r="B941" s="66"/>
      <c r="C941" s="66"/>
      <c r="D941" s="66"/>
      <c r="G941" s="67"/>
      <c r="V941" s="67"/>
    </row>
    <row r="942">
      <c r="A942" s="66"/>
      <c r="B942" s="66"/>
      <c r="C942" s="66"/>
      <c r="D942" s="66"/>
      <c r="G942" s="67"/>
      <c r="V942" s="67"/>
    </row>
    <row r="943">
      <c r="A943" s="66"/>
      <c r="B943" s="66"/>
      <c r="C943" s="66"/>
      <c r="D943" s="66"/>
      <c r="G943" s="67"/>
      <c r="V943" s="67"/>
    </row>
    <row r="944">
      <c r="A944" s="66"/>
      <c r="B944" s="66"/>
      <c r="C944" s="66"/>
      <c r="D944" s="66"/>
      <c r="G944" s="67"/>
      <c r="V944" s="67"/>
    </row>
    <row r="945">
      <c r="A945" s="66"/>
      <c r="B945" s="66"/>
      <c r="C945" s="66"/>
      <c r="D945" s="66"/>
      <c r="G945" s="67"/>
      <c r="V945" s="67"/>
    </row>
    <row r="946">
      <c r="A946" s="66"/>
      <c r="B946" s="66"/>
      <c r="C946" s="66"/>
      <c r="D946" s="66"/>
      <c r="G946" s="67"/>
      <c r="V946" s="67"/>
    </row>
    <row r="947">
      <c r="A947" s="66"/>
      <c r="B947" s="66"/>
      <c r="C947" s="66"/>
      <c r="D947" s="66"/>
      <c r="G947" s="67"/>
      <c r="V947" s="67"/>
    </row>
    <row r="948">
      <c r="A948" s="66"/>
      <c r="B948" s="66"/>
      <c r="C948" s="66"/>
      <c r="D948" s="66"/>
      <c r="G948" s="67"/>
      <c r="V948" s="67"/>
    </row>
    <row r="949">
      <c r="A949" s="66"/>
      <c r="B949" s="66"/>
      <c r="C949" s="66"/>
      <c r="D949" s="66"/>
      <c r="G949" s="67"/>
      <c r="V949" s="67"/>
    </row>
    <row r="950">
      <c r="A950" s="66"/>
      <c r="B950" s="66"/>
      <c r="C950" s="66"/>
      <c r="D950" s="66"/>
      <c r="G950" s="67"/>
      <c r="V950" s="67"/>
    </row>
    <row r="951">
      <c r="A951" s="66"/>
      <c r="B951" s="66"/>
      <c r="C951" s="66"/>
      <c r="D951" s="66"/>
      <c r="G951" s="67"/>
      <c r="V951" s="67"/>
    </row>
    <row r="952">
      <c r="A952" s="66"/>
      <c r="B952" s="66"/>
      <c r="C952" s="66"/>
      <c r="D952" s="66"/>
      <c r="G952" s="67"/>
      <c r="V952" s="67"/>
    </row>
    <row r="953">
      <c r="A953" s="66"/>
      <c r="B953" s="66"/>
      <c r="C953" s="66"/>
      <c r="D953" s="66"/>
      <c r="G953" s="67"/>
      <c r="V953" s="67"/>
    </row>
    <row r="954">
      <c r="A954" s="66"/>
      <c r="B954" s="66"/>
      <c r="C954" s="66"/>
      <c r="D954" s="66"/>
      <c r="G954" s="67"/>
      <c r="V954" s="67"/>
    </row>
    <row r="955">
      <c r="A955" s="66"/>
      <c r="B955" s="66"/>
      <c r="C955" s="66"/>
      <c r="D955" s="66"/>
      <c r="G955" s="67"/>
      <c r="V955" s="67"/>
    </row>
    <row r="956">
      <c r="A956" s="66"/>
      <c r="B956" s="66"/>
      <c r="C956" s="66"/>
      <c r="D956" s="66"/>
      <c r="G956" s="67"/>
      <c r="V956" s="67"/>
    </row>
    <row r="957">
      <c r="A957" s="66"/>
      <c r="B957" s="66"/>
      <c r="C957" s="66"/>
      <c r="D957" s="66"/>
      <c r="G957" s="67"/>
      <c r="V957" s="67"/>
    </row>
    <row r="958">
      <c r="A958" s="66"/>
      <c r="B958" s="66"/>
      <c r="C958" s="66"/>
      <c r="D958" s="66"/>
      <c r="G958" s="67"/>
      <c r="V958" s="67"/>
    </row>
    <row r="959">
      <c r="A959" s="66"/>
      <c r="B959" s="66"/>
      <c r="C959" s="66"/>
      <c r="D959" s="66"/>
      <c r="G959" s="67"/>
      <c r="V959" s="67"/>
    </row>
    <row r="960">
      <c r="A960" s="66"/>
      <c r="B960" s="66"/>
      <c r="C960" s="66"/>
      <c r="D960" s="66"/>
      <c r="G960" s="67"/>
      <c r="V960" s="67"/>
    </row>
    <row r="961">
      <c r="A961" s="66"/>
      <c r="B961" s="66"/>
      <c r="C961" s="66"/>
      <c r="D961" s="66"/>
      <c r="G961" s="67"/>
      <c r="V961" s="67"/>
    </row>
    <row r="962">
      <c r="A962" s="66"/>
      <c r="B962" s="66"/>
      <c r="C962" s="66"/>
      <c r="D962" s="66"/>
      <c r="G962" s="67"/>
      <c r="V962" s="67"/>
    </row>
    <row r="963">
      <c r="A963" s="66"/>
      <c r="B963" s="66"/>
      <c r="C963" s="66"/>
      <c r="D963" s="66"/>
      <c r="G963" s="67"/>
      <c r="V963" s="67"/>
    </row>
    <row r="964">
      <c r="A964" s="66"/>
      <c r="B964" s="66"/>
      <c r="C964" s="66"/>
      <c r="D964" s="66"/>
      <c r="G964" s="67"/>
      <c r="V964" s="67"/>
    </row>
    <row r="965">
      <c r="A965" s="66"/>
      <c r="B965" s="66"/>
      <c r="C965" s="66"/>
      <c r="D965" s="66"/>
      <c r="G965" s="67"/>
      <c r="V965" s="67"/>
    </row>
    <row r="966">
      <c r="A966" s="66"/>
      <c r="B966" s="66"/>
      <c r="C966" s="66"/>
      <c r="D966" s="66"/>
      <c r="G966" s="67"/>
      <c r="V966" s="67"/>
    </row>
    <row r="967">
      <c r="A967" s="66"/>
      <c r="B967" s="66"/>
      <c r="C967" s="66"/>
      <c r="D967" s="66"/>
      <c r="G967" s="67"/>
      <c r="V967" s="67"/>
    </row>
    <row r="968">
      <c r="A968" s="66"/>
      <c r="B968" s="66"/>
      <c r="C968" s="66"/>
      <c r="D968" s="66"/>
      <c r="G968" s="67"/>
      <c r="V968" s="67"/>
    </row>
    <row r="969">
      <c r="A969" s="66"/>
      <c r="B969" s="66"/>
      <c r="C969" s="66"/>
      <c r="D969" s="66"/>
      <c r="G969" s="67"/>
      <c r="V969" s="67"/>
    </row>
    <row r="970">
      <c r="A970" s="66"/>
      <c r="B970" s="66"/>
      <c r="C970" s="66"/>
      <c r="D970" s="66"/>
      <c r="G970" s="67"/>
      <c r="V970" s="67"/>
    </row>
    <row r="971">
      <c r="A971" s="66"/>
      <c r="B971" s="66"/>
      <c r="C971" s="66"/>
      <c r="D971" s="66"/>
      <c r="G971" s="67"/>
      <c r="V971" s="67"/>
    </row>
    <row r="972">
      <c r="A972" s="66"/>
      <c r="B972" s="66"/>
      <c r="C972" s="66"/>
      <c r="D972" s="66"/>
      <c r="G972" s="67"/>
      <c r="V972" s="67"/>
    </row>
    <row r="973">
      <c r="A973" s="66"/>
      <c r="B973" s="66"/>
      <c r="C973" s="66"/>
      <c r="D973" s="66"/>
      <c r="G973" s="67"/>
      <c r="V973" s="67"/>
    </row>
    <row r="974">
      <c r="A974" s="66"/>
      <c r="B974" s="66"/>
      <c r="C974" s="66"/>
      <c r="D974" s="66"/>
      <c r="G974" s="67"/>
      <c r="V974" s="67"/>
    </row>
    <row r="975">
      <c r="A975" s="66"/>
      <c r="B975" s="66"/>
      <c r="C975" s="66"/>
      <c r="D975" s="66"/>
      <c r="G975" s="67"/>
      <c r="V975" s="67"/>
    </row>
    <row r="976">
      <c r="A976" s="66"/>
      <c r="B976" s="66"/>
      <c r="C976" s="66"/>
      <c r="D976" s="66"/>
      <c r="G976" s="67"/>
      <c r="V976" s="67"/>
    </row>
    <row r="977">
      <c r="A977" s="66"/>
      <c r="B977" s="66"/>
      <c r="C977" s="66"/>
      <c r="D977" s="66"/>
      <c r="G977" s="67"/>
      <c r="V977" s="67"/>
    </row>
    <row r="978">
      <c r="A978" s="66"/>
      <c r="B978" s="66"/>
      <c r="C978" s="66"/>
      <c r="D978" s="66"/>
      <c r="G978" s="67"/>
      <c r="V978" s="67"/>
    </row>
    <row r="979">
      <c r="A979" s="66"/>
      <c r="B979" s="66"/>
      <c r="C979" s="66"/>
      <c r="D979" s="66"/>
      <c r="G979" s="67"/>
      <c r="V979" s="67"/>
    </row>
    <row r="980">
      <c r="A980" s="66"/>
      <c r="B980" s="66"/>
      <c r="C980" s="66"/>
      <c r="D980" s="66"/>
      <c r="G980" s="67"/>
      <c r="V980" s="67"/>
    </row>
    <row r="981">
      <c r="A981" s="66"/>
      <c r="B981" s="66"/>
      <c r="C981" s="66"/>
      <c r="D981" s="66"/>
      <c r="G981" s="67"/>
      <c r="V981" s="67"/>
    </row>
    <row r="982">
      <c r="A982" s="66"/>
      <c r="B982" s="66"/>
      <c r="C982" s="66"/>
      <c r="D982" s="66"/>
      <c r="G982" s="67"/>
      <c r="V982" s="67"/>
    </row>
    <row r="983">
      <c r="A983" s="66"/>
      <c r="B983" s="66"/>
      <c r="C983" s="66"/>
      <c r="D983" s="66"/>
      <c r="G983" s="67"/>
      <c r="V983" s="67"/>
    </row>
    <row r="984">
      <c r="A984" s="66"/>
      <c r="B984" s="66"/>
      <c r="C984" s="66"/>
      <c r="D984" s="66"/>
      <c r="G984" s="67"/>
      <c r="V984" s="67"/>
    </row>
    <row r="985">
      <c r="A985" s="66"/>
      <c r="B985" s="66"/>
      <c r="C985" s="66"/>
      <c r="D985" s="66"/>
      <c r="G985" s="67"/>
      <c r="V985" s="67"/>
    </row>
    <row r="986">
      <c r="A986" s="66"/>
      <c r="B986" s="66"/>
      <c r="C986" s="66"/>
      <c r="D986" s="66"/>
      <c r="G986" s="67"/>
      <c r="V986" s="67"/>
    </row>
    <row r="987">
      <c r="A987" s="66"/>
      <c r="B987" s="66"/>
      <c r="C987" s="66"/>
      <c r="D987" s="66"/>
      <c r="G987" s="67"/>
      <c r="V987" s="67"/>
    </row>
    <row r="988">
      <c r="A988" s="66"/>
      <c r="B988" s="66"/>
      <c r="C988" s="66"/>
      <c r="D988" s="66"/>
      <c r="G988" s="67"/>
      <c r="V988" s="67"/>
    </row>
    <row r="989">
      <c r="A989" s="66"/>
      <c r="B989" s="66"/>
      <c r="C989" s="66"/>
      <c r="D989" s="66"/>
      <c r="G989" s="67"/>
      <c r="V989" s="67"/>
    </row>
    <row r="990">
      <c r="A990" s="66"/>
      <c r="B990" s="66"/>
      <c r="C990" s="66"/>
      <c r="D990" s="66"/>
      <c r="G990" s="67"/>
      <c r="V990" s="67"/>
    </row>
    <row r="991">
      <c r="A991" s="66"/>
      <c r="B991" s="66"/>
      <c r="C991" s="66"/>
      <c r="D991" s="66"/>
      <c r="G991" s="67"/>
      <c r="V991" s="67"/>
    </row>
    <row r="992">
      <c r="A992" s="66"/>
      <c r="B992" s="66"/>
      <c r="C992" s="66"/>
      <c r="D992" s="66"/>
      <c r="G992" s="67"/>
      <c r="V992" s="67"/>
    </row>
    <row r="993">
      <c r="A993" s="66"/>
      <c r="B993" s="66"/>
      <c r="C993" s="66"/>
      <c r="D993" s="66"/>
      <c r="G993" s="67"/>
      <c r="V993" s="67"/>
    </row>
    <row r="994">
      <c r="A994" s="66"/>
      <c r="B994" s="66"/>
      <c r="C994" s="66"/>
      <c r="D994" s="66"/>
      <c r="G994" s="67"/>
      <c r="V994" s="67"/>
    </row>
    <row r="995">
      <c r="A995" s="66"/>
      <c r="B995" s="66"/>
      <c r="C995" s="66"/>
      <c r="D995" s="66"/>
      <c r="G995" s="67"/>
      <c r="V995" s="67"/>
    </row>
    <row r="996">
      <c r="A996" s="66"/>
      <c r="B996" s="66"/>
      <c r="C996" s="66"/>
      <c r="D996" s="66"/>
      <c r="G996" s="67"/>
      <c r="V996" s="67"/>
    </row>
    <row r="997">
      <c r="A997" s="66"/>
      <c r="B997" s="66"/>
      <c r="C997" s="66"/>
      <c r="D997" s="66"/>
      <c r="G997" s="67"/>
      <c r="V997" s="67"/>
    </row>
    <row r="998">
      <c r="A998" s="66"/>
      <c r="B998" s="66"/>
      <c r="C998" s="66"/>
      <c r="D998" s="66"/>
      <c r="G998" s="67"/>
      <c r="V998" s="67"/>
    </row>
    <row r="999">
      <c r="A999" s="66"/>
      <c r="B999" s="66"/>
      <c r="C999" s="66"/>
      <c r="D999" s="66"/>
      <c r="G999" s="67"/>
      <c r="V999" s="67"/>
    </row>
    <row r="1000">
      <c r="A1000" s="66"/>
      <c r="B1000" s="66"/>
      <c r="C1000" s="66"/>
      <c r="D1000" s="66"/>
      <c r="G1000" s="67"/>
      <c r="V1000" s="67"/>
    </row>
    <row r="1001">
      <c r="A1001" s="66"/>
      <c r="B1001" s="66"/>
      <c r="C1001" s="66"/>
      <c r="D1001" s="66"/>
      <c r="G1001" s="67"/>
      <c r="V1001" s="67"/>
    </row>
  </sheetData>
  <mergeCells count="4">
    <mergeCell ref="A1:D1"/>
    <mergeCell ref="F1:M1"/>
    <mergeCell ref="O1:T1"/>
    <mergeCell ref="V1:AB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15.0"/>
    <col customWidth="1" min="3" max="3" width="15.38"/>
    <col customWidth="1" min="4" max="4" width="174.75"/>
    <col customWidth="1" min="6" max="6" width="5.0"/>
    <col customWidth="1" min="7" max="7" width="15.63"/>
    <col customWidth="1" min="8" max="8" width="44.13"/>
    <col customWidth="1" min="15" max="15" width="14.75"/>
    <col customWidth="1" min="16" max="16" width="21.38"/>
    <col customWidth="1" min="17" max="17" width="104.75"/>
    <col customWidth="1" min="18" max="18" width="43.38"/>
    <col customWidth="1" min="22" max="22" width="5.0"/>
    <col customWidth="1" min="23" max="23" width="32.25"/>
    <col customWidth="1" min="24" max="24" width="72.75"/>
    <col customWidth="1" min="25" max="25" width="74.63"/>
    <col customWidth="1" min="26" max="26" width="12.13"/>
    <col customWidth="1" min="27" max="27" width="11.13"/>
  </cols>
  <sheetData>
    <row r="1">
      <c r="A1" s="1" t="s">
        <v>0</v>
      </c>
      <c r="B1" s="2"/>
      <c r="C1" s="2"/>
      <c r="D1" s="3"/>
      <c r="F1" s="4" t="s">
        <v>1</v>
      </c>
      <c r="G1" s="2"/>
      <c r="H1" s="2"/>
      <c r="I1" s="2"/>
      <c r="J1" s="2"/>
      <c r="K1" s="2"/>
      <c r="L1" s="2"/>
      <c r="M1" s="3"/>
      <c r="O1" s="5" t="s">
        <v>2</v>
      </c>
      <c r="P1" s="2"/>
      <c r="Q1" s="2"/>
      <c r="R1" s="2"/>
      <c r="S1" s="2"/>
      <c r="T1" s="3"/>
      <c r="V1" s="5" t="s">
        <v>3</v>
      </c>
      <c r="W1" s="2"/>
      <c r="X1" s="2"/>
      <c r="Y1" s="2"/>
      <c r="Z1" s="2"/>
      <c r="AA1" s="2"/>
      <c r="AB1" s="3"/>
    </row>
    <row r="2">
      <c r="A2" s="6" t="s">
        <v>4</v>
      </c>
      <c r="B2" s="6" t="s">
        <v>5</v>
      </c>
      <c r="C2" s="6" t="s">
        <v>6</v>
      </c>
      <c r="D2" s="6" t="s">
        <v>8</v>
      </c>
      <c r="F2" s="8" t="s">
        <v>4</v>
      </c>
      <c r="G2" s="9" t="s">
        <v>9</v>
      </c>
      <c r="H2" s="8" t="s">
        <v>11</v>
      </c>
      <c r="I2" s="8" t="s">
        <v>12</v>
      </c>
      <c r="J2" s="8" t="s">
        <v>13</v>
      </c>
      <c r="K2" s="8" t="s">
        <v>14</v>
      </c>
      <c r="L2" s="8" t="s">
        <v>15</v>
      </c>
      <c r="M2" s="8" t="s">
        <v>16</v>
      </c>
      <c r="O2" s="10" t="s">
        <v>17</v>
      </c>
      <c r="P2" s="10"/>
      <c r="Q2" s="10"/>
      <c r="R2" s="10"/>
      <c r="S2" s="12" t="s">
        <v>24</v>
      </c>
      <c r="T2" s="12" t="s">
        <v>25</v>
      </c>
      <c r="V2" s="10" t="s">
        <v>4</v>
      </c>
      <c r="W2" s="10" t="s">
        <v>26</v>
      </c>
      <c r="X2" s="10" t="s">
        <v>20</v>
      </c>
      <c r="Y2" s="10" t="s">
        <v>22</v>
      </c>
      <c r="Z2" s="12" t="s">
        <v>24</v>
      </c>
      <c r="AA2" s="12" t="s">
        <v>25</v>
      </c>
      <c r="AB2" s="12" t="s">
        <v>27</v>
      </c>
    </row>
    <row r="3">
      <c r="A3" s="13">
        <v>1.0</v>
      </c>
      <c r="B3" s="13">
        <v>6.0</v>
      </c>
      <c r="C3" s="13">
        <v>12.0</v>
      </c>
      <c r="D3" s="14" t="s">
        <v>518</v>
      </c>
      <c r="F3" s="15">
        <v>1.0</v>
      </c>
      <c r="G3" s="15">
        <v>2.0</v>
      </c>
      <c r="H3" s="15" t="s">
        <v>519</v>
      </c>
      <c r="I3" s="15">
        <v>2.0</v>
      </c>
      <c r="J3" s="15" t="s">
        <v>42</v>
      </c>
      <c r="K3" s="15" t="s">
        <v>42</v>
      </c>
      <c r="L3" s="15" t="s">
        <v>42</v>
      </c>
      <c r="M3" s="15" t="s">
        <v>42</v>
      </c>
      <c r="O3" s="17">
        <v>1.0</v>
      </c>
      <c r="P3" s="17" t="s">
        <v>66</v>
      </c>
      <c r="Q3" s="17" t="s">
        <v>67</v>
      </c>
      <c r="R3" s="17" t="s">
        <v>69</v>
      </c>
      <c r="S3" s="17">
        <v>8.0</v>
      </c>
      <c r="T3" s="17">
        <v>1.0</v>
      </c>
      <c r="V3" s="94">
        <v>1.0</v>
      </c>
      <c r="W3" s="94" t="s">
        <v>519</v>
      </c>
      <c r="X3" s="94" t="s">
        <v>520</v>
      </c>
      <c r="Y3" s="94" t="s">
        <v>521</v>
      </c>
      <c r="Z3" s="94">
        <v>6.0</v>
      </c>
      <c r="AA3" s="94">
        <v>1.0</v>
      </c>
    </row>
    <row r="4">
      <c r="A4" s="27">
        <v>2.0</v>
      </c>
      <c r="B4" s="28">
        <v>7.0</v>
      </c>
      <c r="C4" s="27">
        <v>18.0</v>
      </c>
      <c r="D4" s="28" t="s">
        <v>522</v>
      </c>
      <c r="F4" s="29">
        <v>2.0</v>
      </c>
      <c r="G4" s="29">
        <v>2.0</v>
      </c>
      <c r="H4" s="29" t="s">
        <v>523</v>
      </c>
      <c r="I4" s="29">
        <v>3.0</v>
      </c>
      <c r="J4" s="29" t="s">
        <v>42</v>
      </c>
      <c r="K4" s="29" t="s">
        <v>42</v>
      </c>
      <c r="L4" s="29" t="s">
        <v>42</v>
      </c>
      <c r="M4" s="29" t="s">
        <v>42</v>
      </c>
      <c r="O4" s="53">
        <v>1.0</v>
      </c>
      <c r="P4" s="53" t="s">
        <v>424</v>
      </c>
      <c r="Q4" s="53" t="s">
        <v>524</v>
      </c>
      <c r="R4" s="53" t="s">
        <v>387</v>
      </c>
      <c r="S4" s="53">
        <v>12.0</v>
      </c>
      <c r="T4" s="53">
        <v>2.0</v>
      </c>
      <c r="V4" s="95">
        <v>1.0</v>
      </c>
      <c r="W4" s="95" t="s">
        <v>525</v>
      </c>
      <c r="X4" s="95" t="s">
        <v>526</v>
      </c>
      <c r="Y4" s="95" t="s">
        <v>372</v>
      </c>
      <c r="Z4" s="95">
        <v>0.0</v>
      </c>
      <c r="AA4" s="95">
        <v>0.0</v>
      </c>
    </row>
    <row r="5">
      <c r="A5" s="13">
        <v>3.0</v>
      </c>
      <c r="B5" s="14">
        <v>9.0</v>
      </c>
      <c r="C5" s="13">
        <v>24.0</v>
      </c>
      <c r="D5" s="14" t="s">
        <v>527</v>
      </c>
      <c r="F5" s="15">
        <v>3.0</v>
      </c>
      <c r="G5" s="15">
        <v>2.0</v>
      </c>
      <c r="H5" s="15" t="s">
        <v>528</v>
      </c>
      <c r="I5" s="15">
        <v>4.0</v>
      </c>
      <c r="J5" s="15">
        <v>2.0</v>
      </c>
      <c r="K5" s="15" t="s">
        <v>42</v>
      </c>
      <c r="L5" s="15" t="s">
        <v>42</v>
      </c>
      <c r="M5" s="15" t="s">
        <v>42</v>
      </c>
      <c r="O5" s="53">
        <v>1.0</v>
      </c>
      <c r="P5" s="53" t="s">
        <v>117</v>
      </c>
      <c r="Q5" s="53" t="s">
        <v>379</v>
      </c>
      <c r="R5" s="53" t="s">
        <v>380</v>
      </c>
      <c r="S5" s="53">
        <v>30.0</v>
      </c>
      <c r="T5" s="53">
        <v>3.0</v>
      </c>
      <c r="V5" s="96">
        <v>2.0</v>
      </c>
      <c r="W5" s="96" t="s">
        <v>529</v>
      </c>
      <c r="X5" s="96" t="s">
        <v>530</v>
      </c>
      <c r="Y5" s="96" t="s">
        <v>531</v>
      </c>
      <c r="Z5" s="96">
        <v>6.0</v>
      </c>
      <c r="AA5" s="96">
        <v>1.0</v>
      </c>
    </row>
    <row r="6">
      <c r="A6" s="27">
        <v>4.0</v>
      </c>
      <c r="B6" s="28">
        <v>9.0</v>
      </c>
      <c r="C6" s="27">
        <v>24.0</v>
      </c>
      <c r="D6" s="28" t="s">
        <v>532</v>
      </c>
      <c r="F6" s="29">
        <v>4.0</v>
      </c>
      <c r="G6" s="29">
        <v>2.0</v>
      </c>
      <c r="H6" s="29" t="s">
        <v>76</v>
      </c>
      <c r="I6" s="29">
        <v>4.0</v>
      </c>
      <c r="J6" s="29">
        <v>2.0</v>
      </c>
      <c r="K6" s="29" t="s">
        <v>42</v>
      </c>
      <c r="L6" s="29" t="s">
        <v>42</v>
      </c>
      <c r="M6" s="29" t="s">
        <v>42</v>
      </c>
      <c r="O6" s="53">
        <v>1.0</v>
      </c>
      <c r="P6" s="53" t="s">
        <v>533</v>
      </c>
      <c r="Q6" s="53" t="s">
        <v>534</v>
      </c>
      <c r="R6" s="53" t="s">
        <v>535</v>
      </c>
      <c r="S6" s="53">
        <v>4.0</v>
      </c>
      <c r="T6" s="53">
        <v>1.0</v>
      </c>
      <c r="V6" s="96">
        <v>3.0</v>
      </c>
      <c r="W6" s="96" t="s">
        <v>528</v>
      </c>
      <c r="X6" s="96" t="s">
        <v>536</v>
      </c>
      <c r="Y6" s="96" t="s">
        <v>537</v>
      </c>
      <c r="Z6" s="96">
        <v>0.0</v>
      </c>
      <c r="AA6" s="96">
        <v>0.0</v>
      </c>
    </row>
    <row r="7">
      <c r="A7" s="13">
        <v>5.0</v>
      </c>
      <c r="B7" s="14">
        <v>16.0</v>
      </c>
      <c r="C7" s="13">
        <v>48.0</v>
      </c>
      <c r="D7" s="14" t="s">
        <v>538</v>
      </c>
      <c r="F7" s="15">
        <v>5.0</v>
      </c>
      <c r="G7" s="15">
        <v>3.0</v>
      </c>
      <c r="H7" s="15" t="s">
        <v>539</v>
      </c>
      <c r="I7" s="15">
        <v>4.0</v>
      </c>
      <c r="J7" s="15">
        <v>2.0</v>
      </c>
      <c r="K7" s="15">
        <v>1.0</v>
      </c>
      <c r="L7" s="15" t="s">
        <v>42</v>
      </c>
      <c r="M7" s="15" t="s">
        <v>42</v>
      </c>
      <c r="O7" s="53">
        <v>1.0</v>
      </c>
      <c r="P7" s="53" t="s">
        <v>540</v>
      </c>
      <c r="Q7" s="53" t="s">
        <v>541</v>
      </c>
      <c r="R7" s="53" t="s">
        <v>542</v>
      </c>
      <c r="S7" s="53">
        <v>8.0</v>
      </c>
      <c r="T7" s="53">
        <v>1.0</v>
      </c>
      <c r="V7" s="94">
        <v>3.0</v>
      </c>
      <c r="W7" s="94" t="s">
        <v>543</v>
      </c>
      <c r="X7" s="94" t="s">
        <v>544</v>
      </c>
      <c r="Y7" s="94" t="s">
        <v>545</v>
      </c>
      <c r="Z7" s="94">
        <v>12.0</v>
      </c>
      <c r="AA7" s="94">
        <v>2.0</v>
      </c>
    </row>
    <row r="8">
      <c r="A8" s="27">
        <v>6.0</v>
      </c>
      <c r="B8" s="28">
        <v>18.0</v>
      </c>
      <c r="C8" s="27">
        <v>54.0</v>
      </c>
      <c r="D8" s="28" t="s">
        <v>546</v>
      </c>
      <c r="F8" s="29">
        <v>6.0</v>
      </c>
      <c r="G8" s="29">
        <v>3.0</v>
      </c>
      <c r="H8" s="29" t="s">
        <v>547</v>
      </c>
      <c r="I8" s="29">
        <v>4.0</v>
      </c>
      <c r="J8" s="29">
        <v>2.0</v>
      </c>
      <c r="K8" s="29">
        <v>1.0</v>
      </c>
      <c r="L8" s="29" t="s">
        <v>42</v>
      </c>
      <c r="M8" s="29" t="s">
        <v>42</v>
      </c>
      <c r="O8" s="50">
        <v>2.0</v>
      </c>
      <c r="P8" s="50" t="s">
        <v>466</v>
      </c>
      <c r="Q8" s="50" t="s">
        <v>548</v>
      </c>
      <c r="R8" s="50" t="s">
        <v>549</v>
      </c>
      <c r="S8" s="50">
        <v>30.0</v>
      </c>
      <c r="T8" s="50">
        <v>3.0</v>
      </c>
      <c r="V8" s="95">
        <v>4.0</v>
      </c>
      <c r="W8" s="95" t="s">
        <v>76</v>
      </c>
      <c r="X8" s="95" t="s">
        <v>116</v>
      </c>
      <c r="Y8" s="95" t="s">
        <v>372</v>
      </c>
      <c r="Z8" s="95">
        <v>0.0</v>
      </c>
      <c r="AA8" s="95">
        <v>0.0</v>
      </c>
    </row>
    <row r="9">
      <c r="A9" s="13">
        <v>7.0</v>
      </c>
      <c r="B9" s="14">
        <v>25.0</v>
      </c>
      <c r="C9" s="13">
        <v>75.0</v>
      </c>
      <c r="D9" s="14" t="s">
        <v>550</v>
      </c>
      <c r="F9" s="15">
        <v>7.0</v>
      </c>
      <c r="G9" s="15">
        <v>3.0</v>
      </c>
      <c r="H9" s="15" t="s">
        <v>551</v>
      </c>
      <c r="I9" s="15">
        <v>4.0</v>
      </c>
      <c r="J9" s="15">
        <v>3.0</v>
      </c>
      <c r="K9" s="15">
        <v>2.0</v>
      </c>
      <c r="L9" s="15" t="s">
        <v>42</v>
      </c>
      <c r="M9" s="15" t="s">
        <v>42</v>
      </c>
      <c r="O9" s="50">
        <v>2.0</v>
      </c>
      <c r="P9" s="50" t="s">
        <v>552</v>
      </c>
      <c r="Q9" s="50" t="s">
        <v>553</v>
      </c>
      <c r="R9" s="50" t="s">
        <v>554</v>
      </c>
      <c r="S9" s="50">
        <v>6.0</v>
      </c>
      <c r="T9" s="50">
        <v>1.0</v>
      </c>
      <c r="V9" s="96">
        <v>5.0</v>
      </c>
      <c r="W9" s="96" t="s">
        <v>539</v>
      </c>
      <c r="X9" s="96" t="s">
        <v>555</v>
      </c>
      <c r="Y9" s="96" t="s">
        <v>556</v>
      </c>
      <c r="Z9" s="96">
        <v>24.0</v>
      </c>
      <c r="AA9" s="96">
        <v>4.0</v>
      </c>
    </row>
    <row r="10">
      <c r="A10" s="27">
        <v>8.0</v>
      </c>
      <c r="B10" s="28">
        <v>25.0</v>
      </c>
      <c r="C10" s="27">
        <v>75.0</v>
      </c>
      <c r="D10" s="28" t="s">
        <v>557</v>
      </c>
      <c r="F10" s="29">
        <v>8.0</v>
      </c>
      <c r="G10" s="29">
        <v>3.0</v>
      </c>
      <c r="H10" s="29" t="s">
        <v>76</v>
      </c>
      <c r="I10" s="29">
        <v>4.0</v>
      </c>
      <c r="J10" s="29">
        <v>3.0</v>
      </c>
      <c r="K10" s="29">
        <v>2.0</v>
      </c>
      <c r="L10" s="29" t="s">
        <v>42</v>
      </c>
      <c r="M10" s="29" t="s">
        <v>42</v>
      </c>
      <c r="O10" s="97">
        <v>2.0</v>
      </c>
      <c r="P10" s="97" t="s">
        <v>558</v>
      </c>
      <c r="Q10" s="97" t="s">
        <v>559</v>
      </c>
      <c r="R10" s="97" t="s">
        <v>560</v>
      </c>
      <c r="S10" s="97">
        <v>16.0</v>
      </c>
      <c r="T10" s="97">
        <v>2.0</v>
      </c>
      <c r="V10" s="96">
        <v>6.0</v>
      </c>
      <c r="W10" s="96" t="s">
        <v>547</v>
      </c>
      <c r="X10" s="96" t="s">
        <v>561</v>
      </c>
      <c r="Y10" s="96" t="s">
        <v>562</v>
      </c>
      <c r="Z10" s="96">
        <v>12.0</v>
      </c>
      <c r="AA10" s="96">
        <v>2.0</v>
      </c>
    </row>
    <row r="11">
      <c r="A11" s="13">
        <v>9.0</v>
      </c>
      <c r="B11" s="14">
        <v>27.0</v>
      </c>
      <c r="C11" s="13">
        <v>81.0</v>
      </c>
      <c r="D11" s="14" t="s">
        <v>563</v>
      </c>
      <c r="F11" s="15">
        <v>9.0</v>
      </c>
      <c r="G11" s="15">
        <v>4.0</v>
      </c>
      <c r="H11" s="15" t="s">
        <v>564</v>
      </c>
      <c r="I11" s="15">
        <v>4.0</v>
      </c>
      <c r="J11" s="15">
        <v>3.0</v>
      </c>
      <c r="K11" s="15">
        <v>3.0</v>
      </c>
      <c r="L11" s="15" t="s">
        <v>42</v>
      </c>
      <c r="M11" s="15" t="s">
        <v>42</v>
      </c>
      <c r="O11" s="50">
        <v>2.0</v>
      </c>
      <c r="P11" s="50" t="s">
        <v>565</v>
      </c>
      <c r="Q11" s="50" t="s">
        <v>566</v>
      </c>
      <c r="R11" s="50" t="s">
        <v>372</v>
      </c>
      <c r="S11" s="50">
        <v>0.0</v>
      </c>
      <c r="T11" s="50">
        <v>0.0</v>
      </c>
      <c r="V11" s="94">
        <v>7.0</v>
      </c>
      <c r="W11" s="94" t="s">
        <v>551</v>
      </c>
      <c r="X11" s="94" t="s">
        <v>567</v>
      </c>
      <c r="Y11" s="94" t="s">
        <v>568</v>
      </c>
      <c r="Z11" s="94">
        <v>60.0</v>
      </c>
      <c r="AA11" s="94">
        <v>10.0</v>
      </c>
    </row>
    <row r="12">
      <c r="A12" s="27">
        <v>10.0</v>
      </c>
      <c r="B12" s="28">
        <v>33.0</v>
      </c>
      <c r="C12" s="27">
        <v>96.0</v>
      </c>
      <c r="D12" s="28" t="s">
        <v>569</v>
      </c>
      <c r="F12" s="29">
        <v>10.0</v>
      </c>
      <c r="G12" s="29">
        <v>4.0</v>
      </c>
      <c r="H12" s="29" t="s">
        <v>570</v>
      </c>
      <c r="I12" s="29">
        <v>4.0</v>
      </c>
      <c r="J12" s="29">
        <v>3.0</v>
      </c>
      <c r="K12" s="29">
        <v>3.0</v>
      </c>
      <c r="L12" s="29" t="s">
        <v>42</v>
      </c>
      <c r="M12" s="29" t="s">
        <v>42</v>
      </c>
      <c r="O12" s="53">
        <v>3.0</v>
      </c>
      <c r="P12" s="53" t="s">
        <v>398</v>
      </c>
      <c r="Q12" s="53" t="s">
        <v>571</v>
      </c>
      <c r="R12" s="53" t="s">
        <v>572</v>
      </c>
      <c r="S12" s="53">
        <v>24.0</v>
      </c>
      <c r="T12" s="53">
        <v>4.0</v>
      </c>
      <c r="V12" s="95">
        <v>8.0</v>
      </c>
      <c r="W12" s="95" t="s">
        <v>76</v>
      </c>
      <c r="X12" s="95" t="s">
        <v>116</v>
      </c>
      <c r="Y12" s="95" t="s">
        <v>372</v>
      </c>
      <c r="Z12" s="95">
        <v>0.0</v>
      </c>
      <c r="AA12" s="95">
        <v>0.0</v>
      </c>
    </row>
    <row r="13">
      <c r="A13" s="13">
        <v>11.0</v>
      </c>
      <c r="B13" s="14">
        <v>34.0</v>
      </c>
      <c r="C13" s="13">
        <v>102.0</v>
      </c>
      <c r="D13" s="14" t="s">
        <v>573</v>
      </c>
      <c r="F13" s="15">
        <v>11.0</v>
      </c>
      <c r="G13" s="15">
        <v>4.0</v>
      </c>
      <c r="H13" s="15" t="s">
        <v>574</v>
      </c>
      <c r="I13" s="15">
        <v>4.0</v>
      </c>
      <c r="J13" s="15">
        <v>3.0</v>
      </c>
      <c r="K13" s="15">
        <v>3.0</v>
      </c>
      <c r="L13" s="15">
        <v>1.0</v>
      </c>
      <c r="M13" s="15" t="s">
        <v>42</v>
      </c>
      <c r="O13" s="53">
        <v>3.0</v>
      </c>
      <c r="P13" s="53" t="s">
        <v>575</v>
      </c>
      <c r="Q13" s="53" t="s">
        <v>576</v>
      </c>
      <c r="R13" s="53" t="s">
        <v>577</v>
      </c>
      <c r="S13" s="53">
        <v>48.0</v>
      </c>
      <c r="T13" s="53">
        <v>8.0</v>
      </c>
      <c r="V13" s="96">
        <v>9.0</v>
      </c>
      <c r="W13" s="96" t="s">
        <v>564</v>
      </c>
      <c r="X13" s="96" t="s">
        <v>578</v>
      </c>
      <c r="Y13" s="96" t="s">
        <v>372</v>
      </c>
      <c r="Z13" s="96">
        <v>0.0</v>
      </c>
      <c r="AA13" s="96">
        <v>0.0</v>
      </c>
    </row>
    <row r="14">
      <c r="A14" s="27">
        <v>12.0</v>
      </c>
      <c r="B14" s="28">
        <v>34.0</v>
      </c>
      <c r="C14" s="27">
        <v>102.0</v>
      </c>
      <c r="D14" s="28" t="s">
        <v>573</v>
      </c>
      <c r="F14" s="29">
        <v>12.0</v>
      </c>
      <c r="G14" s="29">
        <v>4.0</v>
      </c>
      <c r="H14" s="29" t="s">
        <v>76</v>
      </c>
      <c r="I14" s="29">
        <v>4.0</v>
      </c>
      <c r="J14" s="29">
        <v>3.0</v>
      </c>
      <c r="K14" s="29">
        <v>3.0</v>
      </c>
      <c r="L14" s="29">
        <v>1.0</v>
      </c>
      <c r="M14" s="29" t="s">
        <v>42</v>
      </c>
      <c r="O14" s="53">
        <v>3.0</v>
      </c>
      <c r="P14" s="53" t="s">
        <v>579</v>
      </c>
      <c r="Q14" s="53" t="s">
        <v>580</v>
      </c>
      <c r="R14" s="53" t="s">
        <v>581</v>
      </c>
      <c r="S14" s="53">
        <v>24.0</v>
      </c>
      <c r="T14" s="53">
        <v>3.0</v>
      </c>
      <c r="V14" s="96">
        <v>10.0</v>
      </c>
      <c r="W14" s="96" t="s">
        <v>570</v>
      </c>
      <c r="X14" s="96" t="s">
        <v>582</v>
      </c>
      <c r="Y14" s="96" t="s">
        <v>583</v>
      </c>
      <c r="Z14" s="96">
        <v>48.0</v>
      </c>
      <c r="AA14" s="96">
        <v>8.0</v>
      </c>
    </row>
    <row r="15">
      <c r="A15" s="13">
        <v>13.0</v>
      </c>
      <c r="B15" s="14">
        <v>40.0</v>
      </c>
      <c r="C15" s="13">
        <v>120.0</v>
      </c>
      <c r="D15" s="14" t="s">
        <v>584</v>
      </c>
      <c r="F15" s="15">
        <v>13.0</v>
      </c>
      <c r="G15" s="15">
        <v>5.0</v>
      </c>
      <c r="H15" s="15" t="s">
        <v>585</v>
      </c>
      <c r="I15" s="15">
        <v>4.0</v>
      </c>
      <c r="J15" s="15">
        <v>3.0</v>
      </c>
      <c r="K15" s="15">
        <v>3.0</v>
      </c>
      <c r="L15" s="15">
        <v>1.0</v>
      </c>
      <c r="M15" s="15" t="s">
        <v>42</v>
      </c>
      <c r="O15" s="53">
        <v>3.0</v>
      </c>
      <c r="P15" s="53" t="s">
        <v>586</v>
      </c>
      <c r="Q15" s="53" t="s">
        <v>587</v>
      </c>
      <c r="R15" s="53" t="s">
        <v>588</v>
      </c>
      <c r="S15" s="53">
        <v>24.0</v>
      </c>
      <c r="T15" s="53">
        <v>4.0</v>
      </c>
      <c r="V15" s="94">
        <v>11.0</v>
      </c>
      <c r="W15" s="94" t="s">
        <v>574</v>
      </c>
      <c r="X15" s="94" t="s">
        <v>589</v>
      </c>
      <c r="Y15" s="94" t="s">
        <v>537</v>
      </c>
      <c r="Z15" s="94">
        <v>0.0</v>
      </c>
      <c r="AA15" s="94">
        <v>0.0</v>
      </c>
    </row>
    <row r="16">
      <c r="A16" s="27">
        <v>14.0</v>
      </c>
      <c r="B16" s="28">
        <v>40.0</v>
      </c>
      <c r="C16" s="27">
        <v>120.0</v>
      </c>
      <c r="D16" s="28" t="s">
        <v>590</v>
      </c>
      <c r="F16" s="29">
        <v>14.0</v>
      </c>
      <c r="G16" s="29">
        <v>5.0</v>
      </c>
      <c r="H16" s="29" t="s">
        <v>591</v>
      </c>
      <c r="I16" s="29">
        <v>4.0</v>
      </c>
      <c r="J16" s="29">
        <v>3.0</v>
      </c>
      <c r="K16" s="29">
        <v>3.0</v>
      </c>
      <c r="L16" s="29">
        <v>2.0</v>
      </c>
      <c r="M16" s="29">
        <v>1.0</v>
      </c>
      <c r="O16" s="50">
        <v>4.0</v>
      </c>
      <c r="P16" s="50" t="s">
        <v>592</v>
      </c>
      <c r="Q16" s="50" t="s">
        <v>593</v>
      </c>
      <c r="R16" s="50" t="s">
        <v>594</v>
      </c>
      <c r="S16" s="50">
        <v>40.0</v>
      </c>
      <c r="T16" s="50">
        <v>5.0</v>
      </c>
      <c r="V16" s="95">
        <v>12.0</v>
      </c>
      <c r="W16" s="95" t="s">
        <v>76</v>
      </c>
      <c r="X16" s="95" t="s">
        <v>116</v>
      </c>
      <c r="Y16" s="95" t="s">
        <v>372</v>
      </c>
      <c r="Z16" s="95">
        <v>0.0</v>
      </c>
      <c r="AA16" s="95">
        <v>0.0</v>
      </c>
    </row>
    <row r="17">
      <c r="A17" s="13">
        <v>15.0</v>
      </c>
      <c r="B17" s="14">
        <v>44.0</v>
      </c>
      <c r="C17" s="13">
        <v>132.0</v>
      </c>
      <c r="D17" s="14" t="s">
        <v>595</v>
      </c>
      <c r="F17" s="15">
        <v>15.0</v>
      </c>
      <c r="G17" s="15">
        <v>5.0</v>
      </c>
      <c r="H17" s="15" t="s">
        <v>596</v>
      </c>
      <c r="I17" s="15">
        <v>4.0</v>
      </c>
      <c r="J17" s="15">
        <v>3.0</v>
      </c>
      <c r="K17" s="15">
        <v>3.0</v>
      </c>
      <c r="L17" s="15">
        <v>2.0</v>
      </c>
      <c r="M17" s="15">
        <v>1.0</v>
      </c>
      <c r="O17" s="50">
        <v>4.0</v>
      </c>
      <c r="P17" s="50" t="s">
        <v>597</v>
      </c>
      <c r="Q17" s="50" t="s">
        <v>598</v>
      </c>
      <c r="R17" s="50" t="s">
        <v>468</v>
      </c>
      <c r="S17" s="50">
        <v>30.0</v>
      </c>
      <c r="T17" s="50">
        <v>5.0</v>
      </c>
      <c r="V17" s="96">
        <v>13.0</v>
      </c>
      <c r="W17" s="96" t="s">
        <v>585</v>
      </c>
      <c r="X17" s="96" t="s">
        <v>599</v>
      </c>
      <c r="Y17" s="96" t="s">
        <v>600</v>
      </c>
      <c r="Z17" s="96">
        <v>84.0</v>
      </c>
      <c r="AA17" s="96">
        <v>14.0</v>
      </c>
    </row>
    <row r="18">
      <c r="A18" s="27">
        <v>16.0</v>
      </c>
      <c r="B18" s="28">
        <v>44.0</v>
      </c>
      <c r="C18" s="27">
        <v>132.0</v>
      </c>
      <c r="D18" s="28" t="s">
        <v>595</v>
      </c>
      <c r="F18" s="29">
        <v>16.0</v>
      </c>
      <c r="G18" s="29">
        <v>5.0</v>
      </c>
      <c r="H18" s="29" t="s">
        <v>76</v>
      </c>
      <c r="I18" s="29">
        <v>4.0</v>
      </c>
      <c r="J18" s="29">
        <v>3.0</v>
      </c>
      <c r="K18" s="29">
        <v>3.0</v>
      </c>
      <c r="L18" s="29">
        <v>2.0</v>
      </c>
      <c r="M18" s="29">
        <v>1.0</v>
      </c>
      <c r="O18" s="50">
        <v>4.0</v>
      </c>
      <c r="P18" s="50" t="s">
        <v>601</v>
      </c>
      <c r="Q18" s="50" t="s">
        <v>602</v>
      </c>
      <c r="R18" s="50" t="s">
        <v>603</v>
      </c>
      <c r="S18" s="50" t="s">
        <v>604</v>
      </c>
      <c r="T18" s="50" t="s">
        <v>604</v>
      </c>
      <c r="V18" s="96">
        <v>14.0</v>
      </c>
      <c r="W18" s="96" t="s">
        <v>591</v>
      </c>
      <c r="X18" s="96" t="s">
        <v>605</v>
      </c>
      <c r="Y18" s="96" t="s">
        <v>606</v>
      </c>
      <c r="Z18" s="96" t="s">
        <v>257</v>
      </c>
      <c r="AA18" s="96">
        <v>4.0</v>
      </c>
    </row>
    <row r="19">
      <c r="A19" s="13">
        <v>17.0</v>
      </c>
      <c r="B19" s="14">
        <v>48.0</v>
      </c>
      <c r="C19" s="13">
        <v>144.0</v>
      </c>
      <c r="D19" s="14" t="s">
        <v>607</v>
      </c>
      <c r="F19" s="15">
        <v>17.0</v>
      </c>
      <c r="G19" s="15">
        <v>6.0</v>
      </c>
      <c r="H19" s="15" t="s">
        <v>608</v>
      </c>
      <c r="I19" s="15">
        <v>4.0</v>
      </c>
      <c r="J19" s="15">
        <v>3.0</v>
      </c>
      <c r="K19" s="15">
        <v>3.0</v>
      </c>
      <c r="L19" s="15">
        <v>3.0</v>
      </c>
      <c r="M19" s="15">
        <v>2.0</v>
      </c>
      <c r="O19" s="53">
        <v>5.0</v>
      </c>
      <c r="P19" s="53" t="s">
        <v>539</v>
      </c>
      <c r="Q19" s="53" t="s">
        <v>609</v>
      </c>
      <c r="R19" s="53" t="s">
        <v>610</v>
      </c>
      <c r="S19" s="53">
        <v>48.0</v>
      </c>
      <c r="T19" s="53">
        <v>8.0</v>
      </c>
      <c r="V19" s="94">
        <v>15.0</v>
      </c>
      <c r="W19" s="94" t="s">
        <v>596</v>
      </c>
      <c r="X19" s="94" t="s">
        <v>611</v>
      </c>
      <c r="Y19" s="94" t="s">
        <v>612</v>
      </c>
      <c r="Z19" s="94">
        <v>24.0</v>
      </c>
      <c r="AA19" s="94">
        <v>4.0</v>
      </c>
    </row>
    <row r="20">
      <c r="A20" s="27">
        <v>18.0</v>
      </c>
      <c r="B20" s="28">
        <v>54.0</v>
      </c>
      <c r="C20" s="27">
        <v>162.0</v>
      </c>
      <c r="D20" s="28" t="s">
        <v>613</v>
      </c>
      <c r="F20" s="29">
        <v>18.0</v>
      </c>
      <c r="G20" s="29">
        <v>6.0</v>
      </c>
      <c r="H20" s="29" t="s">
        <v>614</v>
      </c>
      <c r="I20" s="29">
        <v>4.0</v>
      </c>
      <c r="J20" s="29">
        <v>3.0</v>
      </c>
      <c r="K20" s="29">
        <v>3.0</v>
      </c>
      <c r="L20" s="29">
        <v>3.0</v>
      </c>
      <c r="M20" s="29">
        <v>2.0</v>
      </c>
      <c r="O20" s="53">
        <v>5.0</v>
      </c>
      <c r="P20" s="53" t="s">
        <v>551</v>
      </c>
      <c r="Q20" s="53" t="s">
        <v>615</v>
      </c>
      <c r="R20" s="53" t="s">
        <v>616</v>
      </c>
      <c r="S20" s="53">
        <v>42.0</v>
      </c>
      <c r="T20" s="53">
        <v>7.0</v>
      </c>
      <c r="V20" s="95">
        <v>16.0</v>
      </c>
      <c r="W20" s="95" t="s">
        <v>76</v>
      </c>
      <c r="X20" s="95" t="s">
        <v>116</v>
      </c>
      <c r="Y20" s="95" t="s">
        <v>372</v>
      </c>
      <c r="Z20" s="95">
        <v>0.0</v>
      </c>
      <c r="AA20" s="95">
        <v>0.0</v>
      </c>
    </row>
    <row r="21">
      <c r="A21" s="13">
        <v>19.0</v>
      </c>
      <c r="B21" s="14">
        <v>60.0</v>
      </c>
      <c r="C21" s="13">
        <v>180.0</v>
      </c>
      <c r="D21" s="14" t="s">
        <v>617</v>
      </c>
      <c r="F21" s="15">
        <v>19.0</v>
      </c>
      <c r="G21" s="15">
        <v>6.0</v>
      </c>
      <c r="H21" s="15" t="s">
        <v>76</v>
      </c>
      <c r="I21" s="15">
        <v>4.0</v>
      </c>
      <c r="J21" s="15">
        <v>3.0</v>
      </c>
      <c r="K21" s="15">
        <v>3.0</v>
      </c>
      <c r="L21" s="15">
        <v>3.0</v>
      </c>
      <c r="M21" s="15">
        <v>2.0</v>
      </c>
      <c r="O21" s="50"/>
      <c r="P21" s="45"/>
      <c r="Q21" s="46"/>
      <c r="R21" s="47"/>
      <c r="S21" s="48"/>
      <c r="T21" s="48"/>
      <c r="V21" s="96">
        <v>17.0</v>
      </c>
      <c r="W21" s="96" t="s">
        <v>608</v>
      </c>
      <c r="X21" s="96" t="s">
        <v>618</v>
      </c>
      <c r="Y21" s="96" t="s">
        <v>619</v>
      </c>
      <c r="Z21" s="96">
        <v>96.0</v>
      </c>
      <c r="AA21" s="96">
        <v>16.0</v>
      </c>
    </row>
    <row r="22">
      <c r="A22" s="60">
        <v>20.0</v>
      </c>
      <c r="B22" s="60">
        <v>75.0</v>
      </c>
      <c r="C22" s="60">
        <v>240.0</v>
      </c>
      <c r="D22" s="60" t="s">
        <v>620</v>
      </c>
      <c r="F22" s="62">
        <v>20.0</v>
      </c>
      <c r="G22" s="62">
        <v>6.0</v>
      </c>
      <c r="H22" s="62" t="s">
        <v>621</v>
      </c>
      <c r="I22" s="62">
        <v>4.0</v>
      </c>
      <c r="J22" s="62">
        <v>3.0</v>
      </c>
      <c r="K22" s="62">
        <v>3.0</v>
      </c>
      <c r="L22" s="62">
        <v>3.0</v>
      </c>
      <c r="M22" s="62">
        <v>2.0</v>
      </c>
      <c r="O22" s="50"/>
      <c r="P22" s="45"/>
      <c r="Q22" s="46"/>
      <c r="R22" s="47"/>
      <c r="S22" s="48"/>
      <c r="T22" s="48"/>
      <c r="V22" s="96">
        <v>18.0</v>
      </c>
      <c r="W22" s="96" t="s">
        <v>622</v>
      </c>
      <c r="X22" s="96" t="s">
        <v>623</v>
      </c>
      <c r="Y22" s="96" t="s">
        <v>624</v>
      </c>
      <c r="Z22" s="96">
        <v>36.0</v>
      </c>
      <c r="AA22" s="96">
        <v>6.0</v>
      </c>
    </row>
    <row r="23">
      <c r="A23" s="66"/>
      <c r="B23" s="66"/>
      <c r="C23" s="66"/>
      <c r="D23" s="66"/>
      <c r="G23" s="67"/>
      <c r="O23" s="53"/>
      <c r="P23" s="32"/>
      <c r="Q23" s="33"/>
      <c r="R23" s="34"/>
      <c r="S23" s="35"/>
      <c r="T23" s="35"/>
      <c r="V23" s="94">
        <v>19.0</v>
      </c>
      <c r="W23" s="94" t="s">
        <v>625</v>
      </c>
      <c r="X23" s="94" t="s">
        <v>626</v>
      </c>
      <c r="Y23" s="94" t="s">
        <v>627</v>
      </c>
      <c r="Z23" s="94">
        <v>36.0</v>
      </c>
      <c r="AA23" s="94">
        <v>6.0</v>
      </c>
    </row>
    <row r="24">
      <c r="A24" s="66"/>
      <c r="B24" s="66"/>
      <c r="C24" s="66"/>
      <c r="D24" s="66"/>
      <c r="G24" s="67"/>
      <c r="O24" s="53"/>
      <c r="P24" s="32"/>
      <c r="Q24" s="33"/>
      <c r="R24" s="34"/>
      <c r="S24" s="35"/>
      <c r="T24" s="35"/>
      <c r="V24" s="95">
        <v>20.0</v>
      </c>
      <c r="W24" s="95" t="s">
        <v>621</v>
      </c>
      <c r="X24" s="95" t="s">
        <v>628</v>
      </c>
      <c r="Y24" s="95" t="s">
        <v>629</v>
      </c>
      <c r="Z24" s="95">
        <v>60.0</v>
      </c>
      <c r="AA24" s="95">
        <v>5.0</v>
      </c>
    </row>
    <row r="25">
      <c r="A25" s="66"/>
      <c r="B25" s="66"/>
      <c r="C25" s="66"/>
      <c r="D25" s="66"/>
      <c r="G25" s="67"/>
      <c r="O25" s="53"/>
      <c r="P25" s="32"/>
      <c r="Q25" s="33"/>
      <c r="R25" s="34"/>
      <c r="S25" s="35"/>
      <c r="T25" s="35"/>
      <c r="V25" s="39"/>
      <c r="W25" s="98"/>
      <c r="X25" s="41"/>
      <c r="Y25" s="41"/>
      <c r="Z25" s="39"/>
      <c r="AA25" s="39"/>
    </row>
    <row r="26">
      <c r="A26" s="66"/>
      <c r="B26" s="66"/>
      <c r="C26" s="66"/>
      <c r="D26" s="66"/>
      <c r="G26" s="67"/>
      <c r="O26" s="53"/>
      <c r="P26" s="32"/>
      <c r="Q26" s="33"/>
      <c r="R26" s="34"/>
      <c r="S26" s="35"/>
      <c r="T26" s="35"/>
      <c r="V26" s="39"/>
      <c r="W26" s="98"/>
      <c r="X26" s="41"/>
      <c r="Y26" s="41"/>
      <c r="Z26" s="39"/>
      <c r="AA26" s="39"/>
    </row>
    <row r="27">
      <c r="A27" s="66"/>
      <c r="B27" s="66"/>
      <c r="C27" s="66"/>
      <c r="D27" s="66"/>
      <c r="G27" s="67"/>
      <c r="O27" s="71"/>
      <c r="P27" s="72"/>
      <c r="Q27" s="73"/>
      <c r="R27" s="74"/>
      <c r="S27" s="75"/>
      <c r="T27" s="75"/>
      <c r="V27" s="22"/>
      <c r="W27" s="99"/>
      <c r="X27" s="25"/>
      <c r="Y27" s="25"/>
      <c r="Z27" s="22"/>
      <c r="AA27" s="22"/>
    </row>
    <row r="28">
      <c r="A28" s="66"/>
      <c r="B28" s="66"/>
      <c r="C28" s="66"/>
      <c r="D28" s="66"/>
      <c r="G28" s="67"/>
      <c r="P28" s="76"/>
      <c r="V28" s="36"/>
      <c r="W28" s="100"/>
      <c r="X28" s="38"/>
      <c r="Y28" s="38"/>
      <c r="Z28" s="36"/>
      <c r="AA28" s="36"/>
    </row>
    <row r="29">
      <c r="A29" s="66"/>
      <c r="B29" s="66"/>
      <c r="C29" s="66"/>
      <c r="D29" s="66"/>
      <c r="G29" s="67"/>
      <c r="P29" s="77"/>
      <c r="V29" s="39"/>
      <c r="W29" s="98"/>
      <c r="X29" s="41"/>
      <c r="Y29" s="41"/>
      <c r="Z29" s="39"/>
      <c r="AA29" s="39"/>
    </row>
    <row r="30">
      <c r="B30" s="66"/>
      <c r="C30" s="66"/>
      <c r="D30" s="66"/>
      <c r="G30" s="67"/>
      <c r="P30" s="76"/>
      <c r="V30" s="39"/>
      <c r="W30" s="98"/>
      <c r="X30" s="41"/>
      <c r="Y30" s="41"/>
      <c r="Z30" s="39"/>
      <c r="AA30" s="39"/>
    </row>
    <row r="31">
      <c r="A31" s="66"/>
      <c r="B31" s="66"/>
      <c r="C31" s="66"/>
      <c r="D31" s="66"/>
      <c r="G31" s="67"/>
      <c r="P31" s="77"/>
      <c r="V31" s="22"/>
      <c r="W31" s="99"/>
      <c r="X31" s="25"/>
      <c r="Y31" s="25"/>
      <c r="Z31" s="22"/>
      <c r="AA31" s="22"/>
    </row>
    <row r="32">
      <c r="A32" s="66"/>
      <c r="B32" s="66"/>
      <c r="C32" s="66"/>
      <c r="D32" s="66"/>
      <c r="G32" s="67"/>
      <c r="P32" s="76"/>
      <c r="V32" s="36"/>
      <c r="W32" s="100"/>
      <c r="X32" s="38"/>
      <c r="Y32" s="38"/>
      <c r="Z32" s="36"/>
      <c r="AA32" s="36"/>
    </row>
    <row r="33">
      <c r="A33" s="66"/>
      <c r="B33" s="66"/>
      <c r="C33" s="66"/>
      <c r="D33" s="81"/>
      <c r="G33" s="67"/>
      <c r="P33" s="76"/>
      <c r="R33" s="82"/>
      <c r="V33" s="39"/>
      <c r="W33" s="98"/>
      <c r="X33" s="41"/>
      <c r="Y33" s="41"/>
      <c r="Z33" s="39"/>
      <c r="AA33" s="39"/>
    </row>
    <row r="34">
      <c r="A34" s="66"/>
      <c r="B34" s="66"/>
      <c r="C34" s="66"/>
      <c r="D34" s="81"/>
      <c r="G34" s="67"/>
      <c r="P34" s="76"/>
      <c r="R34" s="82"/>
      <c r="V34" s="39"/>
      <c r="W34" s="98"/>
      <c r="X34" s="41"/>
      <c r="Y34" s="41"/>
      <c r="Z34" s="39"/>
      <c r="AA34" s="39"/>
    </row>
    <row r="35">
      <c r="A35" s="66"/>
      <c r="B35" s="66"/>
      <c r="C35" s="66"/>
      <c r="D35" s="66"/>
      <c r="G35" s="67"/>
      <c r="P35" s="76"/>
      <c r="R35" s="82"/>
      <c r="V35" s="22"/>
      <c r="W35" s="99"/>
      <c r="X35" s="25"/>
      <c r="Y35" s="25"/>
      <c r="Z35" s="22"/>
      <c r="AA35" s="22"/>
    </row>
    <row r="36">
      <c r="A36" s="66"/>
      <c r="B36" s="66"/>
      <c r="C36" s="66"/>
      <c r="D36" s="66"/>
      <c r="G36" s="67"/>
      <c r="P36" s="77"/>
      <c r="R36" s="82"/>
      <c r="V36" s="36"/>
      <c r="W36" s="100"/>
      <c r="X36" s="38"/>
      <c r="Y36" s="38"/>
      <c r="Z36" s="36"/>
      <c r="AA36" s="36"/>
    </row>
    <row r="37">
      <c r="A37" s="66"/>
      <c r="B37" s="66"/>
      <c r="C37" s="66"/>
      <c r="D37" s="66"/>
      <c r="G37" s="67"/>
      <c r="P37" s="76"/>
      <c r="R37" s="82"/>
      <c r="V37" s="39"/>
      <c r="W37" s="98"/>
      <c r="X37" s="41"/>
      <c r="Y37" s="41"/>
      <c r="Z37" s="39"/>
      <c r="AA37" s="39"/>
    </row>
    <row r="38">
      <c r="A38" s="66"/>
      <c r="B38" s="66"/>
      <c r="C38" s="66"/>
      <c r="D38" s="66"/>
      <c r="G38" s="67"/>
      <c r="P38" s="77"/>
      <c r="R38" s="82"/>
      <c r="V38" s="39"/>
      <c r="W38" s="98"/>
      <c r="X38" s="41"/>
      <c r="Y38" s="41"/>
      <c r="Z38" s="39"/>
      <c r="AA38" s="39"/>
    </row>
    <row r="39">
      <c r="A39" s="66"/>
      <c r="C39" s="66"/>
      <c r="D39" s="66"/>
      <c r="G39" s="67"/>
      <c r="R39" s="82"/>
      <c r="V39" s="22"/>
      <c r="W39" s="99"/>
      <c r="X39" s="25"/>
      <c r="Y39" s="25"/>
      <c r="Z39" s="22"/>
      <c r="AA39" s="22"/>
    </row>
    <row r="40">
      <c r="A40" s="66"/>
      <c r="B40" s="66"/>
      <c r="C40" s="66"/>
      <c r="D40" s="66"/>
      <c r="G40" s="67"/>
      <c r="P40" s="76"/>
      <c r="R40" s="82"/>
      <c r="V40" s="36"/>
      <c r="W40" s="100"/>
      <c r="X40" s="38"/>
      <c r="Y40" s="38"/>
      <c r="Z40" s="36"/>
      <c r="AA40" s="36"/>
    </row>
    <row r="41">
      <c r="A41" s="66"/>
      <c r="B41" s="66"/>
      <c r="C41" s="66"/>
      <c r="D41" s="66"/>
      <c r="G41" s="67"/>
      <c r="P41" s="76"/>
      <c r="R41" s="82"/>
      <c r="V41" s="39"/>
      <c r="W41" s="98"/>
      <c r="X41" s="41"/>
      <c r="Y41" s="41"/>
      <c r="Z41" s="39"/>
      <c r="AA41" s="39"/>
    </row>
    <row r="42">
      <c r="A42" s="66"/>
      <c r="B42" s="66"/>
      <c r="C42" s="66"/>
      <c r="D42" s="66"/>
      <c r="G42" s="67"/>
      <c r="P42" s="76"/>
      <c r="V42" s="39"/>
      <c r="W42" s="98"/>
      <c r="X42" s="41"/>
      <c r="Y42" s="41"/>
      <c r="Z42" s="39"/>
      <c r="AA42" s="39"/>
    </row>
    <row r="43">
      <c r="A43" s="66"/>
      <c r="B43" s="66"/>
      <c r="C43" s="66"/>
      <c r="D43" s="66"/>
      <c r="G43" s="67"/>
      <c r="P43" s="77"/>
      <c r="W43" s="66"/>
    </row>
    <row r="44">
      <c r="A44" s="66"/>
      <c r="B44" s="66"/>
      <c r="C44" s="66"/>
      <c r="D44" s="66"/>
      <c r="G44" s="67"/>
      <c r="P44" s="76"/>
      <c r="W44" s="66"/>
    </row>
    <row r="45">
      <c r="A45" s="66"/>
      <c r="C45" s="66"/>
      <c r="D45" s="66"/>
      <c r="G45" s="67"/>
      <c r="P45" s="77"/>
      <c r="W45" s="66"/>
    </row>
    <row r="46">
      <c r="A46" s="66"/>
      <c r="B46" s="66"/>
      <c r="C46" s="66"/>
      <c r="D46" s="66"/>
      <c r="G46" s="67"/>
      <c r="W46" s="66"/>
    </row>
    <row r="47">
      <c r="A47" s="66"/>
      <c r="B47" s="66"/>
      <c r="C47" s="66"/>
      <c r="D47" s="66"/>
      <c r="G47" s="67"/>
      <c r="P47" s="76"/>
      <c r="W47" s="66"/>
    </row>
    <row r="48">
      <c r="A48" s="66"/>
      <c r="B48" s="66"/>
      <c r="C48" s="66"/>
      <c r="D48" s="66"/>
      <c r="G48" s="67"/>
      <c r="P48" s="76"/>
      <c r="V48" s="67"/>
      <c r="W48" s="66"/>
    </row>
    <row r="49">
      <c r="A49" s="66"/>
      <c r="B49" s="66"/>
      <c r="C49" s="66"/>
      <c r="D49" s="66"/>
      <c r="G49" s="67"/>
      <c r="P49" s="76"/>
      <c r="V49" s="67"/>
      <c r="W49" s="66"/>
    </row>
    <row r="50">
      <c r="A50" s="66"/>
      <c r="B50" s="66"/>
      <c r="C50" s="66"/>
      <c r="D50" s="66"/>
      <c r="G50" s="67"/>
      <c r="P50" s="77"/>
      <c r="V50" s="67"/>
      <c r="W50" s="66"/>
    </row>
    <row r="51">
      <c r="A51" s="66"/>
      <c r="B51" s="66"/>
      <c r="C51" s="66"/>
      <c r="D51" s="66"/>
      <c r="G51" s="67"/>
      <c r="P51" s="76"/>
      <c r="V51" s="67"/>
      <c r="W51" s="66"/>
    </row>
    <row r="52">
      <c r="A52" s="66"/>
      <c r="B52" s="66"/>
      <c r="C52" s="66"/>
      <c r="D52" s="66"/>
      <c r="G52" s="67"/>
      <c r="P52" s="77"/>
      <c r="V52" s="67"/>
      <c r="W52" s="66"/>
    </row>
    <row r="53">
      <c r="A53" s="66"/>
      <c r="B53" s="66"/>
      <c r="C53" s="66"/>
      <c r="D53" s="66"/>
      <c r="G53" s="67"/>
      <c r="V53" s="67"/>
      <c r="W53" s="66"/>
    </row>
    <row r="54">
      <c r="A54" s="66"/>
      <c r="B54" s="66"/>
      <c r="C54" s="66"/>
      <c r="D54" s="66"/>
      <c r="G54" s="67"/>
      <c r="P54" s="76"/>
      <c r="V54" s="67"/>
      <c r="W54" s="66"/>
    </row>
    <row r="55">
      <c r="A55" s="66"/>
      <c r="B55" s="66"/>
      <c r="C55" s="66"/>
      <c r="D55" s="66"/>
      <c r="G55" s="67"/>
      <c r="P55" s="76"/>
      <c r="V55" s="67"/>
      <c r="W55" s="66"/>
    </row>
    <row r="56">
      <c r="A56" s="66"/>
      <c r="B56" s="66"/>
      <c r="C56" s="66"/>
      <c r="D56" s="66"/>
      <c r="G56" s="67"/>
      <c r="P56" s="76"/>
      <c r="V56" s="67"/>
      <c r="W56" s="66"/>
    </row>
    <row r="57">
      <c r="A57" s="66"/>
      <c r="B57" s="66"/>
      <c r="C57" s="66"/>
      <c r="D57" s="66"/>
      <c r="G57" s="67"/>
      <c r="P57" s="77"/>
      <c r="V57" s="67"/>
      <c r="W57" s="66"/>
    </row>
    <row r="58">
      <c r="A58" s="66"/>
      <c r="B58" s="66"/>
      <c r="C58" s="66"/>
      <c r="D58" s="66"/>
      <c r="G58" s="67"/>
      <c r="P58" s="76"/>
      <c r="V58" s="67"/>
      <c r="W58" s="66"/>
    </row>
    <row r="59">
      <c r="A59" s="66"/>
      <c r="B59" s="66"/>
      <c r="C59" s="66"/>
      <c r="D59" s="66"/>
      <c r="G59" s="67"/>
      <c r="P59" s="77"/>
      <c r="V59" s="67"/>
      <c r="W59" s="66"/>
    </row>
    <row r="60">
      <c r="A60" s="66"/>
      <c r="B60" s="66"/>
      <c r="C60" s="66"/>
      <c r="D60" s="66"/>
      <c r="G60" s="67"/>
      <c r="V60" s="67"/>
      <c r="W60" s="66"/>
    </row>
    <row r="61">
      <c r="A61" s="66"/>
      <c r="B61" s="66"/>
      <c r="C61" s="66"/>
      <c r="D61" s="66"/>
      <c r="G61" s="67"/>
      <c r="P61" s="76"/>
      <c r="V61" s="67"/>
      <c r="W61" s="66"/>
    </row>
    <row r="62">
      <c r="A62" s="66"/>
      <c r="B62" s="66"/>
      <c r="C62" s="66"/>
      <c r="D62" s="66"/>
      <c r="G62" s="67"/>
      <c r="P62" s="76"/>
      <c r="V62" s="67"/>
      <c r="W62" s="66"/>
    </row>
    <row r="63">
      <c r="A63" s="66"/>
      <c r="B63" s="66"/>
      <c r="C63" s="66"/>
      <c r="D63" s="66"/>
      <c r="G63" s="67"/>
      <c r="P63" s="76"/>
      <c r="V63" s="67"/>
      <c r="W63" s="66"/>
    </row>
    <row r="64">
      <c r="A64" s="66"/>
      <c r="B64" s="66"/>
      <c r="C64" s="66"/>
      <c r="D64" s="66"/>
      <c r="G64" s="67"/>
      <c r="V64" s="67"/>
      <c r="W64" s="66"/>
    </row>
    <row r="65">
      <c r="A65" s="66"/>
      <c r="B65" s="66"/>
      <c r="C65" s="66"/>
      <c r="D65" s="66"/>
      <c r="G65" s="67"/>
      <c r="V65" s="67"/>
      <c r="W65" s="66"/>
    </row>
    <row r="66">
      <c r="A66" s="66"/>
      <c r="B66" s="66"/>
      <c r="C66" s="66"/>
      <c r="D66" s="66"/>
      <c r="G66" s="67"/>
      <c r="V66" s="67"/>
      <c r="W66" s="66"/>
    </row>
    <row r="67">
      <c r="A67" s="66"/>
      <c r="B67" s="66"/>
      <c r="C67" s="66"/>
      <c r="D67" s="66"/>
      <c r="G67" s="67"/>
      <c r="V67" s="67"/>
      <c r="W67" s="66"/>
    </row>
    <row r="68">
      <c r="A68" s="66"/>
      <c r="B68" s="66"/>
      <c r="C68" s="66"/>
      <c r="D68" s="66"/>
      <c r="G68" s="67"/>
      <c r="V68" s="67"/>
      <c r="W68" s="66"/>
    </row>
    <row r="69">
      <c r="A69" s="66"/>
      <c r="B69" s="66"/>
      <c r="C69" s="66"/>
      <c r="D69" s="66"/>
      <c r="G69" s="67"/>
      <c r="V69" s="67"/>
      <c r="W69" s="66"/>
    </row>
    <row r="70">
      <c r="A70" s="66"/>
      <c r="B70" s="66"/>
      <c r="C70" s="66"/>
      <c r="D70" s="66"/>
      <c r="G70" s="67"/>
      <c r="V70" s="67"/>
      <c r="W70" s="66"/>
    </row>
    <row r="71">
      <c r="A71" s="66"/>
      <c r="B71" s="66"/>
      <c r="C71" s="66"/>
      <c r="D71" s="66"/>
      <c r="G71" s="67"/>
      <c r="V71" s="67"/>
      <c r="W71" s="66"/>
    </row>
    <row r="72">
      <c r="A72" s="66"/>
      <c r="B72" s="66"/>
      <c r="C72" s="66"/>
      <c r="D72" s="66"/>
      <c r="G72" s="67"/>
      <c r="V72" s="67"/>
      <c r="W72" s="66"/>
    </row>
    <row r="73">
      <c r="A73" s="66"/>
      <c r="B73" s="66"/>
      <c r="C73" s="66"/>
      <c r="D73" s="66"/>
      <c r="G73" s="67"/>
      <c r="V73" s="67"/>
      <c r="W73" s="66"/>
    </row>
    <row r="74">
      <c r="A74" s="66"/>
      <c r="B74" s="66"/>
      <c r="C74" s="66"/>
      <c r="D74" s="66"/>
      <c r="G74" s="67"/>
      <c r="V74" s="67"/>
      <c r="W74" s="66"/>
    </row>
    <row r="75">
      <c r="A75" s="66"/>
      <c r="B75" s="66"/>
      <c r="C75" s="66"/>
      <c r="D75" s="66"/>
      <c r="G75" s="67"/>
      <c r="V75" s="67"/>
      <c r="W75" s="66"/>
    </row>
    <row r="76">
      <c r="A76" s="66"/>
      <c r="B76" s="66"/>
      <c r="C76" s="66"/>
      <c r="D76" s="66"/>
      <c r="G76" s="67"/>
      <c r="V76" s="67"/>
      <c r="W76" s="66"/>
    </row>
    <row r="77">
      <c r="A77" s="66"/>
      <c r="B77" s="66"/>
      <c r="C77" s="66"/>
      <c r="D77" s="66"/>
      <c r="G77" s="67"/>
      <c r="V77" s="67"/>
      <c r="W77" s="66"/>
    </row>
    <row r="78">
      <c r="A78" s="66"/>
      <c r="B78" s="66"/>
      <c r="C78" s="66"/>
      <c r="D78" s="66"/>
      <c r="G78" s="67"/>
      <c r="V78" s="67"/>
      <c r="W78" s="66"/>
    </row>
    <row r="79">
      <c r="A79" s="66"/>
      <c r="B79" s="66"/>
      <c r="C79" s="66"/>
      <c r="D79" s="66"/>
      <c r="G79" s="67"/>
      <c r="V79" s="67"/>
      <c r="W79" s="66"/>
    </row>
    <row r="80">
      <c r="A80" s="66"/>
      <c r="B80" s="66"/>
      <c r="C80" s="66"/>
      <c r="D80" s="66"/>
      <c r="G80" s="67"/>
      <c r="V80" s="67"/>
      <c r="W80" s="66"/>
    </row>
    <row r="81">
      <c r="A81" s="66"/>
      <c r="B81" s="66"/>
      <c r="C81" s="66"/>
      <c r="D81" s="66"/>
      <c r="G81" s="67"/>
      <c r="V81" s="67"/>
      <c r="W81" s="66"/>
    </row>
    <row r="82">
      <c r="A82" s="66"/>
      <c r="B82" s="66"/>
      <c r="C82" s="66"/>
      <c r="D82" s="66"/>
      <c r="G82" s="67"/>
      <c r="V82" s="67"/>
      <c r="W82" s="66"/>
    </row>
    <row r="83">
      <c r="A83" s="66"/>
      <c r="B83" s="66"/>
      <c r="C83" s="66"/>
      <c r="D83" s="66"/>
      <c r="G83" s="67"/>
      <c r="V83" s="67"/>
      <c r="W83" s="66"/>
    </row>
    <row r="84">
      <c r="A84" s="66"/>
      <c r="B84" s="66"/>
      <c r="C84" s="66"/>
      <c r="D84" s="66"/>
      <c r="G84" s="67"/>
      <c r="V84" s="67"/>
      <c r="W84" s="66"/>
    </row>
    <row r="85">
      <c r="A85" s="66"/>
      <c r="B85" s="66"/>
      <c r="C85" s="66"/>
      <c r="D85" s="66"/>
      <c r="G85" s="67"/>
      <c r="V85" s="67"/>
      <c r="W85" s="66"/>
    </row>
    <row r="86">
      <c r="A86" s="66"/>
      <c r="B86" s="66"/>
      <c r="C86" s="66"/>
      <c r="D86" s="66"/>
      <c r="G86" s="67"/>
      <c r="V86" s="67"/>
      <c r="W86" s="66"/>
    </row>
    <row r="87">
      <c r="A87" s="66"/>
      <c r="B87" s="66"/>
      <c r="C87" s="66"/>
      <c r="D87" s="66"/>
      <c r="G87" s="67"/>
      <c r="V87" s="67"/>
      <c r="W87" s="66"/>
    </row>
    <row r="88">
      <c r="A88" s="66"/>
      <c r="B88" s="66"/>
      <c r="C88" s="66"/>
      <c r="D88" s="66"/>
      <c r="G88" s="67"/>
      <c r="V88" s="67"/>
      <c r="W88" s="66"/>
    </row>
    <row r="89">
      <c r="A89" s="66"/>
      <c r="B89" s="66"/>
      <c r="C89" s="66"/>
      <c r="D89" s="66"/>
      <c r="G89" s="67"/>
      <c r="V89" s="67"/>
      <c r="W89" s="66"/>
    </row>
    <row r="90">
      <c r="A90" s="66"/>
      <c r="B90" s="66"/>
      <c r="C90" s="66"/>
      <c r="D90" s="66"/>
      <c r="G90" s="67"/>
      <c r="V90" s="67"/>
      <c r="W90" s="66"/>
    </row>
    <row r="91">
      <c r="A91" s="66"/>
      <c r="B91" s="66"/>
      <c r="C91" s="66"/>
      <c r="D91" s="66"/>
      <c r="G91" s="67"/>
      <c r="V91" s="67"/>
      <c r="W91" s="66"/>
    </row>
    <row r="92">
      <c r="A92" s="66"/>
      <c r="B92" s="66"/>
      <c r="C92" s="66"/>
      <c r="D92" s="66"/>
      <c r="G92" s="67"/>
      <c r="V92" s="67"/>
      <c r="W92" s="66"/>
    </row>
    <row r="93">
      <c r="A93" s="66"/>
      <c r="B93" s="66"/>
      <c r="C93" s="66"/>
      <c r="D93" s="66"/>
      <c r="G93" s="67"/>
      <c r="V93" s="67"/>
      <c r="W93" s="66"/>
    </row>
    <row r="94">
      <c r="A94" s="66"/>
      <c r="B94" s="66"/>
      <c r="C94" s="66"/>
      <c r="D94" s="66"/>
      <c r="G94" s="67"/>
      <c r="V94" s="67"/>
      <c r="W94" s="66"/>
    </row>
    <row r="95">
      <c r="A95" s="66"/>
      <c r="B95" s="66"/>
      <c r="C95" s="66"/>
      <c r="D95" s="66"/>
      <c r="G95" s="67"/>
      <c r="V95" s="67"/>
      <c r="W95" s="66"/>
    </row>
    <row r="96">
      <c r="A96" s="66"/>
      <c r="B96" s="66"/>
      <c r="C96" s="66"/>
      <c r="D96" s="66"/>
      <c r="G96" s="67"/>
      <c r="V96" s="67"/>
      <c r="W96" s="66"/>
    </row>
    <row r="97">
      <c r="A97" s="66"/>
      <c r="B97" s="66"/>
      <c r="C97" s="66"/>
      <c r="D97" s="66"/>
      <c r="G97" s="67"/>
      <c r="V97" s="67"/>
      <c r="W97" s="66"/>
    </row>
    <row r="98">
      <c r="A98" s="66"/>
      <c r="B98" s="66"/>
      <c r="C98" s="66"/>
      <c r="D98" s="66"/>
      <c r="G98" s="67"/>
      <c r="V98" s="67"/>
      <c r="W98" s="66"/>
    </row>
    <row r="99">
      <c r="A99" s="66"/>
      <c r="B99" s="66"/>
      <c r="C99" s="66"/>
      <c r="D99" s="66"/>
      <c r="G99" s="67"/>
      <c r="V99" s="67"/>
      <c r="W99" s="66"/>
    </row>
    <row r="100">
      <c r="A100" s="66"/>
      <c r="B100" s="66"/>
      <c r="C100" s="66"/>
      <c r="D100" s="66"/>
      <c r="G100" s="67"/>
      <c r="V100" s="67"/>
      <c r="W100" s="66"/>
    </row>
    <row r="101">
      <c r="A101" s="66"/>
      <c r="B101" s="66"/>
      <c r="C101" s="66"/>
      <c r="D101" s="66"/>
      <c r="G101" s="67"/>
      <c r="V101" s="67"/>
      <c r="W101" s="66"/>
    </row>
    <row r="102">
      <c r="A102" s="66"/>
      <c r="B102" s="66"/>
      <c r="C102" s="66"/>
      <c r="D102" s="66"/>
      <c r="G102" s="67"/>
      <c r="V102" s="67"/>
      <c r="W102" s="66"/>
    </row>
    <row r="103">
      <c r="A103" s="66"/>
      <c r="B103" s="66"/>
      <c r="C103" s="66"/>
      <c r="D103" s="66"/>
      <c r="G103" s="67"/>
      <c r="V103" s="67"/>
      <c r="W103" s="66"/>
    </row>
    <row r="104">
      <c r="A104" s="66"/>
      <c r="B104" s="66"/>
      <c r="C104" s="66"/>
      <c r="D104" s="66"/>
      <c r="G104" s="67"/>
      <c r="V104" s="67"/>
      <c r="W104" s="66"/>
    </row>
    <row r="105">
      <c r="A105" s="66"/>
      <c r="B105" s="66"/>
      <c r="C105" s="66"/>
      <c r="D105" s="66"/>
      <c r="G105" s="67"/>
      <c r="V105" s="67"/>
      <c r="W105" s="66"/>
    </row>
    <row r="106">
      <c r="A106" s="66"/>
      <c r="B106" s="66"/>
      <c r="C106" s="66"/>
      <c r="D106" s="66"/>
      <c r="G106" s="67"/>
      <c r="V106" s="67"/>
      <c r="W106" s="66"/>
    </row>
    <row r="107">
      <c r="A107" s="66"/>
      <c r="B107" s="66"/>
      <c r="C107" s="66"/>
      <c r="D107" s="66"/>
      <c r="G107" s="67"/>
      <c r="V107" s="67"/>
      <c r="W107" s="66"/>
    </row>
    <row r="108">
      <c r="A108" s="66"/>
      <c r="B108" s="66"/>
      <c r="C108" s="66"/>
      <c r="D108" s="66"/>
      <c r="G108" s="67"/>
      <c r="V108" s="67"/>
      <c r="W108" s="66"/>
    </row>
    <row r="109">
      <c r="A109" s="66"/>
      <c r="B109" s="66"/>
      <c r="C109" s="66"/>
      <c r="D109" s="66"/>
      <c r="G109" s="67"/>
      <c r="V109" s="67"/>
      <c r="W109" s="66"/>
    </row>
    <row r="110">
      <c r="A110" s="66"/>
      <c r="B110" s="66"/>
      <c r="C110" s="66"/>
      <c r="D110" s="66"/>
      <c r="G110" s="67"/>
      <c r="V110" s="67"/>
      <c r="W110" s="66"/>
    </row>
    <row r="111">
      <c r="A111" s="66"/>
      <c r="B111" s="66"/>
      <c r="C111" s="66"/>
      <c r="D111" s="66"/>
      <c r="G111" s="67"/>
      <c r="V111" s="67"/>
      <c r="W111" s="66"/>
    </row>
    <row r="112">
      <c r="A112" s="66"/>
      <c r="B112" s="66"/>
      <c r="C112" s="66"/>
      <c r="D112" s="66"/>
      <c r="G112" s="67"/>
      <c r="V112" s="67"/>
      <c r="W112" s="66"/>
    </row>
    <row r="113">
      <c r="A113" s="66"/>
      <c r="B113" s="66"/>
      <c r="C113" s="66"/>
      <c r="D113" s="66"/>
      <c r="G113" s="67"/>
      <c r="V113" s="67"/>
      <c r="W113" s="66"/>
    </row>
    <row r="114">
      <c r="A114" s="66"/>
      <c r="B114" s="66"/>
      <c r="C114" s="66"/>
      <c r="D114" s="66"/>
      <c r="G114" s="67"/>
      <c r="V114" s="67"/>
      <c r="W114" s="66"/>
    </row>
    <row r="115">
      <c r="A115" s="66"/>
      <c r="B115" s="66"/>
      <c r="C115" s="66"/>
      <c r="D115" s="66"/>
      <c r="G115" s="67"/>
      <c r="V115" s="67"/>
      <c r="W115" s="66"/>
    </row>
    <row r="116">
      <c r="A116" s="66"/>
      <c r="B116" s="66"/>
      <c r="C116" s="66"/>
      <c r="D116" s="66"/>
      <c r="G116" s="67"/>
      <c r="V116" s="67"/>
      <c r="W116" s="66"/>
    </row>
    <row r="117">
      <c r="A117" s="66"/>
      <c r="B117" s="66"/>
      <c r="C117" s="66"/>
      <c r="D117" s="66"/>
      <c r="G117" s="67"/>
      <c r="V117" s="67"/>
      <c r="W117" s="66"/>
    </row>
    <row r="118">
      <c r="A118" s="66"/>
      <c r="B118" s="66"/>
      <c r="C118" s="66"/>
      <c r="D118" s="66"/>
      <c r="G118" s="67"/>
      <c r="V118" s="67"/>
      <c r="W118" s="66"/>
    </row>
    <row r="119">
      <c r="A119" s="66"/>
      <c r="B119" s="66"/>
      <c r="C119" s="66"/>
      <c r="D119" s="66"/>
      <c r="G119" s="67"/>
      <c r="V119" s="67"/>
      <c r="W119" s="66"/>
    </row>
    <row r="120">
      <c r="A120" s="66"/>
      <c r="B120" s="66"/>
      <c r="C120" s="66"/>
      <c r="D120" s="66"/>
      <c r="G120" s="67"/>
      <c r="V120" s="67"/>
      <c r="W120" s="66"/>
    </row>
    <row r="121">
      <c r="A121" s="66"/>
      <c r="B121" s="66"/>
      <c r="C121" s="66"/>
      <c r="D121" s="66"/>
      <c r="G121" s="67"/>
      <c r="V121" s="67"/>
      <c r="W121" s="66"/>
    </row>
    <row r="122">
      <c r="A122" s="66"/>
      <c r="B122" s="66"/>
      <c r="C122" s="66"/>
      <c r="D122" s="66"/>
      <c r="G122" s="67"/>
      <c r="V122" s="67"/>
      <c r="W122" s="66"/>
    </row>
    <row r="123">
      <c r="A123" s="66"/>
      <c r="B123" s="66"/>
      <c r="C123" s="66"/>
      <c r="D123" s="66"/>
      <c r="G123" s="67"/>
      <c r="V123" s="67"/>
      <c r="W123" s="66"/>
    </row>
    <row r="124">
      <c r="A124" s="66"/>
      <c r="B124" s="66"/>
      <c r="C124" s="66"/>
      <c r="D124" s="66"/>
      <c r="G124" s="67"/>
      <c r="V124" s="67"/>
      <c r="W124" s="66"/>
    </row>
    <row r="125">
      <c r="A125" s="66"/>
      <c r="B125" s="66"/>
      <c r="C125" s="66"/>
      <c r="D125" s="66"/>
      <c r="G125" s="67"/>
      <c r="V125" s="67"/>
      <c r="W125" s="66"/>
    </row>
    <row r="126">
      <c r="A126" s="66"/>
      <c r="B126" s="66"/>
      <c r="C126" s="66"/>
      <c r="D126" s="66"/>
      <c r="G126" s="67"/>
      <c r="V126" s="67"/>
      <c r="W126" s="66"/>
    </row>
    <row r="127">
      <c r="A127" s="66"/>
      <c r="B127" s="66"/>
      <c r="C127" s="66"/>
      <c r="D127" s="66"/>
      <c r="G127" s="67"/>
      <c r="V127" s="67"/>
      <c r="W127" s="66"/>
    </row>
    <row r="128">
      <c r="A128" s="66"/>
      <c r="B128" s="66"/>
      <c r="C128" s="66"/>
      <c r="D128" s="66"/>
      <c r="G128" s="67"/>
      <c r="V128" s="67"/>
      <c r="W128" s="66"/>
    </row>
    <row r="129">
      <c r="A129" s="66"/>
      <c r="B129" s="66"/>
      <c r="C129" s="66"/>
      <c r="D129" s="66"/>
      <c r="G129" s="67"/>
      <c r="V129" s="67"/>
      <c r="W129" s="66"/>
    </row>
    <row r="130">
      <c r="A130" s="66"/>
      <c r="B130" s="66"/>
      <c r="C130" s="66"/>
      <c r="D130" s="66"/>
      <c r="G130" s="67"/>
      <c r="V130" s="67"/>
      <c r="W130" s="66"/>
    </row>
    <row r="131">
      <c r="A131" s="66"/>
      <c r="B131" s="66"/>
      <c r="C131" s="66"/>
      <c r="D131" s="66"/>
      <c r="G131" s="67"/>
      <c r="V131" s="67"/>
      <c r="W131" s="66"/>
    </row>
    <row r="132">
      <c r="A132" s="66"/>
      <c r="B132" s="66"/>
      <c r="C132" s="66"/>
      <c r="D132" s="66"/>
      <c r="G132" s="67"/>
      <c r="V132" s="67"/>
      <c r="W132" s="66"/>
    </row>
    <row r="133">
      <c r="A133" s="66"/>
      <c r="B133" s="66"/>
      <c r="C133" s="66"/>
      <c r="D133" s="66"/>
      <c r="G133" s="67"/>
      <c r="V133" s="67"/>
      <c r="W133" s="66"/>
    </row>
    <row r="134">
      <c r="A134" s="66"/>
      <c r="B134" s="66"/>
      <c r="C134" s="66"/>
      <c r="D134" s="66"/>
      <c r="G134" s="67"/>
      <c r="V134" s="67"/>
      <c r="W134" s="66"/>
    </row>
    <row r="135">
      <c r="A135" s="66"/>
      <c r="B135" s="66"/>
      <c r="C135" s="66"/>
      <c r="D135" s="66"/>
      <c r="G135" s="67"/>
      <c r="V135" s="67"/>
      <c r="W135" s="66"/>
    </row>
    <row r="136">
      <c r="A136" s="66"/>
      <c r="B136" s="66"/>
      <c r="C136" s="66"/>
      <c r="D136" s="66"/>
      <c r="G136" s="67"/>
      <c r="V136" s="67"/>
      <c r="W136" s="66"/>
    </row>
    <row r="137">
      <c r="A137" s="66"/>
      <c r="B137" s="66"/>
      <c r="C137" s="66"/>
      <c r="D137" s="66"/>
      <c r="G137" s="67"/>
      <c r="V137" s="67"/>
      <c r="W137" s="66"/>
    </row>
    <row r="138">
      <c r="A138" s="66"/>
      <c r="B138" s="66"/>
      <c r="C138" s="66"/>
      <c r="D138" s="66"/>
      <c r="G138" s="67"/>
      <c r="V138" s="67"/>
      <c r="W138" s="66"/>
    </row>
    <row r="139">
      <c r="A139" s="66"/>
      <c r="B139" s="66"/>
      <c r="C139" s="66"/>
      <c r="D139" s="66"/>
      <c r="G139" s="67"/>
      <c r="V139" s="67"/>
      <c r="W139" s="66"/>
    </row>
    <row r="140">
      <c r="A140" s="66"/>
      <c r="B140" s="66"/>
      <c r="C140" s="66"/>
      <c r="D140" s="66"/>
      <c r="G140" s="67"/>
      <c r="V140" s="67"/>
      <c r="W140" s="66"/>
    </row>
    <row r="141">
      <c r="A141" s="66"/>
      <c r="B141" s="66"/>
      <c r="C141" s="66"/>
      <c r="D141" s="66"/>
      <c r="G141" s="67"/>
      <c r="V141" s="67"/>
      <c r="W141" s="66"/>
    </row>
    <row r="142">
      <c r="A142" s="66"/>
      <c r="B142" s="66"/>
      <c r="C142" s="66"/>
      <c r="D142" s="66"/>
      <c r="G142" s="67"/>
      <c r="V142" s="67"/>
      <c r="W142" s="66"/>
    </row>
    <row r="143">
      <c r="A143" s="66"/>
      <c r="B143" s="66"/>
      <c r="C143" s="66"/>
      <c r="D143" s="66"/>
      <c r="G143" s="67"/>
      <c r="V143" s="67"/>
      <c r="W143" s="66"/>
    </row>
    <row r="144">
      <c r="A144" s="66"/>
      <c r="B144" s="66"/>
      <c r="C144" s="66"/>
      <c r="D144" s="66"/>
      <c r="G144" s="67"/>
      <c r="V144" s="67"/>
      <c r="W144" s="66"/>
    </row>
    <row r="145">
      <c r="A145" s="66"/>
      <c r="B145" s="66"/>
      <c r="C145" s="66"/>
      <c r="D145" s="66"/>
      <c r="G145" s="67"/>
      <c r="V145" s="67"/>
      <c r="W145" s="66"/>
    </row>
    <row r="146">
      <c r="A146" s="66"/>
      <c r="B146" s="66"/>
      <c r="C146" s="66"/>
      <c r="D146" s="66"/>
      <c r="G146" s="67"/>
      <c r="V146" s="67"/>
      <c r="W146" s="66"/>
    </row>
    <row r="147">
      <c r="A147" s="66"/>
      <c r="B147" s="66"/>
      <c r="C147" s="66"/>
      <c r="D147" s="66"/>
      <c r="G147" s="67"/>
      <c r="V147" s="67"/>
      <c r="W147" s="66"/>
    </row>
    <row r="148">
      <c r="A148" s="66"/>
      <c r="B148" s="66"/>
      <c r="C148" s="66"/>
      <c r="D148" s="66"/>
      <c r="G148" s="67"/>
      <c r="V148" s="67"/>
      <c r="W148" s="66"/>
    </row>
    <row r="149">
      <c r="A149" s="66"/>
      <c r="B149" s="66"/>
      <c r="C149" s="66"/>
      <c r="D149" s="66"/>
      <c r="G149" s="67"/>
      <c r="V149" s="67"/>
      <c r="W149" s="66"/>
    </row>
    <row r="150">
      <c r="A150" s="66"/>
      <c r="B150" s="66"/>
      <c r="C150" s="66"/>
      <c r="D150" s="66"/>
      <c r="G150" s="67"/>
      <c r="V150" s="67"/>
      <c r="W150" s="66"/>
    </row>
    <row r="151">
      <c r="A151" s="66"/>
      <c r="B151" s="66"/>
      <c r="C151" s="66"/>
      <c r="D151" s="66"/>
      <c r="G151" s="67"/>
      <c r="V151" s="67"/>
      <c r="W151" s="66"/>
    </row>
    <row r="152">
      <c r="A152" s="66"/>
      <c r="B152" s="66"/>
      <c r="C152" s="66"/>
      <c r="D152" s="66"/>
      <c r="G152" s="67"/>
      <c r="V152" s="67"/>
      <c r="W152" s="66"/>
    </row>
    <row r="153">
      <c r="A153" s="66"/>
      <c r="B153" s="66"/>
      <c r="C153" s="66"/>
      <c r="D153" s="66"/>
      <c r="G153" s="67"/>
      <c r="V153" s="67"/>
      <c r="W153" s="66"/>
    </row>
    <row r="154">
      <c r="A154" s="66"/>
      <c r="B154" s="66"/>
      <c r="C154" s="66"/>
      <c r="D154" s="66"/>
      <c r="G154" s="67"/>
      <c r="V154" s="67"/>
      <c r="W154" s="66"/>
    </row>
    <row r="155">
      <c r="A155" s="66"/>
      <c r="B155" s="66"/>
      <c r="C155" s="66"/>
      <c r="D155" s="66"/>
      <c r="G155" s="67"/>
      <c r="V155" s="67"/>
      <c r="W155" s="66"/>
    </row>
    <row r="156">
      <c r="A156" s="66"/>
      <c r="B156" s="66"/>
      <c r="C156" s="66"/>
      <c r="D156" s="66"/>
      <c r="G156" s="67"/>
      <c r="V156" s="67"/>
      <c r="W156" s="66"/>
    </row>
    <row r="157">
      <c r="A157" s="66"/>
      <c r="B157" s="66"/>
      <c r="C157" s="66"/>
      <c r="D157" s="66"/>
      <c r="G157" s="67"/>
      <c r="V157" s="67"/>
      <c r="W157" s="66"/>
    </row>
    <row r="158">
      <c r="A158" s="66"/>
      <c r="B158" s="66"/>
      <c r="C158" s="66"/>
      <c r="D158" s="66"/>
      <c r="G158" s="67"/>
      <c r="V158" s="67"/>
      <c r="W158" s="66"/>
    </row>
    <row r="159">
      <c r="A159" s="66"/>
      <c r="B159" s="66"/>
      <c r="C159" s="66"/>
      <c r="D159" s="66"/>
      <c r="G159" s="67"/>
      <c r="V159" s="67"/>
      <c r="W159" s="66"/>
    </row>
    <row r="160">
      <c r="A160" s="66"/>
      <c r="B160" s="66"/>
      <c r="C160" s="66"/>
      <c r="D160" s="66"/>
      <c r="G160" s="67"/>
      <c r="V160" s="67"/>
      <c r="W160" s="66"/>
    </row>
    <row r="161">
      <c r="A161" s="66"/>
      <c r="B161" s="66"/>
      <c r="C161" s="66"/>
      <c r="D161" s="66"/>
      <c r="G161" s="67"/>
      <c r="V161" s="67"/>
      <c r="W161" s="66"/>
    </row>
    <row r="162">
      <c r="A162" s="66"/>
      <c r="B162" s="66"/>
      <c r="C162" s="66"/>
      <c r="D162" s="66"/>
      <c r="G162" s="67"/>
      <c r="V162" s="67"/>
      <c r="W162" s="66"/>
    </row>
    <row r="163">
      <c r="A163" s="66"/>
      <c r="B163" s="66"/>
      <c r="C163" s="66"/>
      <c r="D163" s="66"/>
      <c r="G163" s="67"/>
      <c r="V163" s="67"/>
      <c r="W163" s="66"/>
    </row>
    <row r="164">
      <c r="A164" s="66"/>
      <c r="B164" s="66"/>
      <c r="C164" s="66"/>
      <c r="D164" s="66"/>
      <c r="G164" s="67"/>
      <c r="V164" s="67"/>
      <c r="W164" s="66"/>
    </row>
    <row r="165">
      <c r="A165" s="66"/>
      <c r="B165" s="66"/>
      <c r="C165" s="66"/>
      <c r="D165" s="66"/>
      <c r="G165" s="67"/>
      <c r="V165" s="67"/>
      <c r="W165" s="66"/>
    </row>
    <row r="166">
      <c r="A166" s="66"/>
      <c r="B166" s="66"/>
      <c r="C166" s="66"/>
      <c r="D166" s="66"/>
      <c r="G166" s="67"/>
      <c r="V166" s="67"/>
      <c r="W166" s="66"/>
    </row>
    <row r="167">
      <c r="A167" s="66"/>
      <c r="B167" s="66"/>
      <c r="C167" s="66"/>
      <c r="D167" s="66"/>
      <c r="G167" s="67"/>
      <c r="V167" s="67"/>
      <c r="W167" s="66"/>
    </row>
    <row r="168">
      <c r="A168" s="66"/>
      <c r="B168" s="66"/>
      <c r="C168" s="66"/>
      <c r="D168" s="66"/>
      <c r="G168" s="67"/>
      <c r="V168" s="67"/>
      <c r="W168" s="66"/>
    </row>
    <row r="169">
      <c r="A169" s="66"/>
      <c r="B169" s="66"/>
      <c r="C169" s="66"/>
      <c r="D169" s="66"/>
      <c r="G169" s="67"/>
      <c r="V169" s="67"/>
      <c r="W169" s="66"/>
    </row>
    <row r="170">
      <c r="A170" s="66"/>
      <c r="B170" s="66"/>
      <c r="C170" s="66"/>
      <c r="D170" s="66"/>
      <c r="G170" s="67"/>
      <c r="V170" s="67"/>
      <c r="W170" s="66"/>
    </row>
    <row r="171">
      <c r="A171" s="66"/>
      <c r="B171" s="66"/>
      <c r="C171" s="66"/>
      <c r="D171" s="66"/>
      <c r="G171" s="67"/>
      <c r="V171" s="67"/>
      <c r="W171" s="66"/>
    </row>
    <row r="172">
      <c r="A172" s="66"/>
      <c r="B172" s="66"/>
      <c r="C172" s="66"/>
      <c r="D172" s="66"/>
      <c r="G172" s="67"/>
      <c r="V172" s="67"/>
      <c r="W172" s="66"/>
    </row>
    <row r="173">
      <c r="A173" s="66"/>
      <c r="B173" s="66"/>
      <c r="C173" s="66"/>
      <c r="D173" s="66"/>
      <c r="G173" s="67"/>
      <c r="V173" s="67"/>
      <c r="W173" s="66"/>
    </row>
    <row r="174">
      <c r="A174" s="66"/>
      <c r="B174" s="66"/>
      <c r="C174" s="66"/>
      <c r="D174" s="66"/>
      <c r="G174" s="67"/>
      <c r="V174" s="67"/>
      <c r="W174" s="66"/>
    </row>
    <row r="175">
      <c r="A175" s="66"/>
      <c r="B175" s="66"/>
      <c r="C175" s="66"/>
      <c r="D175" s="66"/>
      <c r="G175" s="67"/>
      <c r="V175" s="67"/>
      <c r="W175" s="66"/>
    </row>
    <row r="176">
      <c r="A176" s="66"/>
      <c r="B176" s="66"/>
      <c r="C176" s="66"/>
      <c r="D176" s="66"/>
      <c r="G176" s="67"/>
      <c r="V176" s="67"/>
      <c r="W176" s="66"/>
    </row>
    <row r="177">
      <c r="A177" s="66"/>
      <c r="B177" s="66"/>
      <c r="C177" s="66"/>
      <c r="D177" s="66"/>
      <c r="G177" s="67"/>
      <c r="V177" s="67"/>
      <c r="W177" s="66"/>
    </row>
    <row r="178">
      <c r="A178" s="66"/>
      <c r="B178" s="66"/>
      <c r="C178" s="66"/>
      <c r="D178" s="66"/>
      <c r="G178" s="67"/>
      <c r="V178" s="67"/>
      <c r="W178" s="66"/>
    </row>
    <row r="179">
      <c r="A179" s="66"/>
      <c r="B179" s="66"/>
      <c r="C179" s="66"/>
      <c r="D179" s="66"/>
      <c r="G179" s="67"/>
      <c r="V179" s="67"/>
      <c r="W179" s="66"/>
    </row>
    <row r="180">
      <c r="A180" s="66"/>
      <c r="B180" s="66"/>
      <c r="C180" s="66"/>
      <c r="D180" s="66"/>
      <c r="G180" s="67"/>
      <c r="V180" s="67"/>
      <c r="W180" s="66"/>
    </row>
    <row r="181">
      <c r="A181" s="66"/>
      <c r="B181" s="66"/>
      <c r="C181" s="66"/>
      <c r="D181" s="66"/>
      <c r="G181" s="67"/>
      <c r="V181" s="67"/>
      <c r="W181" s="66"/>
    </row>
    <row r="182">
      <c r="A182" s="66"/>
      <c r="B182" s="66"/>
      <c r="C182" s="66"/>
      <c r="D182" s="66"/>
      <c r="G182" s="67"/>
      <c r="V182" s="67"/>
      <c r="W182" s="66"/>
    </row>
    <row r="183">
      <c r="A183" s="66"/>
      <c r="B183" s="66"/>
      <c r="C183" s="66"/>
      <c r="D183" s="66"/>
      <c r="G183" s="67"/>
      <c r="V183" s="67"/>
      <c r="W183" s="66"/>
    </row>
    <row r="184">
      <c r="A184" s="66"/>
      <c r="B184" s="66"/>
      <c r="C184" s="66"/>
      <c r="D184" s="66"/>
      <c r="G184" s="67"/>
      <c r="V184" s="67"/>
      <c r="W184" s="66"/>
    </row>
    <row r="185">
      <c r="A185" s="66"/>
      <c r="B185" s="66"/>
      <c r="C185" s="66"/>
      <c r="D185" s="66"/>
      <c r="G185" s="67"/>
      <c r="V185" s="67"/>
      <c r="W185" s="66"/>
    </row>
    <row r="186">
      <c r="A186" s="66"/>
      <c r="B186" s="66"/>
      <c r="C186" s="66"/>
      <c r="D186" s="66"/>
      <c r="G186" s="67"/>
      <c r="V186" s="67"/>
      <c r="W186" s="66"/>
    </row>
    <row r="187">
      <c r="A187" s="66"/>
      <c r="B187" s="66"/>
      <c r="C187" s="66"/>
      <c r="D187" s="66"/>
      <c r="G187" s="67"/>
      <c r="V187" s="67"/>
      <c r="W187" s="66"/>
    </row>
    <row r="188">
      <c r="A188" s="66"/>
      <c r="B188" s="66"/>
      <c r="C188" s="66"/>
      <c r="D188" s="66"/>
      <c r="G188" s="67"/>
      <c r="V188" s="67"/>
      <c r="W188" s="66"/>
    </row>
    <row r="189">
      <c r="A189" s="66"/>
      <c r="B189" s="66"/>
      <c r="C189" s="66"/>
      <c r="D189" s="66"/>
      <c r="G189" s="67"/>
      <c r="V189" s="67"/>
      <c r="W189" s="66"/>
    </row>
    <row r="190">
      <c r="A190" s="66"/>
      <c r="B190" s="66"/>
      <c r="C190" s="66"/>
      <c r="D190" s="66"/>
      <c r="G190" s="67"/>
      <c r="V190" s="67"/>
      <c r="W190" s="66"/>
    </row>
    <row r="191">
      <c r="A191" s="66"/>
      <c r="B191" s="66"/>
      <c r="C191" s="66"/>
      <c r="D191" s="66"/>
      <c r="G191" s="67"/>
      <c r="V191" s="67"/>
      <c r="W191" s="66"/>
    </row>
    <row r="192">
      <c r="A192" s="66"/>
      <c r="B192" s="66"/>
      <c r="C192" s="66"/>
      <c r="D192" s="66"/>
      <c r="G192" s="67"/>
      <c r="V192" s="67"/>
      <c r="W192" s="66"/>
    </row>
    <row r="193">
      <c r="A193" s="66"/>
      <c r="B193" s="66"/>
      <c r="C193" s="66"/>
      <c r="D193" s="66"/>
      <c r="G193" s="67"/>
      <c r="V193" s="67"/>
      <c r="W193" s="66"/>
    </row>
    <row r="194">
      <c r="A194" s="66"/>
      <c r="B194" s="66"/>
      <c r="C194" s="66"/>
      <c r="D194" s="66"/>
      <c r="G194" s="67"/>
      <c r="V194" s="67"/>
      <c r="W194" s="66"/>
    </row>
    <row r="195">
      <c r="A195" s="66"/>
      <c r="B195" s="66"/>
      <c r="C195" s="66"/>
      <c r="D195" s="66"/>
      <c r="G195" s="67"/>
      <c r="V195" s="67"/>
      <c r="W195" s="66"/>
    </row>
    <row r="196">
      <c r="A196" s="66"/>
      <c r="B196" s="66"/>
      <c r="C196" s="66"/>
      <c r="D196" s="66"/>
      <c r="G196" s="67"/>
      <c r="V196" s="67"/>
      <c r="W196" s="66"/>
    </row>
    <row r="197">
      <c r="A197" s="66"/>
      <c r="B197" s="66"/>
      <c r="C197" s="66"/>
      <c r="D197" s="66"/>
      <c r="G197" s="67"/>
      <c r="V197" s="67"/>
      <c r="W197" s="66"/>
    </row>
    <row r="198">
      <c r="A198" s="66"/>
      <c r="B198" s="66"/>
      <c r="C198" s="66"/>
      <c r="D198" s="66"/>
      <c r="G198" s="67"/>
      <c r="V198" s="67"/>
      <c r="W198" s="66"/>
    </row>
    <row r="199">
      <c r="A199" s="66"/>
      <c r="B199" s="66"/>
      <c r="C199" s="66"/>
      <c r="D199" s="66"/>
      <c r="G199" s="67"/>
      <c r="V199" s="67"/>
      <c r="W199" s="66"/>
    </row>
    <row r="200">
      <c r="A200" s="66"/>
      <c r="B200" s="66"/>
      <c r="C200" s="66"/>
      <c r="D200" s="66"/>
      <c r="G200" s="67"/>
      <c r="V200" s="67"/>
      <c r="W200" s="66"/>
    </row>
    <row r="201">
      <c r="A201" s="66"/>
      <c r="B201" s="66"/>
      <c r="C201" s="66"/>
      <c r="D201" s="66"/>
      <c r="G201" s="67"/>
      <c r="V201" s="67"/>
      <c r="W201" s="66"/>
    </row>
    <row r="202">
      <c r="A202" s="66"/>
      <c r="B202" s="66"/>
      <c r="C202" s="66"/>
      <c r="D202" s="66"/>
      <c r="G202" s="67"/>
      <c r="V202" s="67"/>
      <c r="W202" s="66"/>
    </row>
    <row r="203">
      <c r="A203" s="66"/>
      <c r="B203" s="66"/>
      <c r="C203" s="66"/>
      <c r="D203" s="66"/>
      <c r="G203" s="67"/>
      <c r="V203" s="67"/>
      <c r="W203" s="66"/>
    </row>
    <row r="204">
      <c r="A204" s="66"/>
      <c r="B204" s="66"/>
      <c r="C204" s="66"/>
      <c r="D204" s="66"/>
      <c r="G204" s="67"/>
      <c r="V204" s="67"/>
      <c r="W204" s="66"/>
    </row>
    <row r="205">
      <c r="A205" s="66"/>
      <c r="B205" s="66"/>
      <c r="C205" s="66"/>
      <c r="D205" s="66"/>
      <c r="G205" s="67"/>
      <c r="V205" s="67"/>
      <c r="W205" s="66"/>
    </row>
    <row r="206">
      <c r="A206" s="66"/>
      <c r="B206" s="66"/>
      <c r="C206" s="66"/>
      <c r="D206" s="66"/>
      <c r="G206" s="67"/>
      <c r="V206" s="67"/>
      <c r="W206" s="66"/>
    </row>
    <row r="207">
      <c r="A207" s="66"/>
      <c r="B207" s="66"/>
      <c r="C207" s="66"/>
      <c r="D207" s="66"/>
      <c r="G207" s="67"/>
      <c r="V207" s="67"/>
      <c r="W207" s="66"/>
    </row>
    <row r="208">
      <c r="A208" s="66"/>
      <c r="B208" s="66"/>
      <c r="C208" s="66"/>
      <c r="D208" s="66"/>
      <c r="G208" s="67"/>
      <c r="V208" s="67"/>
      <c r="W208" s="66"/>
    </row>
    <row r="209">
      <c r="A209" s="66"/>
      <c r="B209" s="66"/>
      <c r="C209" s="66"/>
      <c r="D209" s="66"/>
      <c r="G209" s="67"/>
      <c r="V209" s="67"/>
      <c r="W209" s="66"/>
    </row>
    <row r="210">
      <c r="A210" s="66"/>
      <c r="B210" s="66"/>
      <c r="C210" s="66"/>
      <c r="D210" s="66"/>
      <c r="G210" s="67"/>
      <c r="V210" s="67"/>
      <c r="W210" s="66"/>
    </row>
    <row r="211">
      <c r="A211" s="66"/>
      <c r="B211" s="66"/>
      <c r="C211" s="66"/>
      <c r="D211" s="66"/>
      <c r="G211" s="67"/>
      <c r="V211" s="67"/>
      <c r="W211" s="66"/>
    </row>
    <row r="212">
      <c r="A212" s="66"/>
      <c r="B212" s="66"/>
      <c r="C212" s="66"/>
      <c r="D212" s="66"/>
      <c r="G212" s="67"/>
      <c r="V212" s="67"/>
      <c r="W212" s="66"/>
    </row>
    <row r="213">
      <c r="A213" s="66"/>
      <c r="B213" s="66"/>
      <c r="C213" s="66"/>
      <c r="D213" s="66"/>
      <c r="G213" s="67"/>
      <c r="V213" s="67"/>
      <c r="W213" s="66"/>
    </row>
    <row r="214">
      <c r="A214" s="66"/>
      <c r="B214" s="66"/>
      <c r="C214" s="66"/>
      <c r="D214" s="66"/>
      <c r="G214" s="67"/>
      <c r="V214" s="67"/>
      <c r="W214" s="66"/>
    </row>
    <row r="215">
      <c r="A215" s="66"/>
      <c r="B215" s="66"/>
      <c r="C215" s="66"/>
      <c r="D215" s="66"/>
      <c r="G215" s="67"/>
      <c r="V215" s="67"/>
      <c r="W215" s="66"/>
    </row>
    <row r="216">
      <c r="A216" s="66"/>
      <c r="B216" s="66"/>
      <c r="C216" s="66"/>
      <c r="D216" s="66"/>
      <c r="G216" s="67"/>
      <c r="V216" s="67"/>
      <c r="W216" s="66"/>
    </row>
    <row r="217">
      <c r="A217" s="66"/>
      <c r="B217" s="66"/>
      <c r="C217" s="66"/>
      <c r="D217" s="66"/>
      <c r="G217" s="67"/>
      <c r="V217" s="67"/>
      <c r="W217" s="66"/>
    </row>
    <row r="218">
      <c r="A218" s="66"/>
      <c r="B218" s="66"/>
      <c r="C218" s="66"/>
      <c r="D218" s="66"/>
      <c r="G218" s="67"/>
      <c r="V218" s="67"/>
      <c r="W218" s="66"/>
    </row>
    <row r="219">
      <c r="A219" s="66"/>
      <c r="B219" s="66"/>
      <c r="C219" s="66"/>
      <c r="D219" s="66"/>
      <c r="G219" s="67"/>
      <c r="V219" s="67"/>
      <c r="W219" s="66"/>
    </row>
    <row r="220">
      <c r="A220" s="66"/>
      <c r="B220" s="66"/>
      <c r="C220" s="66"/>
      <c r="D220" s="66"/>
      <c r="G220" s="67"/>
      <c r="V220" s="67"/>
      <c r="W220" s="66"/>
    </row>
    <row r="221">
      <c r="A221" s="66"/>
      <c r="B221" s="66"/>
      <c r="C221" s="66"/>
      <c r="D221" s="66"/>
      <c r="G221" s="67"/>
      <c r="V221" s="67"/>
      <c r="W221" s="66"/>
    </row>
    <row r="222">
      <c r="A222" s="66"/>
      <c r="B222" s="66"/>
      <c r="C222" s="66"/>
      <c r="D222" s="66"/>
      <c r="G222" s="67"/>
      <c r="V222" s="67"/>
      <c r="W222" s="66"/>
    </row>
    <row r="223">
      <c r="A223" s="66"/>
      <c r="B223" s="66"/>
      <c r="C223" s="66"/>
      <c r="D223" s="66"/>
      <c r="G223" s="67"/>
      <c r="V223" s="67"/>
      <c r="W223" s="66"/>
    </row>
    <row r="224">
      <c r="A224" s="66"/>
      <c r="B224" s="66"/>
      <c r="C224" s="66"/>
      <c r="D224" s="66"/>
      <c r="G224" s="67"/>
      <c r="V224" s="67"/>
      <c r="W224" s="66"/>
    </row>
    <row r="225">
      <c r="A225" s="66"/>
      <c r="B225" s="66"/>
      <c r="C225" s="66"/>
      <c r="D225" s="66"/>
      <c r="G225" s="67"/>
      <c r="V225" s="67"/>
      <c r="W225" s="66"/>
    </row>
    <row r="226">
      <c r="A226" s="66"/>
      <c r="B226" s="66"/>
      <c r="C226" s="66"/>
      <c r="D226" s="66"/>
      <c r="G226" s="67"/>
      <c r="V226" s="67"/>
      <c r="W226" s="66"/>
    </row>
    <row r="227">
      <c r="A227" s="66"/>
      <c r="B227" s="66"/>
      <c r="C227" s="66"/>
      <c r="D227" s="66"/>
      <c r="G227" s="67"/>
      <c r="V227" s="67"/>
      <c r="W227" s="66"/>
    </row>
    <row r="228">
      <c r="A228" s="66"/>
      <c r="B228" s="66"/>
      <c r="C228" s="66"/>
      <c r="D228" s="66"/>
      <c r="G228" s="67"/>
      <c r="V228" s="67"/>
      <c r="W228" s="66"/>
    </row>
    <row r="229">
      <c r="A229" s="66"/>
      <c r="B229" s="66"/>
      <c r="C229" s="66"/>
      <c r="D229" s="66"/>
      <c r="G229" s="67"/>
      <c r="V229" s="67"/>
      <c r="W229" s="66"/>
    </row>
    <row r="230">
      <c r="A230" s="66"/>
      <c r="B230" s="66"/>
      <c r="C230" s="66"/>
      <c r="D230" s="66"/>
      <c r="G230" s="67"/>
      <c r="V230" s="67"/>
      <c r="W230" s="66"/>
    </row>
    <row r="231">
      <c r="A231" s="66"/>
      <c r="B231" s="66"/>
      <c r="C231" s="66"/>
      <c r="D231" s="66"/>
      <c r="G231" s="67"/>
      <c r="V231" s="67"/>
      <c r="W231" s="66"/>
    </row>
    <row r="232">
      <c r="A232" s="66"/>
      <c r="B232" s="66"/>
      <c r="C232" s="66"/>
      <c r="D232" s="66"/>
      <c r="G232" s="67"/>
      <c r="V232" s="67"/>
      <c r="W232" s="66"/>
    </row>
    <row r="233">
      <c r="A233" s="66"/>
      <c r="B233" s="66"/>
      <c r="C233" s="66"/>
      <c r="D233" s="66"/>
      <c r="G233" s="67"/>
      <c r="V233" s="67"/>
      <c r="W233" s="66"/>
    </row>
    <row r="234">
      <c r="A234" s="66"/>
      <c r="B234" s="66"/>
      <c r="C234" s="66"/>
      <c r="D234" s="66"/>
      <c r="G234" s="67"/>
      <c r="V234" s="67"/>
      <c r="W234" s="66"/>
    </row>
    <row r="235">
      <c r="A235" s="66"/>
      <c r="B235" s="66"/>
      <c r="C235" s="66"/>
      <c r="D235" s="66"/>
      <c r="G235" s="67"/>
      <c r="V235" s="67"/>
      <c r="W235" s="66"/>
    </row>
    <row r="236">
      <c r="A236" s="66"/>
      <c r="B236" s="66"/>
      <c r="C236" s="66"/>
      <c r="D236" s="66"/>
      <c r="G236" s="67"/>
      <c r="V236" s="67"/>
      <c r="W236" s="66"/>
    </row>
    <row r="237">
      <c r="A237" s="66"/>
      <c r="B237" s="66"/>
      <c r="C237" s="66"/>
      <c r="D237" s="66"/>
      <c r="G237" s="67"/>
      <c r="V237" s="67"/>
      <c r="W237" s="66"/>
    </row>
    <row r="238">
      <c r="A238" s="66"/>
      <c r="B238" s="66"/>
      <c r="C238" s="66"/>
      <c r="D238" s="66"/>
      <c r="G238" s="67"/>
      <c r="V238" s="67"/>
      <c r="W238" s="66"/>
    </row>
    <row r="239">
      <c r="A239" s="66"/>
      <c r="B239" s="66"/>
      <c r="C239" s="66"/>
      <c r="D239" s="66"/>
      <c r="G239" s="67"/>
      <c r="V239" s="67"/>
      <c r="W239" s="66"/>
    </row>
    <row r="240">
      <c r="A240" s="66"/>
      <c r="B240" s="66"/>
      <c r="C240" s="66"/>
      <c r="D240" s="66"/>
      <c r="G240" s="67"/>
      <c r="V240" s="67"/>
      <c r="W240" s="66"/>
    </row>
    <row r="241">
      <c r="A241" s="66"/>
      <c r="B241" s="66"/>
      <c r="C241" s="66"/>
      <c r="D241" s="66"/>
      <c r="G241" s="67"/>
      <c r="V241" s="67"/>
      <c r="W241" s="66"/>
    </row>
    <row r="242">
      <c r="A242" s="66"/>
      <c r="B242" s="66"/>
      <c r="C242" s="66"/>
      <c r="D242" s="66"/>
      <c r="G242" s="67"/>
      <c r="V242" s="67"/>
      <c r="W242" s="66"/>
    </row>
    <row r="243">
      <c r="A243" s="66"/>
      <c r="B243" s="66"/>
      <c r="C243" s="66"/>
      <c r="D243" s="66"/>
      <c r="G243" s="67"/>
      <c r="V243" s="67"/>
      <c r="W243" s="66"/>
    </row>
    <row r="244">
      <c r="A244" s="66"/>
      <c r="B244" s="66"/>
      <c r="C244" s="66"/>
      <c r="D244" s="66"/>
      <c r="G244" s="67"/>
      <c r="V244" s="67"/>
      <c r="W244" s="66"/>
    </row>
    <row r="245">
      <c r="A245" s="66"/>
      <c r="B245" s="66"/>
      <c r="C245" s="66"/>
      <c r="D245" s="66"/>
      <c r="G245" s="67"/>
      <c r="V245" s="67"/>
      <c r="W245" s="66"/>
    </row>
    <row r="246">
      <c r="A246" s="66"/>
      <c r="B246" s="66"/>
      <c r="C246" s="66"/>
      <c r="D246" s="66"/>
      <c r="G246" s="67"/>
      <c r="V246" s="67"/>
      <c r="W246" s="66"/>
    </row>
    <row r="247">
      <c r="A247" s="66"/>
      <c r="B247" s="66"/>
      <c r="C247" s="66"/>
      <c r="D247" s="66"/>
      <c r="G247" s="67"/>
      <c r="V247" s="67"/>
      <c r="W247" s="66"/>
    </row>
    <row r="248">
      <c r="A248" s="66"/>
      <c r="B248" s="66"/>
      <c r="C248" s="66"/>
      <c r="D248" s="66"/>
      <c r="G248" s="67"/>
      <c r="V248" s="67"/>
      <c r="W248" s="66"/>
    </row>
    <row r="249">
      <c r="A249" s="66"/>
      <c r="B249" s="66"/>
      <c r="C249" s="66"/>
      <c r="D249" s="66"/>
      <c r="G249" s="67"/>
      <c r="V249" s="67"/>
      <c r="W249" s="66"/>
    </row>
    <row r="250">
      <c r="A250" s="66"/>
      <c r="B250" s="66"/>
      <c r="C250" s="66"/>
      <c r="D250" s="66"/>
      <c r="G250" s="67"/>
      <c r="V250" s="67"/>
      <c r="W250" s="66"/>
    </row>
    <row r="251">
      <c r="A251" s="66"/>
      <c r="B251" s="66"/>
      <c r="C251" s="66"/>
      <c r="D251" s="66"/>
      <c r="G251" s="67"/>
      <c r="V251" s="67"/>
      <c r="W251" s="66"/>
    </row>
    <row r="252">
      <c r="A252" s="66"/>
      <c r="B252" s="66"/>
      <c r="C252" s="66"/>
      <c r="D252" s="66"/>
      <c r="G252" s="67"/>
      <c r="V252" s="67"/>
      <c r="W252" s="66"/>
    </row>
    <row r="253">
      <c r="A253" s="66"/>
      <c r="B253" s="66"/>
      <c r="C253" s="66"/>
      <c r="D253" s="66"/>
      <c r="G253" s="67"/>
      <c r="V253" s="67"/>
      <c r="W253" s="66"/>
    </row>
    <row r="254">
      <c r="A254" s="66"/>
      <c r="B254" s="66"/>
      <c r="C254" s="66"/>
      <c r="D254" s="66"/>
      <c r="G254" s="67"/>
      <c r="V254" s="67"/>
      <c r="W254" s="66"/>
    </row>
    <row r="255">
      <c r="A255" s="66"/>
      <c r="B255" s="66"/>
      <c r="C255" s="66"/>
      <c r="D255" s="66"/>
      <c r="G255" s="67"/>
      <c r="V255" s="67"/>
      <c r="W255" s="66"/>
    </row>
    <row r="256">
      <c r="A256" s="66"/>
      <c r="B256" s="66"/>
      <c r="C256" s="66"/>
      <c r="D256" s="66"/>
      <c r="G256" s="67"/>
      <c r="V256" s="67"/>
      <c r="W256" s="66"/>
    </row>
    <row r="257">
      <c r="A257" s="66"/>
      <c r="B257" s="66"/>
      <c r="C257" s="66"/>
      <c r="D257" s="66"/>
      <c r="G257" s="67"/>
      <c r="V257" s="67"/>
      <c r="W257" s="66"/>
    </row>
    <row r="258">
      <c r="A258" s="66"/>
      <c r="B258" s="66"/>
      <c r="C258" s="66"/>
      <c r="D258" s="66"/>
      <c r="G258" s="67"/>
      <c r="V258" s="67"/>
      <c r="W258" s="66"/>
    </row>
    <row r="259">
      <c r="A259" s="66"/>
      <c r="B259" s="66"/>
      <c r="C259" s="66"/>
      <c r="D259" s="66"/>
      <c r="G259" s="67"/>
      <c r="V259" s="67"/>
      <c r="W259" s="66"/>
    </row>
    <row r="260">
      <c r="A260" s="66"/>
      <c r="B260" s="66"/>
      <c r="C260" s="66"/>
      <c r="D260" s="66"/>
      <c r="G260" s="67"/>
      <c r="V260" s="67"/>
      <c r="W260" s="66"/>
    </row>
    <row r="261">
      <c r="A261" s="66"/>
      <c r="B261" s="66"/>
      <c r="C261" s="66"/>
      <c r="D261" s="66"/>
      <c r="G261" s="67"/>
      <c r="V261" s="67"/>
      <c r="W261" s="66"/>
    </row>
    <row r="262">
      <c r="A262" s="66"/>
      <c r="B262" s="66"/>
      <c r="C262" s="66"/>
      <c r="D262" s="66"/>
      <c r="G262" s="67"/>
      <c r="V262" s="67"/>
      <c r="W262" s="66"/>
    </row>
    <row r="263">
      <c r="A263" s="66"/>
      <c r="B263" s="66"/>
      <c r="C263" s="66"/>
      <c r="D263" s="66"/>
      <c r="G263" s="67"/>
      <c r="V263" s="67"/>
      <c r="W263" s="66"/>
    </row>
    <row r="264">
      <c r="A264" s="66"/>
      <c r="B264" s="66"/>
      <c r="C264" s="66"/>
      <c r="D264" s="66"/>
      <c r="G264" s="67"/>
      <c r="V264" s="67"/>
      <c r="W264" s="66"/>
    </row>
    <row r="265">
      <c r="A265" s="66"/>
      <c r="B265" s="66"/>
      <c r="C265" s="66"/>
      <c r="D265" s="66"/>
      <c r="G265" s="67"/>
      <c r="V265" s="67"/>
      <c r="W265" s="66"/>
    </row>
    <row r="266">
      <c r="A266" s="66"/>
      <c r="B266" s="66"/>
      <c r="C266" s="66"/>
      <c r="D266" s="66"/>
      <c r="G266" s="67"/>
      <c r="V266" s="67"/>
      <c r="W266" s="66"/>
    </row>
    <row r="267">
      <c r="A267" s="66"/>
      <c r="B267" s="66"/>
      <c r="C267" s="66"/>
      <c r="D267" s="66"/>
      <c r="G267" s="67"/>
      <c r="V267" s="67"/>
      <c r="W267" s="66"/>
    </row>
    <row r="268">
      <c r="A268" s="66"/>
      <c r="B268" s="66"/>
      <c r="C268" s="66"/>
      <c r="D268" s="66"/>
      <c r="G268" s="67"/>
      <c r="V268" s="67"/>
      <c r="W268" s="66"/>
    </row>
    <row r="269">
      <c r="A269" s="66"/>
      <c r="B269" s="66"/>
      <c r="C269" s="66"/>
      <c r="D269" s="66"/>
      <c r="G269" s="67"/>
      <c r="V269" s="67"/>
      <c r="W269" s="66"/>
    </row>
    <row r="270">
      <c r="A270" s="66"/>
      <c r="B270" s="66"/>
      <c r="C270" s="66"/>
      <c r="D270" s="66"/>
      <c r="G270" s="67"/>
      <c r="V270" s="67"/>
      <c r="W270" s="66"/>
    </row>
    <row r="271">
      <c r="A271" s="66"/>
      <c r="B271" s="66"/>
      <c r="C271" s="66"/>
      <c r="D271" s="66"/>
      <c r="G271" s="67"/>
      <c r="V271" s="67"/>
      <c r="W271" s="66"/>
    </row>
    <row r="272">
      <c r="A272" s="66"/>
      <c r="B272" s="66"/>
      <c r="C272" s="66"/>
      <c r="D272" s="66"/>
      <c r="G272" s="67"/>
      <c r="V272" s="67"/>
      <c r="W272" s="66"/>
    </row>
    <row r="273">
      <c r="A273" s="66"/>
      <c r="B273" s="66"/>
      <c r="C273" s="66"/>
      <c r="D273" s="66"/>
      <c r="G273" s="67"/>
      <c r="V273" s="67"/>
      <c r="W273" s="66"/>
    </row>
    <row r="274">
      <c r="A274" s="66"/>
      <c r="B274" s="66"/>
      <c r="C274" s="66"/>
      <c r="D274" s="66"/>
      <c r="G274" s="67"/>
      <c r="V274" s="67"/>
      <c r="W274" s="66"/>
    </row>
    <row r="275">
      <c r="A275" s="66"/>
      <c r="B275" s="66"/>
      <c r="C275" s="66"/>
      <c r="D275" s="66"/>
      <c r="G275" s="67"/>
      <c r="V275" s="67"/>
      <c r="W275" s="66"/>
    </row>
    <row r="276">
      <c r="A276" s="66"/>
      <c r="B276" s="66"/>
      <c r="C276" s="66"/>
      <c r="D276" s="66"/>
      <c r="G276" s="67"/>
      <c r="V276" s="67"/>
      <c r="W276" s="66"/>
    </row>
    <row r="277">
      <c r="A277" s="66"/>
      <c r="B277" s="66"/>
      <c r="C277" s="66"/>
      <c r="D277" s="66"/>
      <c r="G277" s="67"/>
      <c r="V277" s="67"/>
      <c r="W277" s="66"/>
    </row>
    <row r="278">
      <c r="A278" s="66"/>
      <c r="B278" s="66"/>
      <c r="C278" s="66"/>
      <c r="D278" s="66"/>
      <c r="G278" s="67"/>
      <c r="V278" s="67"/>
      <c r="W278" s="66"/>
    </row>
    <row r="279">
      <c r="A279" s="66"/>
      <c r="B279" s="66"/>
      <c r="C279" s="66"/>
      <c r="D279" s="66"/>
      <c r="G279" s="67"/>
      <c r="V279" s="67"/>
      <c r="W279" s="66"/>
    </row>
    <row r="280">
      <c r="A280" s="66"/>
      <c r="B280" s="66"/>
      <c r="C280" s="66"/>
      <c r="D280" s="66"/>
      <c r="G280" s="67"/>
      <c r="V280" s="67"/>
      <c r="W280" s="66"/>
    </row>
    <row r="281">
      <c r="A281" s="66"/>
      <c r="B281" s="66"/>
      <c r="C281" s="66"/>
      <c r="D281" s="66"/>
      <c r="G281" s="67"/>
      <c r="V281" s="67"/>
      <c r="W281" s="66"/>
    </row>
    <row r="282">
      <c r="A282" s="66"/>
      <c r="B282" s="66"/>
      <c r="C282" s="66"/>
      <c r="D282" s="66"/>
      <c r="G282" s="67"/>
      <c r="V282" s="67"/>
      <c r="W282" s="66"/>
    </row>
    <row r="283">
      <c r="A283" s="66"/>
      <c r="B283" s="66"/>
      <c r="C283" s="66"/>
      <c r="D283" s="66"/>
      <c r="G283" s="67"/>
      <c r="V283" s="67"/>
      <c r="W283" s="66"/>
    </row>
    <row r="284">
      <c r="A284" s="66"/>
      <c r="B284" s="66"/>
      <c r="C284" s="66"/>
      <c r="D284" s="66"/>
      <c r="G284" s="67"/>
      <c r="V284" s="67"/>
      <c r="W284" s="66"/>
    </row>
    <row r="285">
      <c r="A285" s="66"/>
      <c r="B285" s="66"/>
      <c r="C285" s="66"/>
      <c r="D285" s="66"/>
      <c r="G285" s="67"/>
      <c r="V285" s="67"/>
      <c r="W285" s="66"/>
    </row>
    <row r="286">
      <c r="A286" s="66"/>
      <c r="B286" s="66"/>
      <c r="C286" s="66"/>
      <c r="D286" s="66"/>
      <c r="G286" s="67"/>
      <c r="V286" s="67"/>
      <c r="W286" s="66"/>
    </row>
    <row r="287">
      <c r="A287" s="66"/>
      <c r="B287" s="66"/>
      <c r="C287" s="66"/>
      <c r="D287" s="66"/>
      <c r="G287" s="67"/>
      <c r="V287" s="67"/>
      <c r="W287" s="66"/>
    </row>
    <row r="288">
      <c r="A288" s="66"/>
      <c r="B288" s="66"/>
      <c r="C288" s="66"/>
      <c r="D288" s="66"/>
      <c r="G288" s="67"/>
      <c r="V288" s="67"/>
      <c r="W288" s="66"/>
    </row>
    <row r="289">
      <c r="A289" s="66"/>
      <c r="B289" s="66"/>
      <c r="C289" s="66"/>
      <c r="D289" s="66"/>
      <c r="G289" s="67"/>
      <c r="V289" s="67"/>
      <c r="W289" s="66"/>
    </row>
    <row r="290">
      <c r="A290" s="66"/>
      <c r="B290" s="66"/>
      <c r="C290" s="66"/>
      <c r="D290" s="66"/>
      <c r="G290" s="67"/>
      <c r="V290" s="67"/>
      <c r="W290" s="66"/>
    </row>
    <row r="291">
      <c r="A291" s="66"/>
      <c r="B291" s="66"/>
      <c r="C291" s="66"/>
      <c r="D291" s="66"/>
      <c r="G291" s="67"/>
      <c r="V291" s="67"/>
      <c r="W291" s="66"/>
    </row>
    <row r="292">
      <c r="A292" s="66"/>
      <c r="B292" s="66"/>
      <c r="C292" s="66"/>
      <c r="D292" s="66"/>
      <c r="G292" s="67"/>
      <c r="V292" s="67"/>
      <c r="W292" s="66"/>
    </row>
    <row r="293">
      <c r="A293" s="66"/>
      <c r="B293" s="66"/>
      <c r="C293" s="66"/>
      <c r="D293" s="66"/>
      <c r="G293" s="67"/>
      <c r="V293" s="67"/>
      <c r="W293" s="66"/>
    </row>
    <row r="294">
      <c r="A294" s="66"/>
      <c r="B294" s="66"/>
      <c r="C294" s="66"/>
      <c r="D294" s="66"/>
      <c r="G294" s="67"/>
      <c r="V294" s="67"/>
      <c r="W294" s="66"/>
    </row>
    <row r="295">
      <c r="A295" s="66"/>
      <c r="B295" s="66"/>
      <c r="C295" s="66"/>
      <c r="D295" s="66"/>
      <c r="G295" s="67"/>
      <c r="V295" s="67"/>
      <c r="W295" s="66"/>
    </row>
    <row r="296">
      <c r="A296" s="66"/>
      <c r="B296" s="66"/>
      <c r="C296" s="66"/>
      <c r="D296" s="66"/>
      <c r="G296" s="67"/>
      <c r="V296" s="67"/>
      <c r="W296" s="66"/>
    </row>
    <row r="297">
      <c r="A297" s="66"/>
      <c r="B297" s="66"/>
      <c r="C297" s="66"/>
      <c r="D297" s="66"/>
      <c r="G297" s="67"/>
      <c r="V297" s="67"/>
      <c r="W297" s="66"/>
    </row>
    <row r="298">
      <c r="A298" s="66"/>
      <c r="B298" s="66"/>
      <c r="C298" s="66"/>
      <c r="D298" s="66"/>
      <c r="G298" s="67"/>
      <c r="V298" s="67"/>
      <c r="W298" s="66"/>
    </row>
    <row r="299">
      <c r="A299" s="66"/>
      <c r="B299" s="66"/>
      <c r="C299" s="66"/>
      <c r="D299" s="66"/>
      <c r="G299" s="67"/>
      <c r="V299" s="67"/>
      <c r="W299" s="66"/>
    </row>
    <row r="300">
      <c r="A300" s="66"/>
      <c r="B300" s="66"/>
      <c r="C300" s="66"/>
      <c r="D300" s="66"/>
      <c r="G300" s="67"/>
      <c r="V300" s="67"/>
      <c r="W300" s="66"/>
    </row>
    <row r="301">
      <c r="A301" s="66"/>
      <c r="B301" s="66"/>
      <c r="C301" s="66"/>
      <c r="D301" s="66"/>
      <c r="G301" s="67"/>
      <c r="V301" s="67"/>
      <c r="W301" s="66"/>
    </row>
    <row r="302">
      <c r="A302" s="66"/>
      <c r="B302" s="66"/>
      <c r="C302" s="66"/>
      <c r="D302" s="66"/>
      <c r="G302" s="67"/>
      <c r="V302" s="67"/>
      <c r="W302" s="66"/>
    </row>
    <row r="303">
      <c r="A303" s="66"/>
      <c r="B303" s="66"/>
      <c r="C303" s="66"/>
      <c r="D303" s="66"/>
      <c r="G303" s="67"/>
      <c r="V303" s="67"/>
      <c r="W303" s="66"/>
    </row>
    <row r="304">
      <c r="A304" s="66"/>
      <c r="B304" s="66"/>
      <c r="C304" s="66"/>
      <c r="D304" s="66"/>
      <c r="G304" s="67"/>
      <c r="V304" s="67"/>
      <c r="W304" s="66"/>
    </row>
    <row r="305">
      <c r="A305" s="66"/>
      <c r="B305" s="66"/>
      <c r="C305" s="66"/>
      <c r="D305" s="66"/>
      <c r="G305" s="67"/>
      <c r="V305" s="67"/>
      <c r="W305" s="66"/>
    </row>
    <row r="306">
      <c r="A306" s="66"/>
      <c r="B306" s="66"/>
      <c r="C306" s="66"/>
      <c r="D306" s="66"/>
      <c r="G306" s="67"/>
      <c r="V306" s="67"/>
      <c r="W306" s="66"/>
    </row>
    <row r="307">
      <c r="A307" s="66"/>
      <c r="B307" s="66"/>
      <c r="C307" s="66"/>
      <c r="D307" s="66"/>
      <c r="G307" s="67"/>
      <c r="V307" s="67"/>
      <c r="W307" s="66"/>
    </row>
    <row r="308">
      <c r="A308" s="66"/>
      <c r="B308" s="66"/>
      <c r="C308" s="66"/>
      <c r="D308" s="66"/>
      <c r="G308" s="67"/>
      <c r="V308" s="67"/>
      <c r="W308" s="66"/>
    </row>
    <row r="309">
      <c r="A309" s="66"/>
      <c r="B309" s="66"/>
      <c r="C309" s="66"/>
      <c r="D309" s="66"/>
      <c r="G309" s="67"/>
      <c r="V309" s="67"/>
      <c r="W309" s="66"/>
    </row>
    <row r="310">
      <c r="A310" s="66"/>
      <c r="B310" s="66"/>
      <c r="C310" s="66"/>
      <c r="D310" s="66"/>
      <c r="G310" s="67"/>
      <c r="V310" s="67"/>
      <c r="W310" s="66"/>
    </row>
    <row r="311">
      <c r="A311" s="66"/>
      <c r="B311" s="66"/>
      <c r="C311" s="66"/>
      <c r="D311" s="66"/>
      <c r="G311" s="67"/>
      <c r="V311" s="67"/>
      <c r="W311" s="66"/>
    </row>
    <row r="312">
      <c r="A312" s="66"/>
      <c r="B312" s="66"/>
      <c r="C312" s="66"/>
      <c r="D312" s="66"/>
      <c r="G312" s="67"/>
      <c r="V312" s="67"/>
      <c r="W312" s="66"/>
    </row>
    <row r="313">
      <c r="A313" s="66"/>
      <c r="B313" s="66"/>
      <c r="C313" s="66"/>
      <c r="D313" s="66"/>
      <c r="G313" s="67"/>
      <c r="V313" s="67"/>
      <c r="W313" s="66"/>
    </row>
    <row r="314">
      <c r="A314" s="66"/>
      <c r="B314" s="66"/>
      <c r="C314" s="66"/>
      <c r="D314" s="66"/>
      <c r="G314" s="67"/>
      <c r="V314" s="67"/>
      <c r="W314" s="66"/>
    </row>
    <row r="315">
      <c r="A315" s="66"/>
      <c r="B315" s="66"/>
      <c r="C315" s="66"/>
      <c r="D315" s="66"/>
      <c r="G315" s="67"/>
      <c r="V315" s="67"/>
      <c r="W315" s="66"/>
    </row>
    <row r="316">
      <c r="A316" s="66"/>
      <c r="B316" s="66"/>
      <c r="C316" s="66"/>
      <c r="D316" s="66"/>
      <c r="G316" s="67"/>
      <c r="V316" s="67"/>
      <c r="W316" s="66"/>
    </row>
    <row r="317">
      <c r="A317" s="66"/>
      <c r="B317" s="66"/>
      <c r="C317" s="66"/>
      <c r="D317" s="66"/>
      <c r="G317" s="67"/>
      <c r="V317" s="67"/>
      <c r="W317" s="66"/>
    </row>
    <row r="318">
      <c r="A318" s="66"/>
      <c r="B318" s="66"/>
      <c r="C318" s="66"/>
      <c r="D318" s="66"/>
      <c r="G318" s="67"/>
      <c r="V318" s="67"/>
      <c r="W318" s="66"/>
    </row>
    <row r="319">
      <c r="A319" s="66"/>
      <c r="B319" s="66"/>
      <c r="C319" s="66"/>
      <c r="D319" s="66"/>
      <c r="G319" s="67"/>
      <c r="V319" s="67"/>
      <c r="W319" s="66"/>
    </row>
    <row r="320">
      <c r="A320" s="66"/>
      <c r="B320" s="66"/>
      <c r="C320" s="66"/>
      <c r="D320" s="66"/>
      <c r="G320" s="67"/>
      <c r="V320" s="67"/>
      <c r="W320" s="66"/>
    </row>
    <row r="321">
      <c r="A321" s="66"/>
      <c r="B321" s="66"/>
      <c r="C321" s="66"/>
      <c r="D321" s="66"/>
      <c r="G321" s="67"/>
      <c r="V321" s="67"/>
      <c r="W321" s="66"/>
    </row>
    <row r="322">
      <c r="A322" s="66"/>
      <c r="B322" s="66"/>
      <c r="C322" s="66"/>
      <c r="D322" s="66"/>
      <c r="G322" s="67"/>
      <c r="V322" s="67"/>
      <c r="W322" s="66"/>
    </row>
    <row r="323">
      <c r="A323" s="66"/>
      <c r="B323" s="66"/>
      <c r="C323" s="66"/>
      <c r="D323" s="66"/>
      <c r="G323" s="67"/>
      <c r="V323" s="67"/>
      <c r="W323" s="66"/>
    </row>
    <row r="324">
      <c r="A324" s="66"/>
      <c r="B324" s="66"/>
      <c r="C324" s="66"/>
      <c r="D324" s="66"/>
      <c r="G324" s="67"/>
      <c r="V324" s="67"/>
      <c r="W324" s="66"/>
    </row>
    <row r="325">
      <c r="A325" s="66"/>
      <c r="B325" s="66"/>
      <c r="C325" s="66"/>
      <c r="D325" s="66"/>
      <c r="G325" s="67"/>
      <c r="V325" s="67"/>
      <c r="W325" s="66"/>
    </row>
    <row r="326">
      <c r="A326" s="66"/>
      <c r="B326" s="66"/>
      <c r="C326" s="66"/>
      <c r="D326" s="66"/>
      <c r="G326" s="67"/>
      <c r="V326" s="67"/>
      <c r="W326" s="66"/>
    </row>
    <row r="327">
      <c r="A327" s="66"/>
      <c r="B327" s="66"/>
      <c r="C327" s="66"/>
      <c r="D327" s="66"/>
      <c r="G327" s="67"/>
      <c r="V327" s="67"/>
      <c r="W327" s="66"/>
    </row>
    <row r="328">
      <c r="A328" s="66"/>
      <c r="B328" s="66"/>
      <c r="C328" s="66"/>
      <c r="D328" s="66"/>
      <c r="G328" s="67"/>
      <c r="V328" s="67"/>
      <c r="W328" s="66"/>
    </row>
    <row r="329">
      <c r="A329" s="66"/>
      <c r="B329" s="66"/>
      <c r="C329" s="66"/>
      <c r="D329" s="66"/>
      <c r="G329" s="67"/>
      <c r="V329" s="67"/>
      <c r="W329" s="66"/>
    </row>
    <row r="330">
      <c r="A330" s="66"/>
      <c r="B330" s="66"/>
      <c r="C330" s="66"/>
      <c r="D330" s="66"/>
      <c r="G330" s="67"/>
      <c r="V330" s="67"/>
      <c r="W330" s="66"/>
    </row>
    <row r="331">
      <c r="A331" s="66"/>
      <c r="B331" s="66"/>
      <c r="C331" s="66"/>
      <c r="D331" s="66"/>
      <c r="G331" s="67"/>
      <c r="V331" s="67"/>
      <c r="W331" s="66"/>
    </row>
    <row r="332">
      <c r="A332" s="66"/>
      <c r="B332" s="66"/>
      <c r="C332" s="66"/>
      <c r="D332" s="66"/>
      <c r="G332" s="67"/>
      <c r="V332" s="67"/>
      <c r="W332" s="66"/>
    </row>
    <row r="333">
      <c r="A333" s="66"/>
      <c r="B333" s="66"/>
      <c r="C333" s="66"/>
      <c r="D333" s="66"/>
      <c r="G333" s="67"/>
      <c r="V333" s="67"/>
      <c r="W333" s="66"/>
    </row>
    <row r="334">
      <c r="A334" s="66"/>
      <c r="B334" s="66"/>
      <c r="C334" s="66"/>
      <c r="D334" s="66"/>
      <c r="G334" s="67"/>
      <c r="V334" s="67"/>
      <c r="W334" s="66"/>
    </row>
    <row r="335">
      <c r="A335" s="66"/>
      <c r="B335" s="66"/>
      <c r="C335" s="66"/>
      <c r="D335" s="66"/>
      <c r="G335" s="67"/>
      <c r="V335" s="67"/>
      <c r="W335" s="66"/>
    </row>
    <row r="336">
      <c r="A336" s="66"/>
      <c r="B336" s="66"/>
      <c r="C336" s="66"/>
      <c r="D336" s="66"/>
      <c r="G336" s="67"/>
      <c r="V336" s="67"/>
      <c r="W336" s="66"/>
    </row>
    <row r="337">
      <c r="A337" s="66"/>
      <c r="B337" s="66"/>
      <c r="C337" s="66"/>
      <c r="D337" s="66"/>
      <c r="G337" s="67"/>
      <c r="V337" s="67"/>
      <c r="W337" s="66"/>
    </row>
    <row r="338">
      <c r="A338" s="66"/>
      <c r="B338" s="66"/>
      <c r="C338" s="66"/>
      <c r="D338" s="66"/>
      <c r="G338" s="67"/>
      <c r="V338" s="67"/>
      <c r="W338" s="66"/>
    </row>
    <row r="339">
      <c r="A339" s="66"/>
      <c r="B339" s="66"/>
      <c r="C339" s="66"/>
      <c r="D339" s="66"/>
      <c r="G339" s="67"/>
      <c r="V339" s="67"/>
      <c r="W339" s="66"/>
    </row>
    <row r="340">
      <c r="A340" s="66"/>
      <c r="B340" s="66"/>
      <c r="C340" s="66"/>
      <c r="D340" s="66"/>
      <c r="G340" s="67"/>
      <c r="V340" s="67"/>
      <c r="W340" s="66"/>
    </row>
    <row r="341">
      <c r="A341" s="66"/>
      <c r="B341" s="66"/>
      <c r="C341" s="66"/>
      <c r="D341" s="66"/>
      <c r="G341" s="67"/>
      <c r="V341" s="67"/>
      <c r="W341" s="66"/>
    </row>
    <row r="342">
      <c r="A342" s="66"/>
      <c r="B342" s="66"/>
      <c r="C342" s="66"/>
      <c r="D342" s="66"/>
      <c r="G342" s="67"/>
      <c r="V342" s="67"/>
      <c r="W342" s="66"/>
    </row>
    <row r="343">
      <c r="A343" s="66"/>
      <c r="B343" s="66"/>
      <c r="C343" s="66"/>
      <c r="D343" s="66"/>
      <c r="G343" s="67"/>
      <c r="V343" s="67"/>
      <c r="W343" s="66"/>
    </row>
    <row r="344">
      <c r="A344" s="66"/>
      <c r="B344" s="66"/>
      <c r="C344" s="66"/>
      <c r="D344" s="66"/>
      <c r="G344" s="67"/>
      <c r="V344" s="67"/>
      <c r="W344" s="66"/>
    </row>
    <row r="345">
      <c r="A345" s="66"/>
      <c r="B345" s="66"/>
      <c r="C345" s="66"/>
      <c r="D345" s="66"/>
      <c r="G345" s="67"/>
      <c r="V345" s="67"/>
      <c r="W345" s="66"/>
    </row>
    <row r="346">
      <c r="A346" s="66"/>
      <c r="B346" s="66"/>
      <c r="C346" s="66"/>
      <c r="D346" s="66"/>
      <c r="G346" s="67"/>
      <c r="V346" s="67"/>
      <c r="W346" s="66"/>
    </row>
    <row r="347">
      <c r="A347" s="66"/>
      <c r="B347" s="66"/>
      <c r="C347" s="66"/>
      <c r="D347" s="66"/>
      <c r="G347" s="67"/>
      <c r="V347" s="67"/>
      <c r="W347" s="66"/>
    </row>
    <row r="348">
      <c r="A348" s="66"/>
      <c r="B348" s="66"/>
      <c r="C348" s="66"/>
      <c r="D348" s="66"/>
      <c r="G348" s="67"/>
      <c r="V348" s="67"/>
      <c r="W348" s="66"/>
    </row>
    <row r="349">
      <c r="A349" s="66"/>
      <c r="B349" s="66"/>
      <c r="C349" s="66"/>
      <c r="D349" s="66"/>
      <c r="G349" s="67"/>
      <c r="V349" s="67"/>
      <c r="W349" s="66"/>
    </row>
    <row r="350">
      <c r="A350" s="66"/>
      <c r="B350" s="66"/>
      <c r="C350" s="66"/>
      <c r="D350" s="66"/>
      <c r="G350" s="67"/>
      <c r="V350" s="67"/>
      <c r="W350" s="66"/>
    </row>
    <row r="351">
      <c r="A351" s="66"/>
      <c r="B351" s="66"/>
      <c r="C351" s="66"/>
      <c r="D351" s="66"/>
      <c r="G351" s="67"/>
      <c r="V351" s="67"/>
      <c r="W351" s="66"/>
    </row>
    <row r="352">
      <c r="A352" s="66"/>
      <c r="B352" s="66"/>
      <c r="C352" s="66"/>
      <c r="D352" s="66"/>
      <c r="G352" s="67"/>
      <c r="V352" s="67"/>
      <c r="W352" s="66"/>
    </row>
    <row r="353">
      <c r="A353" s="66"/>
      <c r="B353" s="66"/>
      <c r="C353" s="66"/>
      <c r="D353" s="66"/>
      <c r="G353" s="67"/>
      <c r="V353" s="67"/>
      <c r="W353" s="66"/>
    </row>
    <row r="354">
      <c r="A354" s="66"/>
      <c r="B354" s="66"/>
      <c r="C354" s="66"/>
      <c r="D354" s="66"/>
      <c r="G354" s="67"/>
      <c r="V354" s="67"/>
      <c r="W354" s="66"/>
    </row>
    <row r="355">
      <c r="A355" s="66"/>
      <c r="B355" s="66"/>
      <c r="C355" s="66"/>
      <c r="D355" s="66"/>
      <c r="G355" s="67"/>
      <c r="V355" s="67"/>
      <c r="W355" s="66"/>
    </row>
    <row r="356">
      <c r="A356" s="66"/>
      <c r="B356" s="66"/>
      <c r="C356" s="66"/>
      <c r="D356" s="66"/>
      <c r="G356" s="67"/>
      <c r="V356" s="67"/>
      <c r="W356" s="66"/>
    </row>
    <row r="357">
      <c r="A357" s="66"/>
      <c r="B357" s="66"/>
      <c r="C357" s="66"/>
      <c r="D357" s="66"/>
      <c r="G357" s="67"/>
      <c r="V357" s="67"/>
      <c r="W357" s="66"/>
    </row>
    <row r="358">
      <c r="A358" s="66"/>
      <c r="B358" s="66"/>
      <c r="C358" s="66"/>
      <c r="D358" s="66"/>
      <c r="G358" s="67"/>
      <c r="V358" s="67"/>
      <c r="W358" s="66"/>
    </row>
    <row r="359">
      <c r="A359" s="66"/>
      <c r="B359" s="66"/>
      <c r="C359" s="66"/>
      <c r="D359" s="66"/>
      <c r="G359" s="67"/>
      <c r="V359" s="67"/>
      <c r="W359" s="66"/>
    </row>
    <row r="360">
      <c r="A360" s="66"/>
      <c r="B360" s="66"/>
      <c r="C360" s="66"/>
      <c r="D360" s="66"/>
      <c r="G360" s="67"/>
      <c r="V360" s="67"/>
      <c r="W360" s="66"/>
    </row>
    <row r="361">
      <c r="A361" s="66"/>
      <c r="B361" s="66"/>
      <c r="C361" s="66"/>
      <c r="D361" s="66"/>
      <c r="G361" s="67"/>
      <c r="V361" s="67"/>
      <c r="W361" s="66"/>
    </row>
    <row r="362">
      <c r="A362" s="66"/>
      <c r="B362" s="66"/>
      <c r="C362" s="66"/>
      <c r="D362" s="66"/>
      <c r="G362" s="67"/>
      <c r="V362" s="67"/>
      <c r="W362" s="66"/>
    </row>
    <row r="363">
      <c r="A363" s="66"/>
      <c r="B363" s="66"/>
      <c r="C363" s="66"/>
      <c r="D363" s="66"/>
      <c r="G363" s="67"/>
      <c r="V363" s="67"/>
      <c r="W363" s="66"/>
    </row>
    <row r="364">
      <c r="A364" s="66"/>
      <c r="B364" s="66"/>
      <c r="C364" s="66"/>
      <c r="D364" s="66"/>
      <c r="G364" s="67"/>
      <c r="V364" s="67"/>
      <c r="W364" s="66"/>
    </row>
    <row r="365">
      <c r="A365" s="66"/>
      <c r="B365" s="66"/>
      <c r="C365" s="66"/>
      <c r="D365" s="66"/>
      <c r="G365" s="67"/>
      <c r="V365" s="67"/>
      <c r="W365" s="66"/>
    </row>
    <row r="366">
      <c r="A366" s="66"/>
      <c r="B366" s="66"/>
      <c r="C366" s="66"/>
      <c r="D366" s="66"/>
      <c r="G366" s="67"/>
      <c r="V366" s="67"/>
      <c r="W366" s="66"/>
    </row>
    <row r="367">
      <c r="A367" s="66"/>
      <c r="B367" s="66"/>
      <c r="C367" s="66"/>
      <c r="D367" s="66"/>
      <c r="G367" s="67"/>
      <c r="V367" s="67"/>
      <c r="W367" s="66"/>
    </row>
    <row r="368">
      <c r="A368" s="66"/>
      <c r="B368" s="66"/>
      <c r="C368" s="66"/>
      <c r="D368" s="66"/>
      <c r="G368" s="67"/>
      <c r="V368" s="67"/>
      <c r="W368" s="66"/>
    </row>
    <row r="369">
      <c r="A369" s="66"/>
      <c r="B369" s="66"/>
      <c r="C369" s="66"/>
      <c r="D369" s="66"/>
      <c r="G369" s="67"/>
      <c r="V369" s="67"/>
      <c r="W369" s="66"/>
    </row>
    <row r="370">
      <c r="A370" s="66"/>
      <c r="B370" s="66"/>
      <c r="C370" s="66"/>
      <c r="D370" s="66"/>
      <c r="G370" s="67"/>
      <c r="V370" s="67"/>
      <c r="W370" s="66"/>
    </row>
    <row r="371">
      <c r="A371" s="66"/>
      <c r="B371" s="66"/>
      <c r="C371" s="66"/>
      <c r="D371" s="66"/>
      <c r="G371" s="67"/>
      <c r="V371" s="67"/>
      <c r="W371" s="66"/>
    </row>
    <row r="372">
      <c r="A372" s="66"/>
      <c r="B372" s="66"/>
      <c r="C372" s="66"/>
      <c r="D372" s="66"/>
      <c r="G372" s="67"/>
      <c r="V372" s="67"/>
      <c r="W372" s="66"/>
    </row>
    <row r="373">
      <c r="A373" s="66"/>
      <c r="B373" s="66"/>
      <c r="C373" s="66"/>
      <c r="D373" s="66"/>
      <c r="G373" s="67"/>
      <c r="V373" s="67"/>
      <c r="W373" s="66"/>
    </row>
    <row r="374">
      <c r="A374" s="66"/>
      <c r="B374" s="66"/>
      <c r="C374" s="66"/>
      <c r="D374" s="66"/>
      <c r="G374" s="67"/>
      <c r="V374" s="67"/>
      <c r="W374" s="66"/>
    </row>
    <row r="375">
      <c r="A375" s="66"/>
      <c r="B375" s="66"/>
      <c r="C375" s="66"/>
      <c r="D375" s="66"/>
      <c r="G375" s="67"/>
      <c r="V375" s="67"/>
      <c r="W375" s="66"/>
    </row>
    <row r="376">
      <c r="A376" s="66"/>
      <c r="B376" s="66"/>
      <c r="C376" s="66"/>
      <c r="D376" s="66"/>
      <c r="G376" s="67"/>
      <c r="V376" s="67"/>
      <c r="W376" s="66"/>
    </row>
    <row r="377">
      <c r="A377" s="66"/>
      <c r="B377" s="66"/>
      <c r="C377" s="66"/>
      <c r="D377" s="66"/>
      <c r="G377" s="67"/>
      <c r="V377" s="67"/>
      <c r="W377" s="66"/>
    </row>
    <row r="378">
      <c r="A378" s="66"/>
      <c r="B378" s="66"/>
      <c r="C378" s="66"/>
      <c r="D378" s="66"/>
      <c r="G378" s="67"/>
      <c r="V378" s="67"/>
      <c r="W378" s="66"/>
    </row>
    <row r="379">
      <c r="A379" s="66"/>
      <c r="B379" s="66"/>
      <c r="C379" s="66"/>
      <c r="D379" s="66"/>
      <c r="G379" s="67"/>
      <c r="V379" s="67"/>
      <c r="W379" s="66"/>
    </row>
    <row r="380">
      <c r="A380" s="66"/>
      <c r="B380" s="66"/>
      <c r="C380" s="66"/>
      <c r="D380" s="66"/>
      <c r="G380" s="67"/>
      <c r="V380" s="67"/>
      <c r="W380" s="66"/>
    </row>
    <row r="381">
      <c r="A381" s="66"/>
      <c r="B381" s="66"/>
      <c r="C381" s="66"/>
      <c r="D381" s="66"/>
      <c r="G381" s="67"/>
      <c r="V381" s="67"/>
      <c r="W381" s="66"/>
    </row>
    <row r="382">
      <c r="A382" s="66"/>
      <c r="B382" s="66"/>
      <c r="C382" s="66"/>
      <c r="D382" s="66"/>
      <c r="G382" s="67"/>
      <c r="V382" s="67"/>
      <c r="W382" s="66"/>
    </row>
    <row r="383">
      <c r="A383" s="66"/>
      <c r="B383" s="66"/>
      <c r="C383" s="66"/>
      <c r="D383" s="66"/>
      <c r="G383" s="67"/>
      <c r="V383" s="67"/>
      <c r="W383" s="66"/>
    </row>
    <row r="384">
      <c r="A384" s="66"/>
      <c r="B384" s="66"/>
      <c r="C384" s="66"/>
      <c r="D384" s="66"/>
      <c r="G384" s="67"/>
      <c r="V384" s="67"/>
      <c r="W384" s="66"/>
    </row>
    <row r="385">
      <c r="A385" s="66"/>
      <c r="B385" s="66"/>
      <c r="C385" s="66"/>
      <c r="D385" s="66"/>
      <c r="G385" s="67"/>
      <c r="V385" s="67"/>
      <c r="W385" s="66"/>
    </row>
    <row r="386">
      <c r="A386" s="66"/>
      <c r="B386" s="66"/>
      <c r="C386" s="66"/>
      <c r="D386" s="66"/>
      <c r="G386" s="67"/>
      <c r="V386" s="67"/>
      <c r="W386" s="66"/>
    </row>
    <row r="387">
      <c r="A387" s="66"/>
      <c r="B387" s="66"/>
      <c r="C387" s="66"/>
      <c r="D387" s="66"/>
      <c r="G387" s="67"/>
      <c r="V387" s="67"/>
      <c r="W387" s="66"/>
    </row>
    <row r="388">
      <c r="A388" s="66"/>
      <c r="B388" s="66"/>
      <c r="C388" s="66"/>
      <c r="D388" s="66"/>
      <c r="G388" s="67"/>
      <c r="V388" s="67"/>
      <c r="W388" s="66"/>
    </row>
    <row r="389">
      <c r="A389" s="66"/>
      <c r="B389" s="66"/>
      <c r="C389" s="66"/>
      <c r="D389" s="66"/>
      <c r="G389" s="67"/>
      <c r="V389" s="67"/>
      <c r="W389" s="66"/>
    </row>
    <row r="390">
      <c r="A390" s="66"/>
      <c r="B390" s="66"/>
      <c r="C390" s="66"/>
      <c r="D390" s="66"/>
      <c r="G390" s="67"/>
      <c r="V390" s="67"/>
      <c r="W390" s="66"/>
    </row>
    <row r="391">
      <c r="A391" s="66"/>
      <c r="B391" s="66"/>
      <c r="C391" s="66"/>
      <c r="D391" s="66"/>
      <c r="G391" s="67"/>
      <c r="V391" s="67"/>
      <c r="W391" s="66"/>
    </row>
    <row r="392">
      <c r="A392" s="66"/>
      <c r="B392" s="66"/>
      <c r="C392" s="66"/>
      <c r="D392" s="66"/>
      <c r="G392" s="67"/>
      <c r="V392" s="67"/>
      <c r="W392" s="66"/>
    </row>
    <row r="393">
      <c r="A393" s="66"/>
      <c r="B393" s="66"/>
      <c r="C393" s="66"/>
      <c r="D393" s="66"/>
      <c r="G393" s="67"/>
      <c r="V393" s="67"/>
      <c r="W393" s="66"/>
    </row>
    <row r="394">
      <c r="A394" s="66"/>
      <c r="B394" s="66"/>
      <c r="C394" s="66"/>
      <c r="D394" s="66"/>
      <c r="G394" s="67"/>
      <c r="V394" s="67"/>
      <c r="W394" s="66"/>
    </row>
    <row r="395">
      <c r="A395" s="66"/>
      <c r="B395" s="66"/>
      <c r="C395" s="66"/>
      <c r="D395" s="66"/>
      <c r="G395" s="67"/>
      <c r="V395" s="67"/>
      <c r="W395" s="66"/>
    </row>
    <row r="396">
      <c r="A396" s="66"/>
      <c r="B396" s="66"/>
      <c r="C396" s="66"/>
      <c r="D396" s="66"/>
      <c r="G396" s="67"/>
      <c r="V396" s="67"/>
      <c r="W396" s="66"/>
    </row>
    <row r="397">
      <c r="A397" s="66"/>
      <c r="B397" s="66"/>
      <c r="C397" s="66"/>
      <c r="D397" s="66"/>
      <c r="G397" s="67"/>
      <c r="V397" s="67"/>
      <c r="W397" s="66"/>
    </row>
    <row r="398">
      <c r="A398" s="66"/>
      <c r="B398" s="66"/>
      <c r="C398" s="66"/>
      <c r="D398" s="66"/>
      <c r="G398" s="67"/>
      <c r="V398" s="67"/>
      <c r="W398" s="66"/>
    </row>
    <row r="399">
      <c r="A399" s="66"/>
      <c r="B399" s="66"/>
      <c r="C399" s="66"/>
      <c r="D399" s="66"/>
      <c r="G399" s="67"/>
      <c r="V399" s="67"/>
      <c r="W399" s="66"/>
    </row>
    <row r="400">
      <c r="A400" s="66"/>
      <c r="B400" s="66"/>
      <c r="C400" s="66"/>
      <c r="D400" s="66"/>
      <c r="G400" s="67"/>
      <c r="V400" s="67"/>
      <c r="W400" s="66"/>
    </row>
    <row r="401">
      <c r="A401" s="66"/>
      <c r="B401" s="66"/>
      <c r="C401" s="66"/>
      <c r="D401" s="66"/>
      <c r="G401" s="67"/>
      <c r="V401" s="67"/>
      <c r="W401" s="66"/>
    </row>
    <row r="402">
      <c r="A402" s="66"/>
      <c r="B402" s="66"/>
      <c r="C402" s="66"/>
      <c r="D402" s="66"/>
      <c r="G402" s="67"/>
      <c r="V402" s="67"/>
      <c r="W402" s="66"/>
    </row>
    <row r="403">
      <c r="A403" s="66"/>
      <c r="B403" s="66"/>
      <c r="C403" s="66"/>
      <c r="D403" s="66"/>
      <c r="G403" s="67"/>
      <c r="V403" s="67"/>
      <c r="W403" s="66"/>
    </row>
    <row r="404">
      <c r="A404" s="66"/>
      <c r="B404" s="66"/>
      <c r="C404" s="66"/>
      <c r="D404" s="66"/>
      <c r="G404" s="67"/>
      <c r="V404" s="67"/>
      <c r="W404" s="66"/>
    </row>
    <row r="405">
      <c r="A405" s="66"/>
      <c r="B405" s="66"/>
      <c r="C405" s="66"/>
      <c r="D405" s="66"/>
      <c r="G405" s="67"/>
      <c r="V405" s="67"/>
      <c r="W405" s="66"/>
    </row>
    <row r="406">
      <c r="A406" s="66"/>
      <c r="B406" s="66"/>
      <c r="C406" s="66"/>
      <c r="D406" s="66"/>
      <c r="G406" s="67"/>
      <c r="V406" s="67"/>
      <c r="W406" s="66"/>
    </row>
    <row r="407">
      <c r="A407" s="66"/>
      <c r="B407" s="66"/>
      <c r="C407" s="66"/>
      <c r="D407" s="66"/>
      <c r="G407" s="67"/>
      <c r="V407" s="67"/>
      <c r="W407" s="66"/>
    </row>
    <row r="408">
      <c r="A408" s="66"/>
      <c r="B408" s="66"/>
      <c r="C408" s="66"/>
      <c r="D408" s="66"/>
      <c r="G408" s="67"/>
      <c r="V408" s="67"/>
      <c r="W408" s="66"/>
    </row>
    <row r="409">
      <c r="A409" s="66"/>
      <c r="B409" s="66"/>
      <c r="C409" s="66"/>
      <c r="D409" s="66"/>
      <c r="G409" s="67"/>
      <c r="V409" s="67"/>
      <c r="W409" s="66"/>
    </row>
    <row r="410">
      <c r="A410" s="66"/>
      <c r="B410" s="66"/>
      <c r="C410" s="66"/>
      <c r="D410" s="66"/>
      <c r="G410" s="67"/>
      <c r="V410" s="67"/>
      <c r="W410" s="66"/>
    </row>
    <row r="411">
      <c r="A411" s="66"/>
      <c r="B411" s="66"/>
      <c r="C411" s="66"/>
      <c r="D411" s="66"/>
      <c r="G411" s="67"/>
      <c r="V411" s="67"/>
      <c r="W411" s="66"/>
    </row>
    <row r="412">
      <c r="A412" s="66"/>
      <c r="B412" s="66"/>
      <c r="C412" s="66"/>
      <c r="D412" s="66"/>
      <c r="G412" s="67"/>
      <c r="V412" s="67"/>
      <c r="W412" s="66"/>
    </row>
    <row r="413">
      <c r="A413" s="66"/>
      <c r="B413" s="66"/>
      <c r="C413" s="66"/>
      <c r="D413" s="66"/>
      <c r="G413" s="67"/>
      <c r="V413" s="67"/>
      <c r="W413" s="66"/>
    </row>
    <row r="414">
      <c r="A414" s="66"/>
      <c r="B414" s="66"/>
      <c r="C414" s="66"/>
      <c r="D414" s="66"/>
      <c r="G414" s="67"/>
      <c r="V414" s="67"/>
      <c r="W414" s="66"/>
    </row>
    <row r="415">
      <c r="A415" s="66"/>
      <c r="B415" s="66"/>
      <c r="C415" s="66"/>
      <c r="D415" s="66"/>
      <c r="G415" s="67"/>
      <c r="V415" s="67"/>
      <c r="W415" s="66"/>
    </row>
    <row r="416">
      <c r="A416" s="66"/>
      <c r="B416" s="66"/>
      <c r="C416" s="66"/>
      <c r="D416" s="66"/>
      <c r="G416" s="67"/>
      <c r="V416" s="67"/>
      <c r="W416" s="66"/>
    </row>
    <row r="417">
      <c r="A417" s="66"/>
      <c r="B417" s="66"/>
      <c r="C417" s="66"/>
      <c r="D417" s="66"/>
      <c r="G417" s="67"/>
      <c r="V417" s="67"/>
      <c r="W417" s="66"/>
    </row>
    <row r="418">
      <c r="A418" s="66"/>
      <c r="B418" s="66"/>
      <c r="C418" s="66"/>
      <c r="D418" s="66"/>
      <c r="G418" s="67"/>
      <c r="V418" s="67"/>
      <c r="W418" s="66"/>
    </row>
    <row r="419">
      <c r="A419" s="66"/>
      <c r="B419" s="66"/>
      <c r="C419" s="66"/>
      <c r="D419" s="66"/>
      <c r="G419" s="67"/>
      <c r="V419" s="67"/>
      <c r="W419" s="66"/>
    </row>
    <row r="420">
      <c r="A420" s="66"/>
      <c r="B420" s="66"/>
      <c r="C420" s="66"/>
      <c r="D420" s="66"/>
      <c r="G420" s="67"/>
      <c r="V420" s="67"/>
      <c r="W420" s="66"/>
    </row>
    <row r="421">
      <c r="A421" s="66"/>
      <c r="B421" s="66"/>
      <c r="C421" s="66"/>
      <c r="D421" s="66"/>
      <c r="G421" s="67"/>
      <c r="V421" s="67"/>
      <c r="W421" s="66"/>
    </row>
    <row r="422">
      <c r="A422" s="66"/>
      <c r="B422" s="66"/>
      <c r="C422" s="66"/>
      <c r="D422" s="66"/>
      <c r="G422" s="67"/>
      <c r="V422" s="67"/>
      <c r="W422" s="66"/>
    </row>
    <row r="423">
      <c r="A423" s="66"/>
      <c r="B423" s="66"/>
      <c r="C423" s="66"/>
      <c r="D423" s="66"/>
      <c r="G423" s="67"/>
      <c r="V423" s="67"/>
      <c r="W423" s="66"/>
    </row>
    <row r="424">
      <c r="A424" s="66"/>
      <c r="B424" s="66"/>
      <c r="C424" s="66"/>
      <c r="D424" s="66"/>
      <c r="G424" s="67"/>
      <c r="V424" s="67"/>
      <c r="W424" s="66"/>
    </row>
    <row r="425">
      <c r="A425" s="66"/>
      <c r="B425" s="66"/>
      <c r="C425" s="66"/>
      <c r="D425" s="66"/>
      <c r="G425" s="67"/>
      <c r="V425" s="67"/>
      <c r="W425" s="66"/>
    </row>
    <row r="426">
      <c r="A426" s="66"/>
      <c r="B426" s="66"/>
      <c r="C426" s="66"/>
      <c r="D426" s="66"/>
      <c r="G426" s="67"/>
      <c r="V426" s="67"/>
      <c r="W426" s="66"/>
    </row>
    <row r="427">
      <c r="A427" s="66"/>
      <c r="B427" s="66"/>
      <c r="C427" s="66"/>
      <c r="D427" s="66"/>
      <c r="G427" s="67"/>
      <c r="V427" s="67"/>
      <c r="W427" s="66"/>
    </row>
    <row r="428">
      <c r="A428" s="66"/>
      <c r="B428" s="66"/>
      <c r="C428" s="66"/>
      <c r="D428" s="66"/>
      <c r="G428" s="67"/>
      <c r="V428" s="67"/>
      <c r="W428" s="66"/>
    </row>
    <row r="429">
      <c r="A429" s="66"/>
      <c r="B429" s="66"/>
      <c r="C429" s="66"/>
      <c r="D429" s="66"/>
      <c r="G429" s="67"/>
      <c r="V429" s="67"/>
      <c r="W429" s="66"/>
    </row>
    <row r="430">
      <c r="A430" s="66"/>
      <c r="B430" s="66"/>
      <c r="C430" s="66"/>
      <c r="D430" s="66"/>
      <c r="G430" s="67"/>
      <c r="V430" s="67"/>
      <c r="W430" s="66"/>
    </row>
    <row r="431">
      <c r="A431" s="66"/>
      <c r="B431" s="66"/>
      <c r="C431" s="66"/>
      <c r="D431" s="66"/>
      <c r="G431" s="67"/>
      <c r="V431" s="67"/>
      <c r="W431" s="66"/>
    </row>
    <row r="432">
      <c r="A432" s="66"/>
      <c r="B432" s="66"/>
      <c r="C432" s="66"/>
      <c r="D432" s="66"/>
      <c r="G432" s="67"/>
      <c r="V432" s="67"/>
      <c r="W432" s="66"/>
    </row>
    <row r="433">
      <c r="A433" s="66"/>
      <c r="B433" s="66"/>
      <c r="C433" s="66"/>
      <c r="D433" s="66"/>
      <c r="G433" s="67"/>
      <c r="V433" s="67"/>
      <c r="W433" s="66"/>
    </row>
    <row r="434">
      <c r="A434" s="66"/>
      <c r="B434" s="66"/>
      <c r="C434" s="66"/>
      <c r="D434" s="66"/>
      <c r="G434" s="67"/>
      <c r="V434" s="67"/>
      <c r="W434" s="66"/>
    </row>
    <row r="435">
      <c r="A435" s="66"/>
      <c r="B435" s="66"/>
      <c r="C435" s="66"/>
      <c r="D435" s="66"/>
      <c r="G435" s="67"/>
      <c r="V435" s="67"/>
      <c r="W435" s="66"/>
    </row>
    <row r="436">
      <c r="A436" s="66"/>
      <c r="B436" s="66"/>
      <c r="C436" s="66"/>
      <c r="D436" s="66"/>
      <c r="G436" s="67"/>
      <c r="V436" s="67"/>
      <c r="W436" s="66"/>
    </row>
    <row r="437">
      <c r="A437" s="66"/>
      <c r="B437" s="66"/>
      <c r="C437" s="66"/>
      <c r="D437" s="66"/>
      <c r="G437" s="67"/>
      <c r="V437" s="67"/>
      <c r="W437" s="66"/>
    </row>
    <row r="438">
      <c r="A438" s="66"/>
      <c r="B438" s="66"/>
      <c r="C438" s="66"/>
      <c r="D438" s="66"/>
      <c r="G438" s="67"/>
      <c r="V438" s="67"/>
      <c r="W438" s="66"/>
    </row>
    <row r="439">
      <c r="A439" s="66"/>
      <c r="B439" s="66"/>
      <c r="C439" s="66"/>
      <c r="D439" s="66"/>
      <c r="G439" s="67"/>
      <c r="V439" s="67"/>
      <c r="W439" s="66"/>
    </row>
    <row r="440">
      <c r="A440" s="66"/>
      <c r="B440" s="66"/>
      <c r="C440" s="66"/>
      <c r="D440" s="66"/>
      <c r="G440" s="67"/>
      <c r="V440" s="67"/>
      <c r="W440" s="66"/>
    </row>
    <row r="441">
      <c r="A441" s="66"/>
      <c r="B441" s="66"/>
      <c r="C441" s="66"/>
      <c r="D441" s="66"/>
      <c r="G441" s="67"/>
      <c r="V441" s="67"/>
      <c r="W441" s="66"/>
    </row>
    <row r="442">
      <c r="A442" s="66"/>
      <c r="B442" s="66"/>
      <c r="C442" s="66"/>
      <c r="D442" s="66"/>
      <c r="G442" s="67"/>
      <c r="V442" s="67"/>
      <c r="W442" s="66"/>
    </row>
    <row r="443">
      <c r="A443" s="66"/>
      <c r="B443" s="66"/>
      <c r="C443" s="66"/>
      <c r="D443" s="66"/>
      <c r="G443" s="67"/>
      <c r="V443" s="67"/>
      <c r="W443" s="66"/>
    </row>
    <row r="444">
      <c r="A444" s="66"/>
      <c r="B444" s="66"/>
      <c r="C444" s="66"/>
      <c r="D444" s="66"/>
      <c r="G444" s="67"/>
      <c r="V444" s="67"/>
      <c r="W444" s="66"/>
    </row>
    <row r="445">
      <c r="A445" s="66"/>
      <c r="B445" s="66"/>
      <c r="C445" s="66"/>
      <c r="D445" s="66"/>
      <c r="G445" s="67"/>
      <c r="V445" s="67"/>
      <c r="W445" s="66"/>
    </row>
    <row r="446">
      <c r="A446" s="66"/>
      <c r="B446" s="66"/>
      <c r="C446" s="66"/>
      <c r="D446" s="66"/>
      <c r="G446" s="67"/>
      <c r="V446" s="67"/>
      <c r="W446" s="66"/>
    </row>
    <row r="447">
      <c r="A447" s="66"/>
      <c r="B447" s="66"/>
      <c r="C447" s="66"/>
      <c r="D447" s="66"/>
      <c r="G447" s="67"/>
      <c r="V447" s="67"/>
      <c r="W447" s="66"/>
    </row>
    <row r="448">
      <c r="A448" s="66"/>
      <c r="B448" s="66"/>
      <c r="C448" s="66"/>
      <c r="D448" s="66"/>
      <c r="G448" s="67"/>
      <c r="V448" s="67"/>
      <c r="W448" s="66"/>
    </row>
    <row r="449">
      <c r="A449" s="66"/>
      <c r="B449" s="66"/>
      <c r="C449" s="66"/>
      <c r="D449" s="66"/>
      <c r="G449" s="67"/>
      <c r="V449" s="67"/>
      <c r="W449" s="66"/>
    </row>
    <row r="450">
      <c r="A450" s="66"/>
      <c r="B450" s="66"/>
      <c r="C450" s="66"/>
      <c r="D450" s="66"/>
      <c r="G450" s="67"/>
      <c r="V450" s="67"/>
      <c r="W450" s="66"/>
    </row>
    <row r="451">
      <c r="A451" s="66"/>
      <c r="B451" s="66"/>
      <c r="C451" s="66"/>
      <c r="D451" s="66"/>
      <c r="G451" s="67"/>
      <c r="V451" s="67"/>
      <c r="W451" s="66"/>
    </row>
    <row r="452">
      <c r="A452" s="66"/>
      <c r="B452" s="66"/>
      <c r="C452" s="66"/>
      <c r="D452" s="66"/>
      <c r="G452" s="67"/>
      <c r="V452" s="67"/>
      <c r="W452" s="66"/>
    </row>
    <row r="453">
      <c r="A453" s="66"/>
      <c r="B453" s="66"/>
      <c r="C453" s="66"/>
      <c r="D453" s="66"/>
      <c r="G453" s="67"/>
      <c r="V453" s="67"/>
      <c r="W453" s="66"/>
    </row>
    <row r="454">
      <c r="A454" s="66"/>
      <c r="B454" s="66"/>
      <c r="C454" s="66"/>
      <c r="D454" s="66"/>
      <c r="G454" s="67"/>
      <c r="V454" s="67"/>
      <c r="W454" s="66"/>
    </row>
    <row r="455">
      <c r="A455" s="66"/>
      <c r="B455" s="66"/>
      <c r="C455" s="66"/>
      <c r="D455" s="66"/>
      <c r="G455" s="67"/>
      <c r="V455" s="67"/>
      <c r="W455" s="66"/>
    </row>
    <row r="456">
      <c r="A456" s="66"/>
      <c r="B456" s="66"/>
      <c r="C456" s="66"/>
      <c r="D456" s="66"/>
      <c r="G456" s="67"/>
      <c r="V456" s="67"/>
      <c r="W456" s="66"/>
    </row>
    <row r="457">
      <c r="A457" s="66"/>
      <c r="B457" s="66"/>
      <c r="C457" s="66"/>
      <c r="D457" s="66"/>
      <c r="G457" s="67"/>
      <c r="V457" s="67"/>
      <c r="W457" s="66"/>
    </row>
    <row r="458">
      <c r="A458" s="66"/>
      <c r="B458" s="66"/>
      <c r="C458" s="66"/>
      <c r="D458" s="66"/>
      <c r="G458" s="67"/>
      <c r="V458" s="67"/>
      <c r="W458" s="66"/>
    </row>
    <row r="459">
      <c r="A459" s="66"/>
      <c r="B459" s="66"/>
      <c r="C459" s="66"/>
      <c r="D459" s="66"/>
      <c r="G459" s="67"/>
      <c r="V459" s="67"/>
      <c r="W459" s="66"/>
    </row>
    <row r="460">
      <c r="A460" s="66"/>
      <c r="B460" s="66"/>
      <c r="C460" s="66"/>
      <c r="D460" s="66"/>
      <c r="G460" s="67"/>
      <c r="V460" s="67"/>
      <c r="W460" s="66"/>
    </row>
    <row r="461">
      <c r="A461" s="66"/>
      <c r="B461" s="66"/>
      <c r="C461" s="66"/>
      <c r="D461" s="66"/>
      <c r="G461" s="67"/>
      <c r="V461" s="67"/>
      <c r="W461" s="66"/>
    </row>
    <row r="462">
      <c r="A462" s="66"/>
      <c r="B462" s="66"/>
      <c r="C462" s="66"/>
      <c r="D462" s="66"/>
      <c r="G462" s="67"/>
      <c r="V462" s="67"/>
      <c r="W462" s="66"/>
    </row>
    <row r="463">
      <c r="A463" s="66"/>
      <c r="B463" s="66"/>
      <c r="C463" s="66"/>
      <c r="D463" s="66"/>
      <c r="G463" s="67"/>
      <c r="V463" s="67"/>
      <c r="W463" s="66"/>
    </row>
    <row r="464">
      <c r="A464" s="66"/>
      <c r="B464" s="66"/>
      <c r="C464" s="66"/>
      <c r="D464" s="66"/>
      <c r="G464" s="67"/>
      <c r="V464" s="67"/>
      <c r="W464" s="66"/>
    </row>
    <row r="465">
      <c r="A465" s="66"/>
      <c r="B465" s="66"/>
      <c r="C465" s="66"/>
      <c r="D465" s="66"/>
      <c r="G465" s="67"/>
      <c r="V465" s="67"/>
      <c r="W465" s="66"/>
    </row>
    <row r="466">
      <c r="A466" s="66"/>
      <c r="B466" s="66"/>
      <c r="C466" s="66"/>
      <c r="D466" s="66"/>
      <c r="G466" s="67"/>
      <c r="V466" s="67"/>
      <c r="W466" s="66"/>
    </row>
    <row r="467">
      <c r="A467" s="66"/>
      <c r="B467" s="66"/>
      <c r="C467" s="66"/>
      <c r="D467" s="66"/>
      <c r="G467" s="67"/>
      <c r="V467" s="67"/>
      <c r="W467" s="66"/>
    </row>
    <row r="468">
      <c r="A468" s="66"/>
      <c r="B468" s="66"/>
      <c r="C468" s="66"/>
      <c r="D468" s="66"/>
      <c r="G468" s="67"/>
      <c r="V468" s="67"/>
      <c r="W468" s="66"/>
    </row>
    <row r="469">
      <c r="A469" s="66"/>
      <c r="B469" s="66"/>
      <c r="C469" s="66"/>
      <c r="D469" s="66"/>
      <c r="G469" s="67"/>
      <c r="V469" s="67"/>
      <c r="W469" s="66"/>
    </row>
    <row r="470">
      <c r="A470" s="66"/>
      <c r="B470" s="66"/>
      <c r="C470" s="66"/>
      <c r="D470" s="66"/>
      <c r="G470" s="67"/>
      <c r="V470" s="67"/>
      <c r="W470" s="66"/>
    </row>
    <row r="471">
      <c r="A471" s="66"/>
      <c r="B471" s="66"/>
      <c r="C471" s="66"/>
      <c r="D471" s="66"/>
      <c r="G471" s="67"/>
      <c r="V471" s="67"/>
      <c r="W471" s="66"/>
    </row>
    <row r="472">
      <c r="A472" s="66"/>
      <c r="B472" s="66"/>
      <c r="C472" s="66"/>
      <c r="D472" s="66"/>
      <c r="G472" s="67"/>
      <c r="V472" s="67"/>
      <c r="W472" s="66"/>
    </row>
    <row r="473">
      <c r="A473" s="66"/>
      <c r="B473" s="66"/>
      <c r="C473" s="66"/>
      <c r="D473" s="66"/>
      <c r="G473" s="67"/>
      <c r="V473" s="67"/>
      <c r="W473" s="66"/>
    </row>
    <row r="474">
      <c r="A474" s="66"/>
      <c r="B474" s="66"/>
      <c r="C474" s="66"/>
      <c r="D474" s="66"/>
      <c r="G474" s="67"/>
      <c r="V474" s="67"/>
      <c r="W474" s="66"/>
    </row>
    <row r="475">
      <c r="A475" s="66"/>
      <c r="B475" s="66"/>
      <c r="C475" s="66"/>
      <c r="D475" s="66"/>
      <c r="G475" s="67"/>
      <c r="V475" s="67"/>
      <c r="W475" s="66"/>
    </row>
    <row r="476">
      <c r="A476" s="66"/>
      <c r="B476" s="66"/>
      <c r="C476" s="66"/>
      <c r="D476" s="66"/>
      <c r="G476" s="67"/>
      <c r="V476" s="67"/>
      <c r="W476" s="66"/>
    </row>
    <row r="477">
      <c r="A477" s="66"/>
      <c r="B477" s="66"/>
      <c r="C477" s="66"/>
      <c r="D477" s="66"/>
      <c r="G477" s="67"/>
      <c r="V477" s="67"/>
      <c r="W477" s="66"/>
    </row>
    <row r="478">
      <c r="A478" s="66"/>
      <c r="B478" s="66"/>
      <c r="C478" s="66"/>
      <c r="D478" s="66"/>
      <c r="G478" s="67"/>
      <c r="V478" s="67"/>
      <c r="W478" s="66"/>
    </row>
    <row r="479">
      <c r="A479" s="66"/>
      <c r="B479" s="66"/>
      <c r="C479" s="66"/>
      <c r="D479" s="66"/>
      <c r="G479" s="67"/>
      <c r="V479" s="67"/>
      <c r="W479" s="66"/>
    </row>
    <row r="480">
      <c r="A480" s="66"/>
      <c r="B480" s="66"/>
      <c r="C480" s="66"/>
      <c r="D480" s="66"/>
      <c r="G480" s="67"/>
      <c r="V480" s="67"/>
      <c r="W480" s="66"/>
    </row>
    <row r="481">
      <c r="A481" s="66"/>
      <c r="B481" s="66"/>
      <c r="C481" s="66"/>
      <c r="D481" s="66"/>
      <c r="G481" s="67"/>
      <c r="V481" s="67"/>
      <c r="W481" s="66"/>
    </row>
    <row r="482">
      <c r="A482" s="66"/>
      <c r="B482" s="66"/>
      <c r="C482" s="66"/>
      <c r="D482" s="66"/>
      <c r="G482" s="67"/>
      <c r="V482" s="67"/>
      <c r="W482" s="66"/>
    </row>
    <row r="483">
      <c r="A483" s="66"/>
      <c r="B483" s="66"/>
      <c r="C483" s="66"/>
      <c r="D483" s="66"/>
      <c r="G483" s="67"/>
      <c r="V483" s="67"/>
      <c r="W483" s="66"/>
    </row>
    <row r="484">
      <c r="A484" s="66"/>
      <c r="B484" s="66"/>
      <c r="C484" s="66"/>
      <c r="D484" s="66"/>
      <c r="G484" s="67"/>
      <c r="V484" s="67"/>
      <c r="W484" s="66"/>
    </row>
    <row r="485">
      <c r="A485" s="66"/>
      <c r="B485" s="66"/>
      <c r="C485" s="66"/>
      <c r="D485" s="66"/>
      <c r="G485" s="67"/>
      <c r="V485" s="67"/>
      <c r="W485" s="66"/>
    </row>
    <row r="486">
      <c r="A486" s="66"/>
      <c r="B486" s="66"/>
      <c r="C486" s="66"/>
      <c r="D486" s="66"/>
      <c r="G486" s="67"/>
      <c r="V486" s="67"/>
      <c r="W486" s="66"/>
    </row>
    <row r="487">
      <c r="A487" s="66"/>
      <c r="B487" s="66"/>
      <c r="C487" s="66"/>
      <c r="D487" s="66"/>
      <c r="G487" s="67"/>
      <c r="V487" s="67"/>
      <c r="W487" s="66"/>
    </row>
    <row r="488">
      <c r="A488" s="66"/>
      <c r="B488" s="66"/>
      <c r="C488" s="66"/>
      <c r="D488" s="66"/>
      <c r="G488" s="67"/>
      <c r="V488" s="67"/>
      <c r="W488" s="66"/>
    </row>
    <row r="489">
      <c r="A489" s="66"/>
      <c r="B489" s="66"/>
      <c r="C489" s="66"/>
      <c r="D489" s="66"/>
      <c r="G489" s="67"/>
      <c r="V489" s="67"/>
      <c r="W489" s="66"/>
    </row>
    <row r="490">
      <c r="A490" s="66"/>
      <c r="B490" s="66"/>
      <c r="C490" s="66"/>
      <c r="D490" s="66"/>
      <c r="G490" s="67"/>
      <c r="V490" s="67"/>
      <c r="W490" s="66"/>
    </row>
    <row r="491">
      <c r="A491" s="66"/>
      <c r="B491" s="66"/>
      <c r="C491" s="66"/>
      <c r="D491" s="66"/>
      <c r="G491" s="67"/>
      <c r="V491" s="67"/>
      <c r="W491" s="66"/>
    </row>
    <row r="492">
      <c r="A492" s="66"/>
      <c r="B492" s="66"/>
      <c r="C492" s="66"/>
      <c r="D492" s="66"/>
      <c r="G492" s="67"/>
      <c r="V492" s="67"/>
      <c r="W492" s="66"/>
    </row>
    <row r="493">
      <c r="A493" s="66"/>
      <c r="B493" s="66"/>
      <c r="C493" s="66"/>
      <c r="D493" s="66"/>
      <c r="G493" s="67"/>
      <c r="V493" s="67"/>
      <c r="W493" s="66"/>
    </row>
    <row r="494">
      <c r="A494" s="66"/>
      <c r="B494" s="66"/>
      <c r="C494" s="66"/>
      <c r="D494" s="66"/>
      <c r="G494" s="67"/>
      <c r="V494" s="67"/>
      <c r="W494" s="66"/>
    </row>
    <row r="495">
      <c r="A495" s="66"/>
      <c r="B495" s="66"/>
      <c r="C495" s="66"/>
      <c r="D495" s="66"/>
      <c r="G495" s="67"/>
      <c r="V495" s="67"/>
      <c r="W495" s="66"/>
    </row>
    <row r="496">
      <c r="A496" s="66"/>
      <c r="B496" s="66"/>
      <c r="C496" s="66"/>
      <c r="D496" s="66"/>
      <c r="G496" s="67"/>
      <c r="V496" s="67"/>
      <c r="W496" s="66"/>
    </row>
    <row r="497">
      <c r="A497" s="66"/>
      <c r="B497" s="66"/>
      <c r="C497" s="66"/>
      <c r="D497" s="66"/>
      <c r="G497" s="67"/>
      <c r="V497" s="67"/>
      <c r="W497" s="66"/>
    </row>
    <row r="498">
      <c r="A498" s="66"/>
      <c r="B498" s="66"/>
      <c r="C498" s="66"/>
      <c r="D498" s="66"/>
      <c r="G498" s="67"/>
      <c r="V498" s="67"/>
      <c r="W498" s="66"/>
    </row>
    <row r="499">
      <c r="A499" s="66"/>
      <c r="B499" s="66"/>
      <c r="C499" s="66"/>
      <c r="D499" s="66"/>
      <c r="G499" s="67"/>
      <c r="V499" s="67"/>
      <c r="W499" s="66"/>
    </row>
    <row r="500">
      <c r="A500" s="66"/>
      <c r="B500" s="66"/>
      <c r="C500" s="66"/>
      <c r="D500" s="66"/>
      <c r="G500" s="67"/>
      <c r="V500" s="67"/>
      <c r="W500" s="66"/>
    </row>
    <row r="501">
      <c r="A501" s="66"/>
      <c r="B501" s="66"/>
      <c r="C501" s="66"/>
      <c r="D501" s="66"/>
      <c r="G501" s="67"/>
      <c r="V501" s="67"/>
      <c r="W501" s="66"/>
    </row>
    <row r="502">
      <c r="A502" s="66"/>
      <c r="B502" s="66"/>
      <c r="C502" s="66"/>
      <c r="D502" s="66"/>
      <c r="G502" s="67"/>
      <c r="V502" s="67"/>
      <c r="W502" s="66"/>
    </row>
    <row r="503">
      <c r="A503" s="66"/>
      <c r="B503" s="66"/>
      <c r="C503" s="66"/>
      <c r="D503" s="66"/>
      <c r="G503" s="67"/>
      <c r="V503" s="67"/>
      <c r="W503" s="66"/>
    </row>
    <row r="504">
      <c r="A504" s="66"/>
      <c r="B504" s="66"/>
      <c r="C504" s="66"/>
      <c r="D504" s="66"/>
      <c r="G504" s="67"/>
      <c r="V504" s="67"/>
      <c r="W504" s="66"/>
    </row>
    <row r="505">
      <c r="A505" s="66"/>
      <c r="B505" s="66"/>
      <c r="C505" s="66"/>
      <c r="D505" s="66"/>
      <c r="G505" s="67"/>
      <c r="V505" s="67"/>
      <c r="W505" s="66"/>
    </row>
    <row r="506">
      <c r="A506" s="66"/>
      <c r="B506" s="66"/>
      <c r="C506" s="66"/>
      <c r="D506" s="66"/>
      <c r="G506" s="67"/>
      <c r="V506" s="67"/>
      <c r="W506" s="66"/>
    </row>
    <row r="507">
      <c r="A507" s="66"/>
      <c r="B507" s="66"/>
      <c r="C507" s="66"/>
      <c r="D507" s="66"/>
      <c r="G507" s="67"/>
      <c r="V507" s="67"/>
      <c r="W507" s="66"/>
    </row>
    <row r="508">
      <c r="A508" s="66"/>
      <c r="B508" s="66"/>
      <c r="C508" s="66"/>
      <c r="D508" s="66"/>
      <c r="G508" s="67"/>
      <c r="V508" s="67"/>
      <c r="W508" s="66"/>
    </row>
    <row r="509">
      <c r="A509" s="66"/>
      <c r="B509" s="66"/>
      <c r="C509" s="66"/>
      <c r="D509" s="66"/>
      <c r="G509" s="67"/>
      <c r="V509" s="67"/>
      <c r="W509" s="66"/>
    </row>
    <row r="510">
      <c r="A510" s="66"/>
      <c r="B510" s="66"/>
      <c r="C510" s="66"/>
      <c r="D510" s="66"/>
      <c r="G510" s="67"/>
      <c r="V510" s="67"/>
      <c r="W510" s="66"/>
    </row>
    <row r="511">
      <c r="A511" s="66"/>
      <c r="B511" s="66"/>
      <c r="C511" s="66"/>
      <c r="D511" s="66"/>
      <c r="G511" s="67"/>
      <c r="V511" s="67"/>
      <c r="W511" s="66"/>
    </row>
    <row r="512">
      <c r="A512" s="66"/>
      <c r="B512" s="66"/>
      <c r="C512" s="66"/>
      <c r="D512" s="66"/>
      <c r="G512" s="67"/>
      <c r="V512" s="67"/>
      <c r="W512" s="66"/>
    </row>
    <row r="513">
      <c r="A513" s="66"/>
      <c r="B513" s="66"/>
      <c r="C513" s="66"/>
      <c r="D513" s="66"/>
      <c r="G513" s="67"/>
      <c r="V513" s="67"/>
      <c r="W513" s="66"/>
    </row>
    <row r="514">
      <c r="A514" s="66"/>
      <c r="B514" s="66"/>
      <c r="C514" s="66"/>
      <c r="D514" s="66"/>
      <c r="G514" s="67"/>
      <c r="V514" s="67"/>
      <c r="W514" s="66"/>
    </row>
    <row r="515">
      <c r="A515" s="66"/>
      <c r="B515" s="66"/>
      <c r="C515" s="66"/>
      <c r="D515" s="66"/>
      <c r="G515" s="67"/>
      <c r="V515" s="67"/>
      <c r="W515" s="66"/>
    </row>
    <row r="516">
      <c r="A516" s="66"/>
      <c r="B516" s="66"/>
      <c r="C516" s="66"/>
      <c r="D516" s="66"/>
      <c r="G516" s="67"/>
      <c r="V516" s="67"/>
      <c r="W516" s="66"/>
    </row>
    <row r="517">
      <c r="A517" s="66"/>
      <c r="B517" s="66"/>
      <c r="C517" s="66"/>
      <c r="D517" s="66"/>
      <c r="G517" s="67"/>
      <c r="V517" s="67"/>
      <c r="W517" s="66"/>
    </row>
    <row r="518">
      <c r="A518" s="66"/>
      <c r="B518" s="66"/>
      <c r="C518" s="66"/>
      <c r="D518" s="66"/>
      <c r="G518" s="67"/>
      <c r="V518" s="67"/>
      <c r="W518" s="66"/>
    </row>
    <row r="519">
      <c r="A519" s="66"/>
      <c r="B519" s="66"/>
      <c r="C519" s="66"/>
      <c r="D519" s="66"/>
      <c r="G519" s="67"/>
      <c r="V519" s="67"/>
      <c r="W519" s="66"/>
    </row>
    <row r="520">
      <c r="A520" s="66"/>
      <c r="B520" s="66"/>
      <c r="C520" s="66"/>
      <c r="D520" s="66"/>
      <c r="G520" s="67"/>
      <c r="V520" s="67"/>
      <c r="W520" s="66"/>
    </row>
    <row r="521">
      <c r="A521" s="66"/>
      <c r="B521" s="66"/>
      <c r="C521" s="66"/>
      <c r="D521" s="66"/>
      <c r="G521" s="67"/>
      <c r="V521" s="67"/>
      <c r="W521" s="66"/>
    </row>
    <row r="522">
      <c r="A522" s="66"/>
      <c r="B522" s="66"/>
      <c r="C522" s="66"/>
      <c r="D522" s="66"/>
      <c r="G522" s="67"/>
      <c r="V522" s="67"/>
      <c r="W522" s="66"/>
    </row>
    <row r="523">
      <c r="A523" s="66"/>
      <c r="B523" s="66"/>
      <c r="C523" s="66"/>
      <c r="D523" s="66"/>
      <c r="G523" s="67"/>
      <c r="V523" s="67"/>
      <c r="W523" s="66"/>
    </row>
    <row r="524">
      <c r="A524" s="66"/>
      <c r="B524" s="66"/>
      <c r="C524" s="66"/>
      <c r="D524" s="66"/>
      <c r="G524" s="67"/>
      <c r="V524" s="67"/>
      <c r="W524" s="66"/>
    </row>
    <row r="525">
      <c r="A525" s="66"/>
      <c r="B525" s="66"/>
      <c r="C525" s="66"/>
      <c r="D525" s="66"/>
      <c r="G525" s="67"/>
      <c r="V525" s="67"/>
      <c r="W525" s="66"/>
    </row>
    <row r="526">
      <c r="A526" s="66"/>
      <c r="B526" s="66"/>
      <c r="C526" s="66"/>
      <c r="D526" s="66"/>
      <c r="G526" s="67"/>
      <c r="V526" s="67"/>
      <c r="W526" s="66"/>
    </row>
    <row r="527">
      <c r="A527" s="66"/>
      <c r="B527" s="66"/>
      <c r="C527" s="66"/>
      <c r="D527" s="66"/>
      <c r="G527" s="67"/>
      <c r="V527" s="67"/>
      <c r="W527" s="66"/>
    </row>
    <row r="528">
      <c r="A528" s="66"/>
      <c r="B528" s="66"/>
      <c r="C528" s="66"/>
      <c r="D528" s="66"/>
      <c r="G528" s="67"/>
      <c r="V528" s="67"/>
      <c r="W528" s="66"/>
    </row>
    <row r="529">
      <c r="A529" s="66"/>
      <c r="B529" s="66"/>
      <c r="C529" s="66"/>
      <c r="D529" s="66"/>
      <c r="G529" s="67"/>
      <c r="V529" s="67"/>
      <c r="W529" s="66"/>
    </row>
    <row r="530">
      <c r="A530" s="66"/>
      <c r="B530" s="66"/>
      <c r="C530" s="66"/>
      <c r="D530" s="66"/>
      <c r="G530" s="67"/>
      <c r="V530" s="67"/>
      <c r="W530" s="66"/>
    </row>
    <row r="531">
      <c r="A531" s="66"/>
      <c r="B531" s="66"/>
      <c r="C531" s="66"/>
      <c r="D531" s="66"/>
      <c r="G531" s="67"/>
      <c r="V531" s="67"/>
      <c r="W531" s="66"/>
    </row>
    <row r="532">
      <c r="A532" s="66"/>
      <c r="B532" s="66"/>
      <c r="C532" s="66"/>
      <c r="D532" s="66"/>
      <c r="G532" s="67"/>
      <c r="V532" s="67"/>
      <c r="W532" s="66"/>
    </row>
    <row r="533">
      <c r="A533" s="66"/>
      <c r="B533" s="66"/>
      <c r="C533" s="66"/>
      <c r="D533" s="66"/>
      <c r="G533" s="67"/>
      <c r="V533" s="67"/>
      <c r="W533" s="66"/>
    </row>
    <row r="534">
      <c r="A534" s="66"/>
      <c r="B534" s="66"/>
      <c r="C534" s="66"/>
      <c r="D534" s="66"/>
      <c r="G534" s="67"/>
      <c r="V534" s="67"/>
      <c r="W534" s="66"/>
    </row>
    <row r="535">
      <c r="A535" s="66"/>
      <c r="B535" s="66"/>
      <c r="C535" s="66"/>
      <c r="D535" s="66"/>
      <c r="G535" s="67"/>
      <c r="V535" s="67"/>
      <c r="W535" s="66"/>
    </row>
    <row r="536">
      <c r="A536" s="66"/>
      <c r="B536" s="66"/>
      <c r="C536" s="66"/>
      <c r="D536" s="66"/>
      <c r="G536" s="67"/>
      <c r="V536" s="67"/>
      <c r="W536" s="66"/>
    </row>
    <row r="537">
      <c r="A537" s="66"/>
      <c r="B537" s="66"/>
      <c r="C537" s="66"/>
      <c r="D537" s="66"/>
      <c r="G537" s="67"/>
      <c r="V537" s="67"/>
      <c r="W537" s="66"/>
    </row>
    <row r="538">
      <c r="A538" s="66"/>
      <c r="B538" s="66"/>
      <c r="C538" s="66"/>
      <c r="D538" s="66"/>
      <c r="G538" s="67"/>
      <c r="V538" s="67"/>
      <c r="W538" s="66"/>
    </row>
    <row r="539">
      <c r="A539" s="66"/>
      <c r="B539" s="66"/>
      <c r="C539" s="66"/>
      <c r="D539" s="66"/>
      <c r="G539" s="67"/>
      <c r="V539" s="67"/>
      <c r="W539" s="66"/>
    </row>
    <row r="540">
      <c r="A540" s="66"/>
      <c r="B540" s="66"/>
      <c r="C540" s="66"/>
      <c r="D540" s="66"/>
      <c r="G540" s="67"/>
      <c r="V540" s="67"/>
      <c r="W540" s="66"/>
    </row>
    <row r="541">
      <c r="A541" s="66"/>
      <c r="B541" s="66"/>
      <c r="C541" s="66"/>
      <c r="D541" s="66"/>
      <c r="G541" s="67"/>
      <c r="V541" s="67"/>
      <c r="W541" s="66"/>
    </row>
    <row r="542">
      <c r="A542" s="66"/>
      <c r="B542" s="66"/>
      <c r="C542" s="66"/>
      <c r="D542" s="66"/>
      <c r="G542" s="67"/>
      <c r="V542" s="67"/>
      <c r="W542" s="66"/>
    </row>
    <row r="543">
      <c r="A543" s="66"/>
      <c r="B543" s="66"/>
      <c r="C543" s="66"/>
      <c r="D543" s="66"/>
      <c r="G543" s="67"/>
      <c r="V543" s="67"/>
      <c r="W543" s="66"/>
    </row>
    <row r="544">
      <c r="A544" s="66"/>
      <c r="B544" s="66"/>
      <c r="C544" s="66"/>
      <c r="D544" s="66"/>
      <c r="G544" s="67"/>
      <c r="V544" s="67"/>
      <c r="W544" s="66"/>
    </row>
    <row r="545">
      <c r="A545" s="66"/>
      <c r="B545" s="66"/>
      <c r="C545" s="66"/>
      <c r="D545" s="66"/>
      <c r="G545" s="67"/>
      <c r="V545" s="67"/>
      <c r="W545" s="66"/>
    </row>
    <row r="546">
      <c r="A546" s="66"/>
      <c r="B546" s="66"/>
      <c r="C546" s="66"/>
      <c r="D546" s="66"/>
      <c r="G546" s="67"/>
      <c r="V546" s="67"/>
      <c r="W546" s="66"/>
    </row>
    <row r="547">
      <c r="A547" s="66"/>
      <c r="B547" s="66"/>
      <c r="C547" s="66"/>
      <c r="D547" s="66"/>
      <c r="G547" s="67"/>
      <c r="V547" s="67"/>
      <c r="W547" s="66"/>
    </row>
    <row r="548">
      <c r="A548" s="66"/>
      <c r="B548" s="66"/>
      <c r="C548" s="66"/>
      <c r="D548" s="66"/>
      <c r="G548" s="67"/>
      <c r="V548" s="67"/>
      <c r="W548" s="66"/>
    </row>
    <row r="549">
      <c r="A549" s="66"/>
      <c r="B549" s="66"/>
      <c r="C549" s="66"/>
      <c r="D549" s="66"/>
      <c r="G549" s="67"/>
      <c r="V549" s="67"/>
      <c r="W549" s="66"/>
    </row>
    <row r="550">
      <c r="A550" s="66"/>
      <c r="B550" s="66"/>
      <c r="C550" s="66"/>
      <c r="D550" s="66"/>
      <c r="G550" s="67"/>
      <c r="V550" s="67"/>
      <c r="W550" s="66"/>
    </row>
    <row r="551">
      <c r="A551" s="66"/>
      <c r="B551" s="66"/>
      <c r="C551" s="66"/>
      <c r="D551" s="66"/>
      <c r="G551" s="67"/>
      <c r="V551" s="67"/>
      <c r="W551" s="66"/>
    </row>
    <row r="552">
      <c r="A552" s="66"/>
      <c r="B552" s="66"/>
      <c r="C552" s="66"/>
      <c r="D552" s="66"/>
      <c r="G552" s="67"/>
      <c r="V552" s="67"/>
      <c r="W552" s="66"/>
    </row>
    <row r="553">
      <c r="A553" s="66"/>
      <c r="B553" s="66"/>
      <c r="C553" s="66"/>
      <c r="D553" s="66"/>
      <c r="G553" s="67"/>
      <c r="V553" s="67"/>
      <c r="W553" s="66"/>
    </row>
    <row r="554">
      <c r="A554" s="66"/>
      <c r="B554" s="66"/>
      <c r="C554" s="66"/>
      <c r="D554" s="66"/>
      <c r="G554" s="67"/>
      <c r="V554" s="67"/>
      <c r="W554" s="66"/>
    </row>
    <row r="555">
      <c r="A555" s="66"/>
      <c r="B555" s="66"/>
      <c r="C555" s="66"/>
      <c r="D555" s="66"/>
      <c r="G555" s="67"/>
      <c r="V555" s="67"/>
      <c r="W555" s="66"/>
    </row>
    <row r="556">
      <c r="A556" s="66"/>
      <c r="B556" s="66"/>
      <c r="C556" s="66"/>
      <c r="D556" s="66"/>
      <c r="G556" s="67"/>
      <c r="V556" s="67"/>
      <c r="W556" s="66"/>
    </row>
    <row r="557">
      <c r="A557" s="66"/>
      <c r="B557" s="66"/>
      <c r="C557" s="66"/>
      <c r="D557" s="66"/>
      <c r="G557" s="67"/>
      <c r="V557" s="67"/>
      <c r="W557" s="66"/>
    </row>
    <row r="558">
      <c r="A558" s="66"/>
      <c r="B558" s="66"/>
      <c r="C558" s="66"/>
      <c r="D558" s="66"/>
      <c r="G558" s="67"/>
      <c r="V558" s="67"/>
      <c r="W558" s="66"/>
    </row>
    <row r="559">
      <c r="A559" s="66"/>
      <c r="B559" s="66"/>
      <c r="C559" s="66"/>
      <c r="D559" s="66"/>
      <c r="G559" s="67"/>
      <c r="V559" s="67"/>
      <c r="W559" s="66"/>
    </row>
    <row r="560">
      <c r="A560" s="66"/>
      <c r="B560" s="66"/>
      <c r="C560" s="66"/>
      <c r="D560" s="66"/>
      <c r="G560" s="67"/>
      <c r="V560" s="67"/>
      <c r="W560" s="66"/>
    </row>
    <row r="561">
      <c r="A561" s="66"/>
      <c r="B561" s="66"/>
      <c r="C561" s="66"/>
      <c r="D561" s="66"/>
      <c r="G561" s="67"/>
      <c r="V561" s="67"/>
      <c r="W561" s="66"/>
    </row>
    <row r="562">
      <c r="A562" s="66"/>
      <c r="B562" s="66"/>
      <c r="C562" s="66"/>
      <c r="D562" s="66"/>
      <c r="G562" s="67"/>
      <c r="V562" s="67"/>
      <c r="W562" s="66"/>
    </row>
    <row r="563">
      <c r="A563" s="66"/>
      <c r="B563" s="66"/>
      <c r="C563" s="66"/>
      <c r="D563" s="66"/>
      <c r="G563" s="67"/>
      <c r="V563" s="67"/>
      <c r="W563" s="66"/>
    </row>
    <row r="564">
      <c r="A564" s="66"/>
      <c r="B564" s="66"/>
      <c r="C564" s="66"/>
      <c r="D564" s="66"/>
      <c r="G564" s="67"/>
      <c r="V564" s="67"/>
      <c r="W564" s="66"/>
    </row>
    <row r="565">
      <c r="A565" s="66"/>
      <c r="B565" s="66"/>
      <c r="C565" s="66"/>
      <c r="D565" s="66"/>
      <c r="G565" s="67"/>
      <c r="V565" s="67"/>
      <c r="W565" s="66"/>
    </row>
    <row r="566">
      <c r="A566" s="66"/>
      <c r="B566" s="66"/>
      <c r="C566" s="66"/>
      <c r="D566" s="66"/>
      <c r="G566" s="67"/>
      <c r="V566" s="67"/>
      <c r="W566" s="66"/>
    </row>
    <row r="567">
      <c r="A567" s="66"/>
      <c r="B567" s="66"/>
      <c r="C567" s="66"/>
      <c r="D567" s="66"/>
      <c r="G567" s="67"/>
      <c r="V567" s="67"/>
      <c r="W567" s="66"/>
    </row>
    <row r="568">
      <c r="A568" s="66"/>
      <c r="B568" s="66"/>
      <c r="C568" s="66"/>
      <c r="D568" s="66"/>
      <c r="G568" s="67"/>
      <c r="V568" s="67"/>
      <c r="W568" s="66"/>
    </row>
    <row r="569">
      <c r="A569" s="66"/>
      <c r="B569" s="66"/>
      <c r="C569" s="66"/>
      <c r="D569" s="66"/>
      <c r="G569" s="67"/>
      <c r="V569" s="67"/>
      <c r="W569" s="66"/>
    </row>
    <row r="570">
      <c r="A570" s="66"/>
      <c r="B570" s="66"/>
      <c r="C570" s="66"/>
      <c r="D570" s="66"/>
      <c r="G570" s="67"/>
      <c r="V570" s="67"/>
      <c r="W570" s="66"/>
    </row>
    <row r="571">
      <c r="A571" s="66"/>
      <c r="B571" s="66"/>
      <c r="C571" s="66"/>
      <c r="D571" s="66"/>
      <c r="G571" s="67"/>
      <c r="V571" s="67"/>
      <c r="W571" s="66"/>
    </row>
    <row r="572">
      <c r="A572" s="66"/>
      <c r="B572" s="66"/>
      <c r="C572" s="66"/>
      <c r="D572" s="66"/>
      <c r="G572" s="67"/>
      <c r="V572" s="67"/>
      <c r="W572" s="66"/>
    </row>
    <row r="573">
      <c r="A573" s="66"/>
      <c r="B573" s="66"/>
      <c r="C573" s="66"/>
      <c r="D573" s="66"/>
      <c r="G573" s="67"/>
      <c r="V573" s="67"/>
      <c r="W573" s="66"/>
    </row>
    <row r="574">
      <c r="A574" s="66"/>
      <c r="B574" s="66"/>
      <c r="C574" s="66"/>
      <c r="D574" s="66"/>
      <c r="G574" s="67"/>
      <c r="V574" s="67"/>
      <c r="W574" s="66"/>
    </row>
    <row r="575">
      <c r="A575" s="66"/>
      <c r="B575" s="66"/>
      <c r="C575" s="66"/>
      <c r="D575" s="66"/>
      <c r="G575" s="67"/>
      <c r="V575" s="67"/>
      <c r="W575" s="66"/>
    </row>
    <row r="576">
      <c r="A576" s="66"/>
      <c r="B576" s="66"/>
      <c r="C576" s="66"/>
      <c r="D576" s="66"/>
      <c r="G576" s="67"/>
      <c r="V576" s="67"/>
      <c r="W576" s="66"/>
    </row>
    <row r="577">
      <c r="A577" s="66"/>
      <c r="B577" s="66"/>
      <c r="C577" s="66"/>
      <c r="D577" s="66"/>
      <c r="G577" s="67"/>
      <c r="V577" s="67"/>
      <c r="W577" s="66"/>
    </row>
    <row r="578">
      <c r="A578" s="66"/>
      <c r="B578" s="66"/>
      <c r="C578" s="66"/>
      <c r="D578" s="66"/>
      <c r="G578" s="67"/>
      <c r="V578" s="67"/>
      <c r="W578" s="66"/>
    </row>
    <row r="579">
      <c r="A579" s="66"/>
      <c r="B579" s="66"/>
      <c r="C579" s="66"/>
      <c r="D579" s="66"/>
      <c r="G579" s="67"/>
      <c r="V579" s="67"/>
      <c r="W579" s="66"/>
    </row>
    <row r="580">
      <c r="A580" s="66"/>
      <c r="B580" s="66"/>
      <c r="C580" s="66"/>
      <c r="D580" s="66"/>
      <c r="G580" s="67"/>
      <c r="V580" s="67"/>
      <c r="W580" s="66"/>
    </row>
    <row r="581">
      <c r="A581" s="66"/>
      <c r="B581" s="66"/>
      <c r="C581" s="66"/>
      <c r="D581" s="66"/>
      <c r="G581" s="67"/>
      <c r="V581" s="67"/>
      <c r="W581" s="66"/>
    </row>
    <row r="582">
      <c r="A582" s="66"/>
      <c r="B582" s="66"/>
      <c r="C582" s="66"/>
      <c r="D582" s="66"/>
      <c r="G582" s="67"/>
      <c r="V582" s="67"/>
      <c r="W582" s="66"/>
    </row>
    <row r="583">
      <c r="A583" s="66"/>
      <c r="B583" s="66"/>
      <c r="C583" s="66"/>
      <c r="D583" s="66"/>
      <c r="G583" s="67"/>
      <c r="V583" s="67"/>
      <c r="W583" s="66"/>
    </row>
    <row r="584">
      <c r="A584" s="66"/>
      <c r="B584" s="66"/>
      <c r="C584" s="66"/>
      <c r="D584" s="66"/>
      <c r="G584" s="67"/>
      <c r="V584" s="67"/>
      <c r="W584" s="66"/>
    </row>
    <row r="585">
      <c r="A585" s="66"/>
      <c r="B585" s="66"/>
      <c r="C585" s="66"/>
      <c r="D585" s="66"/>
      <c r="G585" s="67"/>
      <c r="V585" s="67"/>
      <c r="W585" s="66"/>
    </row>
    <row r="586">
      <c r="A586" s="66"/>
      <c r="B586" s="66"/>
      <c r="C586" s="66"/>
      <c r="D586" s="66"/>
      <c r="G586" s="67"/>
      <c r="V586" s="67"/>
      <c r="W586" s="66"/>
    </row>
    <row r="587">
      <c r="A587" s="66"/>
      <c r="B587" s="66"/>
      <c r="C587" s="66"/>
      <c r="D587" s="66"/>
      <c r="G587" s="67"/>
      <c r="V587" s="67"/>
      <c r="W587" s="66"/>
    </row>
    <row r="588">
      <c r="A588" s="66"/>
      <c r="B588" s="66"/>
      <c r="C588" s="66"/>
      <c r="D588" s="66"/>
      <c r="G588" s="67"/>
      <c r="V588" s="67"/>
      <c r="W588" s="66"/>
    </row>
    <row r="589">
      <c r="A589" s="66"/>
      <c r="B589" s="66"/>
      <c r="C589" s="66"/>
      <c r="D589" s="66"/>
      <c r="G589" s="67"/>
      <c r="V589" s="67"/>
      <c r="W589" s="66"/>
    </row>
    <row r="590">
      <c r="A590" s="66"/>
      <c r="B590" s="66"/>
      <c r="C590" s="66"/>
      <c r="D590" s="66"/>
      <c r="G590" s="67"/>
      <c r="V590" s="67"/>
      <c r="W590" s="66"/>
    </row>
    <row r="591">
      <c r="A591" s="66"/>
      <c r="B591" s="66"/>
      <c r="C591" s="66"/>
      <c r="D591" s="66"/>
      <c r="G591" s="67"/>
      <c r="V591" s="67"/>
      <c r="W591" s="66"/>
    </row>
    <row r="592">
      <c r="A592" s="66"/>
      <c r="B592" s="66"/>
      <c r="C592" s="66"/>
      <c r="D592" s="66"/>
      <c r="G592" s="67"/>
      <c r="V592" s="67"/>
      <c r="W592" s="66"/>
    </row>
    <row r="593">
      <c r="A593" s="66"/>
      <c r="B593" s="66"/>
      <c r="C593" s="66"/>
      <c r="D593" s="66"/>
      <c r="G593" s="67"/>
      <c r="V593" s="67"/>
      <c r="W593" s="66"/>
    </row>
    <row r="594">
      <c r="A594" s="66"/>
      <c r="B594" s="66"/>
      <c r="C594" s="66"/>
      <c r="D594" s="66"/>
      <c r="G594" s="67"/>
      <c r="V594" s="67"/>
      <c r="W594" s="66"/>
    </row>
    <row r="595">
      <c r="A595" s="66"/>
      <c r="B595" s="66"/>
      <c r="C595" s="66"/>
      <c r="D595" s="66"/>
      <c r="G595" s="67"/>
      <c r="V595" s="67"/>
      <c r="W595" s="66"/>
    </row>
    <row r="596">
      <c r="A596" s="66"/>
      <c r="B596" s="66"/>
      <c r="C596" s="66"/>
      <c r="D596" s="66"/>
      <c r="G596" s="67"/>
      <c r="V596" s="67"/>
      <c r="W596" s="66"/>
    </row>
    <row r="597">
      <c r="A597" s="66"/>
      <c r="B597" s="66"/>
      <c r="C597" s="66"/>
      <c r="D597" s="66"/>
      <c r="G597" s="67"/>
      <c r="V597" s="67"/>
      <c r="W597" s="66"/>
    </row>
    <row r="598">
      <c r="A598" s="66"/>
      <c r="B598" s="66"/>
      <c r="C598" s="66"/>
      <c r="D598" s="66"/>
      <c r="G598" s="67"/>
      <c r="V598" s="67"/>
      <c r="W598" s="66"/>
    </row>
    <row r="599">
      <c r="A599" s="66"/>
      <c r="B599" s="66"/>
      <c r="C599" s="66"/>
      <c r="D599" s="66"/>
      <c r="G599" s="67"/>
      <c r="V599" s="67"/>
      <c r="W599" s="66"/>
    </row>
    <row r="600">
      <c r="A600" s="66"/>
      <c r="B600" s="66"/>
      <c r="C600" s="66"/>
      <c r="D600" s="66"/>
      <c r="G600" s="67"/>
      <c r="V600" s="67"/>
      <c r="W600" s="66"/>
    </row>
    <row r="601">
      <c r="A601" s="66"/>
      <c r="B601" s="66"/>
      <c r="C601" s="66"/>
      <c r="D601" s="66"/>
      <c r="G601" s="67"/>
      <c r="V601" s="67"/>
      <c r="W601" s="66"/>
    </row>
    <row r="602">
      <c r="A602" s="66"/>
      <c r="B602" s="66"/>
      <c r="C602" s="66"/>
      <c r="D602" s="66"/>
      <c r="G602" s="67"/>
      <c r="V602" s="67"/>
      <c r="W602" s="66"/>
    </row>
    <row r="603">
      <c r="A603" s="66"/>
      <c r="B603" s="66"/>
      <c r="C603" s="66"/>
      <c r="D603" s="66"/>
      <c r="G603" s="67"/>
      <c r="V603" s="67"/>
      <c r="W603" s="66"/>
    </row>
    <row r="604">
      <c r="A604" s="66"/>
      <c r="B604" s="66"/>
      <c r="C604" s="66"/>
      <c r="D604" s="66"/>
      <c r="G604" s="67"/>
      <c r="V604" s="67"/>
      <c r="W604" s="66"/>
    </row>
    <row r="605">
      <c r="A605" s="66"/>
      <c r="B605" s="66"/>
      <c r="C605" s="66"/>
      <c r="D605" s="66"/>
      <c r="G605" s="67"/>
      <c r="V605" s="67"/>
      <c r="W605" s="66"/>
    </row>
    <row r="606">
      <c r="A606" s="66"/>
      <c r="B606" s="66"/>
      <c r="C606" s="66"/>
      <c r="D606" s="66"/>
      <c r="G606" s="67"/>
      <c r="V606" s="67"/>
      <c r="W606" s="66"/>
    </row>
    <row r="607">
      <c r="A607" s="66"/>
      <c r="B607" s="66"/>
      <c r="C607" s="66"/>
      <c r="D607" s="66"/>
      <c r="G607" s="67"/>
      <c r="V607" s="67"/>
      <c r="W607" s="66"/>
    </row>
    <row r="608">
      <c r="A608" s="66"/>
      <c r="B608" s="66"/>
      <c r="C608" s="66"/>
      <c r="D608" s="66"/>
      <c r="G608" s="67"/>
      <c r="V608" s="67"/>
      <c r="W608" s="66"/>
    </row>
    <row r="609">
      <c r="A609" s="66"/>
      <c r="B609" s="66"/>
      <c r="C609" s="66"/>
      <c r="D609" s="66"/>
      <c r="G609" s="67"/>
      <c r="V609" s="67"/>
      <c r="W609" s="66"/>
    </row>
    <row r="610">
      <c r="A610" s="66"/>
      <c r="B610" s="66"/>
      <c r="C610" s="66"/>
      <c r="D610" s="66"/>
      <c r="G610" s="67"/>
      <c r="V610" s="67"/>
      <c r="W610" s="66"/>
    </row>
    <row r="611">
      <c r="A611" s="66"/>
      <c r="B611" s="66"/>
      <c r="C611" s="66"/>
      <c r="D611" s="66"/>
      <c r="G611" s="67"/>
      <c r="V611" s="67"/>
      <c r="W611" s="66"/>
    </row>
    <row r="612">
      <c r="A612" s="66"/>
      <c r="B612" s="66"/>
      <c r="C612" s="66"/>
      <c r="D612" s="66"/>
      <c r="G612" s="67"/>
      <c r="V612" s="67"/>
      <c r="W612" s="66"/>
    </row>
    <row r="613">
      <c r="A613" s="66"/>
      <c r="B613" s="66"/>
      <c r="C613" s="66"/>
      <c r="D613" s="66"/>
      <c r="G613" s="67"/>
      <c r="V613" s="67"/>
      <c r="W613" s="66"/>
    </row>
    <row r="614">
      <c r="A614" s="66"/>
      <c r="B614" s="66"/>
      <c r="C614" s="66"/>
      <c r="D614" s="66"/>
      <c r="G614" s="67"/>
      <c r="V614" s="67"/>
      <c r="W614" s="66"/>
    </row>
    <row r="615">
      <c r="A615" s="66"/>
      <c r="B615" s="66"/>
      <c r="C615" s="66"/>
      <c r="D615" s="66"/>
      <c r="G615" s="67"/>
      <c r="V615" s="67"/>
      <c r="W615" s="66"/>
    </row>
    <row r="616">
      <c r="A616" s="66"/>
      <c r="B616" s="66"/>
      <c r="C616" s="66"/>
      <c r="D616" s="66"/>
      <c r="G616" s="67"/>
      <c r="V616" s="67"/>
      <c r="W616" s="66"/>
    </row>
    <row r="617">
      <c r="A617" s="66"/>
      <c r="B617" s="66"/>
      <c r="C617" s="66"/>
      <c r="D617" s="66"/>
      <c r="G617" s="67"/>
      <c r="V617" s="67"/>
      <c r="W617" s="66"/>
    </row>
    <row r="618">
      <c r="A618" s="66"/>
      <c r="B618" s="66"/>
      <c r="C618" s="66"/>
      <c r="D618" s="66"/>
      <c r="G618" s="67"/>
      <c r="V618" s="67"/>
      <c r="W618" s="66"/>
    </row>
    <row r="619">
      <c r="A619" s="66"/>
      <c r="B619" s="66"/>
      <c r="C619" s="66"/>
      <c r="D619" s="66"/>
      <c r="G619" s="67"/>
      <c r="V619" s="67"/>
      <c r="W619" s="66"/>
    </row>
    <row r="620">
      <c r="A620" s="66"/>
      <c r="B620" s="66"/>
      <c r="C620" s="66"/>
      <c r="D620" s="66"/>
      <c r="G620" s="67"/>
      <c r="V620" s="67"/>
      <c r="W620" s="66"/>
    </row>
    <row r="621">
      <c r="A621" s="66"/>
      <c r="B621" s="66"/>
      <c r="C621" s="66"/>
      <c r="D621" s="66"/>
      <c r="G621" s="67"/>
      <c r="V621" s="67"/>
      <c r="W621" s="66"/>
    </row>
    <row r="622">
      <c r="A622" s="66"/>
      <c r="B622" s="66"/>
      <c r="C622" s="66"/>
      <c r="D622" s="66"/>
      <c r="G622" s="67"/>
      <c r="V622" s="67"/>
      <c r="W622" s="66"/>
    </row>
    <row r="623">
      <c r="A623" s="66"/>
      <c r="B623" s="66"/>
      <c r="C623" s="66"/>
      <c r="D623" s="66"/>
      <c r="G623" s="67"/>
      <c r="V623" s="67"/>
      <c r="W623" s="66"/>
    </row>
    <row r="624">
      <c r="A624" s="66"/>
      <c r="B624" s="66"/>
      <c r="C624" s="66"/>
      <c r="D624" s="66"/>
      <c r="G624" s="67"/>
      <c r="V624" s="67"/>
      <c r="W624" s="66"/>
    </row>
    <row r="625">
      <c r="A625" s="66"/>
      <c r="B625" s="66"/>
      <c r="C625" s="66"/>
      <c r="D625" s="66"/>
      <c r="G625" s="67"/>
      <c r="V625" s="67"/>
      <c r="W625" s="66"/>
    </row>
    <row r="626">
      <c r="A626" s="66"/>
      <c r="B626" s="66"/>
      <c r="C626" s="66"/>
      <c r="D626" s="66"/>
      <c r="G626" s="67"/>
      <c r="V626" s="67"/>
      <c r="W626" s="66"/>
    </row>
    <row r="627">
      <c r="A627" s="66"/>
      <c r="B627" s="66"/>
      <c r="C627" s="66"/>
      <c r="D627" s="66"/>
      <c r="G627" s="67"/>
      <c r="V627" s="67"/>
      <c r="W627" s="66"/>
    </row>
    <row r="628">
      <c r="A628" s="66"/>
      <c r="B628" s="66"/>
      <c r="C628" s="66"/>
      <c r="D628" s="66"/>
      <c r="G628" s="67"/>
      <c r="V628" s="67"/>
      <c r="W628" s="66"/>
    </row>
    <row r="629">
      <c r="A629" s="66"/>
      <c r="B629" s="66"/>
      <c r="C629" s="66"/>
      <c r="D629" s="66"/>
      <c r="G629" s="67"/>
      <c r="V629" s="67"/>
      <c r="W629" s="66"/>
    </row>
    <row r="630">
      <c r="A630" s="66"/>
      <c r="B630" s="66"/>
      <c r="C630" s="66"/>
      <c r="D630" s="66"/>
      <c r="G630" s="67"/>
      <c r="V630" s="67"/>
      <c r="W630" s="66"/>
    </row>
    <row r="631">
      <c r="A631" s="66"/>
      <c r="B631" s="66"/>
      <c r="C631" s="66"/>
      <c r="D631" s="66"/>
      <c r="G631" s="67"/>
      <c r="V631" s="67"/>
      <c r="W631" s="66"/>
    </row>
    <row r="632">
      <c r="A632" s="66"/>
      <c r="B632" s="66"/>
      <c r="C632" s="66"/>
      <c r="D632" s="66"/>
      <c r="G632" s="67"/>
      <c r="V632" s="67"/>
      <c r="W632" s="66"/>
    </row>
    <row r="633">
      <c r="A633" s="66"/>
      <c r="B633" s="66"/>
      <c r="C633" s="66"/>
      <c r="D633" s="66"/>
      <c r="G633" s="67"/>
      <c r="V633" s="67"/>
      <c r="W633" s="66"/>
    </row>
    <row r="634">
      <c r="A634" s="66"/>
      <c r="B634" s="66"/>
      <c r="C634" s="66"/>
      <c r="D634" s="66"/>
      <c r="G634" s="67"/>
      <c r="V634" s="67"/>
      <c r="W634" s="66"/>
    </row>
    <row r="635">
      <c r="A635" s="66"/>
      <c r="B635" s="66"/>
      <c r="C635" s="66"/>
      <c r="D635" s="66"/>
      <c r="G635" s="67"/>
      <c r="V635" s="67"/>
      <c r="W635" s="66"/>
    </row>
    <row r="636">
      <c r="A636" s="66"/>
      <c r="B636" s="66"/>
      <c r="C636" s="66"/>
      <c r="D636" s="66"/>
      <c r="G636" s="67"/>
      <c r="V636" s="67"/>
      <c r="W636" s="66"/>
    </row>
    <row r="637">
      <c r="A637" s="66"/>
      <c r="B637" s="66"/>
      <c r="C637" s="66"/>
      <c r="D637" s="66"/>
      <c r="G637" s="67"/>
      <c r="V637" s="67"/>
      <c r="W637" s="66"/>
    </row>
    <row r="638">
      <c r="A638" s="66"/>
      <c r="B638" s="66"/>
      <c r="C638" s="66"/>
      <c r="D638" s="66"/>
      <c r="G638" s="67"/>
      <c r="V638" s="67"/>
      <c r="W638" s="66"/>
    </row>
    <row r="639">
      <c r="A639" s="66"/>
      <c r="B639" s="66"/>
      <c r="C639" s="66"/>
      <c r="D639" s="66"/>
      <c r="G639" s="67"/>
      <c r="V639" s="67"/>
      <c r="W639" s="66"/>
    </row>
    <row r="640">
      <c r="A640" s="66"/>
      <c r="B640" s="66"/>
      <c r="C640" s="66"/>
      <c r="D640" s="66"/>
      <c r="G640" s="67"/>
      <c r="V640" s="67"/>
      <c r="W640" s="66"/>
    </row>
    <row r="641">
      <c r="A641" s="66"/>
      <c r="B641" s="66"/>
      <c r="C641" s="66"/>
      <c r="D641" s="66"/>
      <c r="G641" s="67"/>
      <c r="V641" s="67"/>
      <c r="W641" s="66"/>
    </row>
    <row r="642">
      <c r="A642" s="66"/>
      <c r="B642" s="66"/>
      <c r="C642" s="66"/>
      <c r="D642" s="66"/>
      <c r="G642" s="67"/>
      <c r="V642" s="67"/>
      <c r="W642" s="66"/>
    </row>
    <row r="643">
      <c r="A643" s="66"/>
      <c r="B643" s="66"/>
      <c r="C643" s="66"/>
      <c r="D643" s="66"/>
      <c r="G643" s="67"/>
      <c r="V643" s="67"/>
      <c r="W643" s="66"/>
    </row>
    <row r="644">
      <c r="A644" s="66"/>
      <c r="B644" s="66"/>
      <c r="C644" s="66"/>
      <c r="D644" s="66"/>
      <c r="G644" s="67"/>
      <c r="V644" s="67"/>
      <c r="W644" s="66"/>
    </row>
    <row r="645">
      <c r="A645" s="66"/>
      <c r="B645" s="66"/>
      <c r="C645" s="66"/>
      <c r="D645" s="66"/>
      <c r="G645" s="67"/>
      <c r="V645" s="67"/>
      <c r="W645" s="66"/>
    </row>
    <row r="646">
      <c r="A646" s="66"/>
      <c r="B646" s="66"/>
      <c r="C646" s="66"/>
      <c r="D646" s="66"/>
      <c r="G646" s="67"/>
      <c r="V646" s="67"/>
      <c r="W646" s="66"/>
    </row>
    <row r="647">
      <c r="A647" s="66"/>
      <c r="B647" s="66"/>
      <c r="C647" s="66"/>
      <c r="D647" s="66"/>
      <c r="G647" s="67"/>
      <c r="V647" s="67"/>
      <c r="W647" s="66"/>
    </row>
    <row r="648">
      <c r="A648" s="66"/>
      <c r="B648" s="66"/>
      <c r="C648" s="66"/>
      <c r="D648" s="66"/>
      <c r="G648" s="67"/>
      <c r="V648" s="67"/>
      <c r="W648" s="66"/>
    </row>
    <row r="649">
      <c r="A649" s="66"/>
      <c r="B649" s="66"/>
      <c r="C649" s="66"/>
      <c r="D649" s="66"/>
      <c r="G649" s="67"/>
      <c r="V649" s="67"/>
      <c r="W649" s="66"/>
    </row>
    <row r="650">
      <c r="A650" s="66"/>
      <c r="B650" s="66"/>
      <c r="C650" s="66"/>
      <c r="D650" s="66"/>
      <c r="G650" s="67"/>
      <c r="V650" s="67"/>
      <c r="W650" s="66"/>
    </row>
    <row r="651">
      <c r="A651" s="66"/>
      <c r="B651" s="66"/>
      <c r="C651" s="66"/>
      <c r="D651" s="66"/>
      <c r="G651" s="67"/>
      <c r="V651" s="67"/>
      <c r="W651" s="66"/>
    </row>
    <row r="652">
      <c r="A652" s="66"/>
      <c r="B652" s="66"/>
      <c r="C652" s="66"/>
      <c r="D652" s="66"/>
      <c r="G652" s="67"/>
      <c r="V652" s="67"/>
      <c r="W652" s="66"/>
    </row>
    <row r="653">
      <c r="A653" s="66"/>
      <c r="B653" s="66"/>
      <c r="C653" s="66"/>
      <c r="D653" s="66"/>
      <c r="G653" s="67"/>
      <c r="V653" s="67"/>
      <c r="W653" s="66"/>
    </row>
    <row r="654">
      <c r="A654" s="66"/>
      <c r="B654" s="66"/>
      <c r="C654" s="66"/>
      <c r="D654" s="66"/>
      <c r="G654" s="67"/>
      <c r="V654" s="67"/>
      <c r="W654" s="66"/>
    </row>
    <row r="655">
      <c r="A655" s="66"/>
      <c r="B655" s="66"/>
      <c r="C655" s="66"/>
      <c r="D655" s="66"/>
      <c r="G655" s="67"/>
      <c r="V655" s="67"/>
      <c r="W655" s="66"/>
    </row>
    <row r="656">
      <c r="A656" s="66"/>
      <c r="B656" s="66"/>
      <c r="C656" s="66"/>
      <c r="D656" s="66"/>
      <c r="G656" s="67"/>
      <c r="V656" s="67"/>
      <c r="W656" s="66"/>
    </row>
    <row r="657">
      <c r="A657" s="66"/>
      <c r="B657" s="66"/>
      <c r="C657" s="66"/>
      <c r="D657" s="66"/>
      <c r="G657" s="67"/>
      <c r="V657" s="67"/>
      <c r="W657" s="66"/>
    </row>
    <row r="658">
      <c r="A658" s="66"/>
      <c r="B658" s="66"/>
      <c r="C658" s="66"/>
      <c r="D658" s="66"/>
      <c r="G658" s="67"/>
      <c r="V658" s="67"/>
      <c r="W658" s="66"/>
    </row>
    <row r="659">
      <c r="A659" s="66"/>
      <c r="B659" s="66"/>
      <c r="C659" s="66"/>
      <c r="D659" s="66"/>
      <c r="G659" s="67"/>
      <c r="V659" s="67"/>
      <c r="W659" s="66"/>
    </row>
    <row r="660">
      <c r="A660" s="66"/>
      <c r="B660" s="66"/>
      <c r="C660" s="66"/>
      <c r="D660" s="66"/>
      <c r="G660" s="67"/>
      <c r="V660" s="67"/>
      <c r="W660" s="66"/>
    </row>
    <row r="661">
      <c r="A661" s="66"/>
      <c r="B661" s="66"/>
      <c r="C661" s="66"/>
      <c r="D661" s="66"/>
      <c r="G661" s="67"/>
      <c r="V661" s="67"/>
      <c r="W661" s="66"/>
    </row>
    <row r="662">
      <c r="A662" s="66"/>
      <c r="B662" s="66"/>
      <c r="C662" s="66"/>
      <c r="D662" s="66"/>
      <c r="G662" s="67"/>
      <c r="V662" s="67"/>
      <c r="W662" s="66"/>
    </row>
    <row r="663">
      <c r="A663" s="66"/>
      <c r="B663" s="66"/>
      <c r="C663" s="66"/>
      <c r="D663" s="66"/>
      <c r="G663" s="67"/>
      <c r="V663" s="67"/>
      <c r="W663" s="66"/>
    </row>
    <row r="664">
      <c r="A664" s="66"/>
      <c r="B664" s="66"/>
      <c r="C664" s="66"/>
      <c r="D664" s="66"/>
      <c r="G664" s="67"/>
      <c r="V664" s="67"/>
      <c r="W664" s="66"/>
    </row>
    <row r="665">
      <c r="A665" s="66"/>
      <c r="B665" s="66"/>
      <c r="C665" s="66"/>
      <c r="D665" s="66"/>
      <c r="G665" s="67"/>
      <c r="V665" s="67"/>
      <c r="W665" s="66"/>
    </row>
    <row r="666">
      <c r="A666" s="66"/>
      <c r="B666" s="66"/>
      <c r="C666" s="66"/>
      <c r="D666" s="66"/>
      <c r="G666" s="67"/>
      <c r="V666" s="67"/>
      <c r="W666" s="66"/>
    </row>
    <row r="667">
      <c r="A667" s="66"/>
      <c r="B667" s="66"/>
      <c r="C667" s="66"/>
      <c r="D667" s="66"/>
      <c r="G667" s="67"/>
      <c r="V667" s="67"/>
      <c r="W667" s="66"/>
    </row>
    <row r="668">
      <c r="A668" s="66"/>
      <c r="B668" s="66"/>
      <c r="C668" s="66"/>
      <c r="D668" s="66"/>
      <c r="G668" s="67"/>
      <c r="V668" s="67"/>
      <c r="W668" s="66"/>
    </row>
    <row r="669">
      <c r="A669" s="66"/>
      <c r="B669" s="66"/>
      <c r="C669" s="66"/>
      <c r="D669" s="66"/>
      <c r="G669" s="67"/>
      <c r="V669" s="67"/>
      <c r="W669" s="66"/>
    </row>
    <row r="670">
      <c r="A670" s="66"/>
      <c r="B670" s="66"/>
      <c r="C670" s="66"/>
      <c r="D670" s="66"/>
      <c r="G670" s="67"/>
      <c r="V670" s="67"/>
      <c r="W670" s="66"/>
    </row>
    <row r="671">
      <c r="A671" s="66"/>
      <c r="B671" s="66"/>
      <c r="C671" s="66"/>
      <c r="D671" s="66"/>
      <c r="G671" s="67"/>
      <c r="V671" s="67"/>
      <c r="W671" s="66"/>
    </row>
    <row r="672">
      <c r="A672" s="66"/>
      <c r="B672" s="66"/>
      <c r="C672" s="66"/>
      <c r="D672" s="66"/>
      <c r="G672" s="67"/>
      <c r="V672" s="67"/>
      <c r="W672" s="66"/>
    </row>
    <row r="673">
      <c r="A673" s="66"/>
      <c r="B673" s="66"/>
      <c r="C673" s="66"/>
      <c r="D673" s="66"/>
      <c r="G673" s="67"/>
      <c r="V673" s="67"/>
      <c r="W673" s="66"/>
    </row>
    <row r="674">
      <c r="A674" s="66"/>
      <c r="B674" s="66"/>
      <c r="C674" s="66"/>
      <c r="D674" s="66"/>
      <c r="G674" s="67"/>
      <c r="V674" s="67"/>
      <c r="W674" s="66"/>
    </row>
    <row r="675">
      <c r="A675" s="66"/>
      <c r="B675" s="66"/>
      <c r="C675" s="66"/>
      <c r="D675" s="66"/>
      <c r="G675" s="67"/>
      <c r="V675" s="67"/>
      <c r="W675" s="66"/>
    </row>
    <row r="676">
      <c r="A676" s="66"/>
      <c r="B676" s="66"/>
      <c r="C676" s="66"/>
      <c r="D676" s="66"/>
      <c r="G676" s="67"/>
      <c r="V676" s="67"/>
      <c r="W676" s="66"/>
    </row>
    <row r="677">
      <c r="A677" s="66"/>
      <c r="B677" s="66"/>
      <c r="C677" s="66"/>
      <c r="D677" s="66"/>
      <c r="G677" s="67"/>
      <c r="V677" s="67"/>
      <c r="W677" s="66"/>
    </row>
    <row r="678">
      <c r="A678" s="66"/>
      <c r="B678" s="66"/>
      <c r="C678" s="66"/>
      <c r="D678" s="66"/>
      <c r="G678" s="67"/>
      <c r="V678" s="67"/>
      <c r="W678" s="66"/>
    </row>
    <row r="679">
      <c r="A679" s="66"/>
      <c r="B679" s="66"/>
      <c r="C679" s="66"/>
      <c r="D679" s="66"/>
      <c r="G679" s="67"/>
      <c r="V679" s="67"/>
      <c r="W679" s="66"/>
    </row>
    <row r="680">
      <c r="A680" s="66"/>
      <c r="B680" s="66"/>
      <c r="C680" s="66"/>
      <c r="D680" s="66"/>
      <c r="G680" s="67"/>
      <c r="V680" s="67"/>
      <c r="W680" s="66"/>
    </row>
    <row r="681">
      <c r="A681" s="66"/>
      <c r="B681" s="66"/>
      <c r="C681" s="66"/>
      <c r="D681" s="66"/>
      <c r="G681" s="67"/>
      <c r="V681" s="67"/>
      <c r="W681" s="66"/>
    </row>
    <row r="682">
      <c r="A682" s="66"/>
      <c r="B682" s="66"/>
      <c r="C682" s="66"/>
      <c r="D682" s="66"/>
      <c r="G682" s="67"/>
      <c r="V682" s="67"/>
      <c r="W682" s="66"/>
    </row>
    <row r="683">
      <c r="A683" s="66"/>
      <c r="B683" s="66"/>
      <c r="C683" s="66"/>
      <c r="D683" s="66"/>
      <c r="G683" s="67"/>
      <c r="V683" s="67"/>
      <c r="W683" s="66"/>
    </row>
    <row r="684">
      <c r="A684" s="66"/>
      <c r="B684" s="66"/>
      <c r="C684" s="66"/>
      <c r="D684" s="66"/>
      <c r="G684" s="67"/>
      <c r="V684" s="67"/>
      <c r="W684" s="66"/>
    </row>
    <row r="685">
      <c r="A685" s="66"/>
      <c r="B685" s="66"/>
      <c r="C685" s="66"/>
      <c r="D685" s="66"/>
      <c r="G685" s="67"/>
      <c r="V685" s="67"/>
      <c r="W685" s="66"/>
    </row>
    <row r="686">
      <c r="A686" s="66"/>
      <c r="B686" s="66"/>
      <c r="C686" s="66"/>
      <c r="D686" s="66"/>
      <c r="G686" s="67"/>
      <c r="V686" s="67"/>
      <c r="W686" s="66"/>
    </row>
    <row r="687">
      <c r="A687" s="66"/>
      <c r="B687" s="66"/>
      <c r="C687" s="66"/>
      <c r="D687" s="66"/>
      <c r="G687" s="67"/>
      <c r="V687" s="67"/>
      <c r="W687" s="66"/>
    </row>
    <row r="688">
      <c r="A688" s="66"/>
      <c r="B688" s="66"/>
      <c r="C688" s="66"/>
      <c r="D688" s="66"/>
      <c r="G688" s="67"/>
      <c r="V688" s="67"/>
      <c r="W688" s="66"/>
    </row>
    <row r="689">
      <c r="A689" s="66"/>
      <c r="B689" s="66"/>
      <c r="C689" s="66"/>
      <c r="D689" s="66"/>
      <c r="G689" s="67"/>
      <c r="V689" s="67"/>
      <c r="W689" s="66"/>
    </row>
    <row r="690">
      <c r="A690" s="66"/>
      <c r="B690" s="66"/>
      <c r="C690" s="66"/>
      <c r="D690" s="66"/>
      <c r="G690" s="67"/>
      <c r="V690" s="67"/>
      <c r="W690" s="66"/>
    </row>
    <row r="691">
      <c r="A691" s="66"/>
      <c r="B691" s="66"/>
      <c r="C691" s="66"/>
      <c r="D691" s="66"/>
      <c r="G691" s="67"/>
      <c r="V691" s="67"/>
      <c r="W691" s="66"/>
    </row>
    <row r="692">
      <c r="A692" s="66"/>
      <c r="B692" s="66"/>
      <c r="C692" s="66"/>
      <c r="D692" s="66"/>
      <c r="G692" s="67"/>
      <c r="V692" s="67"/>
      <c r="W692" s="66"/>
    </row>
    <row r="693">
      <c r="A693" s="66"/>
      <c r="B693" s="66"/>
      <c r="C693" s="66"/>
      <c r="D693" s="66"/>
      <c r="G693" s="67"/>
      <c r="V693" s="67"/>
      <c r="W693" s="66"/>
    </row>
    <row r="694">
      <c r="A694" s="66"/>
      <c r="B694" s="66"/>
      <c r="C694" s="66"/>
      <c r="D694" s="66"/>
      <c r="G694" s="67"/>
      <c r="V694" s="67"/>
      <c r="W694" s="66"/>
    </row>
    <row r="695">
      <c r="A695" s="66"/>
      <c r="B695" s="66"/>
      <c r="C695" s="66"/>
      <c r="D695" s="66"/>
      <c r="G695" s="67"/>
      <c r="V695" s="67"/>
      <c r="W695" s="66"/>
    </row>
    <row r="696">
      <c r="A696" s="66"/>
      <c r="B696" s="66"/>
      <c r="C696" s="66"/>
      <c r="D696" s="66"/>
      <c r="G696" s="67"/>
      <c r="V696" s="67"/>
      <c r="W696" s="66"/>
    </row>
    <row r="697">
      <c r="A697" s="66"/>
      <c r="B697" s="66"/>
      <c r="C697" s="66"/>
      <c r="D697" s="66"/>
      <c r="G697" s="67"/>
      <c r="V697" s="67"/>
      <c r="W697" s="66"/>
    </row>
    <row r="698">
      <c r="A698" s="66"/>
      <c r="B698" s="66"/>
      <c r="C698" s="66"/>
      <c r="D698" s="66"/>
      <c r="G698" s="67"/>
      <c r="V698" s="67"/>
      <c r="W698" s="66"/>
    </row>
    <row r="699">
      <c r="A699" s="66"/>
      <c r="B699" s="66"/>
      <c r="C699" s="66"/>
      <c r="D699" s="66"/>
      <c r="G699" s="67"/>
      <c r="V699" s="67"/>
      <c r="W699" s="66"/>
    </row>
    <row r="700">
      <c r="A700" s="66"/>
      <c r="B700" s="66"/>
      <c r="C700" s="66"/>
      <c r="D700" s="66"/>
      <c r="G700" s="67"/>
      <c r="V700" s="67"/>
      <c r="W700" s="66"/>
    </row>
    <row r="701">
      <c r="A701" s="66"/>
      <c r="B701" s="66"/>
      <c r="C701" s="66"/>
      <c r="D701" s="66"/>
      <c r="G701" s="67"/>
      <c r="V701" s="67"/>
      <c r="W701" s="66"/>
    </row>
    <row r="702">
      <c r="A702" s="66"/>
      <c r="B702" s="66"/>
      <c r="C702" s="66"/>
      <c r="D702" s="66"/>
      <c r="G702" s="67"/>
      <c r="V702" s="67"/>
      <c r="W702" s="66"/>
    </row>
    <row r="703">
      <c r="A703" s="66"/>
      <c r="B703" s="66"/>
      <c r="C703" s="66"/>
      <c r="D703" s="66"/>
      <c r="G703" s="67"/>
      <c r="V703" s="67"/>
      <c r="W703" s="66"/>
    </row>
    <row r="704">
      <c r="A704" s="66"/>
      <c r="B704" s="66"/>
      <c r="C704" s="66"/>
      <c r="D704" s="66"/>
      <c r="G704" s="67"/>
      <c r="V704" s="67"/>
      <c r="W704" s="66"/>
    </row>
    <row r="705">
      <c r="A705" s="66"/>
      <c r="B705" s="66"/>
      <c r="C705" s="66"/>
      <c r="D705" s="66"/>
      <c r="G705" s="67"/>
      <c r="V705" s="67"/>
      <c r="W705" s="66"/>
    </row>
    <row r="706">
      <c r="A706" s="66"/>
      <c r="B706" s="66"/>
      <c r="C706" s="66"/>
      <c r="D706" s="66"/>
      <c r="G706" s="67"/>
      <c r="V706" s="67"/>
      <c r="W706" s="66"/>
    </row>
    <row r="707">
      <c r="A707" s="66"/>
      <c r="B707" s="66"/>
      <c r="C707" s="66"/>
      <c r="D707" s="66"/>
      <c r="G707" s="67"/>
      <c r="V707" s="67"/>
      <c r="W707" s="66"/>
    </row>
    <row r="708">
      <c r="A708" s="66"/>
      <c r="B708" s="66"/>
      <c r="C708" s="66"/>
      <c r="D708" s="66"/>
      <c r="G708" s="67"/>
      <c r="V708" s="67"/>
      <c r="W708" s="66"/>
    </row>
    <row r="709">
      <c r="A709" s="66"/>
      <c r="B709" s="66"/>
      <c r="C709" s="66"/>
      <c r="D709" s="66"/>
      <c r="G709" s="67"/>
      <c r="V709" s="67"/>
      <c r="W709" s="66"/>
    </row>
    <row r="710">
      <c r="A710" s="66"/>
      <c r="B710" s="66"/>
      <c r="C710" s="66"/>
      <c r="D710" s="66"/>
      <c r="G710" s="67"/>
      <c r="V710" s="67"/>
      <c r="W710" s="66"/>
    </row>
    <row r="711">
      <c r="A711" s="66"/>
      <c r="B711" s="66"/>
      <c r="C711" s="66"/>
      <c r="D711" s="66"/>
      <c r="G711" s="67"/>
      <c r="V711" s="67"/>
      <c r="W711" s="66"/>
    </row>
    <row r="712">
      <c r="A712" s="66"/>
      <c r="B712" s="66"/>
      <c r="C712" s="66"/>
      <c r="D712" s="66"/>
      <c r="G712" s="67"/>
      <c r="V712" s="67"/>
      <c r="W712" s="66"/>
    </row>
    <row r="713">
      <c r="A713" s="66"/>
      <c r="B713" s="66"/>
      <c r="C713" s="66"/>
      <c r="D713" s="66"/>
      <c r="G713" s="67"/>
      <c r="V713" s="67"/>
      <c r="W713" s="66"/>
    </row>
    <row r="714">
      <c r="A714" s="66"/>
      <c r="B714" s="66"/>
      <c r="C714" s="66"/>
      <c r="D714" s="66"/>
      <c r="G714" s="67"/>
      <c r="V714" s="67"/>
      <c r="W714" s="66"/>
    </row>
    <row r="715">
      <c r="A715" s="66"/>
      <c r="B715" s="66"/>
      <c r="C715" s="66"/>
      <c r="D715" s="66"/>
      <c r="G715" s="67"/>
      <c r="V715" s="67"/>
      <c r="W715" s="66"/>
    </row>
    <row r="716">
      <c r="A716" s="66"/>
      <c r="B716" s="66"/>
      <c r="C716" s="66"/>
      <c r="D716" s="66"/>
      <c r="G716" s="67"/>
      <c r="V716" s="67"/>
      <c r="W716" s="66"/>
    </row>
    <row r="717">
      <c r="A717" s="66"/>
      <c r="B717" s="66"/>
      <c r="C717" s="66"/>
      <c r="D717" s="66"/>
      <c r="G717" s="67"/>
      <c r="V717" s="67"/>
      <c r="W717" s="66"/>
    </row>
    <row r="718">
      <c r="A718" s="66"/>
      <c r="B718" s="66"/>
      <c r="C718" s="66"/>
      <c r="D718" s="66"/>
      <c r="G718" s="67"/>
      <c r="V718" s="67"/>
      <c r="W718" s="66"/>
    </row>
    <row r="719">
      <c r="A719" s="66"/>
      <c r="B719" s="66"/>
      <c r="C719" s="66"/>
      <c r="D719" s="66"/>
      <c r="G719" s="67"/>
      <c r="V719" s="67"/>
      <c r="W719" s="66"/>
    </row>
    <row r="720">
      <c r="A720" s="66"/>
      <c r="B720" s="66"/>
      <c r="C720" s="66"/>
      <c r="D720" s="66"/>
      <c r="G720" s="67"/>
      <c r="V720" s="67"/>
      <c r="W720" s="66"/>
    </row>
    <row r="721">
      <c r="A721" s="66"/>
      <c r="B721" s="66"/>
      <c r="C721" s="66"/>
      <c r="D721" s="66"/>
      <c r="G721" s="67"/>
      <c r="V721" s="67"/>
      <c r="W721" s="66"/>
    </row>
    <row r="722">
      <c r="A722" s="66"/>
      <c r="B722" s="66"/>
      <c r="C722" s="66"/>
      <c r="D722" s="66"/>
      <c r="G722" s="67"/>
      <c r="V722" s="67"/>
      <c r="W722" s="66"/>
    </row>
    <row r="723">
      <c r="A723" s="66"/>
      <c r="B723" s="66"/>
      <c r="C723" s="66"/>
      <c r="D723" s="66"/>
      <c r="G723" s="67"/>
      <c r="V723" s="67"/>
      <c r="W723" s="66"/>
    </row>
    <row r="724">
      <c r="A724" s="66"/>
      <c r="B724" s="66"/>
      <c r="C724" s="66"/>
      <c r="D724" s="66"/>
      <c r="G724" s="67"/>
      <c r="V724" s="67"/>
      <c r="W724" s="66"/>
    </row>
    <row r="725">
      <c r="A725" s="66"/>
      <c r="B725" s="66"/>
      <c r="C725" s="66"/>
      <c r="D725" s="66"/>
      <c r="G725" s="67"/>
      <c r="V725" s="67"/>
      <c r="W725" s="66"/>
    </row>
    <row r="726">
      <c r="A726" s="66"/>
      <c r="B726" s="66"/>
      <c r="C726" s="66"/>
      <c r="D726" s="66"/>
      <c r="G726" s="67"/>
      <c r="V726" s="67"/>
      <c r="W726" s="66"/>
    </row>
    <row r="727">
      <c r="A727" s="66"/>
      <c r="B727" s="66"/>
      <c r="C727" s="66"/>
      <c r="D727" s="66"/>
      <c r="G727" s="67"/>
      <c r="V727" s="67"/>
      <c r="W727" s="66"/>
    </row>
    <row r="728">
      <c r="A728" s="66"/>
      <c r="B728" s="66"/>
      <c r="C728" s="66"/>
      <c r="D728" s="66"/>
      <c r="G728" s="67"/>
      <c r="V728" s="67"/>
      <c r="W728" s="66"/>
    </row>
    <row r="729">
      <c r="A729" s="66"/>
      <c r="B729" s="66"/>
      <c r="C729" s="66"/>
      <c r="D729" s="66"/>
      <c r="G729" s="67"/>
      <c r="V729" s="67"/>
      <c r="W729" s="66"/>
    </row>
    <row r="730">
      <c r="A730" s="66"/>
      <c r="B730" s="66"/>
      <c r="C730" s="66"/>
      <c r="D730" s="66"/>
      <c r="G730" s="67"/>
      <c r="V730" s="67"/>
      <c r="W730" s="66"/>
    </row>
    <row r="731">
      <c r="A731" s="66"/>
      <c r="B731" s="66"/>
      <c r="C731" s="66"/>
      <c r="D731" s="66"/>
      <c r="G731" s="67"/>
      <c r="V731" s="67"/>
      <c r="W731" s="66"/>
    </row>
    <row r="732">
      <c r="A732" s="66"/>
      <c r="B732" s="66"/>
      <c r="C732" s="66"/>
      <c r="D732" s="66"/>
      <c r="G732" s="67"/>
      <c r="V732" s="67"/>
      <c r="W732" s="66"/>
    </row>
    <row r="733">
      <c r="A733" s="66"/>
      <c r="B733" s="66"/>
      <c r="C733" s="66"/>
      <c r="D733" s="66"/>
      <c r="G733" s="67"/>
      <c r="V733" s="67"/>
      <c r="W733" s="66"/>
    </row>
    <row r="734">
      <c r="A734" s="66"/>
      <c r="B734" s="66"/>
      <c r="C734" s="66"/>
      <c r="D734" s="66"/>
      <c r="G734" s="67"/>
      <c r="V734" s="67"/>
      <c r="W734" s="66"/>
    </row>
    <row r="735">
      <c r="A735" s="66"/>
      <c r="B735" s="66"/>
      <c r="C735" s="66"/>
      <c r="D735" s="66"/>
      <c r="G735" s="67"/>
      <c r="V735" s="67"/>
      <c r="W735" s="66"/>
    </row>
    <row r="736">
      <c r="A736" s="66"/>
      <c r="B736" s="66"/>
      <c r="C736" s="66"/>
      <c r="D736" s="66"/>
      <c r="G736" s="67"/>
      <c r="V736" s="67"/>
      <c r="W736" s="66"/>
    </row>
    <row r="737">
      <c r="A737" s="66"/>
      <c r="B737" s="66"/>
      <c r="C737" s="66"/>
      <c r="D737" s="66"/>
      <c r="G737" s="67"/>
      <c r="V737" s="67"/>
      <c r="W737" s="66"/>
    </row>
    <row r="738">
      <c r="A738" s="66"/>
      <c r="B738" s="66"/>
      <c r="C738" s="66"/>
      <c r="D738" s="66"/>
      <c r="G738" s="67"/>
      <c r="V738" s="67"/>
      <c r="W738" s="66"/>
    </row>
    <row r="739">
      <c r="A739" s="66"/>
      <c r="B739" s="66"/>
      <c r="C739" s="66"/>
      <c r="D739" s="66"/>
      <c r="G739" s="67"/>
      <c r="V739" s="67"/>
      <c r="W739" s="66"/>
    </row>
    <row r="740">
      <c r="A740" s="66"/>
      <c r="B740" s="66"/>
      <c r="C740" s="66"/>
      <c r="D740" s="66"/>
      <c r="G740" s="67"/>
      <c r="V740" s="67"/>
      <c r="W740" s="66"/>
    </row>
    <row r="741">
      <c r="A741" s="66"/>
      <c r="B741" s="66"/>
      <c r="C741" s="66"/>
      <c r="D741" s="66"/>
      <c r="G741" s="67"/>
      <c r="V741" s="67"/>
      <c r="W741" s="66"/>
    </row>
    <row r="742">
      <c r="A742" s="66"/>
      <c r="B742" s="66"/>
      <c r="C742" s="66"/>
      <c r="D742" s="66"/>
      <c r="G742" s="67"/>
      <c r="V742" s="67"/>
      <c r="W742" s="66"/>
    </row>
    <row r="743">
      <c r="A743" s="66"/>
      <c r="B743" s="66"/>
      <c r="C743" s="66"/>
      <c r="D743" s="66"/>
      <c r="G743" s="67"/>
      <c r="V743" s="67"/>
      <c r="W743" s="66"/>
    </row>
    <row r="744">
      <c r="A744" s="66"/>
      <c r="B744" s="66"/>
      <c r="C744" s="66"/>
      <c r="D744" s="66"/>
      <c r="G744" s="67"/>
      <c r="V744" s="67"/>
      <c r="W744" s="66"/>
    </row>
    <row r="745">
      <c r="A745" s="66"/>
      <c r="B745" s="66"/>
      <c r="C745" s="66"/>
      <c r="D745" s="66"/>
      <c r="G745" s="67"/>
      <c r="V745" s="67"/>
      <c r="W745" s="66"/>
    </row>
    <row r="746">
      <c r="A746" s="66"/>
      <c r="B746" s="66"/>
      <c r="C746" s="66"/>
      <c r="D746" s="66"/>
      <c r="G746" s="67"/>
      <c r="V746" s="67"/>
      <c r="W746" s="66"/>
    </row>
    <row r="747">
      <c r="A747" s="66"/>
      <c r="B747" s="66"/>
      <c r="C747" s="66"/>
      <c r="D747" s="66"/>
      <c r="G747" s="67"/>
      <c r="V747" s="67"/>
      <c r="W747" s="66"/>
    </row>
    <row r="748">
      <c r="A748" s="66"/>
      <c r="B748" s="66"/>
      <c r="C748" s="66"/>
      <c r="D748" s="66"/>
      <c r="G748" s="67"/>
      <c r="V748" s="67"/>
      <c r="W748" s="66"/>
    </row>
    <row r="749">
      <c r="A749" s="66"/>
      <c r="B749" s="66"/>
      <c r="C749" s="66"/>
      <c r="D749" s="66"/>
      <c r="G749" s="67"/>
      <c r="V749" s="67"/>
      <c r="W749" s="66"/>
    </row>
    <row r="750">
      <c r="A750" s="66"/>
      <c r="B750" s="66"/>
      <c r="C750" s="66"/>
      <c r="D750" s="66"/>
      <c r="G750" s="67"/>
      <c r="V750" s="67"/>
      <c r="W750" s="66"/>
    </row>
    <row r="751">
      <c r="A751" s="66"/>
      <c r="B751" s="66"/>
      <c r="C751" s="66"/>
      <c r="D751" s="66"/>
      <c r="G751" s="67"/>
      <c r="V751" s="67"/>
      <c r="W751" s="66"/>
    </row>
    <row r="752">
      <c r="A752" s="66"/>
      <c r="B752" s="66"/>
      <c r="C752" s="66"/>
      <c r="D752" s="66"/>
      <c r="G752" s="67"/>
      <c r="V752" s="67"/>
      <c r="W752" s="66"/>
    </row>
    <row r="753">
      <c r="A753" s="66"/>
      <c r="B753" s="66"/>
      <c r="C753" s="66"/>
      <c r="D753" s="66"/>
      <c r="G753" s="67"/>
      <c r="V753" s="67"/>
      <c r="W753" s="66"/>
    </row>
    <row r="754">
      <c r="A754" s="66"/>
      <c r="B754" s="66"/>
      <c r="C754" s="66"/>
      <c r="D754" s="66"/>
      <c r="G754" s="67"/>
      <c r="V754" s="67"/>
      <c r="W754" s="66"/>
    </row>
    <row r="755">
      <c r="A755" s="66"/>
      <c r="B755" s="66"/>
      <c r="C755" s="66"/>
      <c r="D755" s="66"/>
      <c r="G755" s="67"/>
      <c r="V755" s="67"/>
      <c r="W755" s="66"/>
    </row>
    <row r="756">
      <c r="A756" s="66"/>
      <c r="B756" s="66"/>
      <c r="C756" s="66"/>
      <c r="D756" s="66"/>
      <c r="G756" s="67"/>
      <c r="V756" s="67"/>
      <c r="W756" s="66"/>
    </row>
    <row r="757">
      <c r="A757" s="66"/>
      <c r="B757" s="66"/>
      <c r="C757" s="66"/>
      <c r="D757" s="66"/>
      <c r="G757" s="67"/>
      <c r="V757" s="67"/>
      <c r="W757" s="66"/>
    </row>
    <row r="758">
      <c r="A758" s="66"/>
      <c r="B758" s="66"/>
      <c r="C758" s="66"/>
      <c r="D758" s="66"/>
      <c r="G758" s="67"/>
      <c r="V758" s="67"/>
      <c r="W758" s="66"/>
    </row>
    <row r="759">
      <c r="A759" s="66"/>
      <c r="B759" s="66"/>
      <c r="C759" s="66"/>
      <c r="D759" s="66"/>
      <c r="G759" s="67"/>
      <c r="V759" s="67"/>
      <c r="W759" s="66"/>
    </row>
    <row r="760">
      <c r="A760" s="66"/>
      <c r="B760" s="66"/>
      <c r="C760" s="66"/>
      <c r="D760" s="66"/>
      <c r="G760" s="67"/>
      <c r="V760" s="67"/>
      <c r="W760" s="66"/>
    </row>
    <row r="761">
      <c r="A761" s="66"/>
      <c r="B761" s="66"/>
      <c r="C761" s="66"/>
      <c r="D761" s="66"/>
      <c r="G761" s="67"/>
      <c r="V761" s="67"/>
      <c r="W761" s="66"/>
    </row>
    <row r="762">
      <c r="A762" s="66"/>
      <c r="B762" s="66"/>
      <c r="C762" s="66"/>
      <c r="D762" s="66"/>
      <c r="G762" s="67"/>
      <c r="V762" s="67"/>
      <c r="W762" s="66"/>
    </row>
    <row r="763">
      <c r="A763" s="66"/>
      <c r="B763" s="66"/>
      <c r="C763" s="66"/>
      <c r="D763" s="66"/>
      <c r="G763" s="67"/>
      <c r="V763" s="67"/>
      <c r="W763" s="66"/>
    </row>
    <row r="764">
      <c r="A764" s="66"/>
      <c r="B764" s="66"/>
      <c r="C764" s="66"/>
      <c r="D764" s="66"/>
      <c r="G764" s="67"/>
      <c r="V764" s="67"/>
      <c r="W764" s="66"/>
    </row>
    <row r="765">
      <c r="A765" s="66"/>
      <c r="B765" s="66"/>
      <c r="C765" s="66"/>
      <c r="D765" s="66"/>
      <c r="G765" s="67"/>
      <c r="V765" s="67"/>
      <c r="W765" s="66"/>
    </row>
    <row r="766">
      <c r="A766" s="66"/>
      <c r="B766" s="66"/>
      <c r="C766" s="66"/>
      <c r="D766" s="66"/>
      <c r="G766" s="67"/>
      <c r="V766" s="67"/>
      <c r="W766" s="66"/>
    </row>
    <row r="767">
      <c r="A767" s="66"/>
      <c r="B767" s="66"/>
      <c r="C767" s="66"/>
      <c r="D767" s="66"/>
      <c r="G767" s="67"/>
      <c r="V767" s="67"/>
      <c r="W767" s="66"/>
    </row>
    <row r="768">
      <c r="A768" s="66"/>
      <c r="B768" s="66"/>
      <c r="C768" s="66"/>
      <c r="D768" s="66"/>
      <c r="G768" s="67"/>
      <c r="V768" s="67"/>
      <c r="W768" s="66"/>
    </row>
    <row r="769">
      <c r="A769" s="66"/>
      <c r="B769" s="66"/>
      <c r="C769" s="66"/>
      <c r="D769" s="66"/>
      <c r="G769" s="67"/>
      <c r="V769" s="67"/>
      <c r="W769" s="66"/>
    </row>
    <row r="770">
      <c r="A770" s="66"/>
      <c r="B770" s="66"/>
      <c r="C770" s="66"/>
      <c r="D770" s="66"/>
      <c r="G770" s="67"/>
      <c r="V770" s="67"/>
      <c r="W770" s="66"/>
    </row>
    <row r="771">
      <c r="A771" s="66"/>
      <c r="B771" s="66"/>
      <c r="C771" s="66"/>
      <c r="D771" s="66"/>
      <c r="G771" s="67"/>
      <c r="V771" s="67"/>
      <c r="W771" s="66"/>
    </row>
    <row r="772">
      <c r="A772" s="66"/>
      <c r="B772" s="66"/>
      <c r="C772" s="66"/>
      <c r="D772" s="66"/>
      <c r="G772" s="67"/>
      <c r="V772" s="67"/>
      <c r="W772" s="66"/>
    </row>
    <row r="773">
      <c r="A773" s="66"/>
      <c r="B773" s="66"/>
      <c r="C773" s="66"/>
      <c r="D773" s="66"/>
      <c r="G773" s="67"/>
      <c r="V773" s="67"/>
      <c r="W773" s="66"/>
    </row>
    <row r="774">
      <c r="A774" s="66"/>
      <c r="B774" s="66"/>
      <c r="C774" s="66"/>
      <c r="D774" s="66"/>
      <c r="G774" s="67"/>
      <c r="V774" s="67"/>
      <c r="W774" s="66"/>
    </row>
    <row r="775">
      <c r="A775" s="66"/>
      <c r="B775" s="66"/>
      <c r="C775" s="66"/>
      <c r="D775" s="66"/>
      <c r="G775" s="67"/>
      <c r="V775" s="67"/>
      <c r="W775" s="66"/>
    </row>
    <row r="776">
      <c r="A776" s="66"/>
      <c r="B776" s="66"/>
      <c r="C776" s="66"/>
      <c r="D776" s="66"/>
      <c r="G776" s="67"/>
      <c r="V776" s="67"/>
      <c r="W776" s="66"/>
    </row>
    <row r="777">
      <c r="A777" s="66"/>
      <c r="B777" s="66"/>
      <c r="C777" s="66"/>
      <c r="D777" s="66"/>
      <c r="G777" s="67"/>
      <c r="V777" s="67"/>
      <c r="W777" s="66"/>
    </row>
    <row r="778">
      <c r="A778" s="66"/>
      <c r="B778" s="66"/>
      <c r="C778" s="66"/>
      <c r="D778" s="66"/>
      <c r="G778" s="67"/>
      <c r="V778" s="67"/>
      <c r="W778" s="66"/>
    </row>
    <row r="779">
      <c r="A779" s="66"/>
      <c r="B779" s="66"/>
      <c r="C779" s="66"/>
      <c r="D779" s="66"/>
      <c r="G779" s="67"/>
      <c r="V779" s="67"/>
      <c r="W779" s="66"/>
    </row>
    <row r="780">
      <c r="A780" s="66"/>
      <c r="B780" s="66"/>
      <c r="C780" s="66"/>
      <c r="D780" s="66"/>
      <c r="G780" s="67"/>
      <c r="V780" s="67"/>
      <c r="W780" s="66"/>
    </row>
    <row r="781">
      <c r="A781" s="66"/>
      <c r="B781" s="66"/>
      <c r="C781" s="66"/>
      <c r="D781" s="66"/>
      <c r="G781" s="67"/>
      <c r="V781" s="67"/>
      <c r="W781" s="66"/>
    </row>
    <row r="782">
      <c r="A782" s="66"/>
      <c r="B782" s="66"/>
      <c r="C782" s="66"/>
      <c r="D782" s="66"/>
      <c r="G782" s="67"/>
      <c r="V782" s="67"/>
      <c r="W782" s="66"/>
    </row>
    <row r="783">
      <c r="A783" s="66"/>
      <c r="B783" s="66"/>
      <c r="C783" s="66"/>
      <c r="D783" s="66"/>
      <c r="G783" s="67"/>
      <c r="V783" s="67"/>
      <c r="W783" s="66"/>
    </row>
    <row r="784">
      <c r="A784" s="66"/>
      <c r="B784" s="66"/>
      <c r="C784" s="66"/>
      <c r="D784" s="66"/>
      <c r="G784" s="67"/>
      <c r="V784" s="67"/>
      <c r="W784" s="66"/>
    </row>
    <row r="785">
      <c r="A785" s="66"/>
      <c r="B785" s="66"/>
      <c r="C785" s="66"/>
      <c r="D785" s="66"/>
      <c r="G785" s="67"/>
      <c r="V785" s="67"/>
      <c r="W785" s="66"/>
    </row>
    <row r="786">
      <c r="A786" s="66"/>
      <c r="B786" s="66"/>
      <c r="C786" s="66"/>
      <c r="D786" s="66"/>
      <c r="G786" s="67"/>
      <c r="V786" s="67"/>
      <c r="W786" s="66"/>
    </row>
    <row r="787">
      <c r="A787" s="66"/>
      <c r="B787" s="66"/>
      <c r="C787" s="66"/>
      <c r="D787" s="66"/>
      <c r="G787" s="67"/>
      <c r="V787" s="67"/>
      <c r="W787" s="66"/>
    </row>
    <row r="788">
      <c r="A788" s="66"/>
      <c r="B788" s="66"/>
      <c r="C788" s="66"/>
      <c r="D788" s="66"/>
      <c r="G788" s="67"/>
      <c r="V788" s="67"/>
      <c r="W788" s="66"/>
    </row>
    <row r="789">
      <c r="A789" s="66"/>
      <c r="B789" s="66"/>
      <c r="C789" s="66"/>
      <c r="D789" s="66"/>
      <c r="G789" s="67"/>
      <c r="V789" s="67"/>
      <c r="W789" s="66"/>
    </row>
    <row r="790">
      <c r="A790" s="66"/>
      <c r="B790" s="66"/>
      <c r="C790" s="66"/>
      <c r="D790" s="66"/>
      <c r="G790" s="67"/>
      <c r="V790" s="67"/>
      <c r="W790" s="66"/>
    </row>
    <row r="791">
      <c r="A791" s="66"/>
      <c r="B791" s="66"/>
      <c r="C791" s="66"/>
      <c r="D791" s="66"/>
      <c r="G791" s="67"/>
      <c r="V791" s="67"/>
      <c r="W791" s="66"/>
    </row>
    <row r="792">
      <c r="A792" s="66"/>
      <c r="B792" s="66"/>
      <c r="C792" s="66"/>
      <c r="D792" s="66"/>
      <c r="G792" s="67"/>
      <c r="V792" s="67"/>
      <c r="W792" s="66"/>
    </row>
    <row r="793">
      <c r="A793" s="66"/>
      <c r="B793" s="66"/>
      <c r="C793" s="66"/>
      <c r="D793" s="66"/>
      <c r="G793" s="67"/>
      <c r="V793" s="67"/>
      <c r="W793" s="66"/>
    </row>
    <row r="794">
      <c r="A794" s="66"/>
      <c r="B794" s="66"/>
      <c r="C794" s="66"/>
      <c r="D794" s="66"/>
      <c r="G794" s="67"/>
      <c r="V794" s="67"/>
      <c r="W794" s="66"/>
    </row>
    <row r="795">
      <c r="A795" s="66"/>
      <c r="B795" s="66"/>
      <c r="C795" s="66"/>
      <c r="D795" s="66"/>
      <c r="G795" s="67"/>
      <c r="V795" s="67"/>
      <c r="W795" s="66"/>
    </row>
    <row r="796">
      <c r="A796" s="66"/>
      <c r="B796" s="66"/>
      <c r="C796" s="66"/>
      <c r="D796" s="66"/>
      <c r="G796" s="67"/>
      <c r="V796" s="67"/>
      <c r="W796" s="66"/>
    </row>
    <row r="797">
      <c r="A797" s="66"/>
      <c r="B797" s="66"/>
      <c r="C797" s="66"/>
      <c r="D797" s="66"/>
      <c r="G797" s="67"/>
      <c r="V797" s="67"/>
      <c r="W797" s="66"/>
    </row>
    <row r="798">
      <c r="A798" s="66"/>
      <c r="B798" s="66"/>
      <c r="C798" s="66"/>
      <c r="D798" s="66"/>
      <c r="G798" s="67"/>
      <c r="V798" s="67"/>
      <c r="W798" s="66"/>
    </row>
    <row r="799">
      <c r="A799" s="66"/>
      <c r="B799" s="66"/>
      <c r="C799" s="66"/>
      <c r="D799" s="66"/>
      <c r="G799" s="67"/>
      <c r="V799" s="67"/>
      <c r="W799" s="66"/>
    </row>
    <row r="800">
      <c r="A800" s="66"/>
      <c r="B800" s="66"/>
      <c r="C800" s="66"/>
      <c r="D800" s="66"/>
      <c r="G800" s="67"/>
      <c r="V800" s="67"/>
      <c r="W800" s="66"/>
    </row>
    <row r="801">
      <c r="A801" s="66"/>
      <c r="B801" s="66"/>
      <c r="C801" s="66"/>
      <c r="D801" s="66"/>
      <c r="G801" s="67"/>
      <c r="V801" s="67"/>
      <c r="W801" s="66"/>
    </row>
    <row r="802">
      <c r="A802" s="66"/>
      <c r="B802" s="66"/>
      <c r="C802" s="66"/>
      <c r="D802" s="66"/>
      <c r="G802" s="67"/>
      <c r="V802" s="67"/>
      <c r="W802" s="66"/>
    </row>
    <row r="803">
      <c r="A803" s="66"/>
      <c r="B803" s="66"/>
      <c r="C803" s="66"/>
      <c r="D803" s="66"/>
      <c r="G803" s="67"/>
      <c r="V803" s="67"/>
      <c r="W803" s="66"/>
    </row>
    <row r="804">
      <c r="A804" s="66"/>
      <c r="B804" s="66"/>
      <c r="C804" s="66"/>
      <c r="D804" s="66"/>
      <c r="G804" s="67"/>
      <c r="V804" s="67"/>
      <c r="W804" s="66"/>
    </row>
    <row r="805">
      <c r="A805" s="66"/>
      <c r="B805" s="66"/>
      <c r="C805" s="66"/>
      <c r="D805" s="66"/>
      <c r="G805" s="67"/>
      <c r="V805" s="67"/>
      <c r="W805" s="66"/>
    </row>
    <row r="806">
      <c r="A806" s="66"/>
      <c r="B806" s="66"/>
      <c r="C806" s="66"/>
      <c r="D806" s="66"/>
      <c r="G806" s="67"/>
      <c r="V806" s="67"/>
      <c r="W806" s="66"/>
    </row>
    <row r="807">
      <c r="A807" s="66"/>
      <c r="B807" s="66"/>
      <c r="C807" s="66"/>
      <c r="D807" s="66"/>
      <c r="G807" s="67"/>
      <c r="V807" s="67"/>
      <c r="W807" s="66"/>
    </row>
    <row r="808">
      <c r="A808" s="66"/>
      <c r="B808" s="66"/>
      <c r="C808" s="66"/>
      <c r="D808" s="66"/>
      <c r="G808" s="67"/>
      <c r="V808" s="67"/>
      <c r="W808" s="66"/>
    </row>
    <row r="809">
      <c r="A809" s="66"/>
      <c r="B809" s="66"/>
      <c r="C809" s="66"/>
      <c r="D809" s="66"/>
      <c r="G809" s="67"/>
      <c r="V809" s="67"/>
      <c r="W809" s="66"/>
    </row>
    <row r="810">
      <c r="A810" s="66"/>
      <c r="B810" s="66"/>
      <c r="C810" s="66"/>
      <c r="D810" s="66"/>
      <c r="G810" s="67"/>
      <c r="V810" s="67"/>
      <c r="W810" s="66"/>
    </row>
    <row r="811">
      <c r="A811" s="66"/>
      <c r="B811" s="66"/>
      <c r="C811" s="66"/>
      <c r="D811" s="66"/>
      <c r="G811" s="67"/>
      <c r="V811" s="67"/>
      <c r="W811" s="66"/>
    </row>
    <row r="812">
      <c r="A812" s="66"/>
      <c r="B812" s="66"/>
      <c r="C812" s="66"/>
      <c r="D812" s="66"/>
      <c r="G812" s="67"/>
      <c r="V812" s="67"/>
      <c r="W812" s="66"/>
    </row>
    <row r="813">
      <c r="A813" s="66"/>
      <c r="B813" s="66"/>
      <c r="C813" s="66"/>
      <c r="D813" s="66"/>
      <c r="G813" s="67"/>
      <c r="V813" s="67"/>
      <c r="W813" s="66"/>
    </row>
    <row r="814">
      <c r="A814" s="66"/>
      <c r="B814" s="66"/>
      <c r="C814" s="66"/>
      <c r="D814" s="66"/>
      <c r="G814" s="67"/>
      <c r="V814" s="67"/>
      <c r="W814" s="66"/>
    </row>
    <row r="815">
      <c r="A815" s="66"/>
      <c r="B815" s="66"/>
      <c r="C815" s="66"/>
      <c r="D815" s="66"/>
      <c r="G815" s="67"/>
      <c r="V815" s="67"/>
      <c r="W815" s="66"/>
    </row>
    <row r="816">
      <c r="A816" s="66"/>
      <c r="B816" s="66"/>
      <c r="C816" s="66"/>
      <c r="D816" s="66"/>
      <c r="G816" s="67"/>
      <c r="V816" s="67"/>
      <c r="W816" s="66"/>
    </row>
    <row r="817">
      <c r="A817" s="66"/>
      <c r="B817" s="66"/>
      <c r="C817" s="66"/>
      <c r="D817" s="66"/>
      <c r="G817" s="67"/>
      <c r="V817" s="67"/>
      <c r="W817" s="66"/>
    </row>
    <row r="818">
      <c r="A818" s="66"/>
      <c r="B818" s="66"/>
      <c r="C818" s="66"/>
      <c r="D818" s="66"/>
      <c r="G818" s="67"/>
      <c r="V818" s="67"/>
      <c r="W818" s="66"/>
    </row>
    <row r="819">
      <c r="A819" s="66"/>
      <c r="B819" s="66"/>
      <c r="C819" s="66"/>
      <c r="D819" s="66"/>
      <c r="G819" s="67"/>
      <c r="V819" s="67"/>
      <c r="W819" s="66"/>
    </row>
    <row r="820">
      <c r="A820" s="66"/>
      <c r="B820" s="66"/>
      <c r="C820" s="66"/>
      <c r="D820" s="66"/>
      <c r="G820" s="67"/>
      <c r="V820" s="67"/>
      <c r="W820" s="66"/>
    </row>
    <row r="821">
      <c r="A821" s="66"/>
      <c r="B821" s="66"/>
      <c r="C821" s="66"/>
      <c r="D821" s="66"/>
      <c r="G821" s="67"/>
      <c r="V821" s="67"/>
      <c r="W821" s="66"/>
    </row>
    <row r="822">
      <c r="A822" s="66"/>
      <c r="B822" s="66"/>
      <c r="C822" s="66"/>
      <c r="D822" s="66"/>
      <c r="G822" s="67"/>
      <c r="V822" s="67"/>
      <c r="W822" s="66"/>
    </row>
    <row r="823">
      <c r="A823" s="66"/>
      <c r="B823" s="66"/>
      <c r="C823" s="66"/>
      <c r="D823" s="66"/>
      <c r="G823" s="67"/>
      <c r="V823" s="67"/>
      <c r="W823" s="66"/>
    </row>
    <row r="824">
      <c r="A824" s="66"/>
      <c r="B824" s="66"/>
      <c r="C824" s="66"/>
      <c r="D824" s="66"/>
      <c r="G824" s="67"/>
      <c r="V824" s="67"/>
      <c r="W824" s="66"/>
    </row>
    <row r="825">
      <c r="A825" s="66"/>
      <c r="B825" s="66"/>
      <c r="C825" s="66"/>
      <c r="D825" s="66"/>
      <c r="G825" s="67"/>
      <c r="V825" s="67"/>
      <c r="W825" s="66"/>
    </row>
    <row r="826">
      <c r="A826" s="66"/>
      <c r="B826" s="66"/>
      <c r="C826" s="66"/>
      <c r="D826" s="66"/>
      <c r="G826" s="67"/>
      <c r="V826" s="67"/>
      <c r="W826" s="66"/>
    </row>
    <row r="827">
      <c r="A827" s="66"/>
      <c r="B827" s="66"/>
      <c r="C827" s="66"/>
      <c r="D827" s="66"/>
      <c r="G827" s="67"/>
      <c r="V827" s="67"/>
      <c r="W827" s="66"/>
    </row>
    <row r="828">
      <c r="A828" s="66"/>
      <c r="B828" s="66"/>
      <c r="C828" s="66"/>
      <c r="D828" s="66"/>
      <c r="G828" s="67"/>
      <c r="V828" s="67"/>
      <c r="W828" s="66"/>
    </row>
    <row r="829">
      <c r="A829" s="66"/>
      <c r="B829" s="66"/>
      <c r="C829" s="66"/>
      <c r="D829" s="66"/>
      <c r="G829" s="67"/>
      <c r="V829" s="67"/>
      <c r="W829" s="66"/>
    </row>
    <row r="830">
      <c r="A830" s="66"/>
      <c r="B830" s="66"/>
      <c r="C830" s="66"/>
      <c r="D830" s="66"/>
      <c r="G830" s="67"/>
      <c r="V830" s="67"/>
      <c r="W830" s="66"/>
    </row>
    <row r="831">
      <c r="A831" s="66"/>
      <c r="B831" s="66"/>
      <c r="C831" s="66"/>
      <c r="D831" s="66"/>
      <c r="G831" s="67"/>
      <c r="V831" s="67"/>
      <c r="W831" s="66"/>
    </row>
    <row r="832">
      <c r="A832" s="66"/>
      <c r="B832" s="66"/>
      <c r="C832" s="66"/>
      <c r="D832" s="66"/>
      <c r="G832" s="67"/>
      <c r="V832" s="67"/>
      <c r="W832" s="66"/>
    </row>
    <row r="833">
      <c r="A833" s="66"/>
      <c r="B833" s="66"/>
      <c r="C833" s="66"/>
      <c r="D833" s="66"/>
      <c r="G833" s="67"/>
      <c r="V833" s="67"/>
      <c r="W833" s="66"/>
    </row>
    <row r="834">
      <c r="A834" s="66"/>
      <c r="B834" s="66"/>
      <c r="C834" s="66"/>
      <c r="D834" s="66"/>
      <c r="G834" s="67"/>
      <c r="V834" s="67"/>
      <c r="W834" s="66"/>
    </row>
    <row r="835">
      <c r="A835" s="66"/>
      <c r="B835" s="66"/>
      <c r="C835" s="66"/>
      <c r="D835" s="66"/>
      <c r="G835" s="67"/>
      <c r="V835" s="67"/>
      <c r="W835" s="66"/>
    </row>
    <row r="836">
      <c r="A836" s="66"/>
      <c r="B836" s="66"/>
      <c r="C836" s="66"/>
      <c r="D836" s="66"/>
      <c r="G836" s="67"/>
      <c r="V836" s="67"/>
      <c r="W836" s="66"/>
    </row>
    <row r="837">
      <c r="A837" s="66"/>
      <c r="B837" s="66"/>
      <c r="C837" s="66"/>
      <c r="D837" s="66"/>
      <c r="G837" s="67"/>
      <c r="V837" s="67"/>
      <c r="W837" s="66"/>
    </row>
    <row r="838">
      <c r="A838" s="66"/>
      <c r="B838" s="66"/>
      <c r="C838" s="66"/>
      <c r="D838" s="66"/>
      <c r="G838" s="67"/>
      <c r="V838" s="67"/>
      <c r="W838" s="66"/>
    </row>
    <row r="839">
      <c r="A839" s="66"/>
      <c r="B839" s="66"/>
      <c r="C839" s="66"/>
      <c r="D839" s="66"/>
      <c r="G839" s="67"/>
      <c r="V839" s="67"/>
      <c r="W839" s="66"/>
    </row>
    <row r="840">
      <c r="A840" s="66"/>
      <c r="B840" s="66"/>
      <c r="C840" s="66"/>
      <c r="D840" s="66"/>
      <c r="G840" s="67"/>
      <c r="V840" s="67"/>
      <c r="W840" s="66"/>
    </row>
    <row r="841">
      <c r="A841" s="66"/>
      <c r="B841" s="66"/>
      <c r="C841" s="66"/>
      <c r="D841" s="66"/>
      <c r="G841" s="67"/>
      <c r="V841" s="67"/>
      <c r="W841" s="66"/>
    </row>
    <row r="842">
      <c r="A842" s="66"/>
      <c r="B842" s="66"/>
      <c r="C842" s="66"/>
      <c r="D842" s="66"/>
      <c r="G842" s="67"/>
      <c r="V842" s="67"/>
      <c r="W842" s="66"/>
    </row>
    <row r="843">
      <c r="A843" s="66"/>
      <c r="B843" s="66"/>
      <c r="C843" s="66"/>
      <c r="D843" s="66"/>
      <c r="G843" s="67"/>
      <c r="V843" s="67"/>
      <c r="W843" s="66"/>
    </row>
    <row r="844">
      <c r="A844" s="66"/>
      <c r="B844" s="66"/>
      <c r="C844" s="66"/>
      <c r="D844" s="66"/>
      <c r="G844" s="67"/>
      <c r="V844" s="67"/>
      <c r="W844" s="66"/>
    </row>
    <row r="845">
      <c r="A845" s="66"/>
      <c r="B845" s="66"/>
      <c r="C845" s="66"/>
      <c r="D845" s="66"/>
      <c r="G845" s="67"/>
      <c r="V845" s="67"/>
      <c r="W845" s="66"/>
    </row>
    <row r="846">
      <c r="A846" s="66"/>
      <c r="B846" s="66"/>
      <c r="C846" s="66"/>
      <c r="D846" s="66"/>
      <c r="G846" s="67"/>
      <c r="V846" s="67"/>
      <c r="W846" s="66"/>
    </row>
    <row r="847">
      <c r="A847" s="66"/>
      <c r="B847" s="66"/>
      <c r="C847" s="66"/>
      <c r="D847" s="66"/>
      <c r="G847" s="67"/>
      <c r="V847" s="67"/>
      <c r="W847" s="66"/>
    </row>
    <row r="848">
      <c r="A848" s="66"/>
      <c r="B848" s="66"/>
      <c r="C848" s="66"/>
      <c r="D848" s="66"/>
      <c r="G848" s="67"/>
      <c r="V848" s="67"/>
      <c r="W848" s="66"/>
    </row>
    <row r="849">
      <c r="A849" s="66"/>
      <c r="B849" s="66"/>
      <c r="C849" s="66"/>
      <c r="D849" s="66"/>
      <c r="G849" s="67"/>
      <c r="V849" s="67"/>
      <c r="W849" s="66"/>
    </row>
    <row r="850">
      <c r="A850" s="66"/>
      <c r="B850" s="66"/>
      <c r="C850" s="66"/>
      <c r="D850" s="66"/>
      <c r="G850" s="67"/>
      <c r="V850" s="67"/>
      <c r="W850" s="66"/>
    </row>
    <row r="851">
      <c r="A851" s="66"/>
      <c r="B851" s="66"/>
      <c r="C851" s="66"/>
      <c r="D851" s="66"/>
      <c r="G851" s="67"/>
      <c r="V851" s="67"/>
      <c r="W851" s="66"/>
    </row>
    <row r="852">
      <c r="A852" s="66"/>
      <c r="B852" s="66"/>
      <c r="C852" s="66"/>
      <c r="D852" s="66"/>
      <c r="G852" s="67"/>
      <c r="V852" s="67"/>
      <c r="W852" s="66"/>
    </row>
    <row r="853">
      <c r="A853" s="66"/>
      <c r="B853" s="66"/>
      <c r="C853" s="66"/>
      <c r="D853" s="66"/>
      <c r="G853" s="67"/>
      <c r="V853" s="67"/>
      <c r="W853" s="66"/>
    </row>
    <row r="854">
      <c r="A854" s="66"/>
      <c r="B854" s="66"/>
      <c r="C854" s="66"/>
      <c r="D854" s="66"/>
      <c r="G854" s="67"/>
      <c r="V854" s="67"/>
      <c r="W854" s="66"/>
    </row>
    <row r="855">
      <c r="A855" s="66"/>
      <c r="B855" s="66"/>
      <c r="C855" s="66"/>
      <c r="D855" s="66"/>
      <c r="G855" s="67"/>
      <c r="V855" s="67"/>
      <c r="W855" s="66"/>
    </row>
    <row r="856">
      <c r="A856" s="66"/>
      <c r="B856" s="66"/>
      <c r="C856" s="66"/>
      <c r="D856" s="66"/>
      <c r="G856" s="67"/>
      <c r="V856" s="67"/>
      <c r="W856" s="66"/>
    </row>
    <row r="857">
      <c r="A857" s="66"/>
      <c r="B857" s="66"/>
      <c r="C857" s="66"/>
      <c r="D857" s="66"/>
      <c r="G857" s="67"/>
      <c r="V857" s="67"/>
      <c r="W857" s="66"/>
    </row>
    <row r="858">
      <c r="A858" s="66"/>
      <c r="B858" s="66"/>
      <c r="C858" s="66"/>
      <c r="D858" s="66"/>
      <c r="G858" s="67"/>
      <c r="V858" s="67"/>
      <c r="W858" s="66"/>
    </row>
    <row r="859">
      <c r="A859" s="66"/>
      <c r="B859" s="66"/>
      <c r="C859" s="66"/>
      <c r="D859" s="66"/>
      <c r="G859" s="67"/>
      <c r="V859" s="67"/>
      <c r="W859" s="66"/>
    </row>
    <row r="860">
      <c r="A860" s="66"/>
      <c r="B860" s="66"/>
      <c r="C860" s="66"/>
      <c r="D860" s="66"/>
      <c r="G860" s="67"/>
      <c r="V860" s="67"/>
      <c r="W860" s="66"/>
    </row>
    <row r="861">
      <c r="A861" s="66"/>
      <c r="B861" s="66"/>
      <c r="C861" s="66"/>
      <c r="D861" s="66"/>
      <c r="G861" s="67"/>
      <c r="V861" s="67"/>
      <c r="W861" s="66"/>
    </row>
    <row r="862">
      <c r="A862" s="66"/>
      <c r="B862" s="66"/>
      <c r="C862" s="66"/>
      <c r="D862" s="66"/>
      <c r="G862" s="67"/>
      <c r="V862" s="67"/>
      <c r="W862" s="66"/>
    </row>
    <row r="863">
      <c r="A863" s="66"/>
      <c r="B863" s="66"/>
      <c r="C863" s="66"/>
      <c r="D863" s="66"/>
      <c r="G863" s="67"/>
      <c r="V863" s="67"/>
      <c r="W863" s="66"/>
    </row>
    <row r="864">
      <c r="A864" s="66"/>
      <c r="B864" s="66"/>
      <c r="C864" s="66"/>
      <c r="D864" s="66"/>
      <c r="G864" s="67"/>
      <c r="V864" s="67"/>
      <c r="W864" s="66"/>
    </row>
    <row r="865">
      <c r="A865" s="66"/>
      <c r="B865" s="66"/>
      <c r="C865" s="66"/>
      <c r="D865" s="66"/>
      <c r="G865" s="67"/>
      <c r="V865" s="67"/>
      <c r="W865" s="66"/>
    </row>
    <row r="866">
      <c r="A866" s="66"/>
      <c r="B866" s="66"/>
      <c r="C866" s="66"/>
      <c r="D866" s="66"/>
      <c r="G866" s="67"/>
      <c r="V866" s="67"/>
      <c r="W866" s="66"/>
    </row>
    <row r="867">
      <c r="A867" s="66"/>
      <c r="B867" s="66"/>
      <c r="C867" s="66"/>
      <c r="D867" s="66"/>
      <c r="G867" s="67"/>
      <c r="V867" s="67"/>
      <c r="W867" s="66"/>
    </row>
    <row r="868">
      <c r="A868" s="66"/>
      <c r="B868" s="66"/>
      <c r="C868" s="66"/>
      <c r="D868" s="66"/>
      <c r="G868" s="67"/>
      <c r="V868" s="67"/>
      <c r="W868" s="66"/>
    </row>
    <row r="869">
      <c r="A869" s="66"/>
      <c r="B869" s="66"/>
      <c r="C869" s="66"/>
      <c r="D869" s="66"/>
      <c r="G869" s="67"/>
      <c r="V869" s="67"/>
      <c r="W869" s="66"/>
    </row>
    <row r="870">
      <c r="A870" s="66"/>
      <c r="B870" s="66"/>
      <c r="C870" s="66"/>
      <c r="D870" s="66"/>
      <c r="G870" s="67"/>
      <c r="V870" s="67"/>
      <c r="W870" s="66"/>
    </row>
    <row r="871">
      <c r="A871" s="66"/>
      <c r="B871" s="66"/>
      <c r="C871" s="66"/>
      <c r="D871" s="66"/>
      <c r="G871" s="67"/>
      <c r="V871" s="67"/>
      <c r="W871" s="66"/>
    </row>
    <row r="872">
      <c r="A872" s="66"/>
      <c r="B872" s="66"/>
      <c r="C872" s="66"/>
      <c r="D872" s="66"/>
      <c r="G872" s="67"/>
      <c r="V872" s="67"/>
      <c r="W872" s="66"/>
    </row>
    <row r="873">
      <c r="A873" s="66"/>
      <c r="B873" s="66"/>
      <c r="C873" s="66"/>
      <c r="D873" s="66"/>
      <c r="G873" s="67"/>
      <c r="V873" s="67"/>
      <c r="W873" s="66"/>
    </row>
    <row r="874">
      <c r="A874" s="66"/>
      <c r="B874" s="66"/>
      <c r="C874" s="66"/>
      <c r="D874" s="66"/>
      <c r="G874" s="67"/>
      <c r="V874" s="67"/>
      <c r="W874" s="66"/>
    </row>
    <row r="875">
      <c r="A875" s="66"/>
      <c r="B875" s="66"/>
      <c r="C875" s="66"/>
      <c r="D875" s="66"/>
      <c r="G875" s="67"/>
      <c r="V875" s="67"/>
      <c r="W875" s="66"/>
    </row>
    <row r="876">
      <c r="A876" s="66"/>
      <c r="B876" s="66"/>
      <c r="C876" s="66"/>
      <c r="D876" s="66"/>
      <c r="G876" s="67"/>
      <c r="V876" s="67"/>
      <c r="W876" s="66"/>
    </row>
    <row r="877">
      <c r="A877" s="66"/>
      <c r="B877" s="66"/>
      <c r="C877" s="66"/>
      <c r="D877" s="66"/>
      <c r="G877" s="67"/>
      <c r="V877" s="67"/>
      <c r="W877" s="66"/>
    </row>
    <row r="878">
      <c r="A878" s="66"/>
      <c r="B878" s="66"/>
      <c r="C878" s="66"/>
      <c r="D878" s="66"/>
      <c r="G878" s="67"/>
      <c r="V878" s="67"/>
      <c r="W878" s="66"/>
    </row>
    <row r="879">
      <c r="A879" s="66"/>
      <c r="B879" s="66"/>
      <c r="C879" s="66"/>
      <c r="D879" s="66"/>
      <c r="G879" s="67"/>
      <c r="V879" s="67"/>
      <c r="W879" s="66"/>
    </row>
    <row r="880">
      <c r="A880" s="66"/>
      <c r="B880" s="66"/>
      <c r="C880" s="66"/>
      <c r="D880" s="66"/>
      <c r="G880" s="67"/>
      <c r="V880" s="67"/>
      <c r="W880" s="66"/>
    </row>
    <row r="881">
      <c r="A881" s="66"/>
      <c r="B881" s="66"/>
      <c r="C881" s="66"/>
      <c r="D881" s="66"/>
      <c r="G881" s="67"/>
      <c r="V881" s="67"/>
      <c r="W881" s="66"/>
    </row>
    <row r="882">
      <c r="A882" s="66"/>
      <c r="B882" s="66"/>
      <c r="C882" s="66"/>
      <c r="D882" s="66"/>
      <c r="G882" s="67"/>
      <c r="V882" s="67"/>
      <c r="W882" s="66"/>
    </row>
    <row r="883">
      <c r="A883" s="66"/>
      <c r="B883" s="66"/>
      <c r="C883" s="66"/>
      <c r="D883" s="66"/>
      <c r="G883" s="67"/>
      <c r="V883" s="67"/>
      <c r="W883" s="66"/>
    </row>
    <row r="884">
      <c r="A884" s="66"/>
      <c r="B884" s="66"/>
      <c r="C884" s="66"/>
      <c r="D884" s="66"/>
      <c r="G884" s="67"/>
      <c r="V884" s="67"/>
      <c r="W884" s="66"/>
    </row>
    <row r="885">
      <c r="A885" s="66"/>
      <c r="B885" s="66"/>
      <c r="C885" s="66"/>
      <c r="D885" s="66"/>
      <c r="G885" s="67"/>
      <c r="V885" s="67"/>
      <c r="W885" s="66"/>
    </row>
    <row r="886">
      <c r="A886" s="66"/>
      <c r="B886" s="66"/>
      <c r="C886" s="66"/>
      <c r="D886" s="66"/>
      <c r="G886" s="67"/>
      <c r="V886" s="67"/>
      <c r="W886" s="66"/>
    </row>
    <row r="887">
      <c r="A887" s="66"/>
      <c r="B887" s="66"/>
      <c r="C887" s="66"/>
      <c r="D887" s="66"/>
      <c r="G887" s="67"/>
      <c r="V887" s="67"/>
      <c r="W887" s="66"/>
    </row>
    <row r="888">
      <c r="A888" s="66"/>
      <c r="B888" s="66"/>
      <c r="C888" s="66"/>
      <c r="D888" s="66"/>
      <c r="G888" s="67"/>
      <c r="V888" s="67"/>
      <c r="W888" s="66"/>
    </row>
    <row r="889">
      <c r="A889" s="66"/>
      <c r="B889" s="66"/>
      <c r="C889" s="66"/>
      <c r="D889" s="66"/>
      <c r="G889" s="67"/>
      <c r="V889" s="67"/>
      <c r="W889" s="66"/>
    </row>
    <row r="890">
      <c r="A890" s="66"/>
      <c r="B890" s="66"/>
      <c r="C890" s="66"/>
      <c r="D890" s="66"/>
      <c r="G890" s="67"/>
      <c r="V890" s="67"/>
      <c r="W890" s="66"/>
    </row>
    <row r="891">
      <c r="A891" s="66"/>
      <c r="B891" s="66"/>
      <c r="C891" s="66"/>
      <c r="D891" s="66"/>
      <c r="G891" s="67"/>
      <c r="V891" s="67"/>
      <c r="W891" s="66"/>
    </row>
    <row r="892">
      <c r="A892" s="66"/>
      <c r="B892" s="66"/>
      <c r="C892" s="66"/>
      <c r="D892" s="66"/>
      <c r="G892" s="67"/>
      <c r="V892" s="67"/>
      <c r="W892" s="66"/>
    </row>
    <row r="893">
      <c r="A893" s="66"/>
      <c r="B893" s="66"/>
      <c r="C893" s="66"/>
      <c r="D893" s="66"/>
      <c r="G893" s="67"/>
      <c r="V893" s="67"/>
      <c r="W893" s="66"/>
    </row>
    <row r="894">
      <c r="A894" s="66"/>
      <c r="B894" s="66"/>
      <c r="C894" s="66"/>
      <c r="D894" s="66"/>
      <c r="G894" s="67"/>
      <c r="V894" s="67"/>
      <c r="W894" s="66"/>
    </row>
    <row r="895">
      <c r="A895" s="66"/>
      <c r="B895" s="66"/>
      <c r="C895" s="66"/>
      <c r="D895" s="66"/>
      <c r="G895" s="67"/>
      <c r="V895" s="67"/>
      <c r="W895" s="66"/>
    </row>
    <row r="896">
      <c r="A896" s="66"/>
      <c r="B896" s="66"/>
      <c r="C896" s="66"/>
      <c r="D896" s="66"/>
      <c r="G896" s="67"/>
      <c r="V896" s="67"/>
      <c r="W896" s="66"/>
    </row>
    <row r="897">
      <c r="A897" s="66"/>
      <c r="B897" s="66"/>
      <c r="C897" s="66"/>
      <c r="D897" s="66"/>
      <c r="G897" s="67"/>
      <c r="V897" s="67"/>
      <c r="W897" s="66"/>
    </row>
    <row r="898">
      <c r="A898" s="66"/>
      <c r="B898" s="66"/>
      <c r="C898" s="66"/>
      <c r="D898" s="66"/>
      <c r="G898" s="67"/>
      <c r="V898" s="67"/>
      <c r="W898" s="66"/>
    </row>
    <row r="899">
      <c r="A899" s="66"/>
      <c r="B899" s="66"/>
      <c r="C899" s="66"/>
      <c r="D899" s="66"/>
      <c r="G899" s="67"/>
      <c r="V899" s="67"/>
      <c r="W899" s="66"/>
    </row>
    <row r="900">
      <c r="A900" s="66"/>
      <c r="B900" s="66"/>
      <c r="C900" s="66"/>
      <c r="D900" s="66"/>
      <c r="G900" s="67"/>
      <c r="V900" s="67"/>
      <c r="W900" s="66"/>
    </row>
    <row r="901">
      <c r="A901" s="66"/>
      <c r="B901" s="66"/>
      <c r="C901" s="66"/>
      <c r="D901" s="66"/>
      <c r="G901" s="67"/>
      <c r="V901" s="67"/>
      <c r="W901" s="66"/>
    </row>
    <row r="902">
      <c r="A902" s="66"/>
      <c r="B902" s="66"/>
      <c r="C902" s="66"/>
      <c r="D902" s="66"/>
      <c r="G902" s="67"/>
      <c r="V902" s="67"/>
      <c r="W902" s="66"/>
    </row>
    <row r="903">
      <c r="A903" s="66"/>
      <c r="B903" s="66"/>
      <c r="C903" s="66"/>
      <c r="D903" s="66"/>
      <c r="G903" s="67"/>
      <c r="V903" s="67"/>
      <c r="W903" s="66"/>
    </row>
    <row r="904">
      <c r="A904" s="66"/>
      <c r="B904" s="66"/>
      <c r="C904" s="66"/>
      <c r="D904" s="66"/>
      <c r="G904" s="67"/>
      <c r="V904" s="67"/>
      <c r="W904" s="66"/>
    </row>
    <row r="905">
      <c r="A905" s="66"/>
      <c r="B905" s="66"/>
      <c r="C905" s="66"/>
      <c r="D905" s="66"/>
      <c r="G905" s="67"/>
      <c r="V905" s="67"/>
      <c r="W905" s="66"/>
    </row>
    <row r="906">
      <c r="A906" s="66"/>
      <c r="B906" s="66"/>
      <c r="C906" s="66"/>
      <c r="D906" s="66"/>
      <c r="G906" s="67"/>
      <c r="V906" s="67"/>
      <c r="W906" s="66"/>
    </row>
    <row r="907">
      <c r="A907" s="66"/>
      <c r="B907" s="66"/>
      <c r="C907" s="66"/>
      <c r="D907" s="66"/>
      <c r="G907" s="67"/>
      <c r="V907" s="67"/>
      <c r="W907" s="66"/>
    </row>
    <row r="908">
      <c r="A908" s="66"/>
      <c r="B908" s="66"/>
      <c r="C908" s="66"/>
      <c r="D908" s="66"/>
      <c r="G908" s="67"/>
      <c r="V908" s="67"/>
      <c r="W908" s="66"/>
    </row>
    <row r="909">
      <c r="A909" s="66"/>
      <c r="B909" s="66"/>
      <c r="C909" s="66"/>
      <c r="D909" s="66"/>
      <c r="G909" s="67"/>
      <c r="V909" s="67"/>
      <c r="W909" s="66"/>
    </row>
    <row r="910">
      <c r="A910" s="66"/>
      <c r="B910" s="66"/>
      <c r="C910" s="66"/>
      <c r="D910" s="66"/>
      <c r="G910" s="67"/>
      <c r="V910" s="67"/>
      <c r="W910" s="66"/>
    </row>
    <row r="911">
      <c r="A911" s="66"/>
      <c r="B911" s="66"/>
      <c r="C911" s="66"/>
      <c r="D911" s="66"/>
      <c r="G911" s="67"/>
      <c r="V911" s="67"/>
      <c r="W911" s="66"/>
    </row>
    <row r="912">
      <c r="A912" s="66"/>
      <c r="B912" s="66"/>
      <c r="C912" s="66"/>
      <c r="D912" s="66"/>
      <c r="G912" s="67"/>
      <c r="V912" s="67"/>
      <c r="W912" s="66"/>
    </row>
    <row r="913">
      <c r="A913" s="66"/>
      <c r="B913" s="66"/>
      <c r="C913" s="66"/>
      <c r="D913" s="66"/>
      <c r="G913" s="67"/>
      <c r="V913" s="67"/>
      <c r="W913" s="66"/>
    </row>
    <row r="914">
      <c r="A914" s="66"/>
      <c r="B914" s="66"/>
      <c r="C914" s="66"/>
      <c r="D914" s="66"/>
      <c r="G914" s="67"/>
      <c r="V914" s="67"/>
      <c r="W914" s="66"/>
    </row>
    <row r="915">
      <c r="A915" s="66"/>
      <c r="B915" s="66"/>
      <c r="C915" s="66"/>
      <c r="D915" s="66"/>
      <c r="G915" s="67"/>
      <c r="V915" s="67"/>
      <c r="W915" s="66"/>
    </row>
    <row r="916">
      <c r="A916" s="66"/>
      <c r="B916" s="66"/>
      <c r="C916" s="66"/>
      <c r="D916" s="66"/>
      <c r="G916" s="67"/>
      <c r="V916" s="67"/>
      <c r="W916" s="66"/>
    </row>
    <row r="917">
      <c r="A917" s="66"/>
      <c r="B917" s="66"/>
      <c r="C917" s="66"/>
      <c r="D917" s="66"/>
      <c r="G917" s="67"/>
      <c r="V917" s="67"/>
      <c r="W917" s="66"/>
    </row>
    <row r="918">
      <c r="A918" s="66"/>
      <c r="B918" s="66"/>
      <c r="C918" s="66"/>
      <c r="D918" s="66"/>
      <c r="G918" s="67"/>
      <c r="V918" s="67"/>
      <c r="W918" s="66"/>
    </row>
    <row r="919">
      <c r="A919" s="66"/>
      <c r="B919" s="66"/>
      <c r="C919" s="66"/>
      <c r="D919" s="66"/>
      <c r="G919" s="67"/>
      <c r="V919" s="67"/>
      <c r="W919" s="66"/>
    </row>
    <row r="920">
      <c r="A920" s="66"/>
      <c r="B920" s="66"/>
      <c r="C920" s="66"/>
      <c r="D920" s="66"/>
      <c r="G920" s="67"/>
      <c r="V920" s="67"/>
      <c r="W920" s="66"/>
    </row>
    <row r="921">
      <c r="A921" s="66"/>
      <c r="B921" s="66"/>
      <c r="C921" s="66"/>
      <c r="D921" s="66"/>
      <c r="G921" s="67"/>
      <c r="V921" s="67"/>
      <c r="W921" s="66"/>
    </row>
    <row r="922">
      <c r="A922" s="66"/>
      <c r="B922" s="66"/>
      <c r="C922" s="66"/>
      <c r="D922" s="66"/>
      <c r="G922" s="67"/>
      <c r="V922" s="67"/>
      <c r="W922" s="66"/>
    </row>
    <row r="923">
      <c r="A923" s="66"/>
      <c r="B923" s="66"/>
      <c r="C923" s="66"/>
      <c r="D923" s="66"/>
      <c r="G923" s="67"/>
      <c r="V923" s="67"/>
      <c r="W923" s="66"/>
    </row>
    <row r="924">
      <c r="A924" s="66"/>
      <c r="B924" s="66"/>
      <c r="C924" s="66"/>
      <c r="D924" s="66"/>
      <c r="G924" s="67"/>
      <c r="V924" s="67"/>
      <c r="W924" s="66"/>
    </row>
    <row r="925">
      <c r="A925" s="66"/>
      <c r="B925" s="66"/>
      <c r="C925" s="66"/>
      <c r="D925" s="66"/>
      <c r="G925" s="67"/>
      <c r="V925" s="67"/>
      <c r="W925" s="66"/>
    </row>
    <row r="926">
      <c r="A926" s="66"/>
      <c r="B926" s="66"/>
      <c r="C926" s="66"/>
      <c r="D926" s="66"/>
      <c r="G926" s="67"/>
      <c r="V926" s="67"/>
      <c r="W926" s="66"/>
    </row>
    <row r="927">
      <c r="A927" s="66"/>
      <c r="B927" s="66"/>
      <c r="C927" s="66"/>
      <c r="D927" s="66"/>
      <c r="G927" s="67"/>
      <c r="V927" s="67"/>
      <c r="W927" s="66"/>
    </row>
    <row r="928">
      <c r="A928" s="66"/>
      <c r="B928" s="66"/>
      <c r="C928" s="66"/>
      <c r="D928" s="66"/>
      <c r="G928" s="67"/>
      <c r="V928" s="67"/>
      <c r="W928" s="66"/>
    </row>
    <row r="929">
      <c r="A929" s="66"/>
      <c r="B929" s="66"/>
      <c r="C929" s="66"/>
      <c r="D929" s="66"/>
      <c r="G929" s="67"/>
      <c r="V929" s="67"/>
      <c r="W929" s="66"/>
    </row>
    <row r="930">
      <c r="A930" s="66"/>
      <c r="B930" s="66"/>
      <c r="C930" s="66"/>
      <c r="D930" s="66"/>
      <c r="G930" s="67"/>
      <c r="V930" s="67"/>
      <c r="W930" s="66"/>
    </row>
    <row r="931">
      <c r="A931" s="66"/>
      <c r="B931" s="66"/>
      <c r="C931" s="66"/>
      <c r="D931" s="66"/>
      <c r="G931" s="67"/>
      <c r="V931" s="67"/>
      <c r="W931" s="66"/>
    </row>
    <row r="932">
      <c r="A932" s="66"/>
      <c r="B932" s="66"/>
      <c r="C932" s="66"/>
      <c r="D932" s="66"/>
      <c r="G932" s="67"/>
      <c r="V932" s="67"/>
      <c r="W932" s="66"/>
    </row>
    <row r="933">
      <c r="A933" s="66"/>
      <c r="B933" s="66"/>
      <c r="C933" s="66"/>
      <c r="D933" s="66"/>
      <c r="G933" s="67"/>
      <c r="V933" s="67"/>
      <c r="W933" s="66"/>
    </row>
    <row r="934">
      <c r="A934" s="66"/>
      <c r="B934" s="66"/>
      <c r="C934" s="66"/>
      <c r="D934" s="66"/>
      <c r="G934" s="67"/>
      <c r="V934" s="67"/>
      <c r="W934" s="66"/>
    </row>
    <row r="935">
      <c r="A935" s="66"/>
      <c r="B935" s="66"/>
      <c r="C935" s="66"/>
      <c r="D935" s="66"/>
      <c r="G935" s="67"/>
      <c r="V935" s="67"/>
      <c r="W935" s="66"/>
    </row>
    <row r="936">
      <c r="A936" s="66"/>
      <c r="B936" s="66"/>
      <c r="C936" s="66"/>
      <c r="D936" s="66"/>
      <c r="G936" s="67"/>
      <c r="V936" s="67"/>
      <c r="W936" s="66"/>
    </row>
    <row r="937">
      <c r="A937" s="66"/>
      <c r="B937" s="66"/>
      <c r="C937" s="66"/>
      <c r="D937" s="66"/>
      <c r="G937" s="67"/>
      <c r="V937" s="67"/>
      <c r="W937" s="66"/>
    </row>
    <row r="938">
      <c r="A938" s="66"/>
      <c r="B938" s="66"/>
      <c r="C938" s="66"/>
      <c r="D938" s="66"/>
      <c r="G938" s="67"/>
      <c r="V938" s="67"/>
      <c r="W938" s="66"/>
    </row>
    <row r="939">
      <c r="A939" s="66"/>
      <c r="B939" s="66"/>
      <c r="C939" s="66"/>
      <c r="D939" s="66"/>
      <c r="G939" s="67"/>
      <c r="V939" s="67"/>
      <c r="W939" s="66"/>
    </row>
    <row r="940">
      <c r="A940" s="66"/>
      <c r="B940" s="66"/>
      <c r="C940" s="66"/>
      <c r="D940" s="66"/>
      <c r="G940" s="67"/>
      <c r="V940" s="67"/>
      <c r="W940" s="66"/>
    </row>
    <row r="941">
      <c r="A941" s="66"/>
      <c r="B941" s="66"/>
      <c r="C941" s="66"/>
      <c r="D941" s="66"/>
      <c r="G941" s="67"/>
      <c r="V941" s="67"/>
      <c r="W941" s="66"/>
    </row>
    <row r="942">
      <c r="A942" s="66"/>
      <c r="B942" s="66"/>
      <c r="C942" s="66"/>
      <c r="D942" s="66"/>
      <c r="G942" s="67"/>
      <c r="V942" s="67"/>
      <c r="W942" s="66"/>
    </row>
    <row r="943">
      <c r="A943" s="66"/>
      <c r="B943" s="66"/>
      <c r="C943" s="66"/>
      <c r="D943" s="66"/>
      <c r="G943" s="67"/>
      <c r="V943" s="67"/>
      <c r="W943" s="66"/>
    </row>
    <row r="944">
      <c r="A944" s="66"/>
      <c r="B944" s="66"/>
      <c r="C944" s="66"/>
      <c r="D944" s="66"/>
      <c r="G944" s="67"/>
      <c r="V944" s="67"/>
      <c r="W944" s="66"/>
    </row>
    <row r="945">
      <c r="A945" s="66"/>
      <c r="B945" s="66"/>
      <c r="C945" s="66"/>
      <c r="D945" s="66"/>
      <c r="G945" s="67"/>
      <c r="V945" s="67"/>
      <c r="W945" s="66"/>
    </row>
    <row r="946">
      <c r="A946" s="66"/>
      <c r="B946" s="66"/>
      <c r="C946" s="66"/>
      <c r="D946" s="66"/>
      <c r="G946" s="67"/>
      <c r="V946" s="67"/>
      <c r="W946" s="66"/>
    </row>
    <row r="947">
      <c r="A947" s="66"/>
      <c r="B947" s="66"/>
      <c r="C947" s="66"/>
      <c r="D947" s="66"/>
      <c r="G947" s="67"/>
      <c r="V947" s="67"/>
      <c r="W947" s="66"/>
    </row>
    <row r="948">
      <c r="A948" s="66"/>
      <c r="B948" s="66"/>
      <c r="C948" s="66"/>
      <c r="D948" s="66"/>
      <c r="G948" s="67"/>
      <c r="V948" s="67"/>
      <c r="W948" s="66"/>
    </row>
    <row r="949">
      <c r="A949" s="66"/>
      <c r="B949" s="66"/>
      <c r="C949" s="66"/>
      <c r="D949" s="66"/>
      <c r="G949" s="67"/>
      <c r="V949" s="67"/>
      <c r="W949" s="66"/>
    </row>
    <row r="950">
      <c r="A950" s="66"/>
      <c r="B950" s="66"/>
      <c r="C950" s="66"/>
      <c r="D950" s="66"/>
      <c r="G950" s="67"/>
      <c r="V950" s="67"/>
      <c r="W950" s="66"/>
    </row>
    <row r="951">
      <c r="A951" s="66"/>
      <c r="B951" s="66"/>
      <c r="C951" s="66"/>
      <c r="D951" s="66"/>
      <c r="G951" s="67"/>
      <c r="V951" s="67"/>
      <c r="W951" s="66"/>
    </row>
    <row r="952">
      <c r="A952" s="66"/>
      <c r="B952" s="66"/>
      <c r="C952" s="66"/>
      <c r="D952" s="66"/>
      <c r="G952" s="67"/>
      <c r="V952" s="67"/>
      <c r="W952" s="66"/>
    </row>
    <row r="953">
      <c r="A953" s="66"/>
      <c r="B953" s="66"/>
      <c r="C953" s="66"/>
      <c r="D953" s="66"/>
      <c r="G953" s="67"/>
      <c r="V953" s="67"/>
      <c r="W953" s="66"/>
    </row>
    <row r="954">
      <c r="A954" s="66"/>
      <c r="B954" s="66"/>
      <c r="C954" s="66"/>
      <c r="D954" s="66"/>
      <c r="G954" s="67"/>
      <c r="V954" s="67"/>
      <c r="W954" s="66"/>
    </row>
    <row r="955">
      <c r="A955" s="66"/>
      <c r="B955" s="66"/>
      <c r="C955" s="66"/>
      <c r="D955" s="66"/>
      <c r="G955" s="67"/>
      <c r="V955" s="67"/>
      <c r="W955" s="66"/>
    </row>
    <row r="956">
      <c r="A956" s="66"/>
      <c r="B956" s="66"/>
      <c r="C956" s="66"/>
      <c r="D956" s="66"/>
      <c r="G956" s="67"/>
      <c r="V956" s="67"/>
      <c r="W956" s="66"/>
    </row>
    <row r="957">
      <c r="A957" s="66"/>
      <c r="B957" s="66"/>
      <c r="C957" s="66"/>
      <c r="D957" s="66"/>
      <c r="G957" s="67"/>
      <c r="V957" s="67"/>
      <c r="W957" s="66"/>
    </row>
    <row r="958">
      <c r="A958" s="66"/>
      <c r="B958" s="66"/>
      <c r="C958" s="66"/>
      <c r="D958" s="66"/>
      <c r="G958" s="67"/>
      <c r="V958" s="67"/>
      <c r="W958" s="66"/>
    </row>
    <row r="959">
      <c r="A959" s="66"/>
      <c r="B959" s="66"/>
      <c r="C959" s="66"/>
      <c r="D959" s="66"/>
      <c r="G959" s="67"/>
      <c r="V959" s="67"/>
      <c r="W959" s="66"/>
    </row>
    <row r="960">
      <c r="A960" s="66"/>
      <c r="B960" s="66"/>
      <c r="C960" s="66"/>
      <c r="D960" s="66"/>
      <c r="G960" s="67"/>
      <c r="V960" s="67"/>
      <c r="W960" s="66"/>
    </row>
    <row r="961">
      <c r="A961" s="66"/>
      <c r="B961" s="66"/>
      <c r="C961" s="66"/>
      <c r="D961" s="66"/>
      <c r="G961" s="67"/>
      <c r="V961" s="67"/>
      <c r="W961" s="66"/>
    </row>
    <row r="962">
      <c r="A962" s="66"/>
      <c r="B962" s="66"/>
      <c r="C962" s="66"/>
      <c r="D962" s="66"/>
      <c r="G962" s="67"/>
      <c r="V962" s="67"/>
      <c r="W962" s="66"/>
    </row>
    <row r="963">
      <c r="A963" s="66"/>
      <c r="B963" s="66"/>
      <c r="C963" s="66"/>
      <c r="D963" s="66"/>
      <c r="G963" s="67"/>
      <c r="V963" s="67"/>
      <c r="W963" s="66"/>
    </row>
    <row r="964">
      <c r="A964" s="66"/>
      <c r="B964" s="66"/>
      <c r="C964" s="66"/>
      <c r="D964" s="66"/>
      <c r="G964" s="67"/>
      <c r="V964" s="67"/>
      <c r="W964" s="66"/>
    </row>
    <row r="965">
      <c r="A965" s="66"/>
      <c r="B965" s="66"/>
      <c r="C965" s="66"/>
      <c r="D965" s="66"/>
      <c r="G965" s="67"/>
      <c r="V965" s="67"/>
      <c r="W965" s="66"/>
    </row>
    <row r="966">
      <c r="A966" s="66"/>
      <c r="B966" s="66"/>
      <c r="C966" s="66"/>
      <c r="D966" s="66"/>
      <c r="G966" s="67"/>
      <c r="V966" s="67"/>
      <c r="W966" s="66"/>
    </row>
    <row r="967">
      <c r="A967" s="66"/>
      <c r="B967" s="66"/>
      <c r="C967" s="66"/>
      <c r="D967" s="66"/>
      <c r="G967" s="67"/>
      <c r="V967" s="67"/>
      <c r="W967" s="66"/>
    </row>
    <row r="968">
      <c r="A968" s="66"/>
      <c r="B968" s="66"/>
      <c r="C968" s="66"/>
      <c r="D968" s="66"/>
      <c r="G968" s="67"/>
      <c r="V968" s="67"/>
      <c r="W968" s="66"/>
    </row>
    <row r="969">
      <c r="A969" s="66"/>
      <c r="B969" s="66"/>
      <c r="C969" s="66"/>
      <c r="D969" s="66"/>
      <c r="G969" s="67"/>
      <c r="V969" s="67"/>
      <c r="W969" s="66"/>
    </row>
    <row r="970">
      <c r="A970" s="66"/>
      <c r="B970" s="66"/>
      <c r="C970" s="66"/>
      <c r="D970" s="66"/>
      <c r="G970" s="67"/>
      <c r="V970" s="67"/>
      <c r="W970" s="66"/>
    </row>
    <row r="971">
      <c r="A971" s="66"/>
      <c r="B971" s="66"/>
      <c r="C971" s="66"/>
      <c r="D971" s="66"/>
      <c r="G971" s="67"/>
      <c r="V971" s="67"/>
      <c r="W971" s="66"/>
    </row>
    <row r="972">
      <c r="A972" s="66"/>
      <c r="B972" s="66"/>
      <c r="C972" s="66"/>
      <c r="D972" s="66"/>
      <c r="G972" s="67"/>
      <c r="V972" s="67"/>
      <c r="W972" s="66"/>
    </row>
    <row r="973">
      <c r="A973" s="66"/>
      <c r="B973" s="66"/>
      <c r="C973" s="66"/>
      <c r="D973" s="66"/>
      <c r="G973" s="67"/>
      <c r="V973" s="67"/>
      <c r="W973" s="66"/>
    </row>
    <row r="974">
      <c r="A974" s="66"/>
      <c r="B974" s="66"/>
      <c r="C974" s="66"/>
      <c r="D974" s="66"/>
      <c r="G974" s="67"/>
      <c r="V974" s="67"/>
      <c r="W974" s="66"/>
    </row>
    <row r="975">
      <c r="A975" s="66"/>
      <c r="B975" s="66"/>
      <c r="C975" s="66"/>
      <c r="D975" s="66"/>
      <c r="G975" s="67"/>
      <c r="V975" s="67"/>
      <c r="W975" s="66"/>
    </row>
    <row r="976">
      <c r="A976" s="66"/>
      <c r="B976" s="66"/>
      <c r="C976" s="66"/>
      <c r="D976" s="66"/>
      <c r="G976" s="67"/>
      <c r="V976" s="67"/>
      <c r="W976" s="66"/>
    </row>
    <row r="977">
      <c r="A977" s="66"/>
      <c r="B977" s="66"/>
      <c r="C977" s="66"/>
      <c r="D977" s="66"/>
      <c r="G977" s="67"/>
      <c r="V977" s="67"/>
      <c r="W977" s="66"/>
    </row>
    <row r="978">
      <c r="A978" s="66"/>
      <c r="B978" s="66"/>
      <c r="C978" s="66"/>
      <c r="D978" s="66"/>
      <c r="G978" s="67"/>
      <c r="V978" s="67"/>
      <c r="W978" s="66"/>
    </row>
    <row r="979">
      <c r="A979" s="66"/>
      <c r="B979" s="66"/>
      <c r="C979" s="66"/>
      <c r="D979" s="66"/>
      <c r="G979" s="67"/>
      <c r="V979" s="67"/>
      <c r="W979" s="66"/>
    </row>
    <row r="980">
      <c r="A980" s="66"/>
      <c r="B980" s="66"/>
      <c r="C980" s="66"/>
      <c r="D980" s="66"/>
      <c r="G980" s="67"/>
      <c r="V980" s="67"/>
      <c r="W980" s="66"/>
    </row>
    <row r="981">
      <c r="A981" s="66"/>
      <c r="B981" s="66"/>
      <c r="C981" s="66"/>
      <c r="D981" s="66"/>
      <c r="G981" s="67"/>
      <c r="V981" s="67"/>
      <c r="W981" s="66"/>
    </row>
    <row r="982">
      <c r="A982" s="66"/>
      <c r="B982" s="66"/>
      <c r="C982" s="66"/>
      <c r="D982" s="66"/>
      <c r="G982" s="67"/>
      <c r="V982" s="67"/>
      <c r="W982" s="66"/>
    </row>
    <row r="983">
      <c r="A983" s="66"/>
      <c r="B983" s="66"/>
      <c r="C983" s="66"/>
      <c r="D983" s="66"/>
      <c r="G983" s="67"/>
      <c r="V983" s="67"/>
      <c r="W983" s="66"/>
    </row>
    <row r="984">
      <c r="A984" s="66"/>
      <c r="B984" s="66"/>
      <c r="C984" s="66"/>
      <c r="D984" s="66"/>
      <c r="G984" s="67"/>
      <c r="V984" s="67"/>
      <c r="W984" s="66"/>
    </row>
    <row r="985">
      <c r="A985" s="66"/>
      <c r="B985" s="66"/>
      <c r="C985" s="66"/>
      <c r="D985" s="66"/>
      <c r="G985" s="67"/>
      <c r="V985" s="67"/>
      <c r="W985" s="66"/>
    </row>
    <row r="986">
      <c r="A986" s="66"/>
      <c r="B986" s="66"/>
      <c r="C986" s="66"/>
      <c r="D986" s="66"/>
      <c r="G986" s="67"/>
      <c r="V986" s="67"/>
      <c r="W986" s="66"/>
    </row>
    <row r="987">
      <c r="A987" s="66"/>
      <c r="B987" s="66"/>
      <c r="C987" s="66"/>
      <c r="D987" s="66"/>
      <c r="G987" s="67"/>
      <c r="V987" s="67"/>
      <c r="W987" s="66"/>
    </row>
    <row r="988">
      <c r="A988" s="66"/>
      <c r="B988" s="66"/>
      <c r="C988" s="66"/>
      <c r="D988" s="66"/>
      <c r="G988" s="67"/>
      <c r="V988" s="67"/>
      <c r="W988" s="66"/>
    </row>
    <row r="989">
      <c r="A989" s="66"/>
      <c r="B989" s="66"/>
      <c r="C989" s="66"/>
      <c r="D989" s="66"/>
      <c r="G989" s="67"/>
      <c r="V989" s="67"/>
      <c r="W989" s="66"/>
    </row>
    <row r="990">
      <c r="A990" s="66"/>
      <c r="B990" s="66"/>
      <c r="C990" s="66"/>
      <c r="D990" s="66"/>
      <c r="G990" s="67"/>
      <c r="V990" s="67"/>
      <c r="W990" s="66"/>
    </row>
    <row r="991">
      <c r="A991" s="66"/>
      <c r="B991" s="66"/>
      <c r="C991" s="66"/>
      <c r="D991" s="66"/>
      <c r="G991" s="67"/>
      <c r="V991" s="67"/>
      <c r="W991" s="66"/>
    </row>
    <row r="992">
      <c r="A992" s="66"/>
      <c r="B992" s="66"/>
      <c r="C992" s="66"/>
      <c r="D992" s="66"/>
      <c r="G992" s="67"/>
      <c r="V992" s="67"/>
      <c r="W992" s="66"/>
    </row>
    <row r="993">
      <c r="A993" s="66"/>
      <c r="B993" s="66"/>
      <c r="C993" s="66"/>
      <c r="D993" s="66"/>
      <c r="G993" s="67"/>
      <c r="V993" s="67"/>
      <c r="W993" s="66"/>
    </row>
    <row r="994">
      <c r="A994" s="66"/>
      <c r="B994" s="66"/>
      <c r="C994" s="66"/>
      <c r="D994" s="66"/>
      <c r="G994" s="67"/>
      <c r="V994" s="67"/>
      <c r="W994" s="66"/>
    </row>
    <row r="995">
      <c r="A995" s="66"/>
      <c r="B995" s="66"/>
      <c r="C995" s="66"/>
      <c r="D995" s="66"/>
      <c r="G995" s="67"/>
      <c r="V995" s="67"/>
      <c r="W995" s="66"/>
    </row>
    <row r="996">
      <c r="A996" s="66"/>
      <c r="B996" s="66"/>
      <c r="C996" s="66"/>
      <c r="D996" s="66"/>
      <c r="G996" s="67"/>
      <c r="V996" s="67"/>
      <c r="W996" s="66"/>
    </row>
    <row r="997">
      <c r="A997" s="66"/>
      <c r="B997" s="66"/>
      <c r="C997" s="66"/>
      <c r="D997" s="66"/>
      <c r="G997" s="67"/>
      <c r="V997" s="67"/>
      <c r="W997" s="66"/>
    </row>
    <row r="998">
      <c r="A998" s="66"/>
      <c r="B998" s="66"/>
      <c r="C998" s="66"/>
      <c r="D998" s="66"/>
      <c r="G998" s="67"/>
      <c r="V998" s="67"/>
      <c r="W998" s="66"/>
    </row>
    <row r="999">
      <c r="A999" s="66"/>
      <c r="B999" s="66"/>
      <c r="C999" s="66"/>
      <c r="D999" s="66"/>
      <c r="G999" s="67"/>
      <c r="V999" s="67"/>
      <c r="W999" s="66"/>
    </row>
    <row r="1000">
      <c r="A1000" s="66"/>
      <c r="B1000" s="66"/>
      <c r="C1000" s="66"/>
      <c r="D1000" s="66"/>
      <c r="G1000" s="67"/>
      <c r="V1000" s="67"/>
      <c r="W1000" s="66"/>
    </row>
    <row r="1001">
      <c r="A1001" s="66"/>
      <c r="B1001" s="66"/>
      <c r="C1001" s="66"/>
      <c r="D1001" s="66"/>
      <c r="G1001" s="67"/>
      <c r="V1001" s="67"/>
      <c r="W1001" s="66"/>
    </row>
  </sheetData>
  <mergeCells count="4">
    <mergeCell ref="A1:D1"/>
    <mergeCell ref="F1:M1"/>
    <mergeCell ref="O1:T1"/>
    <mergeCell ref="V1:AB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15.0"/>
    <col customWidth="1" min="3" max="3" width="15.38"/>
    <col customWidth="1" min="4" max="4" width="174.75"/>
    <col customWidth="1" min="6" max="6" width="5.0"/>
    <col customWidth="1" min="7" max="7" width="15.63"/>
    <col customWidth="1" min="8" max="8" width="44.13"/>
    <col customWidth="1" min="15" max="15" width="14.75"/>
    <col customWidth="1" min="16" max="16" width="21.38"/>
    <col customWidth="1" min="17" max="17" width="104.75"/>
    <col customWidth="1" min="18" max="18" width="43.38"/>
    <col customWidth="1" min="22" max="22" width="5.0"/>
    <col customWidth="1" min="23" max="23" width="26.38"/>
    <col customWidth="1" min="24" max="24" width="117.25"/>
    <col customWidth="1" min="25" max="25" width="74.63"/>
    <col customWidth="1" min="26" max="26" width="12.13"/>
    <col customWidth="1" min="27" max="27" width="11.13"/>
  </cols>
  <sheetData>
    <row r="1">
      <c r="A1" s="1" t="s">
        <v>0</v>
      </c>
      <c r="B1" s="2"/>
      <c r="C1" s="2"/>
      <c r="D1" s="3"/>
      <c r="F1" s="4" t="s">
        <v>1</v>
      </c>
      <c r="G1" s="2"/>
      <c r="H1" s="2"/>
      <c r="I1" s="2"/>
      <c r="J1" s="2"/>
      <c r="K1" s="2"/>
      <c r="L1" s="2"/>
      <c r="M1" s="3"/>
      <c r="O1" s="5" t="s">
        <v>2</v>
      </c>
      <c r="P1" s="2"/>
      <c r="Q1" s="2"/>
      <c r="R1" s="2"/>
      <c r="S1" s="2"/>
      <c r="T1" s="3"/>
      <c r="V1" s="5" t="s">
        <v>3</v>
      </c>
      <c r="W1" s="2"/>
      <c r="X1" s="2"/>
      <c r="Y1" s="2"/>
      <c r="Z1" s="2"/>
      <c r="AA1" s="2"/>
      <c r="AB1" s="3"/>
    </row>
    <row r="2">
      <c r="A2" s="6" t="s">
        <v>4</v>
      </c>
      <c r="B2" s="6" t="s">
        <v>5</v>
      </c>
      <c r="C2" s="6" t="s">
        <v>6</v>
      </c>
      <c r="D2" s="6" t="s">
        <v>8</v>
      </c>
      <c r="F2" s="11" t="s">
        <v>4</v>
      </c>
      <c r="G2" s="101" t="s">
        <v>630</v>
      </c>
      <c r="H2" s="11" t="s">
        <v>11</v>
      </c>
      <c r="I2" s="11" t="s">
        <v>631</v>
      </c>
      <c r="J2" s="11" t="s">
        <v>632</v>
      </c>
      <c r="K2" s="11" t="s">
        <v>633</v>
      </c>
      <c r="L2" s="11" t="s">
        <v>634</v>
      </c>
      <c r="M2" s="11" t="s">
        <v>635</v>
      </c>
      <c r="O2" s="10" t="s">
        <v>17</v>
      </c>
      <c r="P2" s="10"/>
      <c r="Q2" s="10"/>
      <c r="R2" s="10"/>
      <c r="S2" s="12" t="s">
        <v>24</v>
      </c>
      <c r="T2" s="12" t="s">
        <v>25</v>
      </c>
      <c r="V2" s="10" t="s">
        <v>4</v>
      </c>
      <c r="W2" s="10" t="s">
        <v>26</v>
      </c>
      <c r="X2" s="10" t="s">
        <v>20</v>
      </c>
      <c r="Y2" s="10" t="s">
        <v>22</v>
      </c>
      <c r="Z2" s="12" t="s">
        <v>24</v>
      </c>
      <c r="AA2" s="12" t="s">
        <v>25</v>
      </c>
      <c r="AB2" s="12" t="s">
        <v>27</v>
      </c>
    </row>
    <row r="3">
      <c r="A3" s="13">
        <v>1.0</v>
      </c>
      <c r="B3" s="13">
        <v>2.0</v>
      </c>
      <c r="C3" s="13">
        <v>12.0</v>
      </c>
      <c r="D3" s="14" t="s">
        <v>636</v>
      </c>
      <c r="F3" s="15">
        <v>1.0</v>
      </c>
      <c r="G3" s="16">
        <v>2.0</v>
      </c>
      <c r="H3" s="15" t="s">
        <v>637</v>
      </c>
      <c r="I3" s="15">
        <v>2.0</v>
      </c>
      <c r="J3" s="15" t="s">
        <v>42</v>
      </c>
      <c r="K3" s="15" t="s">
        <v>42</v>
      </c>
      <c r="L3" s="15" t="s">
        <v>42</v>
      </c>
      <c r="M3" s="15" t="s">
        <v>42</v>
      </c>
      <c r="O3" s="17">
        <v>1.0</v>
      </c>
      <c r="P3" s="18" t="s">
        <v>117</v>
      </c>
      <c r="Q3" s="19" t="s">
        <v>638</v>
      </c>
      <c r="R3" s="20" t="s">
        <v>380</v>
      </c>
      <c r="S3" s="21">
        <v>30.0</v>
      </c>
      <c r="T3" s="21">
        <v>3.0</v>
      </c>
      <c r="V3" s="22">
        <v>1.0</v>
      </c>
      <c r="W3" s="24" t="s">
        <v>637</v>
      </c>
      <c r="X3" s="25" t="s">
        <v>639</v>
      </c>
      <c r="Y3" s="25" t="s">
        <v>640</v>
      </c>
      <c r="Z3" s="22">
        <v>12.0</v>
      </c>
      <c r="AA3" s="22">
        <v>2.0</v>
      </c>
    </row>
    <row r="4">
      <c r="A4" s="27">
        <v>2.0</v>
      </c>
      <c r="B4" s="28">
        <v>2.0</v>
      </c>
      <c r="C4" s="27">
        <v>12.0</v>
      </c>
      <c r="D4" s="28" t="s">
        <v>641</v>
      </c>
      <c r="F4" s="29">
        <v>2.0</v>
      </c>
      <c r="G4" s="30">
        <v>2.0</v>
      </c>
      <c r="H4" s="29" t="s">
        <v>642</v>
      </c>
      <c r="I4" s="29">
        <v>3.0</v>
      </c>
      <c r="J4" s="29" t="s">
        <v>42</v>
      </c>
      <c r="K4" s="29" t="s">
        <v>42</v>
      </c>
      <c r="L4" s="29" t="s">
        <v>42</v>
      </c>
      <c r="M4" s="29" t="s">
        <v>42</v>
      </c>
      <c r="O4" s="53">
        <v>1.0</v>
      </c>
      <c r="P4" s="32" t="s">
        <v>151</v>
      </c>
      <c r="Q4" s="33" t="s">
        <v>643</v>
      </c>
      <c r="R4" s="34" t="s">
        <v>644</v>
      </c>
      <c r="S4" s="35">
        <v>0.0</v>
      </c>
      <c r="T4" s="35">
        <v>0.0</v>
      </c>
      <c r="V4" s="39">
        <v>2.0</v>
      </c>
      <c r="W4" s="40" t="s">
        <v>642</v>
      </c>
      <c r="X4" s="41" t="s">
        <v>645</v>
      </c>
      <c r="Y4" s="41" t="s">
        <v>372</v>
      </c>
      <c r="Z4" s="39">
        <v>0.0</v>
      </c>
      <c r="AA4" s="39">
        <v>0.0</v>
      </c>
    </row>
    <row r="5">
      <c r="A5" s="13">
        <v>3.0</v>
      </c>
      <c r="B5" s="14">
        <v>3.0</v>
      </c>
      <c r="C5" s="13">
        <v>18.0</v>
      </c>
      <c r="D5" s="14" t="s">
        <v>646</v>
      </c>
      <c r="F5" s="15">
        <v>3.0</v>
      </c>
      <c r="G5" s="16">
        <v>2.0</v>
      </c>
      <c r="H5" s="15" t="s">
        <v>647</v>
      </c>
      <c r="I5" s="15">
        <v>4.0</v>
      </c>
      <c r="J5" s="15">
        <v>2.0</v>
      </c>
      <c r="K5" s="15" t="s">
        <v>42</v>
      </c>
      <c r="L5" s="15" t="s">
        <v>42</v>
      </c>
      <c r="M5" s="15" t="s">
        <v>42</v>
      </c>
      <c r="O5" s="53">
        <v>1.0</v>
      </c>
      <c r="P5" s="32" t="s">
        <v>648</v>
      </c>
      <c r="Q5" s="33" t="s">
        <v>649</v>
      </c>
      <c r="R5" s="34" t="s">
        <v>372</v>
      </c>
      <c r="S5" s="35">
        <v>0.0</v>
      </c>
      <c r="T5" s="35">
        <v>0.0</v>
      </c>
      <c r="V5" s="36">
        <v>3.0</v>
      </c>
      <c r="W5" s="37" t="s">
        <v>647</v>
      </c>
      <c r="X5" s="38" t="s">
        <v>650</v>
      </c>
      <c r="Y5" s="38" t="s">
        <v>651</v>
      </c>
      <c r="Z5" s="36">
        <v>18.0</v>
      </c>
      <c r="AA5" s="36">
        <v>3.0</v>
      </c>
    </row>
    <row r="6">
      <c r="A6" s="27">
        <v>4.0</v>
      </c>
      <c r="B6" s="28">
        <v>3.0</v>
      </c>
      <c r="C6" s="27">
        <v>18.0</v>
      </c>
      <c r="D6" s="28" t="s">
        <v>652</v>
      </c>
      <c r="F6" s="29">
        <v>4.0</v>
      </c>
      <c r="G6" s="30">
        <v>2.0</v>
      </c>
      <c r="H6" s="29" t="s">
        <v>76</v>
      </c>
      <c r="I6" s="29">
        <v>4.0</v>
      </c>
      <c r="J6" s="29">
        <v>2.0</v>
      </c>
      <c r="K6" s="29" t="s">
        <v>42</v>
      </c>
      <c r="L6" s="29" t="s">
        <v>42</v>
      </c>
      <c r="M6" s="29" t="s">
        <v>42</v>
      </c>
      <c r="O6" s="53">
        <v>2.0</v>
      </c>
      <c r="P6" s="32" t="s">
        <v>653</v>
      </c>
      <c r="Q6" s="33" t="s">
        <v>654</v>
      </c>
      <c r="R6" s="34" t="s">
        <v>372</v>
      </c>
      <c r="S6" s="35">
        <v>0.0</v>
      </c>
      <c r="T6" s="35">
        <v>0.0</v>
      </c>
      <c r="V6" s="39">
        <v>4.0</v>
      </c>
      <c r="W6" s="40" t="s">
        <v>76</v>
      </c>
      <c r="X6" s="41" t="s">
        <v>655</v>
      </c>
      <c r="Y6" s="41" t="s">
        <v>372</v>
      </c>
      <c r="Z6" s="39">
        <v>0.0</v>
      </c>
      <c r="AA6" s="39">
        <v>0.0</v>
      </c>
    </row>
    <row r="7">
      <c r="A7" s="13">
        <v>5.0</v>
      </c>
      <c r="B7" s="14">
        <v>4.0</v>
      </c>
      <c r="C7" s="13">
        <v>36.0</v>
      </c>
      <c r="D7" s="14" t="s">
        <v>656</v>
      </c>
      <c r="F7" s="15">
        <v>5.0</v>
      </c>
      <c r="G7" s="16">
        <v>3.0</v>
      </c>
      <c r="H7" s="15" t="s">
        <v>657</v>
      </c>
      <c r="I7" s="15">
        <v>4.0</v>
      </c>
      <c r="J7" s="15">
        <v>3.0</v>
      </c>
      <c r="K7" s="15" t="s">
        <v>42</v>
      </c>
      <c r="L7" s="15" t="s">
        <v>42</v>
      </c>
      <c r="M7" s="15" t="s">
        <v>42</v>
      </c>
      <c r="O7" s="53">
        <v>2.0</v>
      </c>
      <c r="P7" s="32" t="s">
        <v>658</v>
      </c>
      <c r="Q7" s="33" t="s">
        <v>659</v>
      </c>
      <c r="R7" s="34" t="s">
        <v>660</v>
      </c>
      <c r="S7" s="35">
        <v>16.0</v>
      </c>
      <c r="T7" s="35">
        <v>2.0</v>
      </c>
      <c r="V7" s="36">
        <v>5.0</v>
      </c>
      <c r="W7" s="37" t="s">
        <v>657</v>
      </c>
      <c r="X7" s="38" t="s">
        <v>661</v>
      </c>
      <c r="Y7" s="38" t="s">
        <v>662</v>
      </c>
      <c r="Z7" s="36">
        <v>24.0</v>
      </c>
      <c r="AA7" s="36">
        <v>4.0</v>
      </c>
    </row>
    <row r="8">
      <c r="A8" s="27">
        <v>6.0</v>
      </c>
      <c r="B8" s="28">
        <v>6.0</v>
      </c>
      <c r="C8" s="27">
        <v>42.0</v>
      </c>
      <c r="D8" s="28" t="s">
        <v>663</v>
      </c>
      <c r="F8" s="29">
        <v>6.0</v>
      </c>
      <c r="G8" s="30">
        <v>3.0</v>
      </c>
      <c r="H8" s="29" t="s">
        <v>664</v>
      </c>
      <c r="I8" s="29">
        <v>4.0</v>
      </c>
      <c r="J8" s="29">
        <v>3.0</v>
      </c>
      <c r="K8" s="29" t="s">
        <v>42</v>
      </c>
      <c r="L8" s="29" t="s">
        <v>42</v>
      </c>
      <c r="M8" s="29" t="s">
        <v>42</v>
      </c>
      <c r="O8" s="50">
        <v>2.0</v>
      </c>
      <c r="P8" s="45" t="s">
        <v>420</v>
      </c>
      <c r="Q8" s="46" t="s">
        <v>665</v>
      </c>
      <c r="R8" s="47" t="s">
        <v>372</v>
      </c>
      <c r="S8" s="48">
        <v>0.0</v>
      </c>
      <c r="T8" s="48">
        <v>0.0</v>
      </c>
      <c r="V8" s="36">
        <v>5.0</v>
      </c>
      <c r="W8" s="37" t="s">
        <v>666</v>
      </c>
      <c r="X8" s="38" t="s">
        <v>639</v>
      </c>
      <c r="Y8" s="38" t="s">
        <v>667</v>
      </c>
      <c r="Z8" s="36">
        <v>18.0</v>
      </c>
      <c r="AA8" s="36">
        <v>3.0</v>
      </c>
    </row>
    <row r="9">
      <c r="A9" s="13">
        <v>7.0</v>
      </c>
      <c r="B9" s="14">
        <v>8.0</v>
      </c>
      <c r="C9" s="13">
        <v>54.0</v>
      </c>
      <c r="D9" s="14" t="s">
        <v>668</v>
      </c>
      <c r="F9" s="15">
        <v>7.0</v>
      </c>
      <c r="G9" s="16">
        <v>3.0</v>
      </c>
      <c r="H9" s="15" t="s">
        <v>669</v>
      </c>
      <c r="I9" s="15">
        <v>4.0</v>
      </c>
      <c r="J9" s="15">
        <v>3.0</v>
      </c>
      <c r="K9" s="15">
        <v>2.0</v>
      </c>
      <c r="L9" s="15" t="s">
        <v>42</v>
      </c>
      <c r="M9" s="15" t="s">
        <v>42</v>
      </c>
      <c r="O9" s="50">
        <v>3.0</v>
      </c>
      <c r="P9" s="45" t="s">
        <v>670</v>
      </c>
      <c r="Q9" s="46" t="s">
        <v>671</v>
      </c>
      <c r="R9" s="47" t="s">
        <v>651</v>
      </c>
      <c r="S9" s="48">
        <v>18.0</v>
      </c>
      <c r="T9" s="48">
        <v>3.0</v>
      </c>
      <c r="V9" s="39">
        <v>6.0</v>
      </c>
      <c r="W9" s="40" t="s">
        <v>664</v>
      </c>
      <c r="X9" s="41" t="s">
        <v>672</v>
      </c>
      <c r="Y9" s="41" t="s">
        <v>673</v>
      </c>
      <c r="Z9" s="39">
        <v>12.0</v>
      </c>
      <c r="AA9" s="39">
        <v>2.0</v>
      </c>
    </row>
    <row r="10">
      <c r="A10" s="27">
        <v>8.0</v>
      </c>
      <c r="B10" s="28">
        <v>8.0</v>
      </c>
      <c r="C10" s="27">
        <v>54.0</v>
      </c>
      <c r="D10" s="28" t="s">
        <v>674</v>
      </c>
      <c r="F10" s="29">
        <v>8.0</v>
      </c>
      <c r="G10" s="30">
        <v>3.0</v>
      </c>
      <c r="H10" s="29" t="s">
        <v>76</v>
      </c>
      <c r="I10" s="29">
        <v>4.0</v>
      </c>
      <c r="J10" s="29">
        <v>3.0</v>
      </c>
      <c r="K10" s="29">
        <v>2.0</v>
      </c>
      <c r="L10" s="29" t="s">
        <v>42</v>
      </c>
      <c r="M10" s="29" t="s">
        <v>42</v>
      </c>
      <c r="O10" s="50">
        <v>3.0</v>
      </c>
      <c r="P10" s="45" t="s">
        <v>675</v>
      </c>
      <c r="Q10" s="46" t="s">
        <v>676</v>
      </c>
      <c r="R10" s="47" t="s">
        <v>372</v>
      </c>
      <c r="S10" s="48">
        <v>0.0</v>
      </c>
      <c r="T10" s="48">
        <v>0.0</v>
      </c>
      <c r="V10" s="36">
        <v>7.0</v>
      </c>
      <c r="W10" s="37" t="s">
        <v>669</v>
      </c>
      <c r="X10" s="38" t="s">
        <v>677</v>
      </c>
      <c r="Y10" s="38" t="s">
        <v>678</v>
      </c>
      <c r="Z10" s="36">
        <v>12.0</v>
      </c>
      <c r="AA10" s="36">
        <v>2.0</v>
      </c>
    </row>
    <row r="11">
      <c r="A11" s="13">
        <v>9.0</v>
      </c>
      <c r="B11" s="14">
        <v>10.0</v>
      </c>
      <c r="C11" s="13">
        <v>72.0</v>
      </c>
      <c r="D11" s="14" t="s">
        <v>679</v>
      </c>
      <c r="F11" s="15">
        <v>9.0</v>
      </c>
      <c r="G11" s="16">
        <v>4.0</v>
      </c>
      <c r="H11" s="15" t="s">
        <v>680</v>
      </c>
      <c r="I11" s="15">
        <v>4.0</v>
      </c>
      <c r="J11" s="15">
        <v>3.0</v>
      </c>
      <c r="K11" s="15">
        <v>3.0</v>
      </c>
      <c r="L11" s="15" t="s">
        <v>42</v>
      </c>
      <c r="M11" s="15" t="s">
        <v>42</v>
      </c>
      <c r="O11" s="50">
        <v>3.0</v>
      </c>
      <c r="P11" s="45" t="s">
        <v>681</v>
      </c>
      <c r="Q11" s="46" t="s">
        <v>682</v>
      </c>
      <c r="R11" s="47" t="s">
        <v>372</v>
      </c>
      <c r="S11" s="48">
        <v>0.0</v>
      </c>
      <c r="T11" s="48">
        <v>0.0</v>
      </c>
      <c r="V11" s="39">
        <v>9.0</v>
      </c>
      <c r="W11" s="40" t="s">
        <v>680</v>
      </c>
      <c r="X11" s="41" t="s">
        <v>683</v>
      </c>
      <c r="Y11" s="41" t="s">
        <v>651</v>
      </c>
      <c r="Z11" s="39">
        <v>18.0</v>
      </c>
      <c r="AA11" s="39">
        <v>3.0</v>
      </c>
    </row>
    <row r="12">
      <c r="A12" s="27">
        <v>10.0</v>
      </c>
      <c r="B12" s="28">
        <v>10.0</v>
      </c>
      <c r="C12" s="27">
        <v>72.0</v>
      </c>
      <c r="D12" s="28" t="s">
        <v>684</v>
      </c>
      <c r="F12" s="29">
        <v>10.0</v>
      </c>
      <c r="G12" s="30">
        <v>4.0</v>
      </c>
      <c r="H12" s="29" t="s">
        <v>685</v>
      </c>
      <c r="I12" s="29">
        <v>4.0</v>
      </c>
      <c r="J12" s="29">
        <v>3.0</v>
      </c>
      <c r="K12" s="29">
        <v>3.0</v>
      </c>
      <c r="L12" s="29" t="s">
        <v>42</v>
      </c>
      <c r="M12" s="29" t="s">
        <v>42</v>
      </c>
      <c r="O12" s="50">
        <v>4.0</v>
      </c>
      <c r="P12" s="45" t="s">
        <v>686</v>
      </c>
      <c r="Q12" s="46" t="s">
        <v>687</v>
      </c>
      <c r="R12" s="47" t="s">
        <v>372</v>
      </c>
      <c r="S12" s="48">
        <v>0.0</v>
      </c>
      <c r="T12" s="48">
        <v>0.0</v>
      </c>
      <c r="V12" s="39">
        <v>9.0</v>
      </c>
      <c r="W12" s="40" t="s">
        <v>688</v>
      </c>
      <c r="X12" s="41" t="s">
        <v>639</v>
      </c>
      <c r="Y12" s="41" t="s">
        <v>689</v>
      </c>
      <c r="Z12" s="39">
        <v>24.0</v>
      </c>
      <c r="AA12" s="39">
        <v>4.0</v>
      </c>
    </row>
    <row r="13">
      <c r="A13" s="13">
        <v>11.0</v>
      </c>
      <c r="B13" s="14">
        <v>11.0</v>
      </c>
      <c r="C13" s="13">
        <v>84.0</v>
      </c>
      <c r="D13" s="14" t="s">
        <v>690</v>
      </c>
      <c r="F13" s="15">
        <v>11.0</v>
      </c>
      <c r="G13" s="16">
        <v>4.0</v>
      </c>
      <c r="H13" s="15" t="s">
        <v>691</v>
      </c>
      <c r="I13" s="15">
        <v>4.0</v>
      </c>
      <c r="J13" s="15">
        <v>3.0</v>
      </c>
      <c r="K13" s="15">
        <v>3.0</v>
      </c>
      <c r="L13" s="15">
        <v>1.0</v>
      </c>
      <c r="M13" s="15" t="s">
        <v>42</v>
      </c>
      <c r="O13" s="50">
        <v>4.0</v>
      </c>
      <c r="P13" s="45" t="s">
        <v>692</v>
      </c>
      <c r="Q13" s="46" t="s">
        <v>693</v>
      </c>
      <c r="R13" s="47" t="s">
        <v>372</v>
      </c>
      <c r="S13" s="48">
        <v>0.0</v>
      </c>
      <c r="T13" s="48">
        <v>0.0</v>
      </c>
      <c r="V13" s="36">
        <v>10.0</v>
      </c>
      <c r="W13" s="37" t="s">
        <v>685</v>
      </c>
      <c r="X13" s="38" t="s">
        <v>694</v>
      </c>
      <c r="Y13" s="38" t="s">
        <v>372</v>
      </c>
      <c r="Z13" s="36">
        <v>0.0</v>
      </c>
      <c r="AA13" s="36">
        <v>0.0</v>
      </c>
    </row>
    <row r="14">
      <c r="A14" s="27">
        <v>12.0</v>
      </c>
      <c r="B14" s="28">
        <v>11.0</v>
      </c>
      <c r="C14" s="27">
        <v>84.0</v>
      </c>
      <c r="D14" s="28" t="s">
        <v>695</v>
      </c>
      <c r="F14" s="29">
        <v>12.0</v>
      </c>
      <c r="G14" s="30">
        <v>4.0</v>
      </c>
      <c r="H14" s="29" t="s">
        <v>76</v>
      </c>
      <c r="I14" s="29">
        <v>4.0</v>
      </c>
      <c r="J14" s="29">
        <v>3.0</v>
      </c>
      <c r="K14" s="29">
        <v>3.0</v>
      </c>
      <c r="L14" s="29">
        <v>1.0</v>
      </c>
      <c r="M14" s="29" t="s">
        <v>42</v>
      </c>
      <c r="O14" s="53">
        <v>5.0</v>
      </c>
      <c r="P14" s="32" t="s">
        <v>696</v>
      </c>
      <c r="Q14" s="33" t="s">
        <v>697</v>
      </c>
      <c r="R14" s="34" t="s">
        <v>372</v>
      </c>
      <c r="S14" s="35">
        <v>0.0</v>
      </c>
      <c r="T14" s="35">
        <v>0.0</v>
      </c>
      <c r="V14" s="39">
        <v>11.0</v>
      </c>
      <c r="W14" s="40" t="s">
        <v>691</v>
      </c>
      <c r="X14" s="41" t="s">
        <v>699</v>
      </c>
      <c r="Y14" s="41" t="s">
        <v>700</v>
      </c>
      <c r="Z14" s="39">
        <v>30.0</v>
      </c>
      <c r="AA14" s="39">
        <v>5.0</v>
      </c>
    </row>
    <row r="15">
      <c r="A15" s="13">
        <v>13.0</v>
      </c>
      <c r="B15" s="14">
        <v>12.0</v>
      </c>
      <c r="C15" s="13">
        <v>120.0</v>
      </c>
      <c r="D15" s="14" t="s">
        <v>701</v>
      </c>
      <c r="F15" s="15">
        <v>13.0</v>
      </c>
      <c r="G15" s="16">
        <v>5.0</v>
      </c>
      <c r="H15" s="15" t="s">
        <v>702</v>
      </c>
      <c r="I15" s="15">
        <v>4.0</v>
      </c>
      <c r="J15" s="15">
        <v>3.0</v>
      </c>
      <c r="K15" s="15">
        <v>3.0</v>
      </c>
      <c r="L15" s="15">
        <v>1.0</v>
      </c>
      <c r="M15" s="15" t="s">
        <v>42</v>
      </c>
      <c r="O15" s="53">
        <v>5.0</v>
      </c>
      <c r="P15" s="32" t="s">
        <v>704</v>
      </c>
      <c r="Q15" s="33" t="s">
        <v>705</v>
      </c>
      <c r="R15" s="34" t="s">
        <v>706</v>
      </c>
      <c r="S15" s="35">
        <v>60.0</v>
      </c>
      <c r="T15" s="35">
        <v>10.0</v>
      </c>
      <c r="V15" s="36">
        <v>13.0</v>
      </c>
      <c r="W15" s="37" t="s">
        <v>702</v>
      </c>
      <c r="X15" s="38" t="s">
        <v>708</v>
      </c>
      <c r="Y15" s="38" t="s">
        <v>710</v>
      </c>
      <c r="Z15" s="36">
        <v>36.0</v>
      </c>
      <c r="AA15" s="36">
        <v>6.0</v>
      </c>
    </row>
    <row r="16">
      <c r="A16" s="27">
        <v>14.0</v>
      </c>
      <c r="B16" s="28">
        <v>12.0</v>
      </c>
      <c r="C16" s="27">
        <v>120.0</v>
      </c>
      <c r="D16" s="28" t="s">
        <v>713</v>
      </c>
      <c r="F16" s="29">
        <v>14.0</v>
      </c>
      <c r="G16" s="30">
        <v>5.0</v>
      </c>
      <c r="H16" s="29" t="s">
        <v>715</v>
      </c>
      <c r="I16" s="29">
        <v>4.0</v>
      </c>
      <c r="J16" s="29">
        <v>3.0</v>
      </c>
      <c r="K16" s="29">
        <v>3.0</v>
      </c>
      <c r="L16" s="29">
        <v>2.0</v>
      </c>
      <c r="M16" s="29">
        <v>1.0</v>
      </c>
      <c r="O16" s="53"/>
      <c r="P16" s="32"/>
      <c r="Q16" s="33"/>
      <c r="R16" s="34"/>
      <c r="S16" s="35"/>
      <c r="T16" s="35"/>
      <c r="V16" s="36">
        <v>13.0</v>
      </c>
      <c r="W16" s="37" t="s">
        <v>718</v>
      </c>
      <c r="X16" s="38" t="s">
        <v>639</v>
      </c>
      <c r="Y16" s="38" t="s">
        <v>720</v>
      </c>
      <c r="Z16" s="36">
        <v>36.0</v>
      </c>
      <c r="AA16" s="36">
        <v>6.0</v>
      </c>
    </row>
    <row r="17">
      <c r="A17" s="13">
        <v>15.0</v>
      </c>
      <c r="B17" s="14">
        <v>15.0</v>
      </c>
      <c r="C17" s="13">
        <v>150.0</v>
      </c>
      <c r="D17" s="14" t="s">
        <v>725</v>
      </c>
      <c r="F17" s="15">
        <v>15.0</v>
      </c>
      <c r="G17" s="16">
        <v>5.0</v>
      </c>
      <c r="H17" s="15" t="s">
        <v>726</v>
      </c>
      <c r="I17" s="15">
        <v>4.0</v>
      </c>
      <c r="J17" s="15">
        <v>3.0</v>
      </c>
      <c r="K17" s="15">
        <v>3.0</v>
      </c>
      <c r="L17" s="15">
        <v>2.0</v>
      </c>
      <c r="M17" s="15">
        <v>1.0</v>
      </c>
      <c r="O17" s="53"/>
      <c r="P17" s="32"/>
      <c r="Q17" s="33"/>
      <c r="R17" s="34"/>
      <c r="S17" s="35"/>
      <c r="T17" s="35"/>
      <c r="V17" s="36">
        <v>13.0</v>
      </c>
      <c r="W17" s="37" t="s">
        <v>731</v>
      </c>
      <c r="X17" s="38" t="s">
        <v>732</v>
      </c>
      <c r="Y17" s="38" t="s">
        <v>710</v>
      </c>
      <c r="Z17" s="36">
        <v>36.0</v>
      </c>
      <c r="AA17" s="36">
        <v>6.0</v>
      </c>
    </row>
    <row r="18">
      <c r="A18" s="27">
        <v>16.0</v>
      </c>
      <c r="B18" s="28">
        <v>15.0</v>
      </c>
      <c r="C18" s="27">
        <v>150.0</v>
      </c>
      <c r="D18" s="28" t="s">
        <v>734</v>
      </c>
      <c r="F18" s="29">
        <v>16.0</v>
      </c>
      <c r="G18" s="30">
        <v>5.0</v>
      </c>
      <c r="H18" s="29" t="s">
        <v>76</v>
      </c>
      <c r="I18" s="29">
        <v>4.0</v>
      </c>
      <c r="J18" s="29">
        <v>3.0</v>
      </c>
      <c r="K18" s="29">
        <v>3.0</v>
      </c>
      <c r="L18" s="29">
        <v>2.0</v>
      </c>
      <c r="M18" s="29">
        <v>1.0</v>
      </c>
      <c r="O18" s="53"/>
      <c r="P18" s="32"/>
      <c r="Q18" s="33"/>
      <c r="R18" s="34"/>
      <c r="S18" s="35"/>
      <c r="T18" s="35"/>
      <c r="V18" s="39">
        <v>15.0</v>
      </c>
      <c r="W18" s="40" t="s">
        <v>715</v>
      </c>
      <c r="X18" s="41" t="s">
        <v>739</v>
      </c>
      <c r="Y18" s="41" t="s">
        <v>372</v>
      </c>
      <c r="Z18" s="39">
        <v>0.0</v>
      </c>
      <c r="AA18" s="39">
        <v>0.0</v>
      </c>
    </row>
    <row r="19">
      <c r="A19" s="13">
        <v>17.0</v>
      </c>
      <c r="B19" s="14">
        <v>18.0</v>
      </c>
      <c r="C19" s="14">
        <f>168+(5*6)</f>
        <v>198</v>
      </c>
      <c r="D19" s="14" t="s">
        <v>745</v>
      </c>
      <c r="F19" s="15">
        <v>17.0</v>
      </c>
      <c r="G19" s="16">
        <v>6.0</v>
      </c>
      <c r="H19" s="15" t="s">
        <v>747</v>
      </c>
      <c r="I19" s="15">
        <v>4.0</v>
      </c>
      <c r="J19" s="15">
        <v>3.0</v>
      </c>
      <c r="K19" s="15">
        <v>3.0</v>
      </c>
      <c r="L19" s="15">
        <v>3.0</v>
      </c>
      <c r="M19" s="15">
        <v>2.0</v>
      </c>
      <c r="O19" s="50"/>
      <c r="P19" s="45"/>
      <c r="Q19" s="46"/>
      <c r="R19" s="47"/>
      <c r="S19" s="48"/>
      <c r="T19" s="48"/>
      <c r="V19" s="39">
        <v>15.0</v>
      </c>
      <c r="W19" s="40" t="s">
        <v>751</v>
      </c>
      <c r="X19" s="41" t="s">
        <v>752</v>
      </c>
      <c r="Y19" s="41" t="s">
        <v>700</v>
      </c>
      <c r="Z19" s="39">
        <v>30.0</v>
      </c>
      <c r="AA19" s="39">
        <v>5.0</v>
      </c>
    </row>
    <row r="20">
      <c r="A20" s="27">
        <v>18.0</v>
      </c>
      <c r="B20" s="28">
        <v>18.0</v>
      </c>
      <c r="C20" s="28">
        <v>198.0</v>
      </c>
      <c r="D20" s="28" t="s">
        <v>755</v>
      </c>
      <c r="F20" s="29">
        <v>18.0</v>
      </c>
      <c r="G20" s="30">
        <v>6.0</v>
      </c>
      <c r="H20" s="29" t="s">
        <v>757</v>
      </c>
      <c r="I20" s="29">
        <v>4.0</v>
      </c>
      <c r="J20" s="29">
        <v>3.0</v>
      </c>
      <c r="K20" s="29">
        <v>3.0</v>
      </c>
      <c r="L20" s="29">
        <v>3.0</v>
      </c>
      <c r="M20" s="29">
        <v>2.0</v>
      </c>
      <c r="O20" s="50"/>
      <c r="P20" s="45"/>
      <c r="Q20" s="46"/>
      <c r="R20" s="47"/>
      <c r="S20" s="48"/>
      <c r="T20" s="48"/>
      <c r="V20" s="36">
        <v>17.0</v>
      </c>
      <c r="W20" s="37" t="s">
        <v>761</v>
      </c>
      <c r="X20" s="38" t="s">
        <v>639</v>
      </c>
      <c r="Y20" s="38" t="s">
        <v>762</v>
      </c>
      <c r="Z20" s="36">
        <v>48.0</v>
      </c>
      <c r="AA20" s="36">
        <v>8.0</v>
      </c>
    </row>
    <row r="21">
      <c r="A21" s="13">
        <v>19.0</v>
      </c>
      <c r="B21" s="14">
        <v>18.0</v>
      </c>
      <c r="C21" s="14">
        <v>198.0</v>
      </c>
      <c r="D21" s="14" t="s">
        <v>755</v>
      </c>
      <c r="F21" s="15">
        <v>19.0</v>
      </c>
      <c r="G21" s="16">
        <v>6.0</v>
      </c>
      <c r="H21" s="15" t="s">
        <v>76</v>
      </c>
      <c r="I21" s="15">
        <v>4.0</v>
      </c>
      <c r="J21" s="15">
        <v>3.0</v>
      </c>
      <c r="K21" s="15">
        <v>3.0</v>
      </c>
      <c r="L21" s="15">
        <v>3.0</v>
      </c>
      <c r="M21" s="15">
        <v>2.0</v>
      </c>
      <c r="O21" s="50"/>
      <c r="P21" s="45"/>
      <c r="Q21" s="46"/>
      <c r="R21" s="47"/>
      <c r="S21" s="48"/>
      <c r="T21" s="48"/>
      <c r="V21" s="39">
        <v>18.0</v>
      </c>
      <c r="W21" s="40" t="s">
        <v>747</v>
      </c>
      <c r="X21" s="41" t="s">
        <v>768</v>
      </c>
      <c r="Y21" s="41" t="s">
        <v>706</v>
      </c>
      <c r="Z21" s="39">
        <v>60.0</v>
      </c>
      <c r="AA21" s="39">
        <v>10.0</v>
      </c>
    </row>
    <row r="22">
      <c r="A22" s="60">
        <v>20.0</v>
      </c>
      <c r="B22" s="60">
        <v>22.0</v>
      </c>
      <c r="C22" s="60">
        <f>210+(8*6)</f>
        <v>258</v>
      </c>
      <c r="D22" s="61" t="s">
        <v>771</v>
      </c>
      <c r="F22" s="62">
        <v>20.0</v>
      </c>
      <c r="G22" s="63">
        <v>6.0</v>
      </c>
      <c r="H22" s="62" t="s">
        <v>774</v>
      </c>
      <c r="I22" s="62">
        <v>4.0</v>
      </c>
      <c r="J22" s="62">
        <v>3.0</v>
      </c>
      <c r="K22" s="62">
        <v>3.0</v>
      </c>
      <c r="L22" s="62">
        <v>3.0</v>
      </c>
      <c r="M22" s="62">
        <v>2.0</v>
      </c>
      <c r="O22" s="50"/>
      <c r="P22" s="45"/>
      <c r="Q22" s="46"/>
      <c r="R22" s="47"/>
      <c r="S22" s="48"/>
      <c r="T22" s="48"/>
      <c r="V22" s="36">
        <v>20.0</v>
      </c>
      <c r="W22" s="37" t="s">
        <v>774</v>
      </c>
      <c r="X22" s="38" t="s">
        <v>777</v>
      </c>
      <c r="Y22" s="38" t="s">
        <v>778</v>
      </c>
      <c r="Z22" s="36">
        <v>36.0</v>
      </c>
      <c r="AA22" s="36">
        <v>6.0</v>
      </c>
    </row>
    <row r="23">
      <c r="A23" s="66"/>
      <c r="B23" s="66"/>
      <c r="C23" s="66"/>
      <c r="D23" s="66"/>
      <c r="G23" s="67"/>
      <c r="O23" s="53"/>
      <c r="P23" s="32"/>
      <c r="Q23" s="33"/>
      <c r="R23" s="34"/>
      <c r="S23" s="35"/>
      <c r="T23" s="35"/>
      <c r="V23" s="36">
        <v>20.0</v>
      </c>
      <c r="W23" s="37" t="s">
        <v>782</v>
      </c>
      <c r="X23" s="38" t="s">
        <v>732</v>
      </c>
      <c r="Y23" s="38" t="s">
        <v>783</v>
      </c>
      <c r="Z23" s="36">
        <v>48.0</v>
      </c>
      <c r="AA23" s="36">
        <v>8.0</v>
      </c>
    </row>
    <row r="24">
      <c r="A24" s="66"/>
      <c r="B24" s="66"/>
      <c r="C24" s="66"/>
      <c r="D24" s="66"/>
      <c r="G24" s="67"/>
      <c r="O24" s="53"/>
      <c r="P24" s="32"/>
      <c r="Q24" s="33"/>
      <c r="R24" s="34"/>
      <c r="S24" s="35"/>
      <c r="T24" s="35"/>
      <c r="V24" s="102">
        <v>20.0</v>
      </c>
      <c r="W24" s="69" t="s">
        <v>785</v>
      </c>
      <c r="X24" s="79" t="s">
        <v>752</v>
      </c>
      <c r="Y24" s="79" t="s">
        <v>710</v>
      </c>
      <c r="Z24" s="102">
        <v>36.0</v>
      </c>
      <c r="AA24" s="102">
        <v>6.0</v>
      </c>
    </row>
    <row r="25">
      <c r="A25" s="66"/>
      <c r="B25" s="66"/>
      <c r="C25" s="66"/>
      <c r="D25" s="66"/>
      <c r="G25" s="67"/>
      <c r="O25" s="53"/>
      <c r="P25" s="32"/>
      <c r="Q25" s="33"/>
      <c r="R25" s="34"/>
      <c r="S25" s="35"/>
      <c r="T25" s="35"/>
      <c r="V25" s="39"/>
      <c r="W25" s="40"/>
      <c r="X25" s="41"/>
      <c r="Y25" s="41"/>
      <c r="Z25" s="39"/>
      <c r="AA25" s="39"/>
    </row>
    <row r="26">
      <c r="A26" s="66"/>
      <c r="B26" s="66"/>
      <c r="C26" s="66"/>
      <c r="D26" s="66"/>
      <c r="G26" s="67"/>
      <c r="O26" s="53"/>
      <c r="P26" s="32"/>
      <c r="Q26" s="33"/>
      <c r="R26" s="34"/>
      <c r="S26" s="35"/>
      <c r="T26" s="35"/>
      <c r="V26" s="39"/>
      <c r="W26" s="40"/>
      <c r="X26" s="41"/>
      <c r="Y26" s="41"/>
      <c r="Z26" s="39"/>
      <c r="AA26" s="39"/>
    </row>
    <row r="27">
      <c r="A27" s="66"/>
      <c r="B27" s="66"/>
      <c r="C27" s="66"/>
      <c r="D27" s="66"/>
      <c r="G27" s="67"/>
      <c r="O27" s="71"/>
      <c r="P27" s="72"/>
      <c r="Q27" s="73"/>
      <c r="R27" s="74"/>
      <c r="S27" s="75"/>
      <c r="T27" s="75"/>
      <c r="V27" s="22"/>
      <c r="W27" s="24"/>
      <c r="X27" s="25"/>
      <c r="Y27" s="25"/>
      <c r="Z27" s="22"/>
      <c r="AA27" s="22"/>
    </row>
    <row r="28">
      <c r="A28" s="66"/>
      <c r="B28" s="66"/>
      <c r="C28" s="66"/>
      <c r="D28" s="66"/>
      <c r="G28" s="67"/>
      <c r="P28" s="76"/>
      <c r="V28" s="36"/>
      <c r="W28" s="37"/>
      <c r="X28" s="38"/>
      <c r="Y28" s="38"/>
      <c r="Z28" s="36"/>
      <c r="AA28" s="36"/>
    </row>
    <row r="29">
      <c r="A29" s="66"/>
      <c r="B29" s="66"/>
      <c r="C29" s="66"/>
      <c r="D29" s="66"/>
      <c r="G29" s="67"/>
      <c r="P29" s="77"/>
      <c r="V29" s="39"/>
      <c r="W29" s="40"/>
      <c r="X29" s="41"/>
      <c r="Y29" s="41"/>
      <c r="Z29" s="39"/>
      <c r="AA29" s="39"/>
    </row>
    <row r="30">
      <c r="B30" s="66"/>
      <c r="C30" s="66"/>
      <c r="D30" s="66"/>
      <c r="G30" s="67"/>
      <c r="P30" s="76"/>
      <c r="V30" s="39"/>
      <c r="W30" s="40"/>
      <c r="X30" s="41"/>
      <c r="Y30" s="41"/>
      <c r="Z30" s="39"/>
      <c r="AA30" s="39"/>
    </row>
    <row r="31">
      <c r="A31" s="66"/>
      <c r="B31" s="66"/>
      <c r="C31" s="66"/>
      <c r="D31" s="66"/>
      <c r="G31" s="67"/>
      <c r="P31" s="77"/>
      <c r="V31" s="22"/>
      <c r="W31" s="24"/>
      <c r="X31" s="25"/>
      <c r="Y31" s="25"/>
      <c r="Z31" s="22"/>
      <c r="AA31" s="22"/>
    </row>
    <row r="32">
      <c r="A32" s="66"/>
      <c r="B32" s="66"/>
      <c r="C32" s="66"/>
      <c r="D32" s="66"/>
      <c r="G32" s="67"/>
      <c r="P32" s="76"/>
      <c r="V32" s="36"/>
      <c r="W32" s="37"/>
      <c r="X32" s="38"/>
      <c r="Y32" s="38"/>
      <c r="Z32" s="36"/>
      <c r="AA32" s="36"/>
    </row>
    <row r="33">
      <c r="A33" s="66"/>
      <c r="B33" s="66"/>
      <c r="C33" s="66"/>
      <c r="D33" s="81"/>
      <c r="G33" s="67"/>
      <c r="P33" s="76"/>
      <c r="R33" s="82"/>
      <c r="V33" s="39"/>
      <c r="W33" s="40"/>
      <c r="X33" s="41"/>
      <c r="Y33" s="41"/>
      <c r="Z33" s="39"/>
      <c r="AA33" s="39"/>
    </row>
    <row r="34">
      <c r="A34" s="66"/>
      <c r="B34" s="66"/>
      <c r="C34" s="66"/>
      <c r="D34" s="81"/>
      <c r="G34" s="67"/>
      <c r="P34" s="76"/>
      <c r="R34" s="82"/>
      <c r="V34" s="39"/>
      <c r="W34" s="40"/>
      <c r="X34" s="41"/>
      <c r="Y34" s="41"/>
      <c r="Z34" s="39"/>
      <c r="AA34" s="39"/>
    </row>
    <row r="35">
      <c r="A35" s="66"/>
      <c r="B35" s="66"/>
      <c r="C35" s="66"/>
      <c r="D35" s="66"/>
      <c r="G35" s="67"/>
      <c r="P35" s="76"/>
      <c r="R35" s="82"/>
      <c r="V35" s="22"/>
      <c r="W35" s="24"/>
      <c r="X35" s="25"/>
      <c r="Y35" s="25"/>
      <c r="Z35" s="22"/>
      <c r="AA35" s="22"/>
    </row>
    <row r="36">
      <c r="A36" s="66"/>
      <c r="B36" s="66"/>
      <c r="C36" s="66"/>
      <c r="D36" s="66"/>
      <c r="G36" s="67"/>
      <c r="P36" s="77"/>
      <c r="R36" s="82"/>
      <c r="V36" s="36"/>
      <c r="W36" s="37"/>
      <c r="X36" s="38"/>
      <c r="Y36" s="38"/>
      <c r="Z36" s="36"/>
      <c r="AA36" s="36"/>
    </row>
    <row r="37">
      <c r="A37" s="66"/>
      <c r="B37" s="66"/>
      <c r="C37" s="66"/>
      <c r="D37" s="66"/>
      <c r="G37" s="67"/>
      <c r="P37" s="76"/>
      <c r="R37" s="82"/>
      <c r="V37" s="39"/>
      <c r="W37" s="40"/>
      <c r="X37" s="41"/>
      <c r="Y37" s="41"/>
      <c r="Z37" s="39"/>
      <c r="AA37" s="39"/>
    </row>
    <row r="38">
      <c r="A38" s="66"/>
      <c r="B38" s="66"/>
      <c r="C38" s="66"/>
      <c r="D38" s="66"/>
      <c r="G38" s="67"/>
      <c r="P38" s="77"/>
      <c r="R38" s="82"/>
      <c r="V38" s="39"/>
      <c r="W38" s="40"/>
      <c r="X38" s="41"/>
      <c r="Y38" s="41"/>
      <c r="Z38" s="39"/>
      <c r="AA38" s="39"/>
    </row>
    <row r="39">
      <c r="A39" s="66"/>
      <c r="C39" s="66"/>
      <c r="D39" s="66"/>
      <c r="G39" s="67"/>
      <c r="R39" s="82"/>
      <c r="V39" s="22"/>
      <c r="W39" s="24"/>
      <c r="X39" s="25"/>
      <c r="Y39" s="25"/>
      <c r="Z39" s="22"/>
      <c r="AA39" s="22"/>
    </row>
    <row r="40">
      <c r="A40" s="66"/>
      <c r="B40" s="66"/>
      <c r="C40" s="66"/>
      <c r="D40" s="66"/>
      <c r="G40" s="67"/>
      <c r="P40" s="76"/>
      <c r="R40" s="82"/>
      <c r="V40" s="36"/>
      <c r="W40" s="37"/>
      <c r="X40" s="38"/>
      <c r="Y40" s="38"/>
      <c r="Z40" s="36"/>
      <c r="AA40" s="36"/>
    </row>
    <row r="41">
      <c r="A41" s="66"/>
      <c r="B41" s="66"/>
      <c r="C41" s="66"/>
      <c r="D41" s="66"/>
      <c r="G41" s="67"/>
      <c r="P41" s="76"/>
      <c r="R41" s="82"/>
      <c r="V41" s="39"/>
      <c r="W41" s="40"/>
      <c r="X41" s="41"/>
      <c r="Y41" s="41"/>
      <c r="Z41" s="39"/>
      <c r="AA41" s="39"/>
    </row>
    <row r="42">
      <c r="A42" s="66"/>
      <c r="B42" s="66"/>
      <c r="C42" s="66"/>
      <c r="D42" s="66"/>
      <c r="G42" s="67"/>
      <c r="P42" s="76"/>
      <c r="V42" s="39"/>
      <c r="W42" s="40"/>
      <c r="X42" s="41"/>
      <c r="Y42" s="41"/>
      <c r="Z42" s="39"/>
      <c r="AA42" s="39"/>
    </row>
    <row r="43">
      <c r="A43" s="66"/>
      <c r="B43" s="66"/>
      <c r="C43" s="66"/>
      <c r="D43" s="66"/>
      <c r="G43" s="67"/>
      <c r="P43" s="77"/>
    </row>
    <row r="44">
      <c r="A44" s="66"/>
      <c r="B44" s="66"/>
      <c r="C44" s="66"/>
      <c r="D44" s="66"/>
      <c r="G44" s="67"/>
      <c r="P44" s="76"/>
    </row>
    <row r="45">
      <c r="A45" s="66"/>
      <c r="C45" s="66"/>
      <c r="D45" s="66"/>
      <c r="G45" s="67"/>
      <c r="P45" s="77"/>
    </row>
    <row r="46">
      <c r="A46" s="66"/>
      <c r="B46" s="66"/>
      <c r="C46" s="66"/>
      <c r="D46" s="66"/>
      <c r="G46" s="67"/>
    </row>
    <row r="47">
      <c r="A47" s="66"/>
      <c r="B47" s="66"/>
      <c r="C47" s="66"/>
      <c r="D47" s="66"/>
      <c r="G47" s="67"/>
      <c r="P47" s="76"/>
    </row>
    <row r="48">
      <c r="A48" s="66"/>
      <c r="B48" s="66"/>
      <c r="C48" s="66"/>
      <c r="D48" s="66"/>
      <c r="G48" s="67"/>
      <c r="P48" s="76"/>
      <c r="V48" s="67"/>
    </row>
    <row r="49">
      <c r="A49" s="66"/>
      <c r="B49" s="66"/>
      <c r="C49" s="66"/>
      <c r="D49" s="66"/>
      <c r="G49" s="67"/>
      <c r="P49" s="76"/>
      <c r="V49" s="67"/>
    </row>
    <row r="50">
      <c r="A50" s="66"/>
      <c r="B50" s="66"/>
      <c r="C50" s="66"/>
      <c r="D50" s="66"/>
      <c r="G50" s="67"/>
      <c r="P50" s="77"/>
      <c r="V50" s="67"/>
    </row>
    <row r="51">
      <c r="A51" s="66"/>
      <c r="B51" s="66"/>
      <c r="C51" s="66"/>
      <c r="D51" s="66"/>
      <c r="G51" s="67"/>
      <c r="P51" s="76"/>
      <c r="V51" s="67"/>
    </row>
    <row r="52">
      <c r="A52" s="66"/>
      <c r="B52" s="66"/>
      <c r="C52" s="66"/>
      <c r="D52" s="66"/>
      <c r="G52" s="67"/>
      <c r="P52" s="77"/>
      <c r="V52" s="67"/>
    </row>
    <row r="53">
      <c r="A53" s="66"/>
      <c r="B53" s="66"/>
      <c r="C53" s="66"/>
      <c r="D53" s="66"/>
      <c r="G53" s="67"/>
      <c r="V53" s="67"/>
    </row>
    <row r="54">
      <c r="A54" s="66"/>
      <c r="B54" s="66"/>
      <c r="C54" s="66"/>
      <c r="D54" s="66"/>
      <c r="G54" s="67"/>
      <c r="P54" s="76"/>
      <c r="V54" s="67"/>
    </row>
    <row r="55">
      <c r="A55" s="66"/>
      <c r="B55" s="66"/>
      <c r="C55" s="66"/>
      <c r="D55" s="66"/>
      <c r="G55" s="67"/>
      <c r="P55" s="76"/>
      <c r="V55" s="67"/>
    </row>
    <row r="56">
      <c r="A56" s="66"/>
      <c r="B56" s="66"/>
      <c r="C56" s="66"/>
      <c r="D56" s="66"/>
      <c r="G56" s="67"/>
      <c r="P56" s="76"/>
      <c r="V56" s="67"/>
    </row>
    <row r="57">
      <c r="A57" s="66"/>
      <c r="B57" s="66"/>
      <c r="C57" s="66"/>
      <c r="D57" s="66"/>
      <c r="G57" s="67"/>
      <c r="P57" s="77"/>
      <c r="V57" s="67"/>
    </row>
    <row r="58">
      <c r="A58" s="66"/>
      <c r="B58" s="66"/>
      <c r="C58" s="66"/>
      <c r="D58" s="66"/>
      <c r="G58" s="67"/>
      <c r="P58" s="76"/>
      <c r="V58" s="67"/>
    </row>
    <row r="59">
      <c r="A59" s="66"/>
      <c r="B59" s="66"/>
      <c r="C59" s="66"/>
      <c r="D59" s="66"/>
      <c r="G59" s="67"/>
      <c r="P59" s="77"/>
      <c r="V59" s="67"/>
    </row>
    <row r="60">
      <c r="A60" s="66"/>
      <c r="B60" s="66"/>
      <c r="C60" s="66"/>
      <c r="D60" s="66"/>
      <c r="G60" s="67"/>
      <c r="V60" s="67"/>
    </row>
    <row r="61">
      <c r="A61" s="66"/>
      <c r="B61" s="66"/>
      <c r="C61" s="66"/>
      <c r="D61" s="66"/>
      <c r="G61" s="67"/>
      <c r="P61" s="76"/>
      <c r="V61" s="67"/>
    </row>
    <row r="62">
      <c r="A62" s="66"/>
      <c r="B62" s="66"/>
      <c r="C62" s="66"/>
      <c r="D62" s="66"/>
      <c r="G62" s="67"/>
      <c r="P62" s="76"/>
      <c r="V62" s="67"/>
    </row>
    <row r="63">
      <c r="A63" s="66"/>
      <c r="B63" s="66"/>
      <c r="C63" s="66"/>
      <c r="D63" s="66"/>
      <c r="G63" s="67"/>
      <c r="P63" s="76"/>
      <c r="V63" s="67"/>
    </row>
    <row r="64">
      <c r="A64" s="66"/>
      <c r="B64" s="66"/>
      <c r="C64" s="66"/>
      <c r="D64" s="66"/>
      <c r="G64" s="67"/>
      <c r="V64" s="67"/>
    </row>
    <row r="65">
      <c r="A65" s="66"/>
      <c r="B65" s="66"/>
      <c r="C65" s="66"/>
      <c r="D65" s="66"/>
      <c r="G65" s="67"/>
      <c r="V65" s="67"/>
    </row>
    <row r="66">
      <c r="A66" s="66"/>
      <c r="B66" s="66"/>
      <c r="C66" s="66"/>
      <c r="D66" s="66"/>
      <c r="G66" s="67"/>
      <c r="V66" s="67"/>
    </row>
    <row r="67">
      <c r="A67" s="66"/>
      <c r="B67" s="66"/>
      <c r="C67" s="66"/>
      <c r="D67" s="66"/>
      <c r="G67" s="67"/>
      <c r="V67" s="67"/>
    </row>
    <row r="68">
      <c r="A68" s="66"/>
      <c r="B68" s="66"/>
      <c r="C68" s="66"/>
      <c r="D68" s="66"/>
      <c r="G68" s="67"/>
      <c r="V68" s="67"/>
    </row>
    <row r="69">
      <c r="A69" s="66"/>
      <c r="B69" s="66"/>
      <c r="C69" s="66"/>
      <c r="D69" s="66"/>
      <c r="G69" s="67"/>
      <c r="V69" s="67"/>
    </row>
    <row r="70">
      <c r="A70" s="66"/>
      <c r="B70" s="66"/>
      <c r="C70" s="66"/>
      <c r="D70" s="66"/>
      <c r="G70" s="67"/>
      <c r="V70" s="67"/>
    </row>
    <row r="71">
      <c r="A71" s="66"/>
      <c r="B71" s="66"/>
      <c r="C71" s="66"/>
      <c r="D71" s="66"/>
      <c r="G71" s="67"/>
      <c r="V71" s="67"/>
    </row>
    <row r="72">
      <c r="A72" s="66"/>
      <c r="B72" s="66"/>
      <c r="C72" s="66"/>
      <c r="D72" s="66"/>
      <c r="G72" s="67"/>
      <c r="V72" s="67"/>
    </row>
    <row r="73">
      <c r="A73" s="66"/>
      <c r="B73" s="66"/>
      <c r="C73" s="66"/>
      <c r="D73" s="66"/>
      <c r="G73" s="67"/>
      <c r="V73" s="67"/>
    </row>
    <row r="74">
      <c r="A74" s="66"/>
      <c r="B74" s="66"/>
      <c r="C74" s="66"/>
      <c r="D74" s="66"/>
      <c r="G74" s="67"/>
      <c r="V74" s="67"/>
    </row>
    <row r="75">
      <c r="A75" s="66"/>
      <c r="B75" s="66"/>
      <c r="C75" s="66"/>
      <c r="D75" s="66"/>
      <c r="G75" s="67"/>
      <c r="V75" s="67"/>
    </row>
    <row r="76">
      <c r="A76" s="66"/>
      <c r="B76" s="66"/>
      <c r="C76" s="66"/>
      <c r="D76" s="66"/>
      <c r="G76" s="67"/>
      <c r="V76" s="67"/>
    </row>
    <row r="77">
      <c r="A77" s="66"/>
      <c r="B77" s="66"/>
      <c r="C77" s="66"/>
      <c r="D77" s="66"/>
      <c r="G77" s="67"/>
      <c r="V77" s="67"/>
    </row>
    <row r="78">
      <c r="A78" s="66"/>
      <c r="B78" s="66"/>
      <c r="C78" s="66"/>
      <c r="D78" s="66"/>
      <c r="G78" s="67"/>
      <c r="V78" s="67"/>
    </row>
    <row r="79">
      <c r="A79" s="66"/>
      <c r="B79" s="66"/>
      <c r="C79" s="66"/>
      <c r="D79" s="66"/>
      <c r="G79" s="67"/>
      <c r="V79" s="67"/>
    </row>
    <row r="80">
      <c r="A80" s="66"/>
      <c r="B80" s="66"/>
      <c r="C80" s="66"/>
      <c r="D80" s="66"/>
      <c r="G80" s="67"/>
      <c r="V80" s="67"/>
    </row>
    <row r="81">
      <c r="A81" s="66"/>
      <c r="B81" s="66"/>
      <c r="C81" s="66"/>
      <c r="D81" s="66"/>
      <c r="G81" s="67"/>
      <c r="V81" s="67"/>
    </row>
    <row r="82">
      <c r="A82" s="66"/>
      <c r="B82" s="66"/>
      <c r="C82" s="66"/>
      <c r="D82" s="66"/>
      <c r="G82" s="67"/>
      <c r="V82" s="67"/>
    </row>
    <row r="83">
      <c r="A83" s="66"/>
      <c r="B83" s="66"/>
      <c r="C83" s="66"/>
      <c r="D83" s="66"/>
      <c r="G83" s="67"/>
      <c r="V83" s="67"/>
    </row>
    <row r="84">
      <c r="A84" s="66"/>
      <c r="B84" s="66"/>
      <c r="C84" s="66"/>
      <c r="D84" s="66"/>
      <c r="G84" s="67"/>
      <c r="V84" s="67"/>
    </row>
    <row r="85">
      <c r="A85" s="66"/>
      <c r="B85" s="66"/>
      <c r="C85" s="66"/>
      <c r="D85" s="66"/>
      <c r="G85" s="67"/>
      <c r="V85" s="67"/>
    </row>
    <row r="86">
      <c r="A86" s="66"/>
      <c r="B86" s="66"/>
      <c r="C86" s="66"/>
      <c r="D86" s="66"/>
      <c r="G86" s="67"/>
      <c r="V86" s="67"/>
    </row>
    <row r="87">
      <c r="A87" s="66"/>
      <c r="B87" s="66"/>
      <c r="C87" s="66"/>
      <c r="D87" s="66"/>
      <c r="G87" s="67"/>
      <c r="V87" s="67"/>
    </row>
    <row r="88">
      <c r="A88" s="66"/>
      <c r="B88" s="66"/>
      <c r="C88" s="66"/>
      <c r="D88" s="66"/>
      <c r="G88" s="67"/>
      <c r="V88" s="67"/>
    </row>
    <row r="89">
      <c r="A89" s="66"/>
      <c r="B89" s="66"/>
      <c r="C89" s="66"/>
      <c r="D89" s="66"/>
      <c r="G89" s="67"/>
      <c r="V89" s="67"/>
    </row>
    <row r="90">
      <c r="A90" s="66"/>
      <c r="B90" s="66"/>
      <c r="C90" s="66"/>
      <c r="D90" s="66"/>
      <c r="G90" s="67"/>
      <c r="V90" s="67"/>
    </row>
    <row r="91">
      <c r="A91" s="66"/>
      <c r="B91" s="66"/>
      <c r="C91" s="66"/>
      <c r="D91" s="66"/>
      <c r="G91" s="67"/>
      <c r="V91" s="67"/>
    </row>
    <row r="92">
      <c r="A92" s="66"/>
      <c r="B92" s="66"/>
      <c r="C92" s="66"/>
      <c r="D92" s="66"/>
      <c r="G92" s="67"/>
      <c r="V92" s="67"/>
    </row>
    <row r="93">
      <c r="A93" s="66"/>
      <c r="B93" s="66"/>
      <c r="C93" s="66"/>
      <c r="D93" s="66"/>
      <c r="G93" s="67"/>
      <c r="V93" s="67"/>
    </row>
    <row r="94">
      <c r="A94" s="66"/>
      <c r="B94" s="66"/>
      <c r="C94" s="66"/>
      <c r="D94" s="66"/>
      <c r="G94" s="67"/>
      <c r="V94" s="67"/>
    </row>
    <row r="95">
      <c r="A95" s="66"/>
      <c r="B95" s="66"/>
      <c r="C95" s="66"/>
      <c r="D95" s="66"/>
      <c r="G95" s="67"/>
      <c r="V95" s="67"/>
    </row>
    <row r="96">
      <c r="A96" s="66"/>
      <c r="B96" s="66"/>
      <c r="C96" s="66"/>
      <c r="D96" s="66"/>
      <c r="G96" s="67"/>
      <c r="V96" s="67"/>
    </row>
    <row r="97">
      <c r="A97" s="66"/>
      <c r="B97" s="66"/>
      <c r="C97" s="66"/>
      <c r="D97" s="66"/>
      <c r="G97" s="67"/>
      <c r="V97" s="67"/>
    </row>
    <row r="98">
      <c r="A98" s="66"/>
      <c r="B98" s="66"/>
      <c r="C98" s="66"/>
      <c r="D98" s="66"/>
      <c r="G98" s="67"/>
      <c r="V98" s="67"/>
    </row>
    <row r="99">
      <c r="A99" s="66"/>
      <c r="B99" s="66"/>
      <c r="C99" s="66"/>
      <c r="D99" s="66"/>
      <c r="G99" s="67"/>
      <c r="V99" s="67"/>
    </row>
    <row r="100">
      <c r="A100" s="66"/>
      <c r="B100" s="66"/>
      <c r="C100" s="66"/>
      <c r="D100" s="66"/>
      <c r="G100" s="67"/>
      <c r="V100" s="67"/>
    </row>
    <row r="101">
      <c r="A101" s="66"/>
      <c r="B101" s="66"/>
      <c r="C101" s="66"/>
      <c r="D101" s="66"/>
      <c r="G101" s="67"/>
      <c r="V101" s="67"/>
    </row>
    <row r="102">
      <c r="A102" s="66"/>
      <c r="B102" s="66"/>
      <c r="C102" s="66"/>
      <c r="D102" s="66"/>
      <c r="G102" s="67"/>
      <c r="V102" s="67"/>
    </row>
    <row r="103">
      <c r="A103" s="66"/>
      <c r="B103" s="66"/>
      <c r="C103" s="66"/>
      <c r="D103" s="66"/>
      <c r="G103" s="67"/>
      <c r="V103" s="67"/>
    </row>
    <row r="104">
      <c r="A104" s="66"/>
      <c r="B104" s="66"/>
      <c r="C104" s="66"/>
      <c r="D104" s="66"/>
      <c r="G104" s="67"/>
      <c r="V104" s="67"/>
    </row>
    <row r="105">
      <c r="A105" s="66"/>
      <c r="B105" s="66"/>
      <c r="C105" s="66"/>
      <c r="D105" s="66"/>
      <c r="G105" s="67"/>
      <c r="V105" s="67"/>
    </row>
    <row r="106">
      <c r="A106" s="66"/>
      <c r="B106" s="66"/>
      <c r="C106" s="66"/>
      <c r="D106" s="66"/>
      <c r="G106" s="67"/>
      <c r="V106" s="67"/>
    </row>
    <row r="107">
      <c r="A107" s="66"/>
      <c r="B107" s="66"/>
      <c r="C107" s="66"/>
      <c r="D107" s="66"/>
      <c r="G107" s="67"/>
      <c r="V107" s="67"/>
    </row>
    <row r="108">
      <c r="A108" s="66"/>
      <c r="B108" s="66"/>
      <c r="C108" s="66"/>
      <c r="D108" s="66"/>
      <c r="G108" s="67"/>
      <c r="V108" s="67"/>
    </row>
    <row r="109">
      <c r="A109" s="66"/>
      <c r="B109" s="66"/>
      <c r="C109" s="66"/>
      <c r="D109" s="66"/>
      <c r="G109" s="67"/>
      <c r="V109" s="67"/>
    </row>
    <row r="110">
      <c r="A110" s="66"/>
      <c r="B110" s="66"/>
      <c r="C110" s="66"/>
      <c r="D110" s="66"/>
      <c r="G110" s="67"/>
      <c r="V110" s="67"/>
    </row>
    <row r="111">
      <c r="A111" s="66"/>
      <c r="B111" s="66"/>
      <c r="C111" s="66"/>
      <c r="D111" s="66"/>
      <c r="G111" s="67"/>
      <c r="V111" s="67"/>
    </row>
    <row r="112">
      <c r="A112" s="66"/>
      <c r="B112" s="66"/>
      <c r="C112" s="66"/>
      <c r="D112" s="66"/>
      <c r="G112" s="67"/>
      <c r="V112" s="67"/>
    </row>
    <row r="113">
      <c r="A113" s="66"/>
      <c r="B113" s="66"/>
      <c r="C113" s="66"/>
      <c r="D113" s="66"/>
      <c r="G113" s="67"/>
      <c r="V113" s="67"/>
    </row>
    <row r="114">
      <c r="A114" s="66"/>
      <c r="B114" s="66"/>
      <c r="C114" s="66"/>
      <c r="D114" s="66"/>
      <c r="G114" s="67"/>
      <c r="V114" s="67"/>
    </row>
    <row r="115">
      <c r="A115" s="66"/>
      <c r="B115" s="66"/>
      <c r="C115" s="66"/>
      <c r="D115" s="66"/>
      <c r="G115" s="67"/>
      <c r="V115" s="67"/>
    </row>
    <row r="116">
      <c r="A116" s="66"/>
      <c r="B116" s="66"/>
      <c r="C116" s="66"/>
      <c r="D116" s="66"/>
      <c r="G116" s="67"/>
      <c r="V116" s="67"/>
    </row>
    <row r="117">
      <c r="A117" s="66"/>
      <c r="B117" s="66"/>
      <c r="C117" s="66"/>
      <c r="D117" s="66"/>
      <c r="G117" s="67"/>
      <c r="V117" s="67"/>
    </row>
    <row r="118">
      <c r="A118" s="66"/>
      <c r="B118" s="66"/>
      <c r="C118" s="66"/>
      <c r="D118" s="66"/>
      <c r="G118" s="67"/>
      <c r="V118" s="67"/>
    </row>
    <row r="119">
      <c r="A119" s="66"/>
      <c r="B119" s="66"/>
      <c r="C119" s="66"/>
      <c r="D119" s="66"/>
      <c r="G119" s="67"/>
      <c r="V119" s="67"/>
    </row>
    <row r="120">
      <c r="A120" s="66"/>
      <c r="B120" s="66"/>
      <c r="C120" s="66"/>
      <c r="D120" s="66"/>
      <c r="G120" s="67"/>
      <c r="V120" s="67"/>
    </row>
    <row r="121">
      <c r="A121" s="66"/>
      <c r="B121" s="66"/>
      <c r="C121" s="66"/>
      <c r="D121" s="66"/>
      <c r="G121" s="67"/>
      <c r="V121" s="67"/>
    </row>
    <row r="122">
      <c r="A122" s="66"/>
      <c r="B122" s="66"/>
      <c r="C122" s="66"/>
      <c r="D122" s="66"/>
      <c r="G122" s="67"/>
      <c r="V122" s="67"/>
    </row>
    <row r="123">
      <c r="A123" s="66"/>
      <c r="B123" s="66"/>
      <c r="C123" s="66"/>
      <c r="D123" s="66"/>
      <c r="G123" s="67"/>
      <c r="V123" s="67"/>
    </row>
    <row r="124">
      <c r="A124" s="66"/>
      <c r="B124" s="66"/>
      <c r="C124" s="66"/>
      <c r="D124" s="66"/>
      <c r="G124" s="67"/>
      <c r="V124" s="67"/>
    </row>
    <row r="125">
      <c r="A125" s="66"/>
      <c r="B125" s="66"/>
      <c r="C125" s="66"/>
      <c r="D125" s="66"/>
      <c r="G125" s="67"/>
      <c r="V125" s="67"/>
    </row>
    <row r="126">
      <c r="A126" s="66"/>
      <c r="B126" s="66"/>
      <c r="C126" s="66"/>
      <c r="D126" s="66"/>
      <c r="G126" s="67"/>
      <c r="V126" s="67"/>
    </row>
    <row r="127">
      <c r="A127" s="66"/>
      <c r="B127" s="66"/>
      <c r="C127" s="66"/>
      <c r="D127" s="66"/>
      <c r="G127" s="67"/>
      <c r="V127" s="67"/>
    </row>
    <row r="128">
      <c r="A128" s="66"/>
      <c r="B128" s="66"/>
      <c r="C128" s="66"/>
      <c r="D128" s="66"/>
      <c r="G128" s="67"/>
      <c r="V128" s="67"/>
    </row>
    <row r="129">
      <c r="A129" s="66"/>
      <c r="B129" s="66"/>
      <c r="C129" s="66"/>
      <c r="D129" s="66"/>
      <c r="G129" s="67"/>
      <c r="V129" s="67"/>
    </row>
    <row r="130">
      <c r="A130" s="66"/>
      <c r="B130" s="66"/>
      <c r="C130" s="66"/>
      <c r="D130" s="66"/>
      <c r="G130" s="67"/>
      <c r="V130" s="67"/>
    </row>
    <row r="131">
      <c r="A131" s="66"/>
      <c r="B131" s="66"/>
      <c r="C131" s="66"/>
      <c r="D131" s="66"/>
      <c r="G131" s="67"/>
      <c r="V131" s="67"/>
    </row>
    <row r="132">
      <c r="A132" s="66"/>
      <c r="B132" s="66"/>
      <c r="C132" s="66"/>
      <c r="D132" s="66"/>
      <c r="G132" s="67"/>
      <c r="V132" s="67"/>
    </row>
    <row r="133">
      <c r="A133" s="66"/>
      <c r="B133" s="66"/>
      <c r="C133" s="66"/>
      <c r="D133" s="66"/>
      <c r="G133" s="67"/>
      <c r="V133" s="67"/>
    </row>
    <row r="134">
      <c r="A134" s="66"/>
      <c r="B134" s="66"/>
      <c r="C134" s="66"/>
      <c r="D134" s="66"/>
      <c r="G134" s="67"/>
      <c r="V134" s="67"/>
    </row>
    <row r="135">
      <c r="A135" s="66"/>
      <c r="B135" s="66"/>
      <c r="C135" s="66"/>
      <c r="D135" s="66"/>
      <c r="G135" s="67"/>
      <c r="V135" s="67"/>
    </row>
    <row r="136">
      <c r="A136" s="66"/>
      <c r="B136" s="66"/>
      <c r="C136" s="66"/>
      <c r="D136" s="66"/>
      <c r="G136" s="67"/>
      <c r="V136" s="67"/>
    </row>
    <row r="137">
      <c r="A137" s="66"/>
      <c r="B137" s="66"/>
      <c r="C137" s="66"/>
      <c r="D137" s="66"/>
      <c r="G137" s="67"/>
      <c r="V137" s="67"/>
    </row>
    <row r="138">
      <c r="A138" s="66"/>
      <c r="B138" s="66"/>
      <c r="C138" s="66"/>
      <c r="D138" s="66"/>
      <c r="G138" s="67"/>
      <c r="V138" s="67"/>
    </row>
    <row r="139">
      <c r="A139" s="66"/>
      <c r="B139" s="66"/>
      <c r="C139" s="66"/>
      <c r="D139" s="66"/>
      <c r="G139" s="67"/>
      <c r="V139" s="67"/>
    </row>
    <row r="140">
      <c r="A140" s="66"/>
      <c r="B140" s="66"/>
      <c r="C140" s="66"/>
      <c r="D140" s="66"/>
      <c r="G140" s="67"/>
      <c r="V140" s="67"/>
    </row>
    <row r="141">
      <c r="A141" s="66"/>
      <c r="B141" s="66"/>
      <c r="C141" s="66"/>
      <c r="D141" s="66"/>
      <c r="G141" s="67"/>
      <c r="V141" s="67"/>
    </row>
    <row r="142">
      <c r="A142" s="66"/>
      <c r="B142" s="66"/>
      <c r="C142" s="66"/>
      <c r="D142" s="66"/>
      <c r="G142" s="67"/>
      <c r="V142" s="67"/>
    </row>
    <row r="143">
      <c r="A143" s="66"/>
      <c r="B143" s="66"/>
      <c r="C143" s="66"/>
      <c r="D143" s="66"/>
      <c r="G143" s="67"/>
      <c r="V143" s="67"/>
    </row>
    <row r="144">
      <c r="A144" s="66"/>
      <c r="B144" s="66"/>
      <c r="C144" s="66"/>
      <c r="D144" s="66"/>
      <c r="G144" s="67"/>
      <c r="V144" s="67"/>
    </row>
    <row r="145">
      <c r="A145" s="66"/>
      <c r="B145" s="66"/>
      <c r="C145" s="66"/>
      <c r="D145" s="66"/>
      <c r="G145" s="67"/>
      <c r="V145" s="67"/>
    </row>
    <row r="146">
      <c r="A146" s="66"/>
      <c r="B146" s="66"/>
      <c r="C146" s="66"/>
      <c r="D146" s="66"/>
      <c r="G146" s="67"/>
      <c r="V146" s="67"/>
    </row>
    <row r="147">
      <c r="A147" s="66"/>
      <c r="B147" s="66"/>
      <c r="C147" s="66"/>
      <c r="D147" s="66"/>
      <c r="G147" s="67"/>
      <c r="V147" s="67"/>
    </row>
    <row r="148">
      <c r="A148" s="66"/>
      <c r="B148" s="66"/>
      <c r="C148" s="66"/>
      <c r="D148" s="66"/>
      <c r="G148" s="67"/>
      <c r="V148" s="67"/>
    </row>
    <row r="149">
      <c r="A149" s="66"/>
      <c r="B149" s="66"/>
      <c r="C149" s="66"/>
      <c r="D149" s="66"/>
      <c r="G149" s="67"/>
      <c r="V149" s="67"/>
    </row>
    <row r="150">
      <c r="A150" s="66"/>
      <c r="B150" s="66"/>
      <c r="C150" s="66"/>
      <c r="D150" s="66"/>
      <c r="G150" s="67"/>
      <c r="V150" s="67"/>
    </row>
    <row r="151">
      <c r="A151" s="66"/>
      <c r="B151" s="66"/>
      <c r="C151" s="66"/>
      <c r="D151" s="66"/>
      <c r="G151" s="67"/>
      <c r="V151" s="67"/>
    </row>
    <row r="152">
      <c r="A152" s="66"/>
      <c r="B152" s="66"/>
      <c r="C152" s="66"/>
      <c r="D152" s="66"/>
      <c r="G152" s="67"/>
      <c r="V152" s="67"/>
    </row>
    <row r="153">
      <c r="A153" s="66"/>
      <c r="B153" s="66"/>
      <c r="C153" s="66"/>
      <c r="D153" s="66"/>
      <c r="G153" s="67"/>
      <c r="V153" s="67"/>
    </row>
    <row r="154">
      <c r="A154" s="66"/>
      <c r="B154" s="66"/>
      <c r="C154" s="66"/>
      <c r="D154" s="66"/>
      <c r="G154" s="67"/>
      <c r="V154" s="67"/>
    </row>
    <row r="155">
      <c r="A155" s="66"/>
      <c r="B155" s="66"/>
      <c r="C155" s="66"/>
      <c r="D155" s="66"/>
      <c r="G155" s="67"/>
      <c r="V155" s="67"/>
    </row>
    <row r="156">
      <c r="A156" s="66"/>
      <c r="B156" s="66"/>
      <c r="C156" s="66"/>
      <c r="D156" s="66"/>
      <c r="G156" s="67"/>
      <c r="V156" s="67"/>
    </row>
    <row r="157">
      <c r="A157" s="66"/>
      <c r="B157" s="66"/>
      <c r="C157" s="66"/>
      <c r="D157" s="66"/>
      <c r="G157" s="67"/>
      <c r="V157" s="67"/>
    </row>
    <row r="158">
      <c r="A158" s="66"/>
      <c r="B158" s="66"/>
      <c r="C158" s="66"/>
      <c r="D158" s="66"/>
      <c r="G158" s="67"/>
      <c r="V158" s="67"/>
    </row>
    <row r="159">
      <c r="A159" s="66"/>
      <c r="B159" s="66"/>
      <c r="C159" s="66"/>
      <c r="D159" s="66"/>
      <c r="G159" s="67"/>
      <c r="V159" s="67"/>
    </row>
    <row r="160">
      <c r="A160" s="66"/>
      <c r="B160" s="66"/>
      <c r="C160" s="66"/>
      <c r="D160" s="66"/>
      <c r="G160" s="67"/>
      <c r="V160" s="67"/>
    </row>
    <row r="161">
      <c r="A161" s="66"/>
      <c r="B161" s="66"/>
      <c r="C161" s="66"/>
      <c r="D161" s="66"/>
      <c r="G161" s="67"/>
      <c r="V161" s="67"/>
    </row>
    <row r="162">
      <c r="A162" s="66"/>
      <c r="B162" s="66"/>
      <c r="C162" s="66"/>
      <c r="D162" s="66"/>
      <c r="G162" s="67"/>
      <c r="V162" s="67"/>
    </row>
    <row r="163">
      <c r="A163" s="66"/>
      <c r="B163" s="66"/>
      <c r="C163" s="66"/>
      <c r="D163" s="66"/>
      <c r="G163" s="67"/>
      <c r="V163" s="67"/>
    </row>
    <row r="164">
      <c r="A164" s="66"/>
      <c r="B164" s="66"/>
      <c r="C164" s="66"/>
      <c r="D164" s="66"/>
      <c r="G164" s="67"/>
      <c r="V164" s="67"/>
    </row>
    <row r="165">
      <c r="A165" s="66"/>
      <c r="B165" s="66"/>
      <c r="C165" s="66"/>
      <c r="D165" s="66"/>
      <c r="G165" s="67"/>
      <c r="V165" s="67"/>
    </row>
    <row r="166">
      <c r="A166" s="66"/>
      <c r="B166" s="66"/>
      <c r="C166" s="66"/>
      <c r="D166" s="66"/>
      <c r="G166" s="67"/>
      <c r="V166" s="67"/>
    </row>
    <row r="167">
      <c r="A167" s="66"/>
      <c r="B167" s="66"/>
      <c r="C167" s="66"/>
      <c r="D167" s="66"/>
      <c r="G167" s="67"/>
      <c r="V167" s="67"/>
    </row>
    <row r="168">
      <c r="A168" s="66"/>
      <c r="B168" s="66"/>
      <c r="C168" s="66"/>
      <c r="D168" s="66"/>
      <c r="G168" s="67"/>
      <c r="V168" s="67"/>
    </row>
    <row r="169">
      <c r="A169" s="66"/>
      <c r="B169" s="66"/>
      <c r="C169" s="66"/>
      <c r="D169" s="66"/>
      <c r="G169" s="67"/>
      <c r="V169" s="67"/>
    </row>
    <row r="170">
      <c r="A170" s="66"/>
      <c r="B170" s="66"/>
      <c r="C170" s="66"/>
      <c r="D170" s="66"/>
      <c r="G170" s="67"/>
      <c r="V170" s="67"/>
    </row>
    <row r="171">
      <c r="A171" s="66"/>
      <c r="B171" s="66"/>
      <c r="C171" s="66"/>
      <c r="D171" s="66"/>
      <c r="G171" s="67"/>
      <c r="V171" s="67"/>
    </row>
    <row r="172">
      <c r="A172" s="66"/>
      <c r="B172" s="66"/>
      <c r="C172" s="66"/>
      <c r="D172" s="66"/>
      <c r="G172" s="67"/>
      <c r="V172" s="67"/>
    </row>
    <row r="173">
      <c r="A173" s="66"/>
      <c r="B173" s="66"/>
      <c r="C173" s="66"/>
      <c r="D173" s="66"/>
      <c r="G173" s="67"/>
      <c r="V173" s="67"/>
    </row>
    <row r="174">
      <c r="A174" s="66"/>
      <c r="B174" s="66"/>
      <c r="C174" s="66"/>
      <c r="D174" s="66"/>
      <c r="G174" s="67"/>
      <c r="V174" s="67"/>
    </row>
    <row r="175">
      <c r="A175" s="66"/>
      <c r="B175" s="66"/>
      <c r="C175" s="66"/>
      <c r="D175" s="66"/>
      <c r="G175" s="67"/>
      <c r="V175" s="67"/>
    </row>
    <row r="176">
      <c r="A176" s="66"/>
      <c r="B176" s="66"/>
      <c r="C176" s="66"/>
      <c r="D176" s="66"/>
      <c r="G176" s="67"/>
      <c r="V176" s="67"/>
    </row>
    <row r="177">
      <c r="A177" s="66"/>
      <c r="B177" s="66"/>
      <c r="C177" s="66"/>
      <c r="D177" s="66"/>
      <c r="G177" s="67"/>
      <c r="V177" s="67"/>
    </row>
    <row r="178">
      <c r="A178" s="66"/>
      <c r="B178" s="66"/>
      <c r="C178" s="66"/>
      <c r="D178" s="66"/>
      <c r="G178" s="67"/>
      <c r="V178" s="67"/>
    </row>
    <row r="179">
      <c r="A179" s="66"/>
      <c r="B179" s="66"/>
      <c r="C179" s="66"/>
      <c r="D179" s="66"/>
      <c r="G179" s="67"/>
      <c r="V179" s="67"/>
    </row>
    <row r="180">
      <c r="A180" s="66"/>
      <c r="B180" s="66"/>
      <c r="C180" s="66"/>
      <c r="D180" s="66"/>
      <c r="G180" s="67"/>
      <c r="V180" s="67"/>
    </row>
    <row r="181">
      <c r="A181" s="66"/>
      <c r="B181" s="66"/>
      <c r="C181" s="66"/>
      <c r="D181" s="66"/>
      <c r="G181" s="67"/>
      <c r="V181" s="67"/>
    </row>
    <row r="182">
      <c r="A182" s="66"/>
      <c r="B182" s="66"/>
      <c r="C182" s="66"/>
      <c r="D182" s="66"/>
      <c r="G182" s="67"/>
      <c r="V182" s="67"/>
    </row>
    <row r="183">
      <c r="A183" s="66"/>
      <c r="B183" s="66"/>
      <c r="C183" s="66"/>
      <c r="D183" s="66"/>
      <c r="G183" s="67"/>
      <c r="V183" s="67"/>
    </row>
    <row r="184">
      <c r="A184" s="66"/>
      <c r="B184" s="66"/>
      <c r="C184" s="66"/>
      <c r="D184" s="66"/>
      <c r="G184" s="67"/>
      <c r="V184" s="67"/>
    </row>
    <row r="185">
      <c r="A185" s="66"/>
      <c r="B185" s="66"/>
      <c r="C185" s="66"/>
      <c r="D185" s="66"/>
      <c r="G185" s="67"/>
      <c r="V185" s="67"/>
    </row>
    <row r="186">
      <c r="A186" s="66"/>
      <c r="B186" s="66"/>
      <c r="C186" s="66"/>
      <c r="D186" s="66"/>
      <c r="G186" s="67"/>
      <c r="V186" s="67"/>
    </row>
    <row r="187">
      <c r="A187" s="66"/>
      <c r="B187" s="66"/>
      <c r="C187" s="66"/>
      <c r="D187" s="66"/>
      <c r="G187" s="67"/>
      <c r="V187" s="67"/>
    </row>
    <row r="188">
      <c r="A188" s="66"/>
      <c r="B188" s="66"/>
      <c r="C188" s="66"/>
      <c r="D188" s="66"/>
      <c r="G188" s="67"/>
      <c r="V188" s="67"/>
    </row>
    <row r="189">
      <c r="A189" s="66"/>
      <c r="B189" s="66"/>
      <c r="C189" s="66"/>
      <c r="D189" s="66"/>
      <c r="G189" s="67"/>
      <c r="V189" s="67"/>
    </row>
    <row r="190">
      <c r="A190" s="66"/>
      <c r="B190" s="66"/>
      <c r="C190" s="66"/>
      <c r="D190" s="66"/>
      <c r="G190" s="67"/>
      <c r="V190" s="67"/>
    </row>
    <row r="191">
      <c r="A191" s="66"/>
      <c r="B191" s="66"/>
      <c r="C191" s="66"/>
      <c r="D191" s="66"/>
      <c r="G191" s="67"/>
      <c r="V191" s="67"/>
    </row>
    <row r="192">
      <c r="A192" s="66"/>
      <c r="B192" s="66"/>
      <c r="C192" s="66"/>
      <c r="D192" s="66"/>
      <c r="G192" s="67"/>
      <c r="V192" s="67"/>
    </row>
    <row r="193">
      <c r="A193" s="66"/>
      <c r="B193" s="66"/>
      <c r="C193" s="66"/>
      <c r="D193" s="66"/>
      <c r="G193" s="67"/>
      <c r="V193" s="67"/>
    </row>
    <row r="194">
      <c r="A194" s="66"/>
      <c r="B194" s="66"/>
      <c r="C194" s="66"/>
      <c r="D194" s="66"/>
      <c r="G194" s="67"/>
      <c r="V194" s="67"/>
    </row>
    <row r="195">
      <c r="A195" s="66"/>
      <c r="B195" s="66"/>
      <c r="C195" s="66"/>
      <c r="D195" s="66"/>
      <c r="G195" s="67"/>
      <c r="V195" s="67"/>
    </row>
    <row r="196">
      <c r="A196" s="66"/>
      <c r="B196" s="66"/>
      <c r="C196" s="66"/>
      <c r="D196" s="66"/>
      <c r="G196" s="67"/>
      <c r="V196" s="67"/>
    </row>
    <row r="197">
      <c r="A197" s="66"/>
      <c r="B197" s="66"/>
      <c r="C197" s="66"/>
      <c r="D197" s="66"/>
      <c r="G197" s="67"/>
      <c r="V197" s="67"/>
    </row>
    <row r="198">
      <c r="A198" s="66"/>
      <c r="B198" s="66"/>
      <c r="C198" s="66"/>
      <c r="D198" s="66"/>
      <c r="G198" s="67"/>
      <c r="V198" s="67"/>
    </row>
    <row r="199">
      <c r="A199" s="66"/>
      <c r="B199" s="66"/>
      <c r="C199" s="66"/>
      <c r="D199" s="66"/>
      <c r="G199" s="67"/>
      <c r="V199" s="67"/>
    </row>
    <row r="200">
      <c r="A200" s="66"/>
      <c r="B200" s="66"/>
      <c r="C200" s="66"/>
      <c r="D200" s="66"/>
      <c r="G200" s="67"/>
      <c r="V200" s="67"/>
    </row>
    <row r="201">
      <c r="A201" s="66"/>
      <c r="B201" s="66"/>
      <c r="C201" s="66"/>
      <c r="D201" s="66"/>
      <c r="G201" s="67"/>
      <c r="V201" s="67"/>
    </row>
    <row r="202">
      <c r="A202" s="66"/>
      <c r="B202" s="66"/>
      <c r="C202" s="66"/>
      <c r="D202" s="66"/>
      <c r="G202" s="67"/>
      <c r="V202" s="67"/>
    </row>
    <row r="203">
      <c r="A203" s="66"/>
      <c r="B203" s="66"/>
      <c r="C203" s="66"/>
      <c r="D203" s="66"/>
      <c r="G203" s="67"/>
      <c r="V203" s="67"/>
    </row>
    <row r="204">
      <c r="A204" s="66"/>
      <c r="B204" s="66"/>
      <c r="C204" s="66"/>
      <c r="D204" s="66"/>
      <c r="G204" s="67"/>
      <c r="V204" s="67"/>
    </row>
    <row r="205">
      <c r="A205" s="66"/>
      <c r="B205" s="66"/>
      <c r="C205" s="66"/>
      <c r="D205" s="66"/>
      <c r="G205" s="67"/>
      <c r="V205" s="67"/>
    </row>
    <row r="206">
      <c r="A206" s="66"/>
      <c r="B206" s="66"/>
      <c r="C206" s="66"/>
      <c r="D206" s="66"/>
      <c r="G206" s="67"/>
      <c r="V206" s="67"/>
    </row>
    <row r="207">
      <c r="A207" s="66"/>
      <c r="B207" s="66"/>
      <c r="C207" s="66"/>
      <c r="D207" s="66"/>
      <c r="G207" s="67"/>
      <c r="V207" s="67"/>
    </row>
    <row r="208">
      <c r="A208" s="66"/>
      <c r="B208" s="66"/>
      <c r="C208" s="66"/>
      <c r="D208" s="66"/>
      <c r="G208" s="67"/>
      <c r="V208" s="67"/>
    </row>
    <row r="209">
      <c r="A209" s="66"/>
      <c r="B209" s="66"/>
      <c r="C209" s="66"/>
      <c r="D209" s="66"/>
      <c r="G209" s="67"/>
      <c r="V209" s="67"/>
    </row>
    <row r="210">
      <c r="A210" s="66"/>
      <c r="B210" s="66"/>
      <c r="C210" s="66"/>
      <c r="D210" s="66"/>
      <c r="G210" s="67"/>
      <c r="V210" s="67"/>
    </row>
    <row r="211">
      <c r="A211" s="66"/>
      <c r="B211" s="66"/>
      <c r="C211" s="66"/>
      <c r="D211" s="66"/>
      <c r="G211" s="67"/>
      <c r="V211" s="67"/>
    </row>
    <row r="212">
      <c r="A212" s="66"/>
      <c r="B212" s="66"/>
      <c r="C212" s="66"/>
      <c r="D212" s="66"/>
      <c r="G212" s="67"/>
      <c r="V212" s="67"/>
    </row>
    <row r="213">
      <c r="A213" s="66"/>
      <c r="B213" s="66"/>
      <c r="C213" s="66"/>
      <c r="D213" s="66"/>
      <c r="G213" s="67"/>
      <c r="V213" s="67"/>
    </row>
    <row r="214">
      <c r="A214" s="66"/>
      <c r="B214" s="66"/>
      <c r="C214" s="66"/>
      <c r="D214" s="66"/>
      <c r="G214" s="67"/>
      <c r="V214" s="67"/>
    </row>
    <row r="215">
      <c r="A215" s="66"/>
      <c r="B215" s="66"/>
      <c r="C215" s="66"/>
      <c r="D215" s="66"/>
      <c r="G215" s="67"/>
      <c r="V215" s="67"/>
    </row>
    <row r="216">
      <c r="A216" s="66"/>
      <c r="B216" s="66"/>
      <c r="C216" s="66"/>
      <c r="D216" s="66"/>
      <c r="G216" s="67"/>
      <c r="V216" s="67"/>
    </row>
    <row r="217">
      <c r="A217" s="66"/>
      <c r="B217" s="66"/>
      <c r="C217" s="66"/>
      <c r="D217" s="66"/>
      <c r="G217" s="67"/>
      <c r="V217" s="67"/>
    </row>
    <row r="218">
      <c r="A218" s="66"/>
      <c r="B218" s="66"/>
      <c r="C218" s="66"/>
      <c r="D218" s="66"/>
      <c r="G218" s="67"/>
      <c r="V218" s="67"/>
    </row>
    <row r="219">
      <c r="A219" s="66"/>
      <c r="B219" s="66"/>
      <c r="C219" s="66"/>
      <c r="D219" s="66"/>
      <c r="G219" s="67"/>
      <c r="V219" s="67"/>
    </row>
    <row r="220">
      <c r="A220" s="66"/>
      <c r="B220" s="66"/>
      <c r="C220" s="66"/>
      <c r="D220" s="66"/>
      <c r="G220" s="67"/>
      <c r="V220" s="67"/>
    </row>
    <row r="221">
      <c r="A221" s="66"/>
      <c r="B221" s="66"/>
      <c r="C221" s="66"/>
      <c r="D221" s="66"/>
      <c r="G221" s="67"/>
      <c r="V221" s="67"/>
    </row>
    <row r="222">
      <c r="A222" s="66"/>
      <c r="B222" s="66"/>
      <c r="C222" s="66"/>
      <c r="D222" s="66"/>
      <c r="G222" s="67"/>
      <c r="V222" s="67"/>
    </row>
    <row r="223">
      <c r="A223" s="66"/>
      <c r="B223" s="66"/>
      <c r="C223" s="66"/>
      <c r="D223" s="66"/>
      <c r="G223" s="67"/>
      <c r="V223" s="67"/>
    </row>
    <row r="224">
      <c r="A224" s="66"/>
      <c r="B224" s="66"/>
      <c r="C224" s="66"/>
      <c r="D224" s="66"/>
      <c r="G224" s="67"/>
      <c r="V224" s="67"/>
    </row>
    <row r="225">
      <c r="A225" s="66"/>
      <c r="B225" s="66"/>
      <c r="C225" s="66"/>
      <c r="D225" s="66"/>
      <c r="G225" s="67"/>
      <c r="V225" s="67"/>
    </row>
    <row r="226">
      <c r="A226" s="66"/>
      <c r="B226" s="66"/>
      <c r="C226" s="66"/>
      <c r="D226" s="66"/>
      <c r="G226" s="67"/>
      <c r="V226" s="67"/>
    </row>
    <row r="227">
      <c r="A227" s="66"/>
      <c r="B227" s="66"/>
      <c r="C227" s="66"/>
      <c r="D227" s="66"/>
      <c r="G227" s="67"/>
      <c r="V227" s="67"/>
    </row>
    <row r="228">
      <c r="A228" s="66"/>
      <c r="B228" s="66"/>
      <c r="C228" s="66"/>
      <c r="D228" s="66"/>
      <c r="G228" s="67"/>
      <c r="V228" s="67"/>
    </row>
    <row r="229">
      <c r="A229" s="66"/>
      <c r="B229" s="66"/>
      <c r="C229" s="66"/>
      <c r="D229" s="66"/>
      <c r="G229" s="67"/>
      <c r="V229" s="67"/>
    </row>
    <row r="230">
      <c r="A230" s="66"/>
      <c r="B230" s="66"/>
      <c r="C230" s="66"/>
      <c r="D230" s="66"/>
      <c r="G230" s="67"/>
      <c r="V230" s="67"/>
    </row>
    <row r="231">
      <c r="A231" s="66"/>
      <c r="B231" s="66"/>
      <c r="C231" s="66"/>
      <c r="D231" s="66"/>
      <c r="G231" s="67"/>
      <c r="V231" s="67"/>
    </row>
    <row r="232">
      <c r="A232" s="66"/>
      <c r="B232" s="66"/>
      <c r="C232" s="66"/>
      <c r="D232" s="66"/>
      <c r="G232" s="67"/>
      <c r="V232" s="67"/>
    </row>
    <row r="233">
      <c r="A233" s="66"/>
      <c r="B233" s="66"/>
      <c r="C233" s="66"/>
      <c r="D233" s="66"/>
      <c r="G233" s="67"/>
      <c r="V233" s="67"/>
    </row>
    <row r="234">
      <c r="A234" s="66"/>
      <c r="B234" s="66"/>
      <c r="C234" s="66"/>
      <c r="D234" s="66"/>
      <c r="G234" s="67"/>
      <c r="V234" s="67"/>
    </row>
    <row r="235">
      <c r="A235" s="66"/>
      <c r="B235" s="66"/>
      <c r="C235" s="66"/>
      <c r="D235" s="66"/>
      <c r="G235" s="67"/>
      <c r="V235" s="67"/>
    </row>
    <row r="236">
      <c r="A236" s="66"/>
      <c r="B236" s="66"/>
      <c r="C236" s="66"/>
      <c r="D236" s="66"/>
      <c r="G236" s="67"/>
      <c r="V236" s="67"/>
    </row>
    <row r="237">
      <c r="A237" s="66"/>
      <c r="B237" s="66"/>
      <c r="C237" s="66"/>
      <c r="D237" s="66"/>
      <c r="G237" s="67"/>
      <c r="V237" s="67"/>
    </row>
    <row r="238">
      <c r="A238" s="66"/>
      <c r="B238" s="66"/>
      <c r="C238" s="66"/>
      <c r="D238" s="66"/>
      <c r="G238" s="67"/>
      <c r="V238" s="67"/>
    </row>
    <row r="239">
      <c r="A239" s="66"/>
      <c r="B239" s="66"/>
      <c r="C239" s="66"/>
      <c r="D239" s="66"/>
      <c r="G239" s="67"/>
      <c r="V239" s="67"/>
    </row>
    <row r="240">
      <c r="A240" s="66"/>
      <c r="B240" s="66"/>
      <c r="C240" s="66"/>
      <c r="D240" s="66"/>
      <c r="G240" s="67"/>
      <c r="V240" s="67"/>
    </row>
    <row r="241">
      <c r="A241" s="66"/>
      <c r="B241" s="66"/>
      <c r="C241" s="66"/>
      <c r="D241" s="66"/>
      <c r="G241" s="67"/>
      <c r="V241" s="67"/>
    </row>
    <row r="242">
      <c r="A242" s="66"/>
      <c r="B242" s="66"/>
      <c r="C242" s="66"/>
      <c r="D242" s="66"/>
      <c r="G242" s="67"/>
      <c r="V242" s="67"/>
    </row>
    <row r="243">
      <c r="A243" s="66"/>
      <c r="B243" s="66"/>
      <c r="C243" s="66"/>
      <c r="D243" s="66"/>
      <c r="G243" s="67"/>
      <c r="V243" s="67"/>
    </row>
    <row r="244">
      <c r="A244" s="66"/>
      <c r="B244" s="66"/>
      <c r="C244" s="66"/>
      <c r="D244" s="66"/>
      <c r="G244" s="67"/>
      <c r="V244" s="67"/>
    </row>
    <row r="245">
      <c r="A245" s="66"/>
      <c r="B245" s="66"/>
      <c r="C245" s="66"/>
      <c r="D245" s="66"/>
      <c r="G245" s="67"/>
      <c r="V245" s="67"/>
    </row>
    <row r="246">
      <c r="A246" s="66"/>
      <c r="B246" s="66"/>
      <c r="C246" s="66"/>
      <c r="D246" s="66"/>
      <c r="G246" s="67"/>
      <c r="V246" s="67"/>
    </row>
    <row r="247">
      <c r="A247" s="66"/>
      <c r="B247" s="66"/>
      <c r="C247" s="66"/>
      <c r="D247" s="66"/>
      <c r="G247" s="67"/>
      <c r="V247" s="67"/>
    </row>
    <row r="248">
      <c r="A248" s="66"/>
      <c r="B248" s="66"/>
      <c r="C248" s="66"/>
      <c r="D248" s="66"/>
      <c r="G248" s="67"/>
      <c r="V248" s="67"/>
    </row>
    <row r="249">
      <c r="A249" s="66"/>
      <c r="B249" s="66"/>
      <c r="C249" s="66"/>
      <c r="D249" s="66"/>
      <c r="G249" s="67"/>
      <c r="V249" s="67"/>
    </row>
    <row r="250">
      <c r="A250" s="66"/>
      <c r="B250" s="66"/>
      <c r="C250" s="66"/>
      <c r="D250" s="66"/>
      <c r="G250" s="67"/>
      <c r="V250" s="67"/>
    </row>
    <row r="251">
      <c r="A251" s="66"/>
      <c r="B251" s="66"/>
      <c r="C251" s="66"/>
      <c r="D251" s="66"/>
      <c r="G251" s="67"/>
      <c r="V251" s="67"/>
    </row>
    <row r="252">
      <c r="A252" s="66"/>
      <c r="B252" s="66"/>
      <c r="C252" s="66"/>
      <c r="D252" s="66"/>
      <c r="G252" s="67"/>
      <c r="V252" s="67"/>
    </row>
    <row r="253">
      <c r="A253" s="66"/>
      <c r="B253" s="66"/>
      <c r="C253" s="66"/>
      <c r="D253" s="66"/>
      <c r="G253" s="67"/>
      <c r="V253" s="67"/>
    </row>
    <row r="254">
      <c r="A254" s="66"/>
      <c r="B254" s="66"/>
      <c r="C254" s="66"/>
      <c r="D254" s="66"/>
      <c r="G254" s="67"/>
      <c r="V254" s="67"/>
    </row>
    <row r="255">
      <c r="A255" s="66"/>
      <c r="B255" s="66"/>
      <c r="C255" s="66"/>
      <c r="D255" s="66"/>
      <c r="G255" s="67"/>
      <c r="V255" s="67"/>
    </row>
    <row r="256">
      <c r="A256" s="66"/>
      <c r="B256" s="66"/>
      <c r="C256" s="66"/>
      <c r="D256" s="66"/>
      <c r="G256" s="67"/>
      <c r="V256" s="67"/>
    </row>
    <row r="257">
      <c r="A257" s="66"/>
      <c r="B257" s="66"/>
      <c r="C257" s="66"/>
      <c r="D257" s="66"/>
      <c r="G257" s="67"/>
      <c r="V257" s="67"/>
    </row>
    <row r="258">
      <c r="A258" s="66"/>
      <c r="B258" s="66"/>
      <c r="C258" s="66"/>
      <c r="D258" s="66"/>
      <c r="G258" s="67"/>
      <c r="V258" s="67"/>
    </row>
    <row r="259">
      <c r="A259" s="66"/>
      <c r="B259" s="66"/>
      <c r="C259" s="66"/>
      <c r="D259" s="66"/>
      <c r="G259" s="67"/>
      <c r="V259" s="67"/>
    </row>
    <row r="260">
      <c r="A260" s="66"/>
      <c r="B260" s="66"/>
      <c r="C260" s="66"/>
      <c r="D260" s="66"/>
      <c r="G260" s="67"/>
      <c r="V260" s="67"/>
    </row>
    <row r="261">
      <c r="A261" s="66"/>
      <c r="B261" s="66"/>
      <c r="C261" s="66"/>
      <c r="D261" s="66"/>
      <c r="G261" s="67"/>
      <c r="V261" s="67"/>
    </row>
    <row r="262">
      <c r="A262" s="66"/>
      <c r="B262" s="66"/>
      <c r="C262" s="66"/>
      <c r="D262" s="66"/>
      <c r="G262" s="67"/>
      <c r="V262" s="67"/>
    </row>
    <row r="263">
      <c r="A263" s="66"/>
      <c r="B263" s="66"/>
      <c r="C263" s="66"/>
      <c r="D263" s="66"/>
      <c r="G263" s="67"/>
      <c r="V263" s="67"/>
    </row>
    <row r="264">
      <c r="A264" s="66"/>
      <c r="B264" s="66"/>
      <c r="C264" s="66"/>
      <c r="D264" s="66"/>
      <c r="G264" s="67"/>
      <c r="V264" s="67"/>
    </row>
    <row r="265">
      <c r="A265" s="66"/>
      <c r="B265" s="66"/>
      <c r="C265" s="66"/>
      <c r="D265" s="66"/>
      <c r="G265" s="67"/>
      <c r="V265" s="67"/>
    </row>
    <row r="266">
      <c r="A266" s="66"/>
      <c r="B266" s="66"/>
      <c r="C266" s="66"/>
      <c r="D266" s="66"/>
      <c r="G266" s="67"/>
      <c r="V266" s="67"/>
    </row>
    <row r="267">
      <c r="A267" s="66"/>
      <c r="B267" s="66"/>
      <c r="C267" s="66"/>
      <c r="D267" s="66"/>
      <c r="G267" s="67"/>
      <c r="V267" s="67"/>
    </row>
    <row r="268">
      <c r="A268" s="66"/>
      <c r="B268" s="66"/>
      <c r="C268" s="66"/>
      <c r="D268" s="66"/>
      <c r="G268" s="67"/>
      <c r="V268" s="67"/>
    </row>
    <row r="269">
      <c r="A269" s="66"/>
      <c r="B269" s="66"/>
      <c r="C269" s="66"/>
      <c r="D269" s="66"/>
      <c r="G269" s="67"/>
      <c r="V269" s="67"/>
    </row>
    <row r="270">
      <c r="A270" s="66"/>
      <c r="B270" s="66"/>
      <c r="C270" s="66"/>
      <c r="D270" s="66"/>
      <c r="G270" s="67"/>
      <c r="V270" s="67"/>
    </row>
    <row r="271">
      <c r="A271" s="66"/>
      <c r="B271" s="66"/>
      <c r="C271" s="66"/>
      <c r="D271" s="66"/>
      <c r="G271" s="67"/>
      <c r="V271" s="67"/>
    </row>
    <row r="272">
      <c r="A272" s="66"/>
      <c r="B272" s="66"/>
      <c r="C272" s="66"/>
      <c r="D272" s="66"/>
      <c r="G272" s="67"/>
      <c r="V272" s="67"/>
    </row>
    <row r="273">
      <c r="A273" s="66"/>
      <c r="B273" s="66"/>
      <c r="C273" s="66"/>
      <c r="D273" s="66"/>
      <c r="G273" s="67"/>
      <c r="V273" s="67"/>
    </row>
    <row r="274">
      <c r="A274" s="66"/>
      <c r="B274" s="66"/>
      <c r="C274" s="66"/>
      <c r="D274" s="66"/>
      <c r="G274" s="67"/>
      <c r="V274" s="67"/>
    </row>
    <row r="275">
      <c r="A275" s="66"/>
      <c r="B275" s="66"/>
      <c r="C275" s="66"/>
      <c r="D275" s="66"/>
      <c r="G275" s="67"/>
      <c r="V275" s="67"/>
    </row>
    <row r="276">
      <c r="A276" s="66"/>
      <c r="B276" s="66"/>
      <c r="C276" s="66"/>
      <c r="D276" s="66"/>
      <c r="G276" s="67"/>
      <c r="V276" s="67"/>
    </row>
    <row r="277">
      <c r="A277" s="66"/>
      <c r="B277" s="66"/>
      <c r="C277" s="66"/>
      <c r="D277" s="66"/>
      <c r="G277" s="67"/>
      <c r="V277" s="67"/>
    </row>
    <row r="278">
      <c r="A278" s="66"/>
      <c r="B278" s="66"/>
      <c r="C278" s="66"/>
      <c r="D278" s="66"/>
      <c r="G278" s="67"/>
      <c r="V278" s="67"/>
    </row>
    <row r="279">
      <c r="A279" s="66"/>
      <c r="B279" s="66"/>
      <c r="C279" s="66"/>
      <c r="D279" s="66"/>
      <c r="G279" s="67"/>
      <c r="V279" s="67"/>
    </row>
    <row r="280">
      <c r="A280" s="66"/>
      <c r="B280" s="66"/>
      <c r="C280" s="66"/>
      <c r="D280" s="66"/>
      <c r="G280" s="67"/>
      <c r="V280" s="67"/>
    </row>
    <row r="281">
      <c r="A281" s="66"/>
      <c r="B281" s="66"/>
      <c r="C281" s="66"/>
      <c r="D281" s="66"/>
      <c r="G281" s="67"/>
      <c r="V281" s="67"/>
    </row>
    <row r="282">
      <c r="A282" s="66"/>
      <c r="B282" s="66"/>
      <c r="C282" s="66"/>
      <c r="D282" s="66"/>
      <c r="G282" s="67"/>
      <c r="V282" s="67"/>
    </row>
    <row r="283">
      <c r="A283" s="66"/>
      <c r="B283" s="66"/>
      <c r="C283" s="66"/>
      <c r="D283" s="66"/>
      <c r="G283" s="67"/>
      <c r="V283" s="67"/>
    </row>
    <row r="284">
      <c r="A284" s="66"/>
      <c r="B284" s="66"/>
      <c r="C284" s="66"/>
      <c r="D284" s="66"/>
      <c r="G284" s="67"/>
      <c r="V284" s="67"/>
    </row>
    <row r="285">
      <c r="A285" s="66"/>
      <c r="B285" s="66"/>
      <c r="C285" s="66"/>
      <c r="D285" s="66"/>
      <c r="G285" s="67"/>
      <c r="V285" s="67"/>
    </row>
    <row r="286">
      <c r="A286" s="66"/>
      <c r="B286" s="66"/>
      <c r="C286" s="66"/>
      <c r="D286" s="66"/>
      <c r="G286" s="67"/>
      <c r="V286" s="67"/>
    </row>
    <row r="287">
      <c r="A287" s="66"/>
      <c r="B287" s="66"/>
      <c r="C287" s="66"/>
      <c r="D287" s="66"/>
      <c r="G287" s="67"/>
      <c r="V287" s="67"/>
    </row>
    <row r="288">
      <c r="A288" s="66"/>
      <c r="B288" s="66"/>
      <c r="C288" s="66"/>
      <c r="D288" s="66"/>
      <c r="G288" s="67"/>
      <c r="V288" s="67"/>
    </row>
    <row r="289">
      <c r="A289" s="66"/>
      <c r="B289" s="66"/>
      <c r="C289" s="66"/>
      <c r="D289" s="66"/>
      <c r="G289" s="67"/>
      <c r="V289" s="67"/>
    </row>
    <row r="290">
      <c r="A290" s="66"/>
      <c r="B290" s="66"/>
      <c r="C290" s="66"/>
      <c r="D290" s="66"/>
      <c r="G290" s="67"/>
      <c r="V290" s="67"/>
    </row>
    <row r="291">
      <c r="A291" s="66"/>
      <c r="B291" s="66"/>
      <c r="C291" s="66"/>
      <c r="D291" s="66"/>
      <c r="G291" s="67"/>
      <c r="V291" s="67"/>
    </row>
    <row r="292">
      <c r="A292" s="66"/>
      <c r="B292" s="66"/>
      <c r="C292" s="66"/>
      <c r="D292" s="66"/>
      <c r="G292" s="67"/>
      <c r="V292" s="67"/>
    </row>
    <row r="293">
      <c r="A293" s="66"/>
      <c r="B293" s="66"/>
      <c r="C293" s="66"/>
      <c r="D293" s="66"/>
      <c r="G293" s="67"/>
      <c r="V293" s="67"/>
    </row>
    <row r="294">
      <c r="A294" s="66"/>
      <c r="B294" s="66"/>
      <c r="C294" s="66"/>
      <c r="D294" s="66"/>
      <c r="G294" s="67"/>
      <c r="V294" s="67"/>
    </row>
    <row r="295">
      <c r="A295" s="66"/>
      <c r="B295" s="66"/>
      <c r="C295" s="66"/>
      <c r="D295" s="66"/>
      <c r="G295" s="67"/>
      <c r="V295" s="67"/>
    </row>
    <row r="296">
      <c r="A296" s="66"/>
      <c r="B296" s="66"/>
      <c r="C296" s="66"/>
      <c r="D296" s="66"/>
      <c r="G296" s="67"/>
      <c r="V296" s="67"/>
    </row>
    <row r="297">
      <c r="A297" s="66"/>
      <c r="B297" s="66"/>
      <c r="C297" s="66"/>
      <c r="D297" s="66"/>
      <c r="G297" s="67"/>
      <c r="V297" s="67"/>
    </row>
    <row r="298">
      <c r="A298" s="66"/>
      <c r="B298" s="66"/>
      <c r="C298" s="66"/>
      <c r="D298" s="66"/>
      <c r="G298" s="67"/>
      <c r="V298" s="67"/>
    </row>
    <row r="299">
      <c r="A299" s="66"/>
      <c r="B299" s="66"/>
      <c r="C299" s="66"/>
      <c r="D299" s="66"/>
      <c r="G299" s="67"/>
      <c r="V299" s="67"/>
    </row>
    <row r="300">
      <c r="A300" s="66"/>
      <c r="B300" s="66"/>
      <c r="C300" s="66"/>
      <c r="D300" s="66"/>
      <c r="G300" s="67"/>
      <c r="V300" s="67"/>
    </row>
    <row r="301">
      <c r="A301" s="66"/>
      <c r="B301" s="66"/>
      <c r="C301" s="66"/>
      <c r="D301" s="66"/>
      <c r="G301" s="67"/>
      <c r="V301" s="67"/>
    </row>
    <row r="302">
      <c r="A302" s="66"/>
      <c r="B302" s="66"/>
      <c r="C302" s="66"/>
      <c r="D302" s="66"/>
      <c r="G302" s="67"/>
      <c r="V302" s="67"/>
    </row>
    <row r="303">
      <c r="A303" s="66"/>
      <c r="B303" s="66"/>
      <c r="C303" s="66"/>
      <c r="D303" s="66"/>
      <c r="G303" s="67"/>
      <c r="V303" s="67"/>
    </row>
    <row r="304">
      <c r="A304" s="66"/>
      <c r="B304" s="66"/>
      <c r="C304" s="66"/>
      <c r="D304" s="66"/>
      <c r="G304" s="67"/>
      <c r="V304" s="67"/>
    </row>
    <row r="305">
      <c r="A305" s="66"/>
      <c r="B305" s="66"/>
      <c r="C305" s="66"/>
      <c r="D305" s="66"/>
      <c r="G305" s="67"/>
      <c r="V305" s="67"/>
    </row>
    <row r="306">
      <c r="A306" s="66"/>
      <c r="B306" s="66"/>
      <c r="C306" s="66"/>
      <c r="D306" s="66"/>
      <c r="G306" s="67"/>
      <c r="V306" s="67"/>
    </row>
    <row r="307">
      <c r="A307" s="66"/>
      <c r="B307" s="66"/>
      <c r="C307" s="66"/>
      <c r="D307" s="66"/>
      <c r="G307" s="67"/>
      <c r="V307" s="67"/>
    </row>
    <row r="308">
      <c r="A308" s="66"/>
      <c r="B308" s="66"/>
      <c r="C308" s="66"/>
      <c r="D308" s="66"/>
      <c r="G308" s="67"/>
      <c r="V308" s="67"/>
    </row>
    <row r="309">
      <c r="A309" s="66"/>
      <c r="B309" s="66"/>
      <c r="C309" s="66"/>
      <c r="D309" s="66"/>
      <c r="G309" s="67"/>
      <c r="V309" s="67"/>
    </row>
    <row r="310">
      <c r="A310" s="66"/>
      <c r="B310" s="66"/>
      <c r="C310" s="66"/>
      <c r="D310" s="66"/>
      <c r="G310" s="67"/>
      <c r="V310" s="67"/>
    </row>
    <row r="311">
      <c r="A311" s="66"/>
      <c r="B311" s="66"/>
      <c r="C311" s="66"/>
      <c r="D311" s="66"/>
      <c r="G311" s="67"/>
      <c r="V311" s="67"/>
    </row>
    <row r="312">
      <c r="A312" s="66"/>
      <c r="B312" s="66"/>
      <c r="C312" s="66"/>
      <c r="D312" s="66"/>
      <c r="G312" s="67"/>
      <c r="V312" s="67"/>
    </row>
    <row r="313">
      <c r="A313" s="66"/>
      <c r="B313" s="66"/>
      <c r="C313" s="66"/>
      <c r="D313" s="66"/>
      <c r="G313" s="67"/>
      <c r="V313" s="67"/>
    </row>
    <row r="314">
      <c r="A314" s="66"/>
      <c r="B314" s="66"/>
      <c r="C314" s="66"/>
      <c r="D314" s="66"/>
      <c r="G314" s="67"/>
      <c r="V314" s="67"/>
    </row>
    <row r="315">
      <c r="A315" s="66"/>
      <c r="B315" s="66"/>
      <c r="C315" s="66"/>
      <c r="D315" s="66"/>
      <c r="G315" s="67"/>
      <c r="V315" s="67"/>
    </row>
    <row r="316">
      <c r="A316" s="66"/>
      <c r="B316" s="66"/>
      <c r="C316" s="66"/>
      <c r="D316" s="66"/>
      <c r="G316" s="67"/>
      <c r="V316" s="67"/>
    </row>
    <row r="317">
      <c r="A317" s="66"/>
      <c r="B317" s="66"/>
      <c r="C317" s="66"/>
      <c r="D317" s="66"/>
      <c r="G317" s="67"/>
      <c r="V317" s="67"/>
    </row>
    <row r="318">
      <c r="A318" s="66"/>
      <c r="B318" s="66"/>
      <c r="C318" s="66"/>
      <c r="D318" s="66"/>
      <c r="G318" s="67"/>
      <c r="V318" s="67"/>
    </row>
    <row r="319">
      <c r="A319" s="66"/>
      <c r="B319" s="66"/>
      <c r="C319" s="66"/>
      <c r="D319" s="66"/>
      <c r="G319" s="67"/>
      <c r="V319" s="67"/>
    </row>
    <row r="320">
      <c r="A320" s="66"/>
      <c r="B320" s="66"/>
      <c r="C320" s="66"/>
      <c r="D320" s="66"/>
      <c r="G320" s="67"/>
      <c r="V320" s="67"/>
    </row>
    <row r="321">
      <c r="A321" s="66"/>
      <c r="B321" s="66"/>
      <c r="C321" s="66"/>
      <c r="D321" s="66"/>
      <c r="G321" s="67"/>
      <c r="V321" s="67"/>
    </row>
    <row r="322">
      <c r="A322" s="66"/>
      <c r="B322" s="66"/>
      <c r="C322" s="66"/>
      <c r="D322" s="66"/>
      <c r="G322" s="67"/>
      <c r="V322" s="67"/>
    </row>
    <row r="323">
      <c r="A323" s="66"/>
      <c r="B323" s="66"/>
      <c r="C323" s="66"/>
      <c r="D323" s="66"/>
      <c r="G323" s="67"/>
      <c r="V323" s="67"/>
    </row>
    <row r="324">
      <c r="A324" s="66"/>
      <c r="B324" s="66"/>
      <c r="C324" s="66"/>
      <c r="D324" s="66"/>
      <c r="G324" s="67"/>
      <c r="V324" s="67"/>
    </row>
    <row r="325">
      <c r="A325" s="66"/>
      <c r="B325" s="66"/>
      <c r="C325" s="66"/>
      <c r="D325" s="66"/>
      <c r="G325" s="67"/>
      <c r="V325" s="67"/>
    </row>
    <row r="326">
      <c r="A326" s="66"/>
      <c r="B326" s="66"/>
      <c r="C326" s="66"/>
      <c r="D326" s="66"/>
      <c r="G326" s="67"/>
      <c r="V326" s="67"/>
    </row>
    <row r="327">
      <c r="A327" s="66"/>
      <c r="B327" s="66"/>
      <c r="C327" s="66"/>
      <c r="D327" s="66"/>
      <c r="G327" s="67"/>
      <c r="V327" s="67"/>
    </row>
    <row r="328">
      <c r="A328" s="66"/>
      <c r="B328" s="66"/>
      <c r="C328" s="66"/>
      <c r="D328" s="66"/>
      <c r="G328" s="67"/>
      <c r="V328" s="67"/>
    </row>
    <row r="329">
      <c r="A329" s="66"/>
      <c r="B329" s="66"/>
      <c r="C329" s="66"/>
      <c r="D329" s="66"/>
      <c r="G329" s="67"/>
      <c r="V329" s="67"/>
    </row>
    <row r="330">
      <c r="A330" s="66"/>
      <c r="B330" s="66"/>
      <c r="C330" s="66"/>
      <c r="D330" s="66"/>
      <c r="G330" s="67"/>
      <c r="V330" s="67"/>
    </row>
    <row r="331">
      <c r="A331" s="66"/>
      <c r="B331" s="66"/>
      <c r="C331" s="66"/>
      <c r="D331" s="66"/>
      <c r="G331" s="67"/>
      <c r="V331" s="67"/>
    </row>
    <row r="332">
      <c r="A332" s="66"/>
      <c r="B332" s="66"/>
      <c r="C332" s="66"/>
      <c r="D332" s="66"/>
      <c r="G332" s="67"/>
      <c r="V332" s="67"/>
    </row>
    <row r="333">
      <c r="A333" s="66"/>
      <c r="B333" s="66"/>
      <c r="C333" s="66"/>
      <c r="D333" s="66"/>
      <c r="G333" s="67"/>
      <c r="V333" s="67"/>
    </row>
    <row r="334">
      <c r="A334" s="66"/>
      <c r="B334" s="66"/>
      <c r="C334" s="66"/>
      <c r="D334" s="66"/>
      <c r="G334" s="67"/>
      <c r="V334" s="67"/>
    </row>
    <row r="335">
      <c r="A335" s="66"/>
      <c r="B335" s="66"/>
      <c r="C335" s="66"/>
      <c r="D335" s="66"/>
      <c r="G335" s="67"/>
      <c r="V335" s="67"/>
    </row>
    <row r="336">
      <c r="A336" s="66"/>
      <c r="B336" s="66"/>
      <c r="C336" s="66"/>
      <c r="D336" s="66"/>
      <c r="G336" s="67"/>
      <c r="V336" s="67"/>
    </row>
    <row r="337">
      <c r="A337" s="66"/>
      <c r="B337" s="66"/>
      <c r="C337" s="66"/>
      <c r="D337" s="66"/>
      <c r="G337" s="67"/>
      <c r="V337" s="67"/>
    </row>
    <row r="338">
      <c r="A338" s="66"/>
      <c r="B338" s="66"/>
      <c r="C338" s="66"/>
      <c r="D338" s="66"/>
      <c r="G338" s="67"/>
      <c r="V338" s="67"/>
    </row>
    <row r="339">
      <c r="A339" s="66"/>
      <c r="B339" s="66"/>
      <c r="C339" s="66"/>
      <c r="D339" s="66"/>
      <c r="G339" s="67"/>
      <c r="V339" s="67"/>
    </row>
    <row r="340">
      <c r="A340" s="66"/>
      <c r="B340" s="66"/>
      <c r="C340" s="66"/>
      <c r="D340" s="66"/>
      <c r="G340" s="67"/>
      <c r="V340" s="67"/>
    </row>
    <row r="341">
      <c r="A341" s="66"/>
      <c r="B341" s="66"/>
      <c r="C341" s="66"/>
      <c r="D341" s="66"/>
      <c r="G341" s="67"/>
      <c r="V341" s="67"/>
    </row>
    <row r="342">
      <c r="A342" s="66"/>
      <c r="B342" s="66"/>
      <c r="C342" s="66"/>
      <c r="D342" s="66"/>
      <c r="G342" s="67"/>
      <c r="V342" s="67"/>
    </row>
    <row r="343">
      <c r="A343" s="66"/>
      <c r="B343" s="66"/>
      <c r="C343" s="66"/>
      <c r="D343" s="66"/>
      <c r="G343" s="67"/>
      <c r="V343" s="67"/>
    </row>
    <row r="344">
      <c r="A344" s="66"/>
      <c r="B344" s="66"/>
      <c r="C344" s="66"/>
      <c r="D344" s="66"/>
      <c r="G344" s="67"/>
      <c r="V344" s="67"/>
    </row>
    <row r="345">
      <c r="A345" s="66"/>
      <c r="B345" s="66"/>
      <c r="C345" s="66"/>
      <c r="D345" s="66"/>
      <c r="G345" s="67"/>
      <c r="V345" s="67"/>
    </row>
    <row r="346">
      <c r="A346" s="66"/>
      <c r="B346" s="66"/>
      <c r="C346" s="66"/>
      <c r="D346" s="66"/>
      <c r="G346" s="67"/>
      <c r="V346" s="67"/>
    </row>
    <row r="347">
      <c r="A347" s="66"/>
      <c r="B347" s="66"/>
      <c r="C347" s="66"/>
      <c r="D347" s="66"/>
      <c r="G347" s="67"/>
      <c r="V347" s="67"/>
    </row>
    <row r="348">
      <c r="A348" s="66"/>
      <c r="B348" s="66"/>
      <c r="C348" s="66"/>
      <c r="D348" s="66"/>
      <c r="G348" s="67"/>
      <c r="V348" s="67"/>
    </row>
    <row r="349">
      <c r="A349" s="66"/>
      <c r="B349" s="66"/>
      <c r="C349" s="66"/>
      <c r="D349" s="66"/>
      <c r="G349" s="67"/>
      <c r="V349" s="67"/>
    </row>
    <row r="350">
      <c r="A350" s="66"/>
      <c r="B350" s="66"/>
      <c r="C350" s="66"/>
      <c r="D350" s="66"/>
      <c r="G350" s="67"/>
      <c r="V350" s="67"/>
    </row>
    <row r="351">
      <c r="A351" s="66"/>
      <c r="B351" s="66"/>
      <c r="C351" s="66"/>
      <c r="D351" s="66"/>
      <c r="G351" s="67"/>
      <c r="V351" s="67"/>
    </row>
    <row r="352">
      <c r="A352" s="66"/>
      <c r="B352" s="66"/>
      <c r="C352" s="66"/>
      <c r="D352" s="66"/>
      <c r="G352" s="67"/>
      <c r="V352" s="67"/>
    </row>
    <row r="353">
      <c r="A353" s="66"/>
      <c r="B353" s="66"/>
      <c r="C353" s="66"/>
      <c r="D353" s="66"/>
      <c r="G353" s="67"/>
      <c r="V353" s="67"/>
    </row>
    <row r="354">
      <c r="A354" s="66"/>
      <c r="B354" s="66"/>
      <c r="C354" s="66"/>
      <c r="D354" s="66"/>
      <c r="G354" s="67"/>
      <c r="V354" s="67"/>
    </row>
    <row r="355">
      <c r="A355" s="66"/>
      <c r="B355" s="66"/>
      <c r="C355" s="66"/>
      <c r="D355" s="66"/>
      <c r="G355" s="67"/>
      <c r="V355" s="67"/>
    </row>
    <row r="356">
      <c r="A356" s="66"/>
      <c r="B356" s="66"/>
      <c r="C356" s="66"/>
      <c r="D356" s="66"/>
      <c r="G356" s="67"/>
      <c r="V356" s="67"/>
    </row>
    <row r="357">
      <c r="A357" s="66"/>
      <c r="B357" s="66"/>
      <c r="C357" s="66"/>
      <c r="D357" s="66"/>
      <c r="G357" s="67"/>
      <c r="V357" s="67"/>
    </row>
    <row r="358">
      <c r="A358" s="66"/>
      <c r="B358" s="66"/>
      <c r="C358" s="66"/>
      <c r="D358" s="66"/>
      <c r="G358" s="67"/>
      <c r="V358" s="67"/>
    </row>
    <row r="359">
      <c r="A359" s="66"/>
      <c r="B359" s="66"/>
      <c r="C359" s="66"/>
      <c r="D359" s="66"/>
      <c r="G359" s="67"/>
      <c r="V359" s="67"/>
    </row>
    <row r="360">
      <c r="A360" s="66"/>
      <c r="B360" s="66"/>
      <c r="C360" s="66"/>
      <c r="D360" s="66"/>
      <c r="G360" s="67"/>
      <c r="V360" s="67"/>
    </row>
    <row r="361">
      <c r="A361" s="66"/>
      <c r="B361" s="66"/>
      <c r="C361" s="66"/>
      <c r="D361" s="66"/>
      <c r="G361" s="67"/>
      <c r="V361" s="67"/>
    </row>
    <row r="362">
      <c r="A362" s="66"/>
      <c r="B362" s="66"/>
      <c r="C362" s="66"/>
      <c r="D362" s="66"/>
      <c r="G362" s="67"/>
      <c r="V362" s="67"/>
    </row>
    <row r="363">
      <c r="A363" s="66"/>
      <c r="B363" s="66"/>
      <c r="C363" s="66"/>
      <c r="D363" s="66"/>
      <c r="G363" s="67"/>
      <c r="V363" s="67"/>
    </row>
    <row r="364">
      <c r="A364" s="66"/>
      <c r="B364" s="66"/>
      <c r="C364" s="66"/>
      <c r="D364" s="66"/>
      <c r="G364" s="67"/>
      <c r="V364" s="67"/>
    </row>
    <row r="365">
      <c r="A365" s="66"/>
      <c r="B365" s="66"/>
      <c r="C365" s="66"/>
      <c r="D365" s="66"/>
      <c r="G365" s="67"/>
      <c r="V365" s="67"/>
    </row>
    <row r="366">
      <c r="A366" s="66"/>
      <c r="B366" s="66"/>
      <c r="C366" s="66"/>
      <c r="D366" s="66"/>
      <c r="G366" s="67"/>
      <c r="V366" s="67"/>
    </row>
    <row r="367">
      <c r="A367" s="66"/>
      <c r="B367" s="66"/>
      <c r="C367" s="66"/>
      <c r="D367" s="66"/>
      <c r="G367" s="67"/>
      <c r="V367" s="67"/>
    </row>
    <row r="368">
      <c r="A368" s="66"/>
      <c r="B368" s="66"/>
      <c r="C368" s="66"/>
      <c r="D368" s="66"/>
      <c r="G368" s="67"/>
      <c r="V368" s="67"/>
    </row>
    <row r="369">
      <c r="A369" s="66"/>
      <c r="B369" s="66"/>
      <c r="C369" s="66"/>
      <c r="D369" s="66"/>
      <c r="G369" s="67"/>
      <c r="V369" s="67"/>
    </row>
    <row r="370">
      <c r="A370" s="66"/>
      <c r="B370" s="66"/>
      <c r="C370" s="66"/>
      <c r="D370" s="66"/>
      <c r="G370" s="67"/>
      <c r="V370" s="67"/>
    </row>
    <row r="371">
      <c r="A371" s="66"/>
      <c r="B371" s="66"/>
      <c r="C371" s="66"/>
      <c r="D371" s="66"/>
      <c r="G371" s="67"/>
      <c r="V371" s="67"/>
    </row>
    <row r="372">
      <c r="A372" s="66"/>
      <c r="B372" s="66"/>
      <c r="C372" s="66"/>
      <c r="D372" s="66"/>
      <c r="G372" s="67"/>
      <c r="V372" s="67"/>
    </row>
    <row r="373">
      <c r="A373" s="66"/>
      <c r="B373" s="66"/>
      <c r="C373" s="66"/>
      <c r="D373" s="66"/>
      <c r="G373" s="67"/>
      <c r="V373" s="67"/>
    </row>
    <row r="374">
      <c r="A374" s="66"/>
      <c r="B374" s="66"/>
      <c r="C374" s="66"/>
      <c r="D374" s="66"/>
      <c r="G374" s="67"/>
      <c r="V374" s="67"/>
    </row>
    <row r="375">
      <c r="A375" s="66"/>
      <c r="B375" s="66"/>
      <c r="C375" s="66"/>
      <c r="D375" s="66"/>
      <c r="G375" s="67"/>
      <c r="V375" s="67"/>
    </row>
    <row r="376">
      <c r="A376" s="66"/>
      <c r="B376" s="66"/>
      <c r="C376" s="66"/>
      <c r="D376" s="66"/>
      <c r="G376" s="67"/>
      <c r="V376" s="67"/>
    </row>
    <row r="377">
      <c r="A377" s="66"/>
      <c r="B377" s="66"/>
      <c r="C377" s="66"/>
      <c r="D377" s="66"/>
      <c r="G377" s="67"/>
      <c r="V377" s="67"/>
    </row>
    <row r="378">
      <c r="A378" s="66"/>
      <c r="B378" s="66"/>
      <c r="C378" s="66"/>
      <c r="D378" s="66"/>
      <c r="G378" s="67"/>
      <c r="V378" s="67"/>
    </row>
    <row r="379">
      <c r="A379" s="66"/>
      <c r="B379" s="66"/>
      <c r="C379" s="66"/>
      <c r="D379" s="66"/>
      <c r="G379" s="67"/>
      <c r="V379" s="67"/>
    </row>
    <row r="380">
      <c r="A380" s="66"/>
      <c r="B380" s="66"/>
      <c r="C380" s="66"/>
      <c r="D380" s="66"/>
      <c r="G380" s="67"/>
      <c r="V380" s="67"/>
    </row>
    <row r="381">
      <c r="A381" s="66"/>
      <c r="B381" s="66"/>
      <c r="C381" s="66"/>
      <c r="D381" s="66"/>
      <c r="G381" s="67"/>
      <c r="V381" s="67"/>
    </row>
    <row r="382">
      <c r="A382" s="66"/>
      <c r="B382" s="66"/>
      <c r="C382" s="66"/>
      <c r="D382" s="66"/>
      <c r="G382" s="67"/>
      <c r="V382" s="67"/>
    </row>
    <row r="383">
      <c r="A383" s="66"/>
      <c r="B383" s="66"/>
      <c r="C383" s="66"/>
      <c r="D383" s="66"/>
      <c r="G383" s="67"/>
      <c r="V383" s="67"/>
    </row>
    <row r="384">
      <c r="A384" s="66"/>
      <c r="B384" s="66"/>
      <c r="C384" s="66"/>
      <c r="D384" s="66"/>
      <c r="G384" s="67"/>
      <c r="V384" s="67"/>
    </row>
    <row r="385">
      <c r="A385" s="66"/>
      <c r="B385" s="66"/>
      <c r="C385" s="66"/>
      <c r="D385" s="66"/>
      <c r="G385" s="67"/>
      <c r="V385" s="67"/>
    </row>
    <row r="386">
      <c r="A386" s="66"/>
      <c r="B386" s="66"/>
      <c r="C386" s="66"/>
      <c r="D386" s="66"/>
      <c r="G386" s="67"/>
      <c r="V386" s="67"/>
    </row>
    <row r="387">
      <c r="A387" s="66"/>
      <c r="B387" s="66"/>
      <c r="C387" s="66"/>
      <c r="D387" s="66"/>
      <c r="G387" s="67"/>
      <c r="V387" s="67"/>
    </row>
    <row r="388">
      <c r="A388" s="66"/>
      <c r="B388" s="66"/>
      <c r="C388" s="66"/>
      <c r="D388" s="66"/>
      <c r="G388" s="67"/>
      <c r="V388" s="67"/>
    </row>
    <row r="389">
      <c r="A389" s="66"/>
      <c r="B389" s="66"/>
      <c r="C389" s="66"/>
      <c r="D389" s="66"/>
      <c r="G389" s="67"/>
      <c r="V389" s="67"/>
    </row>
    <row r="390">
      <c r="A390" s="66"/>
      <c r="B390" s="66"/>
      <c r="C390" s="66"/>
      <c r="D390" s="66"/>
      <c r="G390" s="67"/>
      <c r="V390" s="67"/>
    </row>
    <row r="391">
      <c r="A391" s="66"/>
      <c r="B391" s="66"/>
      <c r="C391" s="66"/>
      <c r="D391" s="66"/>
      <c r="G391" s="67"/>
      <c r="V391" s="67"/>
    </row>
    <row r="392">
      <c r="A392" s="66"/>
      <c r="B392" s="66"/>
      <c r="C392" s="66"/>
      <c r="D392" s="66"/>
      <c r="G392" s="67"/>
      <c r="V392" s="67"/>
    </row>
    <row r="393">
      <c r="A393" s="66"/>
      <c r="B393" s="66"/>
      <c r="C393" s="66"/>
      <c r="D393" s="66"/>
      <c r="G393" s="67"/>
      <c r="V393" s="67"/>
    </row>
    <row r="394">
      <c r="A394" s="66"/>
      <c r="B394" s="66"/>
      <c r="C394" s="66"/>
      <c r="D394" s="66"/>
      <c r="G394" s="67"/>
      <c r="V394" s="67"/>
    </row>
    <row r="395">
      <c r="A395" s="66"/>
      <c r="B395" s="66"/>
      <c r="C395" s="66"/>
      <c r="D395" s="66"/>
      <c r="G395" s="67"/>
      <c r="V395" s="67"/>
    </row>
    <row r="396">
      <c r="A396" s="66"/>
      <c r="B396" s="66"/>
      <c r="C396" s="66"/>
      <c r="D396" s="66"/>
      <c r="G396" s="67"/>
      <c r="V396" s="67"/>
    </row>
    <row r="397">
      <c r="A397" s="66"/>
      <c r="B397" s="66"/>
      <c r="C397" s="66"/>
      <c r="D397" s="66"/>
      <c r="G397" s="67"/>
      <c r="V397" s="67"/>
    </row>
    <row r="398">
      <c r="A398" s="66"/>
      <c r="B398" s="66"/>
      <c r="C398" s="66"/>
      <c r="D398" s="66"/>
      <c r="G398" s="67"/>
      <c r="V398" s="67"/>
    </row>
    <row r="399">
      <c r="A399" s="66"/>
      <c r="B399" s="66"/>
      <c r="C399" s="66"/>
      <c r="D399" s="66"/>
      <c r="G399" s="67"/>
      <c r="V399" s="67"/>
    </row>
    <row r="400">
      <c r="A400" s="66"/>
      <c r="B400" s="66"/>
      <c r="C400" s="66"/>
      <c r="D400" s="66"/>
      <c r="G400" s="67"/>
      <c r="V400" s="67"/>
    </row>
    <row r="401">
      <c r="A401" s="66"/>
      <c r="B401" s="66"/>
      <c r="C401" s="66"/>
      <c r="D401" s="66"/>
      <c r="G401" s="67"/>
      <c r="V401" s="67"/>
    </row>
    <row r="402">
      <c r="A402" s="66"/>
      <c r="B402" s="66"/>
      <c r="C402" s="66"/>
      <c r="D402" s="66"/>
      <c r="G402" s="67"/>
      <c r="V402" s="67"/>
    </row>
    <row r="403">
      <c r="A403" s="66"/>
      <c r="B403" s="66"/>
      <c r="C403" s="66"/>
      <c r="D403" s="66"/>
      <c r="G403" s="67"/>
      <c r="V403" s="67"/>
    </row>
    <row r="404">
      <c r="A404" s="66"/>
      <c r="B404" s="66"/>
      <c r="C404" s="66"/>
      <c r="D404" s="66"/>
      <c r="G404" s="67"/>
      <c r="V404" s="67"/>
    </row>
    <row r="405">
      <c r="A405" s="66"/>
      <c r="B405" s="66"/>
      <c r="C405" s="66"/>
      <c r="D405" s="66"/>
      <c r="G405" s="67"/>
      <c r="V405" s="67"/>
    </row>
    <row r="406">
      <c r="A406" s="66"/>
      <c r="B406" s="66"/>
      <c r="C406" s="66"/>
      <c r="D406" s="66"/>
      <c r="G406" s="67"/>
      <c r="V406" s="67"/>
    </row>
    <row r="407">
      <c r="A407" s="66"/>
      <c r="B407" s="66"/>
      <c r="C407" s="66"/>
      <c r="D407" s="66"/>
      <c r="G407" s="67"/>
      <c r="V407" s="67"/>
    </row>
    <row r="408">
      <c r="A408" s="66"/>
      <c r="B408" s="66"/>
      <c r="C408" s="66"/>
      <c r="D408" s="66"/>
      <c r="G408" s="67"/>
      <c r="V408" s="67"/>
    </row>
    <row r="409">
      <c r="A409" s="66"/>
      <c r="B409" s="66"/>
      <c r="C409" s="66"/>
      <c r="D409" s="66"/>
      <c r="G409" s="67"/>
      <c r="V409" s="67"/>
    </row>
    <row r="410">
      <c r="A410" s="66"/>
      <c r="B410" s="66"/>
      <c r="C410" s="66"/>
      <c r="D410" s="66"/>
      <c r="G410" s="67"/>
      <c r="V410" s="67"/>
    </row>
    <row r="411">
      <c r="A411" s="66"/>
      <c r="B411" s="66"/>
      <c r="C411" s="66"/>
      <c r="D411" s="66"/>
      <c r="G411" s="67"/>
      <c r="V411" s="67"/>
    </row>
    <row r="412">
      <c r="A412" s="66"/>
      <c r="B412" s="66"/>
      <c r="C412" s="66"/>
      <c r="D412" s="66"/>
      <c r="G412" s="67"/>
      <c r="V412" s="67"/>
    </row>
    <row r="413">
      <c r="A413" s="66"/>
      <c r="B413" s="66"/>
      <c r="C413" s="66"/>
      <c r="D413" s="66"/>
      <c r="G413" s="67"/>
      <c r="V413" s="67"/>
    </row>
    <row r="414">
      <c r="A414" s="66"/>
      <c r="B414" s="66"/>
      <c r="C414" s="66"/>
      <c r="D414" s="66"/>
      <c r="G414" s="67"/>
      <c r="V414" s="67"/>
    </row>
    <row r="415">
      <c r="A415" s="66"/>
      <c r="B415" s="66"/>
      <c r="C415" s="66"/>
      <c r="D415" s="66"/>
      <c r="G415" s="67"/>
      <c r="V415" s="67"/>
    </row>
    <row r="416">
      <c r="A416" s="66"/>
      <c r="B416" s="66"/>
      <c r="C416" s="66"/>
      <c r="D416" s="66"/>
      <c r="G416" s="67"/>
      <c r="V416" s="67"/>
    </row>
    <row r="417">
      <c r="A417" s="66"/>
      <c r="B417" s="66"/>
      <c r="C417" s="66"/>
      <c r="D417" s="66"/>
      <c r="G417" s="67"/>
      <c r="V417" s="67"/>
    </row>
    <row r="418">
      <c r="A418" s="66"/>
      <c r="B418" s="66"/>
      <c r="C418" s="66"/>
      <c r="D418" s="66"/>
      <c r="G418" s="67"/>
      <c r="V418" s="67"/>
    </row>
    <row r="419">
      <c r="A419" s="66"/>
      <c r="B419" s="66"/>
      <c r="C419" s="66"/>
      <c r="D419" s="66"/>
      <c r="G419" s="67"/>
      <c r="V419" s="67"/>
    </row>
    <row r="420">
      <c r="A420" s="66"/>
      <c r="B420" s="66"/>
      <c r="C420" s="66"/>
      <c r="D420" s="66"/>
      <c r="G420" s="67"/>
      <c r="V420" s="67"/>
    </row>
    <row r="421">
      <c r="A421" s="66"/>
      <c r="B421" s="66"/>
      <c r="C421" s="66"/>
      <c r="D421" s="66"/>
      <c r="G421" s="67"/>
      <c r="V421" s="67"/>
    </row>
    <row r="422">
      <c r="A422" s="66"/>
      <c r="B422" s="66"/>
      <c r="C422" s="66"/>
      <c r="D422" s="66"/>
      <c r="G422" s="67"/>
      <c r="V422" s="67"/>
    </row>
    <row r="423">
      <c r="A423" s="66"/>
      <c r="B423" s="66"/>
      <c r="C423" s="66"/>
      <c r="D423" s="66"/>
      <c r="G423" s="67"/>
      <c r="V423" s="67"/>
    </row>
    <row r="424">
      <c r="A424" s="66"/>
      <c r="B424" s="66"/>
      <c r="C424" s="66"/>
      <c r="D424" s="66"/>
      <c r="G424" s="67"/>
      <c r="V424" s="67"/>
    </row>
    <row r="425">
      <c r="A425" s="66"/>
      <c r="B425" s="66"/>
      <c r="C425" s="66"/>
      <c r="D425" s="66"/>
      <c r="G425" s="67"/>
      <c r="V425" s="67"/>
    </row>
    <row r="426">
      <c r="A426" s="66"/>
      <c r="B426" s="66"/>
      <c r="C426" s="66"/>
      <c r="D426" s="66"/>
      <c r="G426" s="67"/>
      <c r="V426" s="67"/>
    </row>
    <row r="427">
      <c r="A427" s="66"/>
      <c r="B427" s="66"/>
      <c r="C427" s="66"/>
      <c r="D427" s="66"/>
      <c r="G427" s="67"/>
      <c r="V427" s="67"/>
    </row>
    <row r="428">
      <c r="A428" s="66"/>
      <c r="B428" s="66"/>
      <c r="C428" s="66"/>
      <c r="D428" s="66"/>
      <c r="G428" s="67"/>
      <c r="V428" s="67"/>
    </row>
    <row r="429">
      <c r="A429" s="66"/>
      <c r="B429" s="66"/>
      <c r="C429" s="66"/>
      <c r="D429" s="66"/>
      <c r="G429" s="67"/>
      <c r="V429" s="67"/>
    </row>
    <row r="430">
      <c r="A430" s="66"/>
      <c r="B430" s="66"/>
      <c r="C430" s="66"/>
      <c r="D430" s="66"/>
      <c r="G430" s="67"/>
      <c r="V430" s="67"/>
    </row>
    <row r="431">
      <c r="A431" s="66"/>
      <c r="B431" s="66"/>
      <c r="C431" s="66"/>
      <c r="D431" s="66"/>
      <c r="G431" s="67"/>
      <c r="V431" s="67"/>
    </row>
    <row r="432">
      <c r="A432" s="66"/>
      <c r="B432" s="66"/>
      <c r="C432" s="66"/>
      <c r="D432" s="66"/>
      <c r="G432" s="67"/>
      <c r="V432" s="67"/>
    </row>
    <row r="433">
      <c r="A433" s="66"/>
      <c r="B433" s="66"/>
      <c r="C433" s="66"/>
      <c r="D433" s="66"/>
      <c r="G433" s="67"/>
      <c r="V433" s="67"/>
    </row>
    <row r="434">
      <c r="A434" s="66"/>
      <c r="B434" s="66"/>
      <c r="C434" s="66"/>
      <c r="D434" s="66"/>
      <c r="G434" s="67"/>
      <c r="V434" s="67"/>
    </row>
    <row r="435">
      <c r="A435" s="66"/>
      <c r="B435" s="66"/>
      <c r="C435" s="66"/>
      <c r="D435" s="66"/>
      <c r="G435" s="67"/>
      <c r="V435" s="67"/>
    </row>
    <row r="436">
      <c r="A436" s="66"/>
      <c r="B436" s="66"/>
      <c r="C436" s="66"/>
      <c r="D436" s="66"/>
      <c r="G436" s="67"/>
      <c r="V436" s="67"/>
    </row>
    <row r="437">
      <c r="A437" s="66"/>
      <c r="B437" s="66"/>
      <c r="C437" s="66"/>
      <c r="D437" s="66"/>
      <c r="G437" s="67"/>
      <c r="V437" s="67"/>
    </row>
    <row r="438">
      <c r="A438" s="66"/>
      <c r="B438" s="66"/>
      <c r="C438" s="66"/>
      <c r="D438" s="66"/>
      <c r="G438" s="67"/>
      <c r="V438" s="67"/>
    </row>
    <row r="439">
      <c r="A439" s="66"/>
      <c r="B439" s="66"/>
      <c r="C439" s="66"/>
      <c r="D439" s="66"/>
      <c r="G439" s="67"/>
      <c r="V439" s="67"/>
    </row>
    <row r="440">
      <c r="A440" s="66"/>
      <c r="B440" s="66"/>
      <c r="C440" s="66"/>
      <c r="D440" s="66"/>
      <c r="G440" s="67"/>
      <c r="V440" s="67"/>
    </row>
    <row r="441">
      <c r="A441" s="66"/>
      <c r="B441" s="66"/>
      <c r="C441" s="66"/>
      <c r="D441" s="66"/>
      <c r="G441" s="67"/>
      <c r="V441" s="67"/>
    </row>
    <row r="442">
      <c r="A442" s="66"/>
      <c r="B442" s="66"/>
      <c r="C442" s="66"/>
      <c r="D442" s="66"/>
      <c r="G442" s="67"/>
      <c r="V442" s="67"/>
    </row>
    <row r="443">
      <c r="A443" s="66"/>
      <c r="B443" s="66"/>
      <c r="C443" s="66"/>
      <c r="D443" s="66"/>
      <c r="G443" s="67"/>
      <c r="V443" s="67"/>
    </row>
    <row r="444">
      <c r="A444" s="66"/>
      <c r="B444" s="66"/>
      <c r="C444" s="66"/>
      <c r="D444" s="66"/>
      <c r="G444" s="67"/>
      <c r="V444" s="67"/>
    </row>
    <row r="445">
      <c r="A445" s="66"/>
      <c r="B445" s="66"/>
      <c r="C445" s="66"/>
      <c r="D445" s="66"/>
      <c r="G445" s="67"/>
      <c r="V445" s="67"/>
    </row>
    <row r="446">
      <c r="A446" s="66"/>
      <c r="B446" s="66"/>
      <c r="C446" s="66"/>
      <c r="D446" s="66"/>
      <c r="G446" s="67"/>
      <c r="V446" s="67"/>
    </row>
    <row r="447">
      <c r="A447" s="66"/>
      <c r="B447" s="66"/>
      <c r="C447" s="66"/>
      <c r="D447" s="66"/>
      <c r="G447" s="67"/>
      <c r="V447" s="67"/>
    </row>
    <row r="448">
      <c r="A448" s="66"/>
      <c r="B448" s="66"/>
      <c r="C448" s="66"/>
      <c r="D448" s="66"/>
      <c r="G448" s="67"/>
      <c r="V448" s="67"/>
    </row>
    <row r="449">
      <c r="A449" s="66"/>
      <c r="B449" s="66"/>
      <c r="C449" s="66"/>
      <c r="D449" s="66"/>
      <c r="G449" s="67"/>
      <c r="V449" s="67"/>
    </row>
    <row r="450">
      <c r="A450" s="66"/>
      <c r="B450" s="66"/>
      <c r="C450" s="66"/>
      <c r="D450" s="66"/>
      <c r="G450" s="67"/>
      <c r="V450" s="67"/>
    </row>
    <row r="451">
      <c r="A451" s="66"/>
      <c r="B451" s="66"/>
      <c r="C451" s="66"/>
      <c r="D451" s="66"/>
      <c r="G451" s="67"/>
      <c r="V451" s="67"/>
    </row>
    <row r="452">
      <c r="A452" s="66"/>
      <c r="B452" s="66"/>
      <c r="C452" s="66"/>
      <c r="D452" s="66"/>
      <c r="G452" s="67"/>
      <c r="V452" s="67"/>
    </row>
    <row r="453">
      <c r="A453" s="66"/>
      <c r="B453" s="66"/>
      <c r="C453" s="66"/>
      <c r="D453" s="66"/>
      <c r="G453" s="67"/>
      <c r="V453" s="67"/>
    </row>
    <row r="454">
      <c r="A454" s="66"/>
      <c r="B454" s="66"/>
      <c r="C454" s="66"/>
      <c r="D454" s="66"/>
      <c r="G454" s="67"/>
      <c r="V454" s="67"/>
    </row>
    <row r="455">
      <c r="A455" s="66"/>
      <c r="B455" s="66"/>
      <c r="C455" s="66"/>
      <c r="D455" s="66"/>
      <c r="G455" s="67"/>
      <c r="V455" s="67"/>
    </row>
    <row r="456">
      <c r="A456" s="66"/>
      <c r="B456" s="66"/>
      <c r="C456" s="66"/>
      <c r="D456" s="66"/>
      <c r="G456" s="67"/>
      <c r="V456" s="67"/>
    </row>
    <row r="457">
      <c r="A457" s="66"/>
      <c r="B457" s="66"/>
      <c r="C457" s="66"/>
      <c r="D457" s="66"/>
      <c r="G457" s="67"/>
      <c r="V457" s="67"/>
    </row>
    <row r="458">
      <c r="A458" s="66"/>
      <c r="B458" s="66"/>
      <c r="C458" s="66"/>
      <c r="D458" s="66"/>
      <c r="G458" s="67"/>
      <c r="V458" s="67"/>
    </row>
    <row r="459">
      <c r="A459" s="66"/>
      <c r="B459" s="66"/>
      <c r="C459" s="66"/>
      <c r="D459" s="66"/>
      <c r="G459" s="67"/>
      <c r="V459" s="67"/>
    </row>
    <row r="460">
      <c r="A460" s="66"/>
      <c r="B460" s="66"/>
      <c r="C460" s="66"/>
      <c r="D460" s="66"/>
      <c r="G460" s="67"/>
      <c r="V460" s="67"/>
    </row>
    <row r="461">
      <c r="A461" s="66"/>
      <c r="B461" s="66"/>
      <c r="C461" s="66"/>
      <c r="D461" s="66"/>
      <c r="G461" s="67"/>
      <c r="V461" s="67"/>
    </row>
    <row r="462">
      <c r="A462" s="66"/>
      <c r="B462" s="66"/>
      <c r="C462" s="66"/>
      <c r="D462" s="66"/>
      <c r="G462" s="67"/>
      <c r="V462" s="67"/>
    </row>
    <row r="463">
      <c r="A463" s="66"/>
      <c r="B463" s="66"/>
      <c r="C463" s="66"/>
      <c r="D463" s="66"/>
      <c r="G463" s="67"/>
      <c r="V463" s="67"/>
    </row>
    <row r="464">
      <c r="A464" s="66"/>
      <c r="B464" s="66"/>
      <c r="C464" s="66"/>
      <c r="D464" s="66"/>
      <c r="G464" s="67"/>
      <c r="V464" s="67"/>
    </row>
    <row r="465">
      <c r="A465" s="66"/>
      <c r="B465" s="66"/>
      <c r="C465" s="66"/>
      <c r="D465" s="66"/>
      <c r="G465" s="67"/>
      <c r="V465" s="67"/>
    </row>
    <row r="466">
      <c r="A466" s="66"/>
      <c r="B466" s="66"/>
      <c r="C466" s="66"/>
      <c r="D466" s="66"/>
      <c r="G466" s="67"/>
      <c r="V466" s="67"/>
    </row>
    <row r="467">
      <c r="A467" s="66"/>
      <c r="B467" s="66"/>
      <c r="C467" s="66"/>
      <c r="D467" s="66"/>
      <c r="G467" s="67"/>
      <c r="V467" s="67"/>
    </row>
    <row r="468">
      <c r="A468" s="66"/>
      <c r="B468" s="66"/>
      <c r="C468" s="66"/>
      <c r="D468" s="66"/>
      <c r="G468" s="67"/>
      <c r="V468" s="67"/>
    </row>
    <row r="469">
      <c r="A469" s="66"/>
      <c r="B469" s="66"/>
      <c r="C469" s="66"/>
      <c r="D469" s="66"/>
      <c r="G469" s="67"/>
      <c r="V469" s="67"/>
    </row>
    <row r="470">
      <c r="A470" s="66"/>
      <c r="B470" s="66"/>
      <c r="C470" s="66"/>
      <c r="D470" s="66"/>
      <c r="G470" s="67"/>
      <c r="V470" s="67"/>
    </row>
    <row r="471">
      <c r="A471" s="66"/>
      <c r="B471" s="66"/>
      <c r="C471" s="66"/>
      <c r="D471" s="66"/>
      <c r="G471" s="67"/>
      <c r="V471" s="67"/>
    </row>
    <row r="472">
      <c r="A472" s="66"/>
      <c r="B472" s="66"/>
      <c r="C472" s="66"/>
      <c r="D472" s="66"/>
      <c r="G472" s="67"/>
      <c r="V472" s="67"/>
    </row>
    <row r="473">
      <c r="A473" s="66"/>
      <c r="B473" s="66"/>
      <c r="C473" s="66"/>
      <c r="D473" s="66"/>
      <c r="G473" s="67"/>
      <c r="V473" s="67"/>
    </row>
    <row r="474">
      <c r="A474" s="66"/>
      <c r="B474" s="66"/>
      <c r="C474" s="66"/>
      <c r="D474" s="66"/>
      <c r="G474" s="67"/>
      <c r="V474" s="67"/>
    </row>
    <row r="475">
      <c r="A475" s="66"/>
      <c r="B475" s="66"/>
      <c r="C475" s="66"/>
      <c r="D475" s="66"/>
      <c r="G475" s="67"/>
      <c r="V475" s="67"/>
    </row>
    <row r="476">
      <c r="A476" s="66"/>
      <c r="B476" s="66"/>
      <c r="C476" s="66"/>
      <c r="D476" s="66"/>
      <c r="G476" s="67"/>
      <c r="V476" s="67"/>
    </row>
    <row r="477">
      <c r="A477" s="66"/>
      <c r="B477" s="66"/>
      <c r="C477" s="66"/>
      <c r="D477" s="66"/>
      <c r="G477" s="67"/>
      <c r="V477" s="67"/>
    </row>
    <row r="478">
      <c r="A478" s="66"/>
      <c r="B478" s="66"/>
      <c r="C478" s="66"/>
      <c r="D478" s="66"/>
      <c r="G478" s="67"/>
      <c r="V478" s="67"/>
    </row>
    <row r="479">
      <c r="A479" s="66"/>
      <c r="B479" s="66"/>
      <c r="C479" s="66"/>
      <c r="D479" s="66"/>
      <c r="G479" s="67"/>
      <c r="V479" s="67"/>
    </row>
    <row r="480">
      <c r="A480" s="66"/>
      <c r="B480" s="66"/>
      <c r="C480" s="66"/>
      <c r="D480" s="66"/>
      <c r="G480" s="67"/>
      <c r="V480" s="67"/>
    </row>
    <row r="481">
      <c r="A481" s="66"/>
      <c r="B481" s="66"/>
      <c r="C481" s="66"/>
      <c r="D481" s="66"/>
      <c r="G481" s="67"/>
      <c r="V481" s="67"/>
    </row>
    <row r="482">
      <c r="A482" s="66"/>
      <c r="B482" s="66"/>
      <c r="C482" s="66"/>
      <c r="D482" s="66"/>
      <c r="G482" s="67"/>
      <c r="V482" s="67"/>
    </row>
    <row r="483">
      <c r="A483" s="66"/>
      <c r="B483" s="66"/>
      <c r="C483" s="66"/>
      <c r="D483" s="66"/>
      <c r="G483" s="67"/>
      <c r="V483" s="67"/>
    </row>
    <row r="484">
      <c r="A484" s="66"/>
      <c r="B484" s="66"/>
      <c r="C484" s="66"/>
      <c r="D484" s="66"/>
      <c r="G484" s="67"/>
      <c r="V484" s="67"/>
    </row>
    <row r="485">
      <c r="A485" s="66"/>
      <c r="B485" s="66"/>
      <c r="C485" s="66"/>
      <c r="D485" s="66"/>
      <c r="G485" s="67"/>
      <c r="V485" s="67"/>
    </row>
    <row r="486">
      <c r="A486" s="66"/>
      <c r="B486" s="66"/>
      <c r="C486" s="66"/>
      <c r="D486" s="66"/>
      <c r="G486" s="67"/>
      <c r="V486" s="67"/>
    </row>
    <row r="487">
      <c r="A487" s="66"/>
      <c r="B487" s="66"/>
      <c r="C487" s="66"/>
      <c r="D487" s="66"/>
      <c r="G487" s="67"/>
      <c r="V487" s="67"/>
    </row>
    <row r="488">
      <c r="A488" s="66"/>
      <c r="B488" s="66"/>
      <c r="C488" s="66"/>
      <c r="D488" s="66"/>
      <c r="G488" s="67"/>
      <c r="V488" s="67"/>
    </row>
    <row r="489">
      <c r="A489" s="66"/>
      <c r="B489" s="66"/>
      <c r="C489" s="66"/>
      <c r="D489" s="66"/>
      <c r="G489" s="67"/>
      <c r="V489" s="67"/>
    </row>
    <row r="490">
      <c r="A490" s="66"/>
      <c r="B490" s="66"/>
      <c r="C490" s="66"/>
      <c r="D490" s="66"/>
      <c r="G490" s="67"/>
      <c r="V490" s="67"/>
    </row>
    <row r="491">
      <c r="A491" s="66"/>
      <c r="B491" s="66"/>
      <c r="C491" s="66"/>
      <c r="D491" s="66"/>
      <c r="G491" s="67"/>
      <c r="V491" s="67"/>
    </row>
    <row r="492">
      <c r="A492" s="66"/>
      <c r="B492" s="66"/>
      <c r="C492" s="66"/>
      <c r="D492" s="66"/>
      <c r="G492" s="67"/>
      <c r="V492" s="67"/>
    </row>
    <row r="493">
      <c r="A493" s="66"/>
      <c r="B493" s="66"/>
      <c r="C493" s="66"/>
      <c r="D493" s="66"/>
      <c r="G493" s="67"/>
      <c r="V493" s="67"/>
    </row>
    <row r="494">
      <c r="A494" s="66"/>
      <c r="B494" s="66"/>
      <c r="C494" s="66"/>
      <c r="D494" s="66"/>
      <c r="G494" s="67"/>
      <c r="V494" s="67"/>
    </row>
    <row r="495">
      <c r="A495" s="66"/>
      <c r="B495" s="66"/>
      <c r="C495" s="66"/>
      <c r="D495" s="66"/>
      <c r="G495" s="67"/>
      <c r="V495" s="67"/>
    </row>
    <row r="496">
      <c r="A496" s="66"/>
      <c r="B496" s="66"/>
      <c r="C496" s="66"/>
      <c r="D496" s="66"/>
      <c r="G496" s="67"/>
      <c r="V496" s="67"/>
    </row>
    <row r="497">
      <c r="A497" s="66"/>
      <c r="B497" s="66"/>
      <c r="C497" s="66"/>
      <c r="D497" s="66"/>
      <c r="G497" s="67"/>
      <c r="V497" s="67"/>
    </row>
    <row r="498">
      <c r="A498" s="66"/>
      <c r="B498" s="66"/>
      <c r="C498" s="66"/>
      <c r="D498" s="66"/>
      <c r="G498" s="67"/>
      <c r="V498" s="67"/>
    </row>
    <row r="499">
      <c r="A499" s="66"/>
      <c r="B499" s="66"/>
      <c r="C499" s="66"/>
      <c r="D499" s="66"/>
      <c r="G499" s="67"/>
      <c r="V499" s="67"/>
    </row>
    <row r="500">
      <c r="A500" s="66"/>
      <c r="B500" s="66"/>
      <c r="C500" s="66"/>
      <c r="D500" s="66"/>
      <c r="G500" s="67"/>
      <c r="V500" s="67"/>
    </row>
    <row r="501">
      <c r="A501" s="66"/>
      <c r="B501" s="66"/>
      <c r="C501" s="66"/>
      <c r="D501" s="66"/>
      <c r="G501" s="67"/>
      <c r="V501" s="67"/>
    </row>
    <row r="502">
      <c r="A502" s="66"/>
      <c r="B502" s="66"/>
      <c r="C502" s="66"/>
      <c r="D502" s="66"/>
      <c r="G502" s="67"/>
      <c r="V502" s="67"/>
    </row>
    <row r="503">
      <c r="A503" s="66"/>
      <c r="B503" s="66"/>
      <c r="C503" s="66"/>
      <c r="D503" s="66"/>
      <c r="G503" s="67"/>
      <c r="V503" s="67"/>
    </row>
    <row r="504">
      <c r="A504" s="66"/>
      <c r="B504" s="66"/>
      <c r="C504" s="66"/>
      <c r="D504" s="66"/>
      <c r="G504" s="67"/>
      <c r="V504" s="67"/>
    </row>
    <row r="505">
      <c r="A505" s="66"/>
      <c r="B505" s="66"/>
      <c r="C505" s="66"/>
      <c r="D505" s="66"/>
      <c r="G505" s="67"/>
      <c r="V505" s="67"/>
    </row>
    <row r="506">
      <c r="A506" s="66"/>
      <c r="B506" s="66"/>
      <c r="C506" s="66"/>
      <c r="D506" s="66"/>
      <c r="G506" s="67"/>
      <c r="V506" s="67"/>
    </row>
    <row r="507">
      <c r="A507" s="66"/>
      <c r="B507" s="66"/>
      <c r="C507" s="66"/>
      <c r="D507" s="66"/>
      <c r="G507" s="67"/>
      <c r="V507" s="67"/>
    </row>
    <row r="508">
      <c r="A508" s="66"/>
      <c r="B508" s="66"/>
      <c r="C508" s="66"/>
      <c r="D508" s="66"/>
      <c r="G508" s="67"/>
      <c r="V508" s="67"/>
    </row>
    <row r="509">
      <c r="A509" s="66"/>
      <c r="B509" s="66"/>
      <c r="C509" s="66"/>
      <c r="D509" s="66"/>
      <c r="G509" s="67"/>
      <c r="V509" s="67"/>
    </row>
    <row r="510">
      <c r="A510" s="66"/>
      <c r="B510" s="66"/>
      <c r="C510" s="66"/>
      <c r="D510" s="66"/>
      <c r="G510" s="67"/>
      <c r="V510" s="67"/>
    </row>
    <row r="511">
      <c r="A511" s="66"/>
      <c r="B511" s="66"/>
      <c r="C511" s="66"/>
      <c r="D511" s="66"/>
      <c r="G511" s="67"/>
      <c r="V511" s="67"/>
    </row>
    <row r="512">
      <c r="A512" s="66"/>
      <c r="B512" s="66"/>
      <c r="C512" s="66"/>
      <c r="D512" s="66"/>
      <c r="G512" s="67"/>
      <c r="V512" s="67"/>
    </row>
    <row r="513">
      <c r="A513" s="66"/>
      <c r="B513" s="66"/>
      <c r="C513" s="66"/>
      <c r="D513" s="66"/>
      <c r="G513" s="67"/>
      <c r="V513" s="67"/>
    </row>
    <row r="514">
      <c r="A514" s="66"/>
      <c r="B514" s="66"/>
      <c r="C514" s="66"/>
      <c r="D514" s="66"/>
      <c r="G514" s="67"/>
      <c r="V514" s="67"/>
    </row>
    <row r="515">
      <c r="A515" s="66"/>
      <c r="B515" s="66"/>
      <c r="C515" s="66"/>
      <c r="D515" s="66"/>
      <c r="G515" s="67"/>
      <c r="V515" s="67"/>
    </row>
    <row r="516">
      <c r="A516" s="66"/>
      <c r="B516" s="66"/>
      <c r="C516" s="66"/>
      <c r="D516" s="66"/>
      <c r="G516" s="67"/>
      <c r="V516" s="67"/>
    </row>
    <row r="517">
      <c r="A517" s="66"/>
      <c r="B517" s="66"/>
      <c r="C517" s="66"/>
      <c r="D517" s="66"/>
      <c r="G517" s="67"/>
      <c r="V517" s="67"/>
    </row>
    <row r="518">
      <c r="A518" s="66"/>
      <c r="B518" s="66"/>
      <c r="C518" s="66"/>
      <c r="D518" s="66"/>
      <c r="G518" s="67"/>
      <c r="V518" s="67"/>
    </row>
    <row r="519">
      <c r="A519" s="66"/>
      <c r="B519" s="66"/>
      <c r="C519" s="66"/>
      <c r="D519" s="66"/>
      <c r="G519" s="67"/>
      <c r="V519" s="67"/>
    </row>
    <row r="520">
      <c r="A520" s="66"/>
      <c r="B520" s="66"/>
      <c r="C520" s="66"/>
      <c r="D520" s="66"/>
      <c r="G520" s="67"/>
      <c r="V520" s="67"/>
    </row>
    <row r="521">
      <c r="A521" s="66"/>
      <c r="B521" s="66"/>
      <c r="C521" s="66"/>
      <c r="D521" s="66"/>
      <c r="G521" s="67"/>
      <c r="V521" s="67"/>
    </row>
    <row r="522">
      <c r="A522" s="66"/>
      <c r="B522" s="66"/>
      <c r="C522" s="66"/>
      <c r="D522" s="66"/>
      <c r="G522" s="67"/>
      <c r="V522" s="67"/>
    </row>
    <row r="523">
      <c r="A523" s="66"/>
      <c r="B523" s="66"/>
      <c r="C523" s="66"/>
      <c r="D523" s="66"/>
      <c r="G523" s="67"/>
      <c r="V523" s="67"/>
    </row>
    <row r="524">
      <c r="A524" s="66"/>
      <c r="B524" s="66"/>
      <c r="C524" s="66"/>
      <c r="D524" s="66"/>
      <c r="G524" s="67"/>
      <c r="V524" s="67"/>
    </row>
    <row r="525">
      <c r="A525" s="66"/>
      <c r="B525" s="66"/>
      <c r="C525" s="66"/>
      <c r="D525" s="66"/>
      <c r="G525" s="67"/>
      <c r="V525" s="67"/>
    </row>
    <row r="526">
      <c r="A526" s="66"/>
      <c r="B526" s="66"/>
      <c r="C526" s="66"/>
      <c r="D526" s="66"/>
      <c r="G526" s="67"/>
      <c r="V526" s="67"/>
    </row>
    <row r="527">
      <c r="A527" s="66"/>
      <c r="B527" s="66"/>
      <c r="C527" s="66"/>
      <c r="D527" s="66"/>
      <c r="G527" s="67"/>
      <c r="V527" s="67"/>
    </row>
    <row r="528">
      <c r="A528" s="66"/>
      <c r="B528" s="66"/>
      <c r="C528" s="66"/>
      <c r="D528" s="66"/>
      <c r="G528" s="67"/>
      <c r="V528" s="67"/>
    </row>
    <row r="529">
      <c r="A529" s="66"/>
      <c r="B529" s="66"/>
      <c r="C529" s="66"/>
      <c r="D529" s="66"/>
      <c r="G529" s="67"/>
      <c r="V529" s="67"/>
    </row>
    <row r="530">
      <c r="A530" s="66"/>
      <c r="B530" s="66"/>
      <c r="C530" s="66"/>
      <c r="D530" s="66"/>
      <c r="G530" s="67"/>
      <c r="V530" s="67"/>
    </row>
    <row r="531">
      <c r="A531" s="66"/>
      <c r="B531" s="66"/>
      <c r="C531" s="66"/>
      <c r="D531" s="66"/>
      <c r="G531" s="67"/>
      <c r="V531" s="67"/>
    </row>
    <row r="532">
      <c r="A532" s="66"/>
      <c r="B532" s="66"/>
      <c r="C532" s="66"/>
      <c r="D532" s="66"/>
      <c r="G532" s="67"/>
      <c r="V532" s="67"/>
    </row>
    <row r="533">
      <c r="A533" s="66"/>
      <c r="B533" s="66"/>
      <c r="C533" s="66"/>
      <c r="D533" s="66"/>
      <c r="G533" s="67"/>
      <c r="V533" s="67"/>
    </row>
    <row r="534">
      <c r="A534" s="66"/>
      <c r="B534" s="66"/>
      <c r="C534" s="66"/>
      <c r="D534" s="66"/>
      <c r="G534" s="67"/>
      <c r="V534" s="67"/>
    </row>
    <row r="535">
      <c r="A535" s="66"/>
      <c r="B535" s="66"/>
      <c r="C535" s="66"/>
      <c r="D535" s="66"/>
      <c r="G535" s="67"/>
      <c r="V535" s="67"/>
    </row>
    <row r="536">
      <c r="A536" s="66"/>
      <c r="B536" s="66"/>
      <c r="C536" s="66"/>
      <c r="D536" s="66"/>
      <c r="G536" s="67"/>
      <c r="V536" s="67"/>
    </row>
    <row r="537">
      <c r="A537" s="66"/>
      <c r="B537" s="66"/>
      <c r="C537" s="66"/>
      <c r="D537" s="66"/>
      <c r="G537" s="67"/>
      <c r="V537" s="67"/>
    </row>
    <row r="538">
      <c r="A538" s="66"/>
      <c r="B538" s="66"/>
      <c r="C538" s="66"/>
      <c r="D538" s="66"/>
      <c r="G538" s="67"/>
      <c r="V538" s="67"/>
    </row>
    <row r="539">
      <c r="A539" s="66"/>
      <c r="B539" s="66"/>
      <c r="C539" s="66"/>
      <c r="D539" s="66"/>
      <c r="G539" s="67"/>
      <c r="V539" s="67"/>
    </row>
    <row r="540">
      <c r="A540" s="66"/>
      <c r="B540" s="66"/>
      <c r="C540" s="66"/>
      <c r="D540" s="66"/>
      <c r="G540" s="67"/>
      <c r="V540" s="67"/>
    </row>
    <row r="541">
      <c r="A541" s="66"/>
      <c r="B541" s="66"/>
      <c r="C541" s="66"/>
      <c r="D541" s="66"/>
      <c r="G541" s="67"/>
      <c r="V541" s="67"/>
    </row>
    <row r="542">
      <c r="A542" s="66"/>
      <c r="B542" s="66"/>
      <c r="C542" s="66"/>
      <c r="D542" s="66"/>
      <c r="G542" s="67"/>
      <c r="V542" s="67"/>
    </row>
    <row r="543">
      <c r="A543" s="66"/>
      <c r="B543" s="66"/>
      <c r="C543" s="66"/>
      <c r="D543" s="66"/>
      <c r="G543" s="67"/>
      <c r="V543" s="67"/>
    </row>
    <row r="544">
      <c r="A544" s="66"/>
      <c r="B544" s="66"/>
      <c r="C544" s="66"/>
      <c r="D544" s="66"/>
      <c r="G544" s="67"/>
      <c r="V544" s="67"/>
    </row>
    <row r="545">
      <c r="A545" s="66"/>
      <c r="B545" s="66"/>
      <c r="C545" s="66"/>
      <c r="D545" s="66"/>
      <c r="G545" s="67"/>
      <c r="V545" s="67"/>
    </row>
    <row r="546">
      <c r="A546" s="66"/>
      <c r="B546" s="66"/>
      <c r="C546" s="66"/>
      <c r="D546" s="66"/>
      <c r="G546" s="67"/>
      <c r="V546" s="67"/>
    </row>
    <row r="547">
      <c r="A547" s="66"/>
      <c r="B547" s="66"/>
      <c r="C547" s="66"/>
      <c r="D547" s="66"/>
      <c r="G547" s="67"/>
      <c r="V547" s="67"/>
    </row>
    <row r="548">
      <c r="A548" s="66"/>
      <c r="B548" s="66"/>
      <c r="C548" s="66"/>
      <c r="D548" s="66"/>
      <c r="G548" s="67"/>
      <c r="V548" s="67"/>
    </row>
    <row r="549">
      <c r="A549" s="66"/>
      <c r="B549" s="66"/>
      <c r="C549" s="66"/>
      <c r="D549" s="66"/>
      <c r="G549" s="67"/>
      <c r="V549" s="67"/>
    </row>
    <row r="550">
      <c r="A550" s="66"/>
      <c r="B550" s="66"/>
      <c r="C550" s="66"/>
      <c r="D550" s="66"/>
      <c r="G550" s="67"/>
      <c r="V550" s="67"/>
    </row>
    <row r="551">
      <c r="A551" s="66"/>
      <c r="B551" s="66"/>
      <c r="C551" s="66"/>
      <c r="D551" s="66"/>
      <c r="G551" s="67"/>
      <c r="V551" s="67"/>
    </row>
    <row r="552">
      <c r="A552" s="66"/>
      <c r="B552" s="66"/>
      <c r="C552" s="66"/>
      <c r="D552" s="66"/>
      <c r="G552" s="67"/>
      <c r="V552" s="67"/>
    </row>
    <row r="553">
      <c r="A553" s="66"/>
      <c r="B553" s="66"/>
      <c r="C553" s="66"/>
      <c r="D553" s="66"/>
      <c r="G553" s="67"/>
      <c r="V553" s="67"/>
    </row>
    <row r="554">
      <c r="A554" s="66"/>
      <c r="B554" s="66"/>
      <c r="C554" s="66"/>
      <c r="D554" s="66"/>
      <c r="G554" s="67"/>
      <c r="V554" s="67"/>
    </row>
    <row r="555">
      <c r="A555" s="66"/>
      <c r="B555" s="66"/>
      <c r="C555" s="66"/>
      <c r="D555" s="66"/>
      <c r="G555" s="67"/>
      <c r="V555" s="67"/>
    </row>
    <row r="556">
      <c r="A556" s="66"/>
      <c r="B556" s="66"/>
      <c r="C556" s="66"/>
      <c r="D556" s="66"/>
      <c r="G556" s="67"/>
      <c r="V556" s="67"/>
    </row>
    <row r="557">
      <c r="A557" s="66"/>
      <c r="B557" s="66"/>
      <c r="C557" s="66"/>
      <c r="D557" s="66"/>
      <c r="G557" s="67"/>
      <c r="V557" s="67"/>
    </row>
    <row r="558">
      <c r="A558" s="66"/>
      <c r="B558" s="66"/>
      <c r="C558" s="66"/>
      <c r="D558" s="66"/>
      <c r="G558" s="67"/>
      <c r="V558" s="67"/>
    </row>
    <row r="559">
      <c r="A559" s="66"/>
      <c r="B559" s="66"/>
      <c r="C559" s="66"/>
      <c r="D559" s="66"/>
      <c r="G559" s="67"/>
      <c r="V559" s="67"/>
    </row>
    <row r="560">
      <c r="A560" s="66"/>
      <c r="B560" s="66"/>
      <c r="C560" s="66"/>
      <c r="D560" s="66"/>
      <c r="G560" s="67"/>
      <c r="V560" s="67"/>
    </row>
    <row r="561">
      <c r="A561" s="66"/>
      <c r="B561" s="66"/>
      <c r="C561" s="66"/>
      <c r="D561" s="66"/>
      <c r="G561" s="67"/>
      <c r="V561" s="67"/>
    </row>
    <row r="562">
      <c r="A562" s="66"/>
      <c r="B562" s="66"/>
      <c r="C562" s="66"/>
      <c r="D562" s="66"/>
      <c r="G562" s="67"/>
      <c r="V562" s="67"/>
    </row>
    <row r="563">
      <c r="A563" s="66"/>
      <c r="B563" s="66"/>
      <c r="C563" s="66"/>
      <c r="D563" s="66"/>
      <c r="G563" s="67"/>
      <c r="V563" s="67"/>
    </row>
    <row r="564">
      <c r="A564" s="66"/>
      <c r="B564" s="66"/>
      <c r="C564" s="66"/>
      <c r="D564" s="66"/>
      <c r="G564" s="67"/>
      <c r="V564" s="67"/>
    </row>
    <row r="565">
      <c r="A565" s="66"/>
      <c r="B565" s="66"/>
      <c r="C565" s="66"/>
      <c r="D565" s="66"/>
      <c r="G565" s="67"/>
      <c r="V565" s="67"/>
    </row>
    <row r="566">
      <c r="A566" s="66"/>
      <c r="B566" s="66"/>
      <c r="C566" s="66"/>
      <c r="D566" s="66"/>
      <c r="G566" s="67"/>
      <c r="V566" s="67"/>
    </row>
    <row r="567">
      <c r="A567" s="66"/>
      <c r="B567" s="66"/>
      <c r="C567" s="66"/>
      <c r="D567" s="66"/>
      <c r="G567" s="67"/>
      <c r="V567" s="67"/>
    </row>
    <row r="568">
      <c r="A568" s="66"/>
      <c r="B568" s="66"/>
      <c r="C568" s="66"/>
      <c r="D568" s="66"/>
      <c r="G568" s="67"/>
      <c r="V568" s="67"/>
    </row>
    <row r="569">
      <c r="A569" s="66"/>
      <c r="B569" s="66"/>
      <c r="C569" s="66"/>
      <c r="D569" s="66"/>
      <c r="G569" s="67"/>
      <c r="V569" s="67"/>
    </row>
    <row r="570">
      <c r="A570" s="66"/>
      <c r="B570" s="66"/>
      <c r="C570" s="66"/>
      <c r="D570" s="66"/>
      <c r="G570" s="67"/>
      <c r="V570" s="67"/>
    </row>
    <row r="571">
      <c r="A571" s="66"/>
      <c r="B571" s="66"/>
      <c r="C571" s="66"/>
      <c r="D571" s="66"/>
      <c r="G571" s="67"/>
      <c r="V571" s="67"/>
    </row>
    <row r="572">
      <c r="A572" s="66"/>
      <c r="B572" s="66"/>
      <c r="C572" s="66"/>
      <c r="D572" s="66"/>
      <c r="G572" s="67"/>
      <c r="V572" s="67"/>
    </row>
    <row r="573">
      <c r="A573" s="66"/>
      <c r="B573" s="66"/>
      <c r="C573" s="66"/>
      <c r="D573" s="66"/>
      <c r="G573" s="67"/>
      <c r="V573" s="67"/>
    </row>
    <row r="574">
      <c r="A574" s="66"/>
      <c r="B574" s="66"/>
      <c r="C574" s="66"/>
      <c r="D574" s="66"/>
      <c r="G574" s="67"/>
      <c r="V574" s="67"/>
    </row>
    <row r="575">
      <c r="A575" s="66"/>
      <c r="B575" s="66"/>
      <c r="C575" s="66"/>
      <c r="D575" s="66"/>
      <c r="G575" s="67"/>
      <c r="V575" s="67"/>
    </row>
    <row r="576">
      <c r="A576" s="66"/>
      <c r="B576" s="66"/>
      <c r="C576" s="66"/>
      <c r="D576" s="66"/>
      <c r="G576" s="67"/>
      <c r="V576" s="67"/>
    </row>
    <row r="577">
      <c r="A577" s="66"/>
      <c r="B577" s="66"/>
      <c r="C577" s="66"/>
      <c r="D577" s="66"/>
      <c r="G577" s="67"/>
      <c r="V577" s="67"/>
    </row>
    <row r="578">
      <c r="A578" s="66"/>
      <c r="B578" s="66"/>
      <c r="C578" s="66"/>
      <c r="D578" s="66"/>
      <c r="G578" s="67"/>
      <c r="V578" s="67"/>
    </row>
    <row r="579">
      <c r="A579" s="66"/>
      <c r="B579" s="66"/>
      <c r="C579" s="66"/>
      <c r="D579" s="66"/>
      <c r="G579" s="67"/>
      <c r="V579" s="67"/>
    </row>
    <row r="580">
      <c r="A580" s="66"/>
      <c r="B580" s="66"/>
      <c r="C580" s="66"/>
      <c r="D580" s="66"/>
      <c r="G580" s="67"/>
      <c r="V580" s="67"/>
    </row>
    <row r="581">
      <c r="A581" s="66"/>
      <c r="B581" s="66"/>
      <c r="C581" s="66"/>
      <c r="D581" s="66"/>
      <c r="G581" s="67"/>
      <c r="V581" s="67"/>
    </row>
    <row r="582">
      <c r="A582" s="66"/>
      <c r="B582" s="66"/>
      <c r="C582" s="66"/>
      <c r="D582" s="66"/>
      <c r="G582" s="67"/>
      <c r="V582" s="67"/>
    </row>
    <row r="583">
      <c r="A583" s="66"/>
      <c r="B583" s="66"/>
      <c r="C583" s="66"/>
      <c r="D583" s="66"/>
      <c r="G583" s="67"/>
      <c r="V583" s="67"/>
    </row>
    <row r="584">
      <c r="A584" s="66"/>
      <c r="B584" s="66"/>
      <c r="C584" s="66"/>
      <c r="D584" s="66"/>
      <c r="G584" s="67"/>
      <c r="V584" s="67"/>
    </row>
    <row r="585">
      <c r="A585" s="66"/>
      <c r="B585" s="66"/>
      <c r="C585" s="66"/>
      <c r="D585" s="66"/>
      <c r="G585" s="67"/>
      <c r="V585" s="67"/>
    </row>
    <row r="586">
      <c r="A586" s="66"/>
      <c r="B586" s="66"/>
      <c r="C586" s="66"/>
      <c r="D586" s="66"/>
      <c r="G586" s="67"/>
      <c r="V586" s="67"/>
    </row>
    <row r="587">
      <c r="A587" s="66"/>
      <c r="B587" s="66"/>
      <c r="C587" s="66"/>
      <c r="D587" s="66"/>
      <c r="G587" s="67"/>
      <c r="V587" s="67"/>
    </row>
    <row r="588">
      <c r="A588" s="66"/>
      <c r="B588" s="66"/>
      <c r="C588" s="66"/>
      <c r="D588" s="66"/>
      <c r="G588" s="67"/>
      <c r="V588" s="67"/>
    </row>
    <row r="589">
      <c r="A589" s="66"/>
      <c r="B589" s="66"/>
      <c r="C589" s="66"/>
      <c r="D589" s="66"/>
      <c r="G589" s="67"/>
      <c r="V589" s="67"/>
    </row>
    <row r="590">
      <c r="A590" s="66"/>
      <c r="B590" s="66"/>
      <c r="C590" s="66"/>
      <c r="D590" s="66"/>
      <c r="G590" s="67"/>
      <c r="V590" s="67"/>
    </row>
    <row r="591">
      <c r="A591" s="66"/>
      <c r="B591" s="66"/>
      <c r="C591" s="66"/>
      <c r="D591" s="66"/>
      <c r="G591" s="67"/>
      <c r="V591" s="67"/>
    </row>
    <row r="592">
      <c r="A592" s="66"/>
      <c r="B592" s="66"/>
      <c r="C592" s="66"/>
      <c r="D592" s="66"/>
      <c r="G592" s="67"/>
      <c r="V592" s="67"/>
    </row>
    <row r="593">
      <c r="A593" s="66"/>
      <c r="B593" s="66"/>
      <c r="C593" s="66"/>
      <c r="D593" s="66"/>
      <c r="G593" s="67"/>
      <c r="V593" s="67"/>
    </row>
    <row r="594">
      <c r="A594" s="66"/>
      <c r="B594" s="66"/>
      <c r="C594" s="66"/>
      <c r="D594" s="66"/>
      <c r="G594" s="67"/>
      <c r="V594" s="67"/>
    </row>
    <row r="595">
      <c r="A595" s="66"/>
      <c r="B595" s="66"/>
      <c r="C595" s="66"/>
      <c r="D595" s="66"/>
      <c r="G595" s="67"/>
      <c r="V595" s="67"/>
    </row>
    <row r="596">
      <c r="A596" s="66"/>
      <c r="B596" s="66"/>
      <c r="C596" s="66"/>
      <c r="D596" s="66"/>
      <c r="G596" s="67"/>
      <c r="V596" s="67"/>
    </row>
    <row r="597">
      <c r="A597" s="66"/>
      <c r="B597" s="66"/>
      <c r="C597" s="66"/>
      <c r="D597" s="66"/>
      <c r="G597" s="67"/>
      <c r="V597" s="67"/>
    </row>
    <row r="598">
      <c r="A598" s="66"/>
      <c r="B598" s="66"/>
      <c r="C598" s="66"/>
      <c r="D598" s="66"/>
      <c r="G598" s="67"/>
      <c r="V598" s="67"/>
    </row>
    <row r="599">
      <c r="A599" s="66"/>
      <c r="B599" s="66"/>
      <c r="C599" s="66"/>
      <c r="D599" s="66"/>
      <c r="G599" s="67"/>
      <c r="V599" s="67"/>
    </row>
    <row r="600">
      <c r="A600" s="66"/>
      <c r="B600" s="66"/>
      <c r="C600" s="66"/>
      <c r="D600" s="66"/>
      <c r="G600" s="67"/>
      <c r="V600" s="67"/>
    </row>
    <row r="601">
      <c r="A601" s="66"/>
      <c r="B601" s="66"/>
      <c r="C601" s="66"/>
      <c r="D601" s="66"/>
      <c r="G601" s="67"/>
      <c r="V601" s="67"/>
    </row>
    <row r="602">
      <c r="A602" s="66"/>
      <c r="B602" s="66"/>
      <c r="C602" s="66"/>
      <c r="D602" s="66"/>
      <c r="G602" s="67"/>
      <c r="V602" s="67"/>
    </row>
    <row r="603">
      <c r="A603" s="66"/>
      <c r="B603" s="66"/>
      <c r="C603" s="66"/>
      <c r="D603" s="66"/>
      <c r="G603" s="67"/>
      <c r="V603" s="67"/>
    </row>
    <row r="604">
      <c r="A604" s="66"/>
      <c r="B604" s="66"/>
      <c r="C604" s="66"/>
      <c r="D604" s="66"/>
      <c r="G604" s="67"/>
      <c r="V604" s="67"/>
    </row>
    <row r="605">
      <c r="A605" s="66"/>
      <c r="B605" s="66"/>
      <c r="C605" s="66"/>
      <c r="D605" s="66"/>
      <c r="G605" s="67"/>
      <c r="V605" s="67"/>
    </row>
    <row r="606">
      <c r="A606" s="66"/>
      <c r="B606" s="66"/>
      <c r="C606" s="66"/>
      <c r="D606" s="66"/>
      <c r="G606" s="67"/>
      <c r="V606" s="67"/>
    </row>
    <row r="607">
      <c r="A607" s="66"/>
      <c r="B607" s="66"/>
      <c r="C607" s="66"/>
      <c r="D607" s="66"/>
      <c r="G607" s="67"/>
      <c r="V607" s="67"/>
    </row>
    <row r="608">
      <c r="A608" s="66"/>
      <c r="B608" s="66"/>
      <c r="C608" s="66"/>
      <c r="D608" s="66"/>
      <c r="G608" s="67"/>
      <c r="V608" s="67"/>
    </row>
    <row r="609">
      <c r="A609" s="66"/>
      <c r="B609" s="66"/>
      <c r="C609" s="66"/>
      <c r="D609" s="66"/>
      <c r="G609" s="67"/>
      <c r="V609" s="67"/>
    </row>
    <row r="610">
      <c r="A610" s="66"/>
      <c r="B610" s="66"/>
      <c r="C610" s="66"/>
      <c r="D610" s="66"/>
      <c r="G610" s="67"/>
      <c r="V610" s="67"/>
    </row>
    <row r="611">
      <c r="A611" s="66"/>
      <c r="B611" s="66"/>
      <c r="C611" s="66"/>
      <c r="D611" s="66"/>
      <c r="G611" s="67"/>
      <c r="V611" s="67"/>
    </row>
    <row r="612">
      <c r="A612" s="66"/>
      <c r="B612" s="66"/>
      <c r="C612" s="66"/>
      <c r="D612" s="66"/>
      <c r="G612" s="67"/>
      <c r="V612" s="67"/>
    </row>
    <row r="613">
      <c r="A613" s="66"/>
      <c r="B613" s="66"/>
      <c r="C613" s="66"/>
      <c r="D613" s="66"/>
      <c r="G613" s="67"/>
      <c r="V613" s="67"/>
    </row>
    <row r="614">
      <c r="A614" s="66"/>
      <c r="B614" s="66"/>
      <c r="C614" s="66"/>
      <c r="D614" s="66"/>
      <c r="G614" s="67"/>
      <c r="V614" s="67"/>
    </row>
    <row r="615">
      <c r="A615" s="66"/>
      <c r="B615" s="66"/>
      <c r="C615" s="66"/>
      <c r="D615" s="66"/>
      <c r="G615" s="67"/>
      <c r="V615" s="67"/>
    </row>
    <row r="616">
      <c r="A616" s="66"/>
      <c r="B616" s="66"/>
      <c r="C616" s="66"/>
      <c r="D616" s="66"/>
      <c r="G616" s="67"/>
      <c r="V616" s="67"/>
    </row>
    <row r="617">
      <c r="A617" s="66"/>
      <c r="B617" s="66"/>
      <c r="C617" s="66"/>
      <c r="D617" s="66"/>
      <c r="G617" s="67"/>
      <c r="V617" s="67"/>
    </row>
    <row r="618">
      <c r="A618" s="66"/>
      <c r="B618" s="66"/>
      <c r="C618" s="66"/>
      <c r="D618" s="66"/>
      <c r="G618" s="67"/>
      <c r="V618" s="67"/>
    </row>
    <row r="619">
      <c r="A619" s="66"/>
      <c r="B619" s="66"/>
      <c r="C619" s="66"/>
      <c r="D619" s="66"/>
      <c r="G619" s="67"/>
      <c r="V619" s="67"/>
    </row>
    <row r="620">
      <c r="A620" s="66"/>
      <c r="B620" s="66"/>
      <c r="C620" s="66"/>
      <c r="D620" s="66"/>
      <c r="G620" s="67"/>
      <c r="V620" s="67"/>
    </row>
    <row r="621">
      <c r="A621" s="66"/>
      <c r="B621" s="66"/>
      <c r="C621" s="66"/>
      <c r="D621" s="66"/>
      <c r="G621" s="67"/>
      <c r="V621" s="67"/>
    </row>
    <row r="622">
      <c r="A622" s="66"/>
      <c r="B622" s="66"/>
      <c r="C622" s="66"/>
      <c r="D622" s="66"/>
      <c r="G622" s="67"/>
      <c r="V622" s="67"/>
    </row>
    <row r="623">
      <c r="A623" s="66"/>
      <c r="B623" s="66"/>
      <c r="C623" s="66"/>
      <c r="D623" s="66"/>
      <c r="G623" s="67"/>
      <c r="V623" s="67"/>
    </row>
    <row r="624">
      <c r="A624" s="66"/>
      <c r="B624" s="66"/>
      <c r="C624" s="66"/>
      <c r="D624" s="66"/>
      <c r="G624" s="67"/>
      <c r="V624" s="67"/>
    </row>
    <row r="625">
      <c r="A625" s="66"/>
      <c r="B625" s="66"/>
      <c r="C625" s="66"/>
      <c r="D625" s="66"/>
      <c r="G625" s="67"/>
      <c r="V625" s="67"/>
    </row>
    <row r="626">
      <c r="A626" s="66"/>
      <c r="B626" s="66"/>
      <c r="C626" s="66"/>
      <c r="D626" s="66"/>
      <c r="G626" s="67"/>
      <c r="V626" s="67"/>
    </row>
    <row r="627">
      <c r="A627" s="66"/>
      <c r="B627" s="66"/>
      <c r="C627" s="66"/>
      <c r="D627" s="66"/>
      <c r="G627" s="67"/>
      <c r="V627" s="67"/>
    </row>
    <row r="628">
      <c r="A628" s="66"/>
      <c r="B628" s="66"/>
      <c r="C628" s="66"/>
      <c r="D628" s="66"/>
      <c r="G628" s="67"/>
      <c r="V628" s="67"/>
    </row>
    <row r="629">
      <c r="A629" s="66"/>
      <c r="B629" s="66"/>
      <c r="C629" s="66"/>
      <c r="D629" s="66"/>
      <c r="G629" s="67"/>
      <c r="V629" s="67"/>
    </row>
    <row r="630">
      <c r="A630" s="66"/>
      <c r="B630" s="66"/>
      <c r="C630" s="66"/>
      <c r="D630" s="66"/>
      <c r="G630" s="67"/>
      <c r="V630" s="67"/>
    </row>
    <row r="631">
      <c r="A631" s="66"/>
      <c r="B631" s="66"/>
      <c r="C631" s="66"/>
      <c r="D631" s="66"/>
      <c r="G631" s="67"/>
      <c r="V631" s="67"/>
    </row>
    <row r="632">
      <c r="A632" s="66"/>
      <c r="B632" s="66"/>
      <c r="C632" s="66"/>
      <c r="D632" s="66"/>
      <c r="G632" s="67"/>
      <c r="V632" s="67"/>
    </row>
    <row r="633">
      <c r="A633" s="66"/>
      <c r="B633" s="66"/>
      <c r="C633" s="66"/>
      <c r="D633" s="66"/>
      <c r="G633" s="67"/>
      <c r="V633" s="67"/>
    </row>
    <row r="634">
      <c r="A634" s="66"/>
      <c r="B634" s="66"/>
      <c r="C634" s="66"/>
      <c r="D634" s="66"/>
      <c r="G634" s="67"/>
      <c r="V634" s="67"/>
    </row>
    <row r="635">
      <c r="A635" s="66"/>
      <c r="B635" s="66"/>
      <c r="C635" s="66"/>
      <c r="D635" s="66"/>
      <c r="G635" s="67"/>
      <c r="V635" s="67"/>
    </row>
    <row r="636">
      <c r="A636" s="66"/>
      <c r="B636" s="66"/>
      <c r="C636" s="66"/>
      <c r="D636" s="66"/>
      <c r="G636" s="67"/>
      <c r="V636" s="67"/>
    </row>
    <row r="637">
      <c r="A637" s="66"/>
      <c r="B637" s="66"/>
      <c r="C637" s="66"/>
      <c r="D637" s="66"/>
      <c r="G637" s="67"/>
      <c r="V637" s="67"/>
    </row>
    <row r="638">
      <c r="A638" s="66"/>
      <c r="B638" s="66"/>
      <c r="C638" s="66"/>
      <c r="D638" s="66"/>
      <c r="G638" s="67"/>
      <c r="V638" s="67"/>
    </row>
    <row r="639">
      <c r="A639" s="66"/>
      <c r="B639" s="66"/>
      <c r="C639" s="66"/>
      <c r="D639" s="66"/>
      <c r="G639" s="67"/>
      <c r="V639" s="67"/>
    </row>
    <row r="640">
      <c r="A640" s="66"/>
      <c r="B640" s="66"/>
      <c r="C640" s="66"/>
      <c r="D640" s="66"/>
      <c r="G640" s="67"/>
      <c r="V640" s="67"/>
    </row>
    <row r="641">
      <c r="A641" s="66"/>
      <c r="B641" s="66"/>
      <c r="C641" s="66"/>
      <c r="D641" s="66"/>
      <c r="G641" s="67"/>
      <c r="V641" s="67"/>
    </row>
    <row r="642">
      <c r="A642" s="66"/>
      <c r="B642" s="66"/>
      <c r="C642" s="66"/>
      <c r="D642" s="66"/>
      <c r="G642" s="67"/>
      <c r="V642" s="67"/>
    </row>
    <row r="643">
      <c r="A643" s="66"/>
      <c r="B643" s="66"/>
      <c r="C643" s="66"/>
      <c r="D643" s="66"/>
      <c r="G643" s="67"/>
      <c r="V643" s="67"/>
    </row>
    <row r="644">
      <c r="A644" s="66"/>
      <c r="B644" s="66"/>
      <c r="C644" s="66"/>
      <c r="D644" s="66"/>
      <c r="G644" s="67"/>
      <c r="V644" s="67"/>
    </row>
    <row r="645">
      <c r="A645" s="66"/>
      <c r="B645" s="66"/>
      <c r="C645" s="66"/>
      <c r="D645" s="66"/>
      <c r="G645" s="67"/>
      <c r="V645" s="67"/>
    </row>
    <row r="646">
      <c r="A646" s="66"/>
      <c r="B646" s="66"/>
      <c r="C646" s="66"/>
      <c r="D646" s="66"/>
      <c r="G646" s="67"/>
      <c r="V646" s="67"/>
    </row>
    <row r="647">
      <c r="A647" s="66"/>
      <c r="B647" s="66"/>
      <c r="C647" s="66"/>
      <c r="D647" s="66"/>
      <c r="G647" s="67"/>
      <c r="V647" s="67"/>
    </row>
    <row r="648">
      <c r="A648" s="66"/>
      <c r="B648" s="66"/>
      <c r="C648" s="66"/>
      <c r="D648" s="66"/>
      <c r="G648" s="67"/>
      <c r="V648" s="67"/>
    </row>
    <row r="649">
      <c r="A649" s="66"/>
      <c r="B649" s="66"/>
      <c r="C649" s="66"/>
      <c r="D649" s="66"/>
      <c r="G649" s="67"/>
      <c r="V649" s="67"/>
    </row>
    <row r="650">
      <c r="A650" s="66"/>
      <c r="B650" s="66"/>
      <c r="C650" s="66"/>
      <c r="D650" s="66"/>
      <c r="G650" s="67"/>
      <c r="V650" s="67"/>
    </row>
    <row r="651">
      <c r="A651" s="66"/>
      <c r="B651" s="66"/>
      <c r="C651" s="66"/>
      <c r="D651" s="66"/>
      <c r="G651" s="67"/>
      <c r="V651" s="67"/>
    </row>
    <row r="652">
      <c r="A652" s="66"/>
      <c r="B652" s="66"/>
      <c r="C652" s="66"/>
      <c r="D652" s="66"/>
      <c r="G652" s="67"/>
      <c r="V652" s="67"/>
    </row>
    <row r="653">
      <c r="A653" s="66"/>
      <c r="B653" s="66"/>
      <c r="C653" s="66"/>
      <c r="D653" s="66"/>
      <c r="G653" s="67"/>
      <c r="V653" s="67"/>
    </row>
    <row r="654">
      <c r="A654" s="66"/>
      <c r="B654" s="66"/>
      <c r="C654" s="66"/>
      <c r="D654" s="66"/>
      <c r="G654" s="67"/>
      <c r="V654" s="67"/>
    </row>
    <row r="655">
      <c r="A655" s="66"/>
      <c r="B655" s="66"/>
      <c r="C655" s="66"/>
      <c r="D655" s="66"/>
      <c r="G655" s="67"/>
      <c r="V655" s="67"/>
    </row>
    <row r="656">
      <c r="A656" s="66"/>
      <c r="B656" s="66"/>
      <c r="C656" s="66"/>
      <c r="D656" s="66"/>
      <c r="G656" s="67"/>
      <c r="V656" s="67"/>
    </row>
    <row r="657">
      <c r="A657" s="66"/>
      <c r="B657" s="66"/>
      <c r="C657" s="66"/>
      <c r="D657" s="66"/>
      <c r="G657" s="67"/>
      <c r="V657" s="67"/>
    </row>
    <row r="658">
      <c r="A658" s="66"/>
      <c r="B658" s="66"/>
      <c r="C658" s="66"/>
      <c r="D658" s="66"/>
      <c r="G658" s="67"/>
      <c r="V658" s="67"/>
    </row>
    <row r="659">
      <c r="A659" s="66"/>
      <c r="B659" s="66"/>
      <c r="C659" s="66"/>
      <c r="D659" s="66"/>
      <c r="G659" s="67"/>
      <c r="V659" s="67"/>
    </row>
    <row r="660">
      <c r="A660" s="66"/>
      <c r="B660" s="66"/>
      <c r="C660" s="66"/>
      <c r="D660" s="66"/>
      <c r="G660" s="67"/>
      <c r="V660" s="67"/>
    </row>
    <row r="661">
      <c r="A661" s="66"/>
      <c r="B661" s="66"/>
      <c r="C661" s="66"/>
      <c r="D661" s="66"/>
      <c r="G661" s="67"/>
      <c r="V661" s="67"/>
    </row>
    <row r="662">
      <c r="A662" s="66"/>
      <c r="B662" s="66"/>
      <c r="C662" s="66"/>
      <c r="D662" s="66"/>
      <c r="G662" s="67"/>
      <c r="V662" s="67"/>
    </row>
    <row r="663">
      <c r="A663" s="66"/>
      <c r="B663" s="66"/>
      <c r="C663" s="66"/>
      <c r="D663" s="66"/>
      <c r="G663" s="67"/>
      <c r="V663" s="67"/>
    </row>
    <row r="664">
      <c r="A664" s="66"/>
      <c r="B664" s="66"/>
      <c r="C664" s="66"/>
      <c r="D664" s="66"/>
      <c r="G664" s="67"/>
      <c r="V664" s="67"/>
    </row>
    <row r="665">
      <c r="A665" s="66"/>
      <c r="B665" s="66"/>
      <c r="C665" s="66"/>
      <c r="D665" s="66"/>
      <c r="G665" s="67"/>
      <c r="V665" s="67"/>
    </row>
    <row r="666">
      <c r="A666" s="66"/>
      <c r="B666" s="66"/>
      <c r="C666" s="66"/>
      <c r="D666" s="66"/>
      <c r="G666" s="67"/>
      <c r="V666" s="67"/>
    </row>
    <row r="667">
      <c r="A667" s="66"/>
      <c r="B667" s="66"/>
      <c r="C667" s="66"/>
      <c r="D667" s="66"/>
      <c r="G667" s="67"/>
      <c r="V667" s="67"/>
    </row>
    <row r="668">
      <c r="A668" s="66"/>
      <c r="B668" s="66"/>
      <c r="C668" s="66"/>
      <c r="D668" s="66"/>
      <c r="G668" s="67"/>
      <c r="V668" s="67"/>
    </row>
    <row r="669">
      <c r="A669" s="66"/>
      <c r="B669" s="66"/>
      <c r="C669" s="66"/>
      <c r="D669" s="66"/>
      <c r="G669" s="67"/>
      <c r="V669" s="67"/>
    </row>
    <row r="670">
      <c r="A670" s="66"/>
      <c r="B670" s="66"/>
      <c r="C670" s="66"/>
      <c r="D670" s="66"/>
      <c r="G670" s="67"/>
      <c r="V670" s="67"/>
    </row>
    <row r="671">
      <c r="A671" s="66"/>
      <c r="B671" s="66"/>
      <c r="C671" s="66"/>
      <c r="D671" s="66"/>
      <c r="G671" s="67"/>
      <c r="V671" s="67"/>
    </row>
    <row r="672">
      <c r="A672" s="66"/>
      <c r="B672" s="66"/>
      <c r="C672" s="66"/>
      <c r="D672" s="66"/>
      <c r="G672" s="67"/>
      <c r="V672" s="67"/>
    </row>
    <row r="673">
      <c r="A673" s="66"/>
      <c r="B673" s="66"/>
      <c r="C673" s="66"/>
      <c r="D673" s="66"/>
      <c r="G673" s="67"/>
      <c r="V673" s="67"/>
    </row>
    <row r="674">
      <c r="A674" s="66"/>
      <c r="B674" s="66"/>
      <c r="C674" s="66"/>
      <c r="D674" s="66"/>
      <c r="G674" s="67"/>
      <c r="V674" s="67"/>
    </row>
    <row r="675">
      <c r="A675" s="66"/>
      <c r="B675" s="66"/>
      <c r="C675" s="66"/>
      <c r="D675" s="66"/>
      <c r="G675" s="67"/>
      <c r="V675" s="67"/>
    </row>
    <row r="676">
      <c r="A676" s="66"/>
      <c r="B676" s="66"/>
      <c r="C676" s="66"/>
      <c r="D676" s="66"/>
      <c r="G676" s="67"/>
      <c r="V676" s="67"/>
    </row>
    <row r="677">
      <c r="A677" s="66"/>
      <c r="B677" s="66"/>
      <c r="C677" s="66"/>
      <c r="D677" s="66"/>
      <c r="G677" s="67"/>
      <c r="V677" s="67"/>
    </row>
    <row r="678">
      <c r="A678" s="66"/>
      <c r="B678" s="66"/>
      <c r="C678" s="66"/>
      <c r="D678" s="66"/>
      <c r="G678" s="67"/>
      <c r="V678" s="67"/>
    </row>
    <row r="679">
      <c r="A679" s="66"/>
      <c r="B679" s="66"/>
      <c r="C679" s="66"/>
      <c r="D679" s="66"/>
      <c r="G679" s="67"/>
      <c r="V679" s="67"/>
    </row>
    <row r="680">
      <c r="A680" s="66"/>
      <c r="B680" s="66"/>
      <c r="C680" s="66"/>
      <c r="D680" s="66"/>
      <c r="G680" s="67"/>
      <c r="V680" s="67"/>
    </row>
    <row r="681">
      <c r="A681" s="66"/>
      <c r="B681" s="66"/>
      <c r="C681" s="66"/>
      <c r="D681" s="66"/>
      <c r="G681" s="67"/>
      <c r="V681" s="67"/>
    </row>
    <row r="682">
      <c r="A682" s="66"/>
      <c r="B682" s="66"/>
      <c r="C682" s="66"/>
      <c r="D682" s="66"/>
      <c r="G682" s="67"/>
      <c r="V682" s="67"/>
    </row>
    <row r="683">
      <c r="A683" s="66"/>
      <c r="B683" s="66"/>
      <c r="C683" s="66"/>
      <c r="D683" s="66"/>
      <c r="G683" s="67"/>
      <c r="V683" s="67"/>
    </row>
    <row r="684">
      <c r="A684" s="66"/>
      <c r="B684" s="66"/>
      <c r="C684" s="66"/>
      <c r="D684" s="66"/>
      <c r="G684" s="67"/>
      <c r="V684" s="67"/>
    </row>
    <row r="685">
      <c r="A685" s="66"/>
      <c r="B685" s="66"/>
      <c r="C685" s="66"/>
      <c r="D685" s="66"/>
      <c r="G685" s="67"/>
      <c r="V685" s="67"/>
    </row>
    <row r="686">
      <c r="A686" s="66"/>
      <c r="B686" s="66"/>
      <c r="C686" s="66"/>
      <c r="D686" s="66"/>
      <c r="G686" s="67"/>
      <c r="V686" s="67"/>
    </row>
    <row r="687">
      <c r="A687" s="66"/>
      <c r="B687" s="66"/>
      <c r="C687" s="66"/>
      <c r="D687" s="66"/>
      <c r="G687" s="67"/>
      <c r="V687" s="67"/>
    </row>
    <row r="688">
      <c r="A688" s="66"/>
      <c r="B688" s="66"/>
      <c r="C688" s="66"/>
      <c r="D688" s="66"/>
      <c r="G688" s="67"/>
      <c r="V688" s="67"/>
    </row>
    <row r="689">
      <c r="A689" s="66"/>
      <c r="B689" s="66"/>
      <c r="C689" s="66"/>
      <c r="D689" s="66"/>
      <c r="G689" s="67"/>
      <c r="V689" s="67"/>
    </row>
    <row r="690">
      <c r="A690" s="66"/>
      <c r="B690" s="66"/>
      <c r="C690" s="66"/>
      <c r="D690" s="66"/>
      <c r="G690" s="67"/>
      <c r="V690" s="67"/>
    </row>
    <row r="691">
      <c r="A691" s="66"/>
      <c r="B691" s="66"/>
      <c r="C691" s="66"/>
      <c r="D691" s="66"/>
      <c r="G691" s="67"/>
      <c r="V691" s="67"/>
    </row>
    <row r="692">
      <c r="A692" s="66"/>
      <c r="B692" s="66"/>
      <c r="C692" s="66"/>
      <c r="D692" s="66"/>
      <c r="G692" s="67"/>
      <c r="V692" s="67"/>
    </row>
    <row r="693">
      <c r="A693" s="66"/>
      <c r="B693" s="66"/>
      <c r="C693" s="66"/>
      <c r="D693" s="66"/>
      <c r="G693" s="67"/>
      <c r="V693" s="67"/>
    </row>
    <row r="694">
      <c r="A694" s="66"/>
      <c r="B694" s="66"/>
      <c r="C694" s="66"/>
      <c r="D694" s="66"/>
      <c r="G694" s="67"/>
      <c r="V694" s="67"/>
    </row>
    <row r="695">
      <c r="A695" s="66"/>
      <c r="B695" s="66"/>
      <c r="C695" s="66"/>
      <c r="D695" s="66"/>
      <c r="G695" s="67"/>
      <c r="V695" s="67"/>
    </row>
    <row r="696">
      <c r="A696" s="66"/>
      <c r="B696" s="66"/>
      <c r="C696" s="66"/>
      <c r="D696" s="66"/>
      <c r="G696" s="67"/>
      <c r="V696" s="67"/>
    </row>
    <row r="697">
      <c r="A697" s="66"/>
      <c r="B697" s="66"/>
      <c r="C697" s="66"/>
      <c r="D697" s="66"/>
      <c r="G697" s="67"/>
      <c r="V697" s="67"/>
    </row>
    <row r="698">
      <c r="A698" s="66"/>
      <c r="B698" s="66"/>
      <c r="C698" s="66"/>
      <c r="D698" s="66"/>
      <c r="G698" s="67"/>
      <c r="V698" s="67"/>
    </row>
    <row r="699">
      <c r="A699" s="66"/>
      <c r="B699" s="66"/>
      <c r="C699" s="66"/>
      <c r="D699" s="66"/>
      <c r="G699" s="67"/>
      <c r="V699" s="67"/>
    </row>
    <row r="700">
      <c r="A700" s="66"/>
      <c r="B700" s="66"/>
      <c r="C700" s="66"/>
      <c r="D700" s="66"/>
      <c r="G700" s="67"/>
      <c r="V700" s="67"/>
    </row>
    <row r="701">
      <c r="A701" s="66"/>
      <c r="B701" s="66"/>
      <c r="C701" s="66"/>
      <c r="D701" s="66"/>
      <c r="G701" s="67"/>
      <c r="V701" s="67"/>
    </row>
    <row r="702">
      <c r="A702" s="66"/>
      <c r="B702" s="66"/>
      <c r="C702" s="66"/>
      <c r="D702" s="66"/>
      <c r="G702" s="67"/>
      <c r="V702" s="67"/>
    </row>
    <row r="703">
      <c r="A703" s="66"/>
      <c r="B703" s="66"/>
      <c r="C703" s="66"/>
      <c r="D703" s="66"/>
      <c r="G703" s="67"/>
      <c r="V703" s="67"/>
    </row>
    <row r="704">
      <c r="A704" s="66"/>
      <c r="B704" s="66"/>
      <c r="C704" s="66"/>
      <c r="D704" s="66"/>
      <c r="G704" s="67"/>
      <c r="V704" s="67"/>
    </row>
    <row r="705">
      <c r="A705" s="66"/>
      <c r="B705" s="66"/>
      <c r="C705" s="66"/>
      <c r="D705" s="66"/>
      <c r="G705" s="67"/>
      <c r="V705" s="67"/>
    </row>
    <row r="706">
      <c r="A706" s="66"/>
      <c r="B706" s="66"/>
      <c r="C706" s="66"/>
      <c r="D706" s="66"/>
      <c r="G706" s="67"/>
      <c r="V706" s="67"/>
    </row>
    <row r="707">
      <c r="A707" s="66"/>
      <c r="B707" s="66"/>
      <c r="C707" s="66"/>
      <c r="D707" s="66"/>
      <c r="G707" s="67"/>
      <c r="V707" s="67"/>
    </row>
    <row r="708">
      <c r="A708" s="66"/>
      <c r="B708" s="66"/>
      <c r="C708" s="66"/>
      <c r="D708" s="66"/>
      <c r="G708" s="67"/>
      <c r="V708" s="67"/>
    </row>
    <row r="709">
      <c r="A709" s="66"/>
      <c r="B709" s="66"/>
      <c r="C709" s="66"/>
      <c r="D709" s="66"/>
      <c r="G709" s="67"/>
      <c r="V709" s="67"/>
    </row>
    <row r="710">
      <c r="A710" s="66"/>
      <c r="B710" s="66"/>
      <c r="C710" s="66"/>
      <c r="D710" s="66"/>
      <c r="G710" s="67"/>
      <c r="V710" s="67"/>
    </row>
    <row r="711">
      <c r="A711" s="66"/>
      <c r="B711" s="66"/>
      <c r="C711" s="66"/>
      <c r="D711" s="66"/>
      <c r="G711" s="67"/>
      <c r="V711" s="67"/>
    </row>
    <row r="712">
      <c r="A712" s="66"/>
      <c r="B712" s="66"/>
      <c r="C712" s="66"/>
      <c r="D712" s="66"/>
      <c r="G712" s="67"/>
      <c r="V712" s="67"/>
    </row>
    <row r="713">
      <c r="A713" s="66"/>
      <c r="B713" s="66"/>
      <c r="C713" s="66"/>
      <c r="D713" s="66"/>
      <c r="G713" s="67"/>
      <c r="V713" s="67"/>
    </row>
    <row r="714">
      <c r="A714" s="66"/>
      <c r="B714" s="66"/>
      <c r="C714" s="66"/>
      <c r="D714" s="66"/>
      <c r="G714" s="67"/>
      <c r="V714" s="67"/>
    </row>
    <row r="715">
      <c r="A715" s="66"/>
      <c r="B715" s="66"/>
      <c r="C715" s="66"/>
      <c r="D715" s="66"/>
      <c r="G715" s="67"/>
      <c r="V715" s="67"/>
    </row>
    <row r="716">
      <c r="A716" s="66"/>
      <c r="B716" s="66"/>
      <c r="C716" s="66"/>
      <c r="D716" s="66"/>
      <c r="G716" s="67"/>
      <c r="V716" s="67"/>
    </row>
    <row r="717">
      <c r="A717" s="66"/>
      <c r="B717" s="66"/>
      <c r="C717" s="66"/>
      <c r="D717" s="66"/>
      <c r="G717" s="67"/>
      <c r="V717" s="67"/>
    </row>
    <row r="718">
      <c r="A718" s="66"/>
      <c r="B718" s="66"/>
      <c r="C718" s="66"/>
      <c r="D718" s="66"/>
      <c r="G718" s="67"/>
      <c r="V718" s="67"/>
    </row>
    <row r="719">
      <c r="A719" s="66"/>
      <c r="B719" s="66"/>
      <c r="C719" s="66"/>
      <c r="D719" s="66"/>
      <c r="G719" s="67"/>
      <c r="V719" s="67"/>
    </row>
    <row r="720">
      <c r="A720" s="66"/>
      <c r="B720" s="66"/>
      <c r="C720" s="66"/>
      <c r="D720" s="66"/>
      <c r="G720" s="67"/>
      <c r="V720" s="67"/>
    </row>
    <row r="721">
      <c r="A721" s="66"/>
      <c r="B721" s="66"/>
      <c r="C721" s="66"/>
      <c r="D721" s="66"/>
      <c r="G721" s="67"/>
      <c r="V721" s="67"/>
    </row>
    <row r="722">
      <c r="A722" s="66"/>
      <c r="B722" s="66"/>
      <c r="C722" s="66"/>
      <c r="D722" s="66"/>
      <c r="G722" s="67"/>
      <c r="V722" s="67"/>
    </row>
    <row r="723">
      <c r="A723" s="66"/>
      <c r="B723" s="66"/>
      <c r="C723" s="66"/>
      <c r="D723" s="66"/>
      <c r="G723" s="67"/>
      <c r="V723" s="67"/>
    </row>
    <row r="724">
      <c r="A724" s="66"/>
      <c r="B724" s="66"/>
      <c r="C724" s="66"/>
      <c r="D724" s="66"/>
      <c r="G724" s="67"/>
      <c r="V724" s="67"/>
    </row>
    <row r="725">
      <c r="A725" s="66"/>
      <c r="B725" s="66"/>
      <c r="C725" s="66"/>
      <c r="D725" s="66"/>
      <c r="G725" s="67"/>
      <c r="V725" s="67"/>
    </row>
    <row r="726">
      <c r="A726" s="66"/>
      <c r="B726" s="66"/>
      <c r="C726" s="66"/>
      <c r="D726" s="66"/>
      <c r="G726" s="67"/>
      <c r="V726" s="67"/>
    </row>
    <row r="727">
      <c r="A727" s="66"/>
      <c r="B727" s="66"/>
      <c r="C727" s="66"/>
      <c r="D727" s="66"/>
      <c r="G727" s="67"/>
      <c r="V727" s="67"/>
    </row>
    <row r="728">
      <c r="A728" s="66"/>
      <c r="B728" s="66"/>
      <c r="C728" s="66"/>
      <c r="D728" s="66"/>
      <c r="G728" s="67"/>
      <c r="V728" s="67"/>
    </row>
    <row r="729">
      <c r="A729" s="66"/>
      <c r="B729" s="66"/>
      <c r="C729" s="66"/>
      <c r="D729" s="66"/>
      <c r="G729" s="67"/>
      <c r="V729" s="67"/>
    </row>
    <row r="730">
      <c r="A730" s="66"/>
      <c r="B730" s="66"/>
      <c r="C730" s="66"/>
      <c r="D730" s="66"/>
      <c r="G730" s="67"/>
      <c r="V730" s="67"/>
    </row>
    <row r="731">
      <c r="A731" s="66"/>
      <c r="B731" s="66"/>
      <c r="C731" s="66"/>
      <c r="D731" s="66"/>
      <c r="G731" s="67"/>
      <c r="V731" s="67"/>
    </row>
    <row r="732">
      <c r="A732" s="66"/>
      <c r="B732" s="66"/>
      <c r="C732" s="66"/>
      <c r="D732" s="66"/>
      <c r="G732" s="67"/>
      <c r="V732" s="67"/>
    </row>
    <row r="733">
      <c r="A733" s="66"/>
      <c r="B733" s="66"/>
      <c r="C733" s="66"/>
      <c r="D733" s="66"/>
      <c r="G733" s="67"/>
      <c r="V733" s="67"/>
    </row>
    <row r="734">
      <c r="A734" s="66"/>
      <c r="B734" s="66"/>
      <c r="C734" s="66"/>
      <c r="D734" s="66"/>
      <c r="G734" s="67"/>
      <c r="V734" s="67"/>
    </row>
    <row r="735">
      <c r="A735" s="66"/>
      <c r="B735" s="66"/>
      <c r="C735" s="66"/>
      <c r="D735" s="66"/>
      <c r="G735" s="67"/>
      <c r="V735" s="67"/>
    </row>
    <row r="736">
      <c r="A736" s="66"/>
      <c r="B736" s="66"/>
      <c r="C736" s="66"/>
      <c r="D736" s="66"/>
      <c r="G736" s="67"/>
      <c r="V736" s="67"/>
    </row>
    <row r="737">
      <c r="A737" s="66"/>
      <c r="B737" s="66"/>
      <c r="C737" s="66"/>
      <c r="D737" s="66"/>
      <c r="G737" s="67"/>
      <c r="V737" s="67"/>
    </row>
    <row r="738">
      <c r="A738" s="66"/>
      <c r="B738" s="66"/>
      <c r="C738" s="66"/>
      <c r="D738" s="66"/>
      <c r="G738" s="67"/>
      <c r="V738" s="67"/>
    </row>
    <row r="739">
      <c r="A739" s="66"/>
      <c r="B739" s="66"/>
      <c r="C739" s="66"/>
      <c r="D739" s="66"/>
      <c r="G739" s="67"/>
      <c r="V739" s="67"/>
    </row>
    <row r="740">
      <c r="A740" s="66"/>
      <c r="B740" s="66"/>
      <c r="C740" s="66"/>
      <c r="D740" s="66"/>
      <c r="G740" s="67"/>
      <c r="V740" s="67"/>
    </row>
    <row r="741">
      <c r="A741" s="66"/>
      <c r="B741" s="66"/>
      <c r="C741" s="66"/>
      <c r="D741" s="66"/>
      <c r="G741" s="67"/>
      <c r="V741" s="67"/>
    </row>
    <row r="742">
      <c r="A742" s="66"/>
      <c r="B742" s="66"/>
      <c r="C742" s="66"/>
      <c r="D742" s="66"/>
      <c r="G742" s="67"/>
      <c r="V742" s="67"/>
    </row>
    <row r="743">
      <c r="A743" s="66"/>
      <c r="B743" s="66"/>
      <c r="C743" s="66"/>
      <c r="D743" s="66"/>
      <c r="G743" s="67"/>
      <c r="V743" s="67"/>
    </row>
    <row r="744">
      <c r="A744" s="66"/>
      <c r="B744" s="66"/>
      <c r="C744" s="66"/>
      <c r="D744" s="66"/>
      <c r="G744" s="67"/>
      <c r="V744" s="67"/>
    </row>
    <row r="745">
      <c r="A745" s="66"/>
      <c r="B745" s="66"/>
      <c r="C745" s="66"/>
      <c r="D745" s="66"/>
      <c r="G745" s="67"/>
      <c r="V745" s="67"/>
    </row>
    <row r="746">
      <c r="A746" s="66"/>
      <c r="B746" s="66"/>
      <c r="C746" s="66"/>
      <c r="D746" s="66"/>
      <c r="G746" s="67"/>
      <c r="V746" s="67"/>
    </row>
    <row r="747">
      <c r="A747" s="66"/>
      <c r="B747" s="66"/>
      <c r="C747" s="66"/>
      <c r="D747" s="66"/>
      <c r="G747" s="67"/>
      <c r="V747" s="67"/>
    </row>
    <row r="748">
      <c r="A748" s="66"/>
      <c r="B748" s="66"/>
      <c r="C748" s="66"/>
      <c r="D748" s="66"/>
      <c r="G748" s="67"/>
      <c r="V748" s="67"/>
    </row>
    <row r="749">
      <c r="A749" s="66"/>
      <c r="B749" s="66"/>
      <c r="C749" s="66"/>
      <c r="D749" s="66"/>
      <c r="G749" s="67"/>
      <c r="V749" s="67"/>
    </row>
    <row r="750">
      <c r="A750" s="66"/>
      <c r="B750" s="66"/>
      <c r="C750" s="66"/>
      <c r="D750" s="66"/>
      <c r="G750" s="67"/>
      <c r="V750" s="67"/>
    </row>
    <row r="751">
      <c r="A751" s="66"/>
      <c r="B751" s="66"/>
      <c r="C751" s="66"/>
      <c r="D751" s="66"/>
      <c r="G751" s="67"/>
      <c r="V751" s="67"/>
    </row>
    <row r="752">
      <c r="A752" s="66"/>
      <c r="B752" s="66"/>
      <c r="C752" s="66"/>
      <c r="D752" s="66"/>
      <c r="G752" s="67"/>
      <c r="V752" s="67"/>
    </row>
    <row r="753">
      <c r="A753" s="66"/>
      <c r="B753" s="66"/>
      <c r="C753" s="66"/>
      <c r="D753" s="66"/>
      <c r="G753" s="67"/>
      <c r="V753" s="67"/>
    </row>
    <row r="754">
      <c r="A754" s="66"/>
      <c r="B754" s="66"/>
      <c r="C754" s="66"/>
      <c r="D754" s="66"/>
      <c r="G754" s="67"/>
      <c r="V754" s="67"/>
    </row>
    <row r="755">
      <c r="A755" s="66"/>
      <c r="B755" s="66"/>
      <c r="C755" s="66"/>
      <c r="D755" s="66"/>
      <c r="G755" s="67"/>
      <c r="V755" s="67"/>
    </row>
    <row r="756">
      <c r="A756" s="66"/>
      <c r="B756" s="66"/>
      <c r="C756" s="66"/>
      <c r="D756" s="66"/>
      <c r="G756" s="67"/>
      <c r="V756" s="67"/>
    </row>
    <row r="757">
      <c r="A757" s="66"/>
      <c r="B757" s="66"/>
      <c r="C757" s="66"/>
      <c r="D757" s="66"/>
      <c r="G757" s="67"/>
      <c r="V757" s="67"/>
    </row>
    <row r="758">
      <c r="A758" s="66"/>
      <c r="B758" s="66"/>
      <c r="C758" s="66"/>
      <c r="D758" s="66"/>
      <c r="G758" s="67"/>
      <c r="V758" s="67"/>
    </row>
    <row r="759">
      <c r="A759" s="66"/>
      <c r="B759" s="66"/>
      <c r="C759" s="66"/>
      <c r="D759" s="66"/>
      <c r="G759" s="67"/>
      <c r="V759" s="67"/>
    </row>
    <row r="760">
      <c r="A760" s="66"/>
      <c r="B760" s="66"/>
      <c r="C760" s="66"/>
      <c r="D760" s="66"/>
      <c r="G760" s="67"/>
      <c r="V760" s="67"/>
    </row>
    <row r="761">
      <c r="A761" s="66"/>
      <c r="B761" s="66"/>
      <c r="C761" s="66"/>
      <c r="D761" s="66"/>
      <c r="G761" s="67"/>
      <c r="V761" s="67"/>
    </row>
    <row r="762">
      <c r="A762" s="66"/>
      <c r="B762" s="66"/>
      <c r="C762" s="66"/>
      <c r="D762" s="66"/>
      <c r="G762" s="67"/>
      <c r="V762" s="67"/>
    </row>
    <row r="763">
      <c r="A763" s="66"/>
      <c r="B763" s="66"/>
      <c r="C763" s="66"/>
      <c r="D763" s="66"/>
      <c r="G763" s="67"/>
      <c r="V763" s="67"/>
    </row>
    <row r="764">
      <c r="A764" s="66"/>
      <c r="B764" s="66"/>
      <c r="C764" s="66"/>
      <c r="D764" s="66"/>
      <c r="G764" s="67"/>
      <c r="V764" s="67"/>
    </row>
    <row r="765">
      <c r="A765" s="66"/>
      <c r="B765" s="66"/>
      <c r="C765" s="66"/>
      <c r="D765" s="66"/>
      <c r="G765" s="67"/>
      <c r="V765" s="67"/>
    </row>
    <row r="766">
      <c r="A766" s="66"/>
      <c r="B766" s="66"/>
      <c r="C766" s="66"/>
      <c r="D766" s="66"/>
      <c r="G766" s="67"/>
      <c r="V766" s="67"/>
    </row>
    <row r="767">
      <c r="A767" s="66"/>
      <c r="B767" s="66"/>
      <c r="C767" s="66"/>
      <c r="D767" s="66"/>
      <c r="G767" s="67"/>
      <c r="V767" s="67"/>
    </row>
    <row r="768">
      <c r="A768" s="66"/>
      <c r="B768" s="66"/>
      <c r="C768" s="66"/>
      <c r="D768" s="66"/>
      <c r="G768" s="67"/>
      <c r="V768" s="67"/>
    </row>
    <row r="769">
      <c r="A769" s="66"/>
      <c r="B769" s="66"/>
      <c r="C769" s="66"/>
      <c r="D769" s="66"/>
      <c r="G769" s="67"/>
      <c r="V769" s="67"/>
    </row>
    <row r="770">
      <c r="A770" s="66"/>
      <c r="B770" s="66"/>
      <c r="C770" s="66"/>
      <c r="D770" s="66"/>
      <c r="G770" s="67"/>
      <c r="V770" s="67"/>
    </row>
    <row r="771">
      <c r="A771" s="66"/>
      <c r="B771" s="66"/>
      <c r="C771" s="66"/>
      <c r="D771" s="66"/>
      <c r="G771" s="67"/>
      <c r="V771" s="67"/>
    </row>
    <row r="772">
      <c r="A772" s="66"/>
      <c r="B772" s="66"/>
      <c r="C772" s="66"/>
      <c r="D772" s="66"/>
      <c r="G772" s="67"/>
      <c r="V772" s="67"/>
    </row>
    <row r="773">
      <c r="A773" s="66"/>
      <c r="B773" s="66"/>
      <c r="C773" s="66"/>
      <c r="D773" s="66"/>
      <c r="G773" s="67"/>
      <c r="V773" s="67"/>
    </row>
    <row r="774">
      <c r="A774" s="66"/>
      <c r="B774" s="66"/>
      <c r="C774" s="66"/>
      <c r="D774" s="66"/>
      <c r="G774" s="67"/>
      <c r="V774" s="67"/>
    </row>
    <row r="775">
      <c r="A775" s="66"/>
      <c r="B775" s="66"/>
      <c r="C775" s="66"/>
      <c r="D775" s="66"/>
      <c r="G775" s="67"/>
      <c r="V775" s="67"/>
    </row>
    <row r="776">
      <c r="A776" s="66"/>
      <c r="B776" s="66"/>
      <c r="C776" s="66"/>
      <c r="D776" s="66"/>
      <c r="G776" s="67"/>
      <c r="V776" s="67"/>
    </row>
    <row r="777">
      <c r="A777" s="66"/>
      <c r="B777" s="66"/>
      <c r="C777" s="66"/>
      <c r="D777" s="66"/>
      <c r="G777" s="67"/>
      <c r="V777" s="67"/>
    </row>
    <row r="778">
      <c r="A778" s="66"/>
      <c r="B778" s="66"/>
      <c r="C778" s="66"/>
      <c r="D778" s="66"/>
      <c r="G778" s="67"/>
      <c r="V778" s="67"/>
    </row>
    <row r="779">
      <c r="A779" s="66"/>
      <c r="B779" s="66"/>
      <c r="C779" s="66"/>
      <c r="D779" s="66"/>
      <c r="G779" s="67"/>
      <c r="V779" s="67"/>
    </row>
    <row r="780">
      <c r="A780" s="66"/>
      <c r="B780" s="66"/>
      <c r="C780" s="66"/>
      <c r="D780" s="66"/>
      <c r="G780" s="67"/>
      <c r="V780" s="67"/>
    </row>
    <row r="781">
      <c r="A781" s="66"/>
      <c r="B781" s="66"/>
      <c r="C781" s="66"/>
      <c r="D781" s="66"/>
      <c r="G781" s="67"/>
      <c r="V781" s="67"/>
    </row>
    <row r="782">
      <c r="A782" s="66"/>
      <c r="B782" s="66"/>
      <c r="C782" s="66"/>
      <c r="D782" s="66"/>
      <c r="G782" s="67"/>
      <c r="V782" s="67"/>
    </row>
    <row r="783">
      <c r="A783" s="66"/>
      <c r="B783" s="66"/>
      <c r="C783" s="66"/>
      <c r="D783" s="66"/>
      <c r="G783" s="67"/>
      <c r="V783" s="67"/>
    </row>
    <row r="784">
      <c r="A784" s="66"/>
      <c r="B784" s="66"/>
      <c r="C784" s="66"/>
      <c r="D784" s="66"/>
      <c r="G784" s="67"/>
      <c r="V784" s="67"/>
    </row>
    <row r="785">
      <c r="A785" s="66"/>
      <c r="B785" s="66"/>
      <c r="C785" s="66"/>
      <c r="D785" s="66"/>
      <c r="G785" s="67"/>
      <c r="V785" s="67"/>
    </row>
    <row r="786">
      <c r="A786" s="66"/>
      <c r="B786" s="66"/>
      <c r="C786" s="66"/>
      <c r="D786" s="66"/>
      <c r="G786" s="67"/>
      <c r="V786" s="67"/>
    </row>
    <row r="787">
      <c r="A787" s="66"/>
      <c r="B787" s="66"/>
      <c r="C787" s="66"/>
      <c r="D787" s="66"/>
      <c r="G787" s="67"/>
      <c r="V787" s="67"/>
    </row>
    <row r="788">
      <c r="A788" s="66"/>
      <c r="B788" s="66"/>
      <c r="C788" s="66"/>
      <c r="D788" s="66"/>
      <c r="G788" s="67"/>
      <c r="V788" s="67"/>
    </row>
    <row r="789">
      <c r="A789" s="66"/>
      <c r="B789" s="66"/>
      <c r="C789" s="66"/>
      <c r="D789" s="66"/>
      <c r="G789" s="67"/>
      <c r="V789" s="67"/>
    </row>
    <row r="790">
      <c r="A790" s="66"/>
      <c r="B790" s="66"/>
      <c r="C790" s="66"/>
      <c r="D790" s="66"/>
      <c r="G790" s="67"/>
      <c r="V790" s="67"/>
    </row>
    <row r="791">
      <c r="A791" s="66"/>
      <c r="B791" s="66"/>
      <c r="C791" s="66"/>
      <c r="D791" s="66"/>
      <c r="G791" s="67"/>
      <c r="V791" s="67"/>
    </row>
    <row r="792">
      <c r="A792" s="66"/>
      <c r="B792" s="66"/>
      <c r="C792" s="66"/>
      <c r="D792" s="66"/>
      <c r="G792" s="67"/>
      <c r="V792" s="67"/>
    </row>
    <row r="793">
      <c r="A793" s="66"/>
      <c r="B793" s="66"/>
      <c r="C793" s="66"/>
      <c r="D793" s="66"/>
      <c r="G793" s="67"/>
      <c r="V793" s="67"/>
    </row>
    <row r="794">
      <c r="A794" s="66"/>
      <c r="B794" s="66"/>
      <c r="C794" s="66"/>
      <c r="D794" s="66"/>
      <c r="G794" s="67"/>
      <c r="V794" s="67"/>
    </row>
    <row r="795">
      <c r="A795" s="66"/>
      <c r="B795" s="66"/>
      <c r="C795" s="66"/>
      <c r="D795" s="66"/>
      <c r="G795" s="67"/>
      <c r="V795" s="67"/>
    </row>
    <row r="796">
      <c r="A796" s="66"/>
      <c r="B796" s="66"/>
      <c r="C796" s="66"/>
      <c r="D796" s="66"/>
      <c r="G796" s="67"/>
      <c r="V796" s="67"/>
    </row>
    <row r="797">
      <c r="A797" s="66"/>
      <c r="B797" s="66"/>
      <c r="C797" s="66"/>
      <c r="D797" s="66"/>
      <c r="G797" s="67"/>
      <c r="V797" s="67"/>
    </row>
    <row r="798">
      <c r="A798" s="66"/>
      <c r="B798" s="66"/>
      <c r="C798" s="66"/>
      <c r="D798" s="66"/>
      <c r="G798" s="67"/>
      <c r="V798" s="67"/>
    </row>
    <row r="799">
      <c r="A799" s="66"/>
      <c r="B799" s="66"/>
      <c r="C799" s="66"/>
      <c r="D799" s="66"/>
      <c r="G799" s="67"/>
      <c r="V799" s="67"/>
    </row>
    <row r="800">
      <c r="A800" s="66"/>
      <c r="B800" s="66"/>
      <c r="C800" s="66"/>
      <c r="D800" s="66"/>
      <c r="G800" s="67"/>
      <c r="V800" s="67"/>
    </row>
    <row r="801">
      <c r="A801" s="66"/>
      <c r="B801" s="66"/>
      <c r="C801" s="66"/>
      <c r="D801" s="66"/>
      <c r="G801" s="67"/>
      <c r="V801" s="67"/>
    </row>
    <row r="802">
      <c r="A802" s="66"/>
      <c r="B802" s="66"/>
      <c r="C802" s="66"/>
      <c r="D802" s="66"/>
      <c r="G802" s="67"/>
      <c r="V802" s="67"/>
    </row>
    <row r="803">
      <c r="A803" s="66"/>
      <c r="B803" s="66"/>
      <c r="C803" s="66"/>
      <c r="D803" s="66"/>
      <c r="G803" s="67"/>
      <c r="V803" s="67"/>
    </row>
    <row r="804">
      <c r="A804" s="66"/>
      <c r="B804" s="66"/>
      <c r="C804" s="66"/>
      <c r="D804" s="66"/>
      <c r="G804" s="67"/>
      <c r="V804" s="67"/>
    </row>
    <row r="805">
      <c r="A805" s="66"/>
      <c r="B805" s="66"/>
      <c r="C805" s="66"/>
      <c r="D805" s="66"/>
      <c r="G805" s="67"/>
      <c r="V805" s="67"/>
    </row>
    <row r="806">
      <c r="A806" s="66"/>
      <c r="B806" s="66"/>
      <c r="C806" s="66"/>
      <c r="D806" s="66"/>
      <c r="G806" s="67"/>
      <c r="V806" s="67"/>
    </row>
    <row r="807">
      <c r="A807" s="66"/>
      <c r="B807" s="66"/>
      <c r="C807" s="66"/>
      <c r="D807" s="66"/>
      <c r="G807" s="67"/>
      <c r="V807" s="67"/>
    </row>
    <row r="808">
      <c r="A808" s="66"/>
      <c r="B808" s="66"/>
      <c r="C808" s="66"/>
      <c r="D808" s="66"/>
      <c r="G808" s="67"/>
      <c r="V808" s="67"/>
    </row>
    <row r="809">
      <c r="A809" s="66"/>
      <c r="B809" s="66"/>
      <c r="C809" s="66"/>
      <c r="D809" s="66"/>
      <c r="G809" s="67"/>
      <c r="V809" s="67"/>
    </row>
    <row r="810">
      <c r="A810" s="66"/>
      <c r="B810" s="66"/>
      <c r="C810" s="66"/>
      <c r="D810" s="66"/>
      <c r="G810" s="67"/>
      <c r="V810" s="67"/>
    </row>
    <row r="811">
      <c r="A811" s="66"/>
      <c r="B811" s="66"/>
      <c r="C811" s="66"/>
      <c r="D811" s="66"/>
      <c r="G811" s="67"/>
      <c r="V811" s="67"/>
    </row>
    <row r="812">
      <c r="A812" s="66"/>
      <c r="B812" s="66"/>
      <c r="C812" s="66"/>
      <c r="D812" s="66"/>
      <c r="G812" s="67"/>
      <c r="V812" s="67"/>
    </row>
    <row r="813">
      <c r="A813" s="66"/>
      <c r="B813" s="66"/>
      <c r="C813" s="66"/>
      <c r="D813" s="66"/>
      <c r="G813" s="67"/>
      <c r="V813" s="67"/>
    </row>
    <row r="814">
      <c r="A814" s="66"/>
      <c r="B814" s="66"/>
      <c r="C814" s="66"/>
      <c r="D814" s="66"/>
      <c r="G814" s="67"/>
      <c r="V814" s="67"/>
    </row>
    <row r="815">
      <c r="A815" s="66"/>
      <c r="B815" s="66"/>
      <c r="C815" s="66"/>
      <c r="D815" s="66"/>
      <c r="G815" s="67"/>
      <c r="V815" s="67"/>
    </row>
    <row r="816">
      <c r="A816" s="66"/>
      <c r="B816" s="66"/>
      <c r="C816" s="66"/>
      <c r="D816" s="66"/>
      <c r="G816" s="67"/>
      <c r="V816" s="67"/>
    </row>
    <row r="817">
      <c r="A817" s="66"/>
      <c r="B817" s="66"/>
      <c r="C817" s="66"/>
      <c r="D817" s="66"/>
      <c r="G817" s="67"/>
      <c r="V817" s="67"/>
    </row>
    <row r="818">
      <c r="A818" s="66"/>
      <c r="B818" s="66"/>
      <c r="C818" s="66"/>
      <c r="D818" s="66"/>
      <c r="G818" s="67"/>
      <c r="V818" s="67"/>
    </row>
    <row r="819">
      <c r="A819" s="66"/>
      <c r="B819" s="66"/>
      <c r="C819" s="66"/>
      <c r="D819" s="66"/>
      <c r="G819" s="67"/>
      <c r="V819" s="67"/>
    </row>
    <row r="820">
      <c r="A820" s="66"/>
      <c r="B820" s="66"/>
      <c r="C820" s="66"/>
      <c r="D820" s="66"/>
      <c r="G820" s="67"/>
      <c r="V820" s="67"/>
    </row>
    <row r="821">
      <c r="A821" s="66"/>
      <c r="B821" s="66"/>
      <c r="C821" s="66"/>
      <c r="D821" s="66"/>
      <c r="G821" s="67"/>
      <c r="V821" s="67"/>
    </row>
    <row r="822">
      <c r="A822" s="66"/>
      <c r="B822" s="66"/>
      <c r="C822" s="66"/>
      <c r="D822" s="66"/>
      <c r="G822" s="67"/>
      <c r="V822" s="67"/>
    </row>
    <row r="823">
      <c r="A823" s="66"/>
      <c r="B823" s="66"/>
      <c r="C823" s="66"/>
      <c r="D823" s="66"/>
      <c r="G823" s="67"/>
      <c r="V823" s="67"/>
    </row>
    <row r="824">
      <c r="A824" s="66"/>
      <c r="B824" s="66"/>
      <c r="C824" s="66"/>
      <c r="D824" s="66"/>
      <c r="G824" s="67"/>
      <c r="V824" s="67"/>
    </row>
    <row r="825">
      <c r="A825" s="66"/>
      <c r="B825" s="66"/>
      <c r="C825" s="66"/>
      <c r="D825" s="66"/>
      <c r="G825" s="67"/>
      <c r="V825" s="67"/>
    </row>
    <row r="826">
      <c r="A826" s="66"/>
      <c r="B826" s="66"/>
      <c r="C826" s="66"/>
      <c r="D826" s="66"/>
      <c r="G826" s="67"/>
      <c r="V826" s="67"/>
    </row>
    <row r="827">
      <c r="A827" s="66"/>
      <c r="B827" s="66"/>
      <c r="C827" s="66"/>
      <c r="D827" s="66"/>
      <c r="G827" s="67"/>
      <c r="V827" s="67"/>
    </row>
    <row r="828">
      <c r="A828" s="66"/>
      <c r="B828" s="66"/>
      <c r="C828" s="66"/>
      <c r="D828" s="66"/>
      <c r="G828" s="67"/>
      <c r="V828" s="67"/>
    </row>
    <row r="829">
      <c r="A829" s="66"/>
      <c r="B829" s="66"/>
      <c r="C829" s="66"/>
      <c r="D829" s="66"/>
      <c r="G829" s="67"/>
      <c r="V829" s="67"/>
    </row>
    <row r="830">
      <c r="A830" s="66"/>
      <c r="B830" s="66"/>
      <c r="C830" s="66"/>
      <c r="D830" s="66"/>
      <c r="G830" s="67"/>
      <c r="V830" s="67"/>
    </row>
    <row r="831">
      <c r="A831" s="66"/>
      <c r="B831" s="66"/>
      <c r="C831" s="66"/>
      <c r="D831" s="66"/>
      <c r="G831" s="67"/>
      <c r="V831" s="67"/>
    </row>
    <row r="832">
      <c r="A832" s="66"/>
      <c r="B832" s="66"/>
      <c r="C832" s="66"/>
      <c r="D832" s="66"/>
      <c r="G832" s="67"/>
      <c r="V832" s="67"/>
    </row>
    <row r="833">
      <c r="A833" s="66"/>
      <c r="B833" s="66"/>
      <c r="C833" s="66"/>
      <c r="D833" s="66"/>
      <c r="G833" s="67"/>
      <c r="V833" s="67"/>
    </row>
    <row r="834">
      <c r="A834" s="66"/>
      <c r="B834" s="66"/>
      <c r="C834" s="66"/>
      <c r="D834" s="66"/>
      <c r="G834" s="67"/>
      <c r="V834" s="67"/>
    </row>
    <row r="835">
      <c r="A835" s="66"/>
      <c r="B835" s="66"/>
      <c r="C835" s="66"/>
      <c r="D835" s="66"/>
      <c r="G835" s="67"/>
      <c r="V835" s="67"/>
    </row>
    <row r="836">
      <c r="A836" s="66"/>
      <c r="B836" s="66"/>
      <c r="C836" s="66"/>
      <c r="D836" s="66"/>
      <c r="G836" s="67"/>
      <c r="V836" s="67"/>
    </row>
    <row r="837">
      <c r="A837" s="66"/>
      <c r="B837" s="66"/>
      <c r="C837" s="66"/>
      <c r="D837" s="66"/>
      <c r="G837" s="67"/>
      <c r="V837" s="67"/>
    </row>
    <row r="838">
      <c r="A838" s="66"/>
      <c r="B838" s="66"/>
      <c r="C838" s="66"/>
      <c r="D838" s="66"/>
      <c r="G838" s="67"/>
      <c r="V838" s="67"/>
    </row>
    <row r="839">
      <c r="A839" s="66"/>
      <c r="B839" s="66"/>
      <c r="C839" s="66"/>
      <c r="D839" s="66"/>
      <c r="G839" s="67"/>
      <c r="V839" s="67"/>
    </row>
    <row r="840">
      <c r="A840" s="66"/>
      <c r="B840" s="66"/>
      <c r="C840" s="66"/>
      <c r="D840" s="66"/>
      <c r="G840" s="67"/>
      <c r="V840" s="67"/>
    </row>
    <row r="841">
      <c r="A841" s="66"/>
      <c r="B841" s="66"/>
      <c r="C841" s="66"/>
      <c r="D841" s="66"/>
      <c r="G841" s="67"/>
      <c r="V841" s="67"/>
    </row>
    <row r="842">
      <c r="A842" s="66"/>
      <c r="B842" s="66"/>
      <c r="C842" s="66"/>
      <c r="D842" s="66"/>
      <c r="G842" s="67"/>
      <c r="V842" s="67"/>
    </row>
    <row r="843">
      <c r="A843" s="66"/>
      <c r="B843" s="66"/>
      <c r="C843" s="66"/>
      <c r="D843" s="66"/>
      <c r="G843" s="67"/>
      <c r="V843" s="67"/>
    </row>
    <row r="844">
      <c r="A844" s="66"/>
      <c r="B844" s="66"/>
      <c r="C844" s="66"/>
      <c r="D844" s="66"/>
      <c r="G844" s="67"/>
      <c r="V844" s="67"/>
    </row>
    <row r="845">
      <c r="A845" s="66"/>
      <c r="B845" s="66"/>
      <c r="C845" s="66"/>
      <c r="D845" s="66"/>
      <c r="G845" s="67"/>
      <c r="V845" s="67"/>
    </row>
    <row r="846">
      <c r="A846" s="66"/>
      <c r="B846" s="66"/>
      <c r="C846" s="66"/>
      <c r="D846" s="66"/>
      <c r="G846" s="67"/>
      <c r="V846" s="67"/>
    </row>
    <row r="847">
      <c r="A847" s="66"/>
      <c r="B847" s="66"/>
      <c r="C847" s="66"/>
      <c r="D847" s="66"/>
      <c r="G847" s="67"/>
      <c r="V847" s="67"/>
    </row>
    <row r="848">
      <c r="A848" s="66"/>
      <c r="B848" s="66"/>
      <c r="C848" s="66"/>
      <c r="D848" s="66"/>
      <c r="G848" s="67"/>
      <c r="V848" s="67"/>
    </row>
    <row r="849">
      <c r="A849" s="66"/>
      <c r="B849" s="66"/>
      <c r="C849" s="66"/>
      <c r="D849" s="66"/>
      <c r="G849" s="67"/>
      <c r="V849" s="67"/>
    </row>
    <row r="850">
      <c r="A850" s="66"/>
      <c r="B850" s="66"/>
      <c r="C850" s="66"/>
      <c r="D850" s="66"/>
      <c r="G850" s="67"/>
      <c r="V850" s="67"/>
    </row>
    <row r="851">
      <c r="A851" s="66"/>
      <c r="B851" s="66"/>
      <c r="C851" s="66"/>
      <c r="D851" s="66"/>
      <c r="G851" s="67"/>
      <c r="V851" s="67"/>
    </row>
    <row r="852">
      <c r="A852" s="66"/>
      <c r="B852" s="66"/>
      <c r="C852" s="66"/>
      <c r="D852" s="66"/>
      <c r="G852" s="67"/>
      <c r="V852" s="67"/>
    </row>
    <row r="853">
      <c r="A853" s="66"/>
      <c r="B853" s="66"/>
      <c r="C853" s="66"/>
      <c r="D853" s="66"/>
      <c r="G853" s="67"/>
      <c r="V853" s="67"/>
    </row>
    <row r="854">
      <c r="A854" s="66"/>
      <c r="B854" s="66"/>
      <c r="C854" s="66"/>
      <c r="D854" s="66"/>
      <c r="G854" s="67"/>
      <c r="V854" s="67"/>
    </row>
    <row r="855">
      <c r="A855" s="66"/>
      <c r="B855" s="66"/>
      <c r="C855" s="66"/>
      <c r="D855" s="66"/>
      <c r="G855" s="67"/>
      <c r="V855" s="67"/>
    </row>
    <row r="856">
      <c r="A856" s="66"/>
      <c r="B856" s="66"/>
      <c r="C856" s="66"/>
      <c r="D856" s="66"/>
      <c r="G856" s="67"/>
      <c r="V856" s="67"/>
    </row>
    <row r="857">
      <c r="A857" s="66"/>
      <c r="B857" s="66"/>
      <c r="C857" s="66"/>
      <c r="D857" s="66"/>
      <c r="G857" s="67"/>
      <c r="V857" s="67"/>
    </row>
    <row r="858">
      <c r="A858" s="66"/>
      <c r="B858" s="66"/>
      <c r="C858" s="66"/>
      <c r="D858" s="66"/>
      <c r="G858" s="67"/>
      <c r="V858" s="67"/>
    </row>
    <row r="859">
      <c r="A859" s="66"/>
      <c r="B859" s="66"/>
      <c r="C859" s="66"/>
      <c r="D859" s="66"/>
      <c r="G859" s="67"/>
      <c r="V859" s="67"/>
    </row>
    <row r="860">
      <c r="A860" s="66"/>
      <c r="B860" s="66"/>
      <c r="C860" s="66"/>
      <c r="D860" s="66"/>
      <c r="G860" s="67"/>
      <c r="V860" s="67"/>
    </row>
    <row r="861">
      <c r="A861" s="66"/>
      <c r="B861" s="66"/>
      <c r="C861" s="66"/>
      <c r="D861" s="66"/>
      <c r="G861" s="67"/>
      <c r="V861" s="67"/>
    </row>
    <row r="862">
      <c r="A862" s="66"/>
      <c r="B862" s="66"/>
      <c r="C862" s="66"/>
      <c r="D862" s="66"/>
      <c r="G862" s="67"/>
      <c r="V862" s="67"/>
    </row>
    <row r="863">
      <c r="A863" s="66"/>
      <c r="B863" s="66"/>
      <c r="C863" s="66"/>
      <c r="D863" s="66"/>
      <c r="G863" s="67"/>
      <c r="V863" s="67"/>
    </row>
    <row r="864">
      <c r="A864" s="66"/>
      <c r="B864" s="66"/>
      <c r="C864" s="66"/>
      <c r="D864" s="66"/>
      <c r="G864" s="67"/>
      <c r="V864" s="67"/>
    </row>
    <row r="865">
      <c r="A865" s="66"/>
      <c r="B865" s="66"/>
      <c r="C865" s="66"/>
      <c r="D865" s="66"/>
      <c r="G865" s="67"/>
      <c r="V865" s="67"/>
    </row>
    <row r="866">
      <c r="A866" s="66"/>
      <c r="B866" s="66"/>
      <c r="C866" s="66"/>
      <c r="D866" s="66"/>
      <c r="G866" s="67"/>
      <c r="V866" s="67"/>
    </row>
    <row r="867">
      <c r="A867" s="66"/>
      <c r="B867" s="66"/>
      <c r="C867" s="66"/>
      <c r="D867" s="66"/>
      <c r="G867" s="67"/>
      <c r="V867" s="67"/>
    </row>
    <row r="868">
      <c r="A868" s="66"/>
      <c r="B868" s="66"/>
      <c r="C868" s="66"/>
      <c r="D868" s="66"/>
      <c r="G868" s="67"/>
      <c r="V868" s="67"/>
    </row>
    <row r="869">
      <c r="A869" s="66"/>
      <c r="B869" s="66"/>
      <c r="C869" s="66"/>
      <c r="D869" s="66"/>
      <c r="G869" s="67"/>
      <c r="V869" s="67"/>
    </row>
    <row r="870">
      <c r="A870" s="66"/>
      <c r="B870" s="66"/>
      <c r="C870" s="66"/>
      <c r="D870" s="66"/>
      <c r="G870" s="67"/>
      <c r="V870" s="67"/>
    </row>
    <row r="871">
      <c r="A871" s="66"/>
      <c r="B871" s="66"/>
      <c r="C871" s="66"/>
      <c r="D871" s="66"/>
      <c r="G871" s="67"/>
      <c r="V871" s="67"/>
    </row>
    <row r="872">
      <c r="A872" s="66"/>
      <c r="B872" s="66"/>
      <c r="C872" s="66"/>
      <c r="D872" s="66"/>
      <c r="G872" s="67"/>
      <c r="V872" s="67"/>
    </row>
    <row r="873">
      <c r="A873" s="66"/>
      <c r="B873" s="66"/>
      <c r="C873" s="66"/>
      <c r="D873" s="66"/>
      <c r="G873" s="67"/>
      <c r="V873" s="67"/>
    </row>
    <row r="874">
      <c r="A874" s="66"/>
      <c r="B874" s="66"/>
      <c r="C874" s="66"/>
      <c r="D874" s="66"/>
      <c r="G874" s="67"/>
      <c r="V874" s="67"/>
    </row>
    <row r="875">
      <c r="A875" s="66"/>
      <c r="B875" s="66"/>
      <c r="C875" s="66"/>
      <c r="D875" s="66"/>
      <c r="G875" s="67"/>
      <c r="V875" s="67"/>
    </row>
    <row r="876">
      <c r="A876" s="66"/>
      <c r="B876" s="66"/>
      <c r="C876" s="66"/>
      <c r="D876" s="66"/>
      <c r="G876" s="67"/>
      <c r="V876" s="67"/>
    </row>
    <row r="877">
      <c r="A877" s="66"/>
      <c r="B877" s="66"/>
      <c r="C877" s="66"/>
      <c r="D877" s="66"/>
      <c r="G877" s="67"/>
      <c r="V877" s="67"/>
    </row>
    <row r="878">
      <c r="A878" s="66"/>
      <c r="B878" s="66"/>
      <c r="C878" s="66"/>
      <c r="D878" s="66"/>
      <c r="G878" s="67"/>
      <c r="V878" s="67"/>
    </row>
    <row r="879">
      <c r="A879" s="66"/>
      <c r="B879" s="66"/>
      <c r="C879" s="66"/>
      <c r="D879" s="66"/>
      <c r="G879" s="67"/>
      <c r="V879" s="67"/>
    </row>
    <row r="880">
      <c r="A880" s="66"/>
      <c r="B880" s="66"/>
      <c r="C880" s="66"/>
      <c r="D880" s="66"/>
      <c r="G880" s="67"/>
      <c r="V880" s="67"/>
    </row>
    <row r="881">
      <c r="A881" s="66"/>
      <c r="B881" s="66"/>
      <c r="C881" s="66"/>
      <c r="D881" s="66"/>
      <c r="G881" s="67"/>
      <c r="V881" s="67"/>
    </row>
    <row r="882">
      <c r="A882" s="66"/>
      <c r="B882" s="66"/>
      <c r="C882" s="66"/>
      <c r="D882" s="66"/>
      <c r="G882" s="67"/>
      <c r="V882" s="67"/>
    </row>
    <row r="883">
      <c r="A883" s="66"/>
      <c r="B883" s="66"/>
      <c r="C883" s="66"/>
      <c r="D883" s="66"/>
      <c r="G883" s="67"/>
      <c r="V883" s="67"/>
    </row>
    <row r="884">
      <c r="A884" s="66"/>
      <c r="B884" s="66"/>
      <c r="C884" s="66"/>
      <c r="D884" s="66"/>
      <c r="G884" s="67"/>
      <c r="V884" s="67"/>
    </row>
    <row r="885">
      <c r="A885" s="66"/>
      <c r="B885" s="66"/>
      <c r="C885" s="66"/>
      <c r="D885" s="66"/>
      <c r="G885" s="67"/>
      <c r="V885" s="67"/>
    </row>
    <row r="886">
      <c r="A886" s="66"/>
      <c r="B886" s="66"/>
      <c r="C886" s="66"/>
      <c r="D886" s="66"/>
      <c r="G886" s="67"/>
      <c r="V886" s="67"/>
    </row>
    <row r="887">
      <c r="A887" s="66"/>
      <c r="B887" s="66"/>
      <c r="C887" s="66"/>
      <c r="D887" s="66"/>
      <c r="G887" s="67"/>
      <c r="V887" s="67"/>
    </row>
    <row r="888">
      <c r="A888" s="66"/>
      <c r="B888" s="66"/>
      <c r="C888" s="66"/>
      <c r="D888" s="66"/>
      <c r="G888" s="67"/>
      <c r="V888" s="67"/>
    </row>
    <row r="889">
      <c r="A889" s="66"/>
      <c r="B889" s="66"/>
      <c r="C889" s="66"/>
      <c r="D889" s="66"/>
      <c r="G889" s="67"/>
      <c r="V889" s="67"/>
    </row>
    <row r="890">
      <c r="A890" s="66"/>
      <c r="B890" s="66"/>
      <c r="C890" s="66"/>
      <c r="D890" s="66"/>
      <c r="G890" s="67"/>
      <c r="V890" s="67"/>
    </row>
    <row r="891">
      <c r="A891" s="66"/>
      <c r="B891" s="66"/>
      <c r="C891" s="66"/>
      <c r="D891" s="66"/>
      <c r="G891" s="67"/>
      <c r="V891" s="67"/>
    </row>
    <row r="892">
      <c r="A892" s="66"/>
      <c r="B892" s="66"/>
      <c r="C892" s="66"/>
      <c r="D892" s="66"/>
      <c r="G892" s="67"/>
      <c r="V892" s="67"/>
    </row>
    <row r="893">
      <c r="A893" s="66"/>
      <c r="B893" s="66"/>
      <c r="C893" s="66"/>
      <c r="D893" s="66"/>
      <c r="G893" s="67"/>
      <c r="V893" s="67"/>
    </row>
    <row r="894">
      <c r="A894" s="66"/>
      <c r="B894" s="66"/>
      <c r="C894" s="66"/>
      <c r="D894" s="66"/>
      <c r="G894" s="67"/>
      <c r="V894" s="67"/>
    </row>
    <row r="895">
      <c r="A895" s="66"/>
      <c r="B895" s="66"/>
      <c r="C895" s="66"/>
      <c r="D895" s="66"/>
      <c r="G895" s="67"/>
      <c r="V895" s="67"/>
    </row>
    <row r="896">
      <c r="A896" s="66"/>
      <c r="B896" s="66"/>
      <c r="C896" s="66"/>
      <c r="D896" s="66"/>
      <c r="G896" s="67"/>
      <c r="V896" s="67"/>
    </row>
    <row r="897">
      <c r="A897" s="66"/>
      <c r="B897" s="66"/>
      <c r="C897" s="66"/>
      <c r="D897" s="66"/>
      <c r="G897" s="67"/>
      <c r="V897" s="67"/>
    </row>
    <row r="898">
      <c r="A898" s="66"/>
      <c r="B898" s="66"/>
      <c r="C898" s="66"/>
      <c r="D898" s="66"/>
      <c r="G898" s="67"/>
      <c r="V898" s="67"/>
    </row>
    <row r="899">
      <c r="A899" s="66"/>
      <c r="B899" s="66"/>
      <c r="C899" s="66"/>
      <c r="D899" s="66"/>
      <c r="G899" s="67"/>
      <c r="V899" s="67"/>
    </row>
    <row r="900">
      <c r="A900" s="66"/>
      <c r="B900" s="66"/>
      <c r="C900" s="66"/>
      <c r="D900" s="66"/>
      <c r="G900" s="67"/>
      <c r="V900" s="67"/>
    </row>
    <row r="901">
      <c r="A901" s="66"/>
      <c r="B901" s="66"/>
      <c r="C901" s="66"/>
      <c r="D901" s="66"/>
      <c r="G901" s="67"/>
      <c r="V901" s="67"/>
    </row>
    <row r="902">
      <c r="A902" s="66"/>
      <c r="B902" s="66"/>
      <c r="C902" s="66"/>
      <c r="D902" s="66"/>
      <c r="G902" s="67"/>
      <c r="V902" s="67"/>
    </row>
    <row r="903">
      <c r="A903" s="66"/>
      <c r="B903" s="66"/>
      <c r="C903" s="66"/>
      <c r="D903" s="66"/>
      <c r="G903" s="67"/>
      <c r="V903" s="67"/>
    </row>
    <row r="904">
      <c r="A904" s="66"/>
      <c r="B904" s="66"/>
      <c r="C904" s="66"/>
      <c r="D904" s="66"/>
      <c r="G904" s="67"/>
      <c r="V904" s="67"/>
    </row>
    <row r="905">
      <c r="A905" s="66"/>
      <c r="B905" s="66"/>
      <c r="C905" s="66"/>
      <c r="D905" s="66"/>
      <c r="G905" s="67"/>
      <c r="V905" s="67"/>
    </row>
    <row r="906">
      <c r="A906" s="66"/>
      <c r="B906" s="66"/>
      <c r="C906" s="66"/>
      <c r="D906" s="66"/>
      <c r="G906" s="67"/>
      <c r="V906" s="67"/>
    </row>
    <row r="907">
      <c r="A907" s="66"/>
      <c r="B907" s="66"/>
      <c r="C907" s="66"/>
      <c r="D907" s="66"/>
      <c r="G907" s="67"/>
      <c r="V907" s="67"/>
    </row>
    <row r="908">
      <c r="A908" s="66"/>
      <c r="B908" s="66"/>
      <c r="C908" s="66"/>
      <c r="D908" s="66"/>
      <c r="G908" s="67"/>
      <c r="V908" s="67"/>
    </row>
    <row r="909">
      <c r="A909" s="66"/>
      <c r="B909" s="66"/>
      <c r="C909" s="66"/>
      <c r="D909" s="66"/>
      <c r="G909" s="67"/>
      <c r="V909" s="67"/>
    </row>
    <row r="910">
      <c r="A910" s="66"/>
      <c r="B910" s="66"/>
      <c r="C910" s="66"/>
      <c r="D910" s="66"/>
      <c r="G910" s="67"/>
      <c r="V910" s="67"/>
    </row>
    <row r="911">
      <c r="A911" s="66"/>
      <c r="B911" s="66"/>
      <c r="C911" s="66"/>
      <c r="D911" s="66"/>
      <c r="G911" s="67"/>
      <c r="V911" s="67"/>
    </row>
    <row r="912">
      <c r="A912" s="66"/>
      <c r="B912" s="66"/>
      <c r="C912" s="66"/>
      <c r="D912" s="66"/>
      <c r="G912" s="67"/>
      <c r="V912" s="67"/>
    </row>
    <row r="913">
      <c r="A913" s="66"/>
      <c r="B913" s="66"/>
      <c r="C913" s="66"/>
      <c r="D913" s="66"/>
      <c r="G913" s="67"/>
      <c r="V913" s="67"/>
    </row>
    <row r="914">
      <c r="A914" s="66"/>
      <c r="B914" s="66"/>
      <c r="C914" s="66"/>
      <c r="D914" s="66"/>
      <c r="G914" s="67"/>
      <c r="V914" s="67"/>
    </row>
    <row r="915">
      <c r="A915" s="66"/>
      <c r="B915" s="66"/>
      <c r="C915" s="66"/>
      <c r="D915" s="66"/>
      <c r="G915" s="67"/>
      <c r="V915" s="67"/>
    </row>
    <row r="916">
      <c r="A916" s="66"/>
      <c r="B916" s="66"/>
      <c r="C916" s="66"/>
      <c r="D916" s="66"/>
      <c r="G916" s="67"/>
      <c r="V916" s="67"/>
    </row>
    <row r="917">
      <c r="A917" s="66"/>
      <c r="B917" s="66"/>
      <c r="C917" s="66"/>
      <c r="D917" s="66"/>
      <c r="G917" s="67"/>
      <c r="V917" s="67"/>
    </row>
    <row r="918">
      <c r="A918" s="66"/>
      <c r="B918" s="66"/>
      <c r="C918" s="66"/>
      <c r="D918" s="66"/>
      <c r="G918" s="67"/>
      <c r="V918" s="67"/>
    </row>
    <row r="919">
      <c r="A919" s="66"/>
      <c r="B919" s="66"/>
      <c r="C919" s="66"/>
      <c r="D919" s="66"/>
      <c r="G919" s="67"/>
      <c r="V919" s="67"/>
    </row>
    <row r="920">
      <c r="A920" s="66"/>
      <c r="B920" s="66"/>
      <c r="C920" s="66"/>
      <c r="D920" s="66"/>
      <c r="G920" s="67"/>
      <c r="V920" s="67"/>
    </row>
    <row r="921">
      <c r="A921" s="66"/>
      <c r="B921" s="66"/>
      <c r="C921" s="66"/>
      <c r="D921" s="66"/>
      <c r="G921" s="67"/>
      <c r="V921" s="67"/>
    </row>
    <row r="922">
      <c r="A922" s="66"/>
      <c r="B922" s="66"/>
      <c r="C922" s="66"/>
      <c r="D922" s="66"/>
      <c r="G922" s="67"/>
      <c r="V922" s="67"/>
    </row>
    <row r="923">
      <c r="A923" s="66"/>
      <c r="B923" s="66"/>
      <c r="C923" s="66"/>
      <c r="D923" s="66"/>
      <c r="G923" s="67"/>
      <c r="V923" s="67"/>
    </row>
    <row r="924">
      <c r="A924" s="66"/>
      <c r="B924" s="66"/>
      <c r="C924" s="66"/>
      <c r="D924" s="66"/>
      <c r="G924" s="67"/>
      <c r="V924" s="67"/>
    </row>
    <row r="925">
      <c r="A925" s="66"/>
      <c r="B925" s="66"/>
      <c r="C925" s="66"/>
      <c r="D925" s="66"/>
      <c r="G925" s="67"/>
      <c r="V925" s="67"/>
    </row>
    <row r="926">
      <c r="A926" s="66"/>
      <c r="B926" s="66"/>
      <c r="C926" s="66"/>
      <c r="D926" s="66"/>
      <c r="G926" s="67"/>
      <c r="V926" s="67"/>
    </row>
    <row r="927">
      <c r="A927" s="66"/>
      <c r="B927" s="66"/>
      <c r="C927" s="66"/>
      <c r="D927" s="66"/>
      <c r="G927" s="67"/>
      <c r="V927" s="67"/>
    </row>
    <row r="928">
      <c r="A928" s="66"/>
      <c r="B928" s="66"/>
      <c r="C928" s="66"/>
      <c r="D928" s="66"/>
      <c r="G928" s="67"/>
      <c r="V928" s="67"/>
    </row>
    <row r="929">
      <c r="A929" s="66"/>
      <c r="B929" s="66"/>
      <c r="C929" s="66"/>
      <c r="D929" s="66"/>
      <c r="G929" s="67"/>
      <c r="V929" s="67"/>
    </row>
    <row r="930">
      <c r="A930" s="66"/>
      <c r="B930" s="66"/>
      <c r="C930" s="66"/>
      <c r="D930" s="66"/>
      <c r="G930" s="67"/>
      <c r="V930" s="67"/>
    </row>
    <row r="931">
      <c r="A931" s="66"/>
      <c r="B931" s="66"/>
      <c r="C931" s="66"/>
      <c r="D931" s="66"/>
      <c r="G931" s="67"/>
      <c r="V931" s="67"/>
    </row>
    <row r="932">
      <c r="A932" s="66"/>
      <c r="B932" s="66"/>
      <c r="C932" s="66"/>
      <c r="D932" s="66"/>
      <c r="G932" s="67"/>
      <c r="V932" s="67"/>
    </row>
    <row r="933">
      <c r="A933" s="66"/>
      <c r="B933" s="66"/>
      <c r="C933" s="66"/>
      <c r="D933" s="66"/>
      <c r="G933" s="67"/>
      <c r="V933" s="67"/>
    </row>
    <row r="934">
      <c r="A934" s="66"/>
      <c r="B934" s="66"/>
      <c r="C934" s="66"/>
      <c r="D934" s="66"/>
      <c r="G934" s="67"/>
      <c r="V934" s="67"/>
    </row>
    <row r="935">
      <c r="A935" s="66"/>
      <c r="B935" s="66"/>
      <c r="C935" s="66"/>
      <c r="D935" s="66"/>
      <c r="G935" s="67"/>
      <c r="V935" s="67"/>
    </row>
    <row r="936">
      <c r="A936" s="66"/>
      <c r="B936" s="66"/>
      <c r="C936" s="66"/>
      <c r="D936" s="66"/>
      <c r="G936" s="67"/>
      <c r="V936" s="67"/>
    </row>
    <row r="937">
      <c r="A937" s="66"/>
      <c r="B937" s="66"/>
      <c r="C937" s="66"/>
      <c r="D937" s="66"/>
      <c r="G937" s="67"/>
      <c r="V937" s="67"/>
    </row>
    <row r="938">
      <c r="A938" s="66"/>
      <c r="B938" s="66"/>
      <c r="C938" s="66"/>
      <c r="D938" s="66"/>
      <c r="G938" s="67"/>
      <c r="V938" s="67"/>
    </row>
    <row r="939">
      <c r="A939" s="66"/>
      <c r="B939" s="66"/>
      <c r="C939" s="66"/>
      <c r="D939" s="66"/>
      <c r="G939" s="67"/>
      <c r="V939" s="67"/>
    </row>
    <row r="940">
      <c r="A940" s="66"/>
      <c r="B940" s="66"/>
      <c r="C940" s="66"/>
      <c r="D940" s="66"/>
      <c r="G940" s="67"/>
      <c r="V940" s="67"/>
    </row>
    <row r="941">
      <c r="A941" s="66"/>
      <c r="B941" s="66"/>
      <c r="C941" s="66"/>
      <c r="D941" s="66"/>
      <c r="G941" s="67"/>
      <c r="V941" s="67"/>
    </row>
    <row r="942">
      <c r="A942" s="66"/>
      <c r="B942" s="66"/>
      <c r="C942" s="66"/>
      <c r="D942" s="66"/>
      <c r="G942" s="67"/>
      <c r="V942" s="67"/>
    </row>
    <row r="943">
      <c r="A943" s="66"/>
      <c r="B943" s="66"/>
      <c r="C943" s="66"/>
      <c r="D943" s="66"/>
      <c r="G943" s="67"/>
      <c r="V943" s="67"/>
    </row>
    <row r="944">
      <c r="A944" s="66"/>
      <c r="B944" s="66"/>
      <c r="C944" s="66"/>
      <c r="D944" s="66"/>
      <c r="G944" s="67"/>
      <c r="V944" s="67"/>
    </row>
    <row r="945">
      <c r="A945" s="66"/>
      <c r="B945" s="66"/>
      <c r="C945" s="66"/>
      <c r="D945" s="66"/>
      <c r="G945" s="67"/>
      <c r="V945" s="67"/>
    </row>
    <row r="946">
      <c r="A946" s="66"/>
      <c r="B946" s="66"/>
      <c r="C946" s="66"/>
      <c r="D946" s="66"/>
      <c r="G946" s="67"/>
      <c r="V946" s="67"/>
    </row>
    <row r="947">
      <c r="A947" s="66"/>
      <c r="B947" s="66"/>
      <c r="C947" s="66"/>
      <c r="D947" s="66"/>
      <c r="G947" s="67"/>
      <c r="V947" s="67"/>
    </row>
    <row r="948">
      <c r="A948" s="66"/>
      <c r="B948" s="66"/>
      <c r="C948" s="66"/>
      <c r="D948" s="66"/>
      <c r="G948" s="67"/>
      <c r="V948" s="67"/>
    </row>
    <row r="949">
      <c r="A949" s="66"/>
      <c r="B949" s="66"/>
      <c r="C949" s="66"/>
      <c r="D949" s="66"/>
      <c r="G949" s="67"/>
      <c r="V949" s="67"/>
    </row>
    <row r="950">
      <c r="A950" s="66"/>
      <c r="B950" s="66"/>
      <c r="C950" s="66"/>
      <c r="D950" s="66"/>
      <c r="G950" s="67"/>
      <c r="V950" s="67"/>
    </row>
    <row r="951">
      <c r="A951" s="66"/>
      <c r="B951" s="66"/>
      <c r="C951" s="66"/>
      <c r="D951" s="66"/>
      <c r="G951" s="67"/>
      <c r="V951" s="67"/>
    </row>
    <row r="952">
      <c r="A952" s="66"/>
      <c r="B952" s="66"/>
      <c r="C952" s="66"/>
      <c r="D952" s="66"/>
      <c r="G952" s="67"/>
      <c r="V952" s="67"/>
    </row>
    <row r="953">
      <c r="A953" s="66"/>
      <c r="B953" s="66"/>
      <c r="C953" s="66"/>
      <c r="D953" s="66"/>
      <c r="G953" s="67"/>
      <c r="V953" s="67"/>
    </row>
    <row r="954">
      <c r="A954" s="66"/>
      <c r="B954" s="66"/>
      <c r="C954" s="66"/>
      <c r="D954" s="66"/>
      <c r="G954" s="67"/>
      <c r="V954" s="67"/>
    </row>
    <row r="955">
      <c r="A955" s="66"/>
      <c r="B955" s="66"/>
      <c r="C955" s="66"/>
      <c r="D955" s="66"/>
      <c r="G955" s="67"/>
      <c r="V955" s="67"/>
    </row>
    <row r="956">
      <c r="A956" s="66"/>
      <c r="B956" s="66"/>
      <c r="C956" s="66"/>
      <c r="D956" s="66"/>
      <c r="G956" s="67"/>
      <c r="V956" s="67"/>
    </row>
    <row r="957">
      <c r="A957" s="66"/>
      <c r="B957" s="66"/>
      <c r="C957" s="66"/>
      <c r="D957" s="66"/>
      <c r="G957" s="67"/>
      <c r="V957" s="67"/>
    </row>
    <row r="958">
      <c r="A958" s="66"/>
      <c r="B958" s="66"/>
      <c r="C958" s="66"/>
      <c r="D958" s="66"/>
      <c r="G958" s="67"/>
      <c r="V958" s="67"/>
    </row>
    <row r="959">
      <c r="A959" s="66"/>
      <c r="B959" s="66"/>
      <c r="C959" s="66"/>
      <c r="D959" s="66"/>
      <c r="G959" s="67"/>
      <c r="V959" s="67"/>
    </row>
    <row r="960">
      <c r="A960" s="66"/>
      <c r="B960" s="66"/>
      <c r="C960" s="66"/>
      <c r="D960" s="66"/>
      <c r="G960" s="67"/>
      <c r="V960" s="67"/>
    </row>
    <row r="961">
      <c r="A961" s="66"/>
      <c r="B961" s="66"/>
      <c r="C961" s="66"/>
      <c r="D961" s="66"/>
      <c r="G961" s="67"/>
      <c r="V961" s="67"/>
    </row>
    <row r="962">
      <c r="A962" s="66"/>
      <c r="B962" s="66"/>
      <c r="C962" s="66"/>
      <c r="D962" s="66"/>
      <c r="G962" s="67"/>
      <c r="V962" s="67"/>
    </row>
    <row r="963">
      <c r="A963" s="66"/>
      <c r="B963" s="66"/>
      <c r="C963" s="66"/>
      <c r="D963" s="66"/>
      <c r="G963" s="67"/>
      <c r="V963" s="67"/>
    </row>
    <row r="964">
      <c r="A964" s="66"/>
      <c r="B964" s="66"/>
      <c r="C964" s="66"/>
      <c r="D964" s="66"/>
      <c r="G964" s="67"/>
      <c r="V964" s="67"/>
    </row>
    <row r="965">
      <c r="A965" s="66"/>
      <c r="B965" s="66"/>
      <c r="C965" s="66"/>
      <c r="D965" s="66"/>
      <c r="G965" s="67"/>
      <c r="V965" s="67"/>
    </row>
    <row r="966">
      <c r="A966" s="66"/>
      <c r="B966" s="66"/>
      <c r="C966" s="66"/>
      <c r="D966" s="66"/>
      <c r="G966" s="67"/>
      <c r="V966" s="67"/>
    </row>
    <row r="967">
      <c r="A967" s="66"/>
      <c r="B967" s="66"/>
      <c r="C967" s="66"/>
      <c r="D967" s="66"/>
      <c r="G967" s="67"/>
      <c r="V967" s="67"/>
    </row>
    <row r="968">
      <c r="A968" s="66"/>
      <c r="B968" s="66"/>
      <c r="C968" s="66"/>
      <c r="D968" s="66"/>
      <c r="G968" s="67"/>
      <c r="V968" s="67"/>
    </row>
    <row r="969">
      <c r="A969" s="66"/>
      <c r="B969" s="66"/>
      <c r="C969" s="66"/>
      <c r="D969" s="66"/>
      <c r="G969" s="67"/>
      <c r="V969" s="67"/>
    </row>
    <row r="970">
      <c r="A970" s="66"/>
      <c r="B970" s="66"/>
      <c r="C970" s="66"/>
      <c r="D970" s="66"/>
      <c r="G970" s="67"/>
      <c r="V970" s="67"/>
    </row>
    <row r="971">
      <c r="A971" s="66"/>
      <c r="B971" s="66"/>
      <c r="C971" s="66"/>
      <c r="D971" s="66"/>
      <c r="G971" s="67"/>
      <c r="V971" s="67"/>
    </row>
    <row r="972">
      <c r="A972" s="66"/>
      <c r="B972" s="66"/>
      <c r="C972" s="66"/>
      <c r="D972" s="66"/>
      <c r="G972" s="67"/>
      <c r="V972" s="67"/>
    </row>
    <row r="973">
      <c r="A973" s="66"/>
      <c r="B973" s="66"/>
      <c r="C973" s="66"/>
      <c r="D973" s="66"/>
      <c r="G973" s="67"/>
      <c r="V973" s="67"/>
    </row>
    <row r="974">
      <c r="A974" s="66"/>
      <c r="B974" s="66"/>
      <c r="C974" s="66"/>
      <c r="D974" s="66"/>
      <c r="G974" s="67"/>
      <c r="V974" s="67"/>
    </row>
    <row r="975">
      <c r="A975" s="66"/>
      <c r="B975" s="66"/>
      <c r="C975" s="66"/>
      <c r="D975" s="66"/>
      <c r="G975" s="67"/>
      <c r="V975" s="67"/>
    </row>
    <row r="976">
      <c r="A976" s="66"/>
      <c r="B976" s="66"/>
      <c r="C976" s="66"/>
      <c r="D976" s="66"/>
      <c r="G976" s="67"/>
      <c r="V976" s="67"/>
    </row>
    <row r="977">
      <c r="A977" s="66"/>
      <c r="B977" s="66"/>
      <c r="C977" s="66"/>
      <c r="D977" s="66"/>
      <c r="G977" s="67"/>
      <c r="V977" s="67"/>
    </row>
    <row r="978">
      <c r="A978" s="66"/>
      <c r="B978" s="66"/>
      <c r="C978" s="66"/>
      <c r="D978" s="66"/>
      <c r="G978" s="67"/>
      <c r="V978" s="67"/>
    </row>
    <row r="979">
      <c r="A979" s="66"/>
      <c r="B979" s="66"/>
      <c r="C979" s="66"/>
      <c r="D979" s="66"/>
      <c r="G979" s="67"/>
      <c r="V979" s="67"/>
    </row>
    <row r="980">
      <c r="A980" s="66"/>
      <c r="B980" s="66"/>
      <c r="C980" s="66"/>
      <c r="D980" s="66"/>
      <c r="G980" s="67"/>
      <c r="V980" s="67"/>
    </row>
    <row r="981">
      <c r="A981" s="66"/>
      <c r="B981" s="66"/>
      <c r="C981" s="66"/>
      <c r="D981" s="66"/>
      <c r="G981" s="67"/>
      <c r="V981" s="67"/>
    </row>
    <row r="982">
      <c r="A982" s="66"/>
      <c r="B982" s="66"/>
      <c r="C982" s="66"/>
      <c r="D982" s="66"/>
      <c r="G982" s="67"/>
      <c r="V982" s="67"/>
    </row>
    <row r="983">
      <c r="A983" s="66"/>
      <c r="B983" s="66"/>
      <c r="C983" s="66"/>
      <c r="D983" s="66"/>
      <c r="G983" s="67"/>
      <c r="V983" s="67"/>
    </row>
    <row r="984">
      <c r="A984" s="66"/>
      <c r="B984" s="66"/>
      <c r="C984" s="66"/>
      <c r="D984" s="66"/>
      <c r="G984" s="67"/>
      <c r="V984" s="67"/>
    </row>
    <row r="985">
      <c r="A985" s="66"/>
      <c r="B985" s="66"/>
      <c r="C985" s="66"/>
      <c r="D985" s="66"/>
      <c r="G985" s="67"/>
      <c r="V985" s="67"/>
    </row>
    <row r="986">
      <c r="A986" s="66"/>
      <c r="B986" s="66"/>
      <c r="C986" s="66"/>
      <c r="D986" s="66"/>
      <c r="G986" s="67"/>
      <c r="V986" s="67"/>
    </row>
    <row r="987">
      <c r="A987" s="66"/>
      <c r="B987" s="66"/>
      <c r="C987" s="66"/>
      <c r="D987" s="66"/>
      <c r="G987" s="67"/>
      <c r="V987" s="67"/>
    </row>
    <row r="988">
      <c r="A988" s="66"/>
      <c r="B988" s="66"/>
      <c r="C988" s="66"/>
      <c r="D988" s="66"/>
      <c r="G988" s="67"/>
      <c r="V988" s="67"/>
    </row>
    <row r="989">
      <c r="A989" s="66"/>
      <c r="B989" s="66"/>
      <c r="C989" s="66"/>
      <c r="D989" s="66"/>
      <c r="G989" s="67"/>
      <c r="V989" s="67"/>
    </row>
    <row r="990">
      <c r="A990" s="66"/>
      <c r="B990" s="66"/>
      <c r="C990" s="66"/>
      <c r="D990" s="66"/>
      <c r="G990" s="67"/>
      <c r="V990" s="67"/>
    </row>
    <row r="991">
      <c r="A991" s="66"/>
      <c r="B991" s="66"/>
      <c r="C991" s="66"/>
      <c r="D991" s="66"/>
      <c r="G991" s="67"/>
      <c r="V991" s="67"/>
    </row>
    <row r="992">
      <c r="A992" s="66"/>
      <c r="B992" s="66"/>
      <c r="C992" s="66"/>
      <c r="D992" s="66"/>
      <c r="G992" s="67"/>
      <c r="V992" s="67"/>
    </row>
    <row r="993">
      <c r="A993" s="66"/>
      <c r="B993" s="66"/>
      <c r="C993" s="66"/>
      <c r="D993" s="66"/>
      <c r="G993" s="67"/>
      <c r="V993" s="67"/>
    </row>
    <row r="994">
      <c r="A994" s="66"/>
      <c r="B994" s="66"/>
      <c r="C994" s="66"/>
      <c r="D994" s="66"/>
      <c r="G994" s="67"/>
      <c r="V994" s="67"/>
    </row>
    <row r="995">
      <c r="A995" s="66"/>
      <c r="B995" s="66"/>
      <c r="C995" s="66"/>
      <c r="D995" s="66"/>
      <c r="G995" s="67"/>
      <c r="V995" s="67"/>
    </row>
    <row r="996">
      <c r="A996" s="66"/>
      <c r="B996" s="66"/>
      <c r="C996" s="66"/>
      <c r="D996" s="66"/>
      <c r="G996" s="67"/>
      <c r="V996" s="67"/>
    </row>
    <row r="997">
      <c r="A997" s="66"/>
      <c r="B997" s="66"/>
      <c r="C997" s="66"/>
      <c r="D997" s="66"/>
      <c r="G997" s="67"/>
      <c r="V997" s="67"/>
    </row>
    <row r="998">
      <c r="A998" s="66"/>
      <c r="B998" s="66"/>
      <c r="C998" s="66"/>
      <c r="D998" s="66"/>
      <c r="G998" s="67"/>
      <c r="V998" s="67"/>
    </row>
    <row r="999">
      <c r="A999" s="66"/>
      <c r="B999" s="66"/>
      <c r="C999" s="66"/>
      <c r="D999" s="66"/>
      <c r="G999" s="67"/>
      <c r="V999" s="67"/>
    </row>
    <row r="1000">
      <c r="A1000" s="66"/>
      <c r="B1000" s="66"/>
      <c r="C1000" s="66"/>
      <c r="D1000" s="66"/>
      <c r="G1000" s="67"/>
      <c r="V1000" s="67"/>
    </row>
    <row r="1001">
      <c r="A1001" s="66"/>
      <c r="B1001" s="66"/>
      <c r="C1001" s="66"/>
      <c r="D1001" s="66"/>
      <c r="G1001" s="67"/>
      <c r="V1001" s="67"/>
    </row>
  </sheetData>
  <mergeCells count="4">
    <mergeCell ref="A1:D1"/>
    <mergeCell ref="F1:M1"/>
    <mergeCell ref="O1:T1"/>
    <mergeCell ref="V1:AB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15.0"/>
    <col customWidth="1" min="3" max="3" width="15.38"/>
    <col customWidth="1" min="4" max="4" width="174.75"/>
    <col customWidth="1" min="6" max="6" width="5.0"/>
    <col customWidth="1" min="7" max="7" width="15.63"/>
    <col customWidth="1" min="8" max="8" width="44.13"/>
    <col customWidth="1" min="15" max="15" width="14.75"/>
    <col customWidth="1" min="16" max="16" width="21.38"/>
    <col customWidth="1" min="17" max="17" width="104.75"/>
    <col customWidth="1" min="18" max="18" width="43.38"/>
    <col customWidth="1" min="22" max="22" width="5.0"/>
    <col customWidth="1" min="23" max="23" width="26.38"/>
    <col customWidth="1" min="24" max="24" width="117.25"/>
    <col customWidth="1" min="25" max="25" width="74.63"/>
    <col customWidth="1" min="26" max="26" width="12.13"/>
    <col customWidth="1" min="27" max="27" width="11.13"/>
  </cols>
  <sheetData>
    <row r="1">
      <c r="A1" s="1" t="s">
        <v>0</v>
      </c>
      <c r="B1" s="2"/>
      <c r="C1" s="2"/>
      <c r="D1" s="3"/>
      <c r="F1" s="4" t="s">
        <v>1</v>
      </c>
      <c r="G1" s="2"/>
      <c r="H1" s="2"/>
      <c r="I1" s="2"/>
      <c r="J1" s="2"/>
      <c r="K1" s="2"/>
      <c r="L1" s="2"/>
      <c r="M1" s="3"/>
      <c r="O1" s="5" t="s">
        <v>2</v>
      </c>
      <c r="P1" s="2"/>
      <c r="Q1" s="2"/>
      <c r="R1" s="2"/>
      <c r="S1" s="2"/>
      <c r="T1" s="3"/>
      <c r="V1" s="5" t="s">
        <v>3</v>
      </c>
      <c r="W1" s="2"/>
      <c r="X1" s="2"/>
      <c r="Y1" s="2"/>
      <c r="Z1" s="2"/>
      <c r="AA1" s="2"/>
      <c r="AB1" s="3"/>
    </row>
    <row r="2">
      <c r="A2" s="6" t="s">
        <v>4</v>
      </c>
      <c r="B2" s="6" t="s">
        <v>5</v>
      </c>
      <c r="C2" s="6" t="s">
        <v>6</v>
      </c>
      <c r="D2" s="6" t="s">
        <v>8</v>
      </c>
      <c r="F2" s="11" t="s">
        <v>4</v>
      </c>
      <c r="G2" s="101" t="s">
        <v>630</v>
      </c>
      <c r="H2" s="11" t="s">
        <v>11</v>
      </c>
      <c r="I2" s="11" t="s">
        <v>698</v>
      </c>
      <c r="J2" s="8"/>
      <c r="K2" s="8"/>
      <c r="L2" s="8"/>
      <c r="M2" s="8"/>
      <c r="O2" s="10" t="s">
        <v>17</v>
      </c>
      <c r="P2" s="10"/>
      <c r="Q2" s="10"/>
      <c r="R2" s="10"/>
      <c r="S2" s="12" t="s">
        <v>24</v>
      </c>
      <c r="T2" s="12" t="s">
        <v>25</v>
      </c>
      <c r="V2" s="10" t="s">
        <v>4</v>
      </c>
      <c r="W2" s="10" t="s">
        <v>26</v>
      </c>
      <c r="X2" s="10" t="s">
        <v>20</v>
      </c>
      <c r="Y2" s="10" t="s">
        <v>22</v>
      </c>
      <c r="Z2" s="12" t="s">
        <v>24</v>
      </c>
      <c r="AA2" s="12" t="s">
        <v>25</v>
      </c>
      <c r="AB2" s="12" t="s">
        <v>27</v>
      </c>
    </row>
    <row r="3">
      <c r="A3" s="13">
        <v>1.0</v>
      </c>
      <c r="B3" s="13">
        <v>2.0</v>
      </c>
      <c r="C3" s="13">
        <v>12.0</v>
      </c>
      <c r="D3" s="14" t="s">
        <v>703</v>
      </c>
      <c r="F3" s="15">
        <v>1.0</v>
      </c>
      <c r="G3" s="16">
        <v>2.0</v>
      </c>
      <c r="H3" s="15" t="s">
        <v>707</v>
      </c>
      <c r="I3" s="15">
        <v>2.0</v>
      </c>
      <c r="J3" s="15"/>
      <c r="K3" s="15"/>
      <c r="L3" s="15"/>
      <c r="M3" s="15"/>
      <c r="O3" s="17">
        <v>1.0</v>
      </c>
      <c r="P3" s="18" t="s">
        <v>709</v>
      </c>
      <c r="Q3" s="19" t="s">
        <v>711</v>
      </c>
      <c r="R3" s="20" t="s">
        <v>712</v>
      </c>
      <c r="S3" s="21">
        <v>0.0</v>
      </c>
      <c r="T3" s="21">
        <v>0.0</v>
      </c>
      <c r="V3" s="22">
        <v>1.0</v>
      </c>
      <c r="W3" s="24" t="s">
        <v>707</v>
      </c>
      <c r="X3" s="25" t="s">
        <v>714</v>
      </c>
      <c r="Y3" s="25" t="s">
        <v>372</v>
      </c>
      <c r="Z3" s="22">
        <v>0.0</v>
      </c>
      <c r="AA3" s="22">
        <v>0.0</v>
      </c>
    </row>
    <row r="4">
      <c r="A4" s="27">
        <v>2.0</v>
      </c>
      <c r="B4" s="28">
        <v>2.0</v>
      </c>
      <c r="C4" s="27">
        <v>12.0</v>
      </c>
      <c r="D4" s="28" t="s">
        <v>716</v>
      </c>
      <c r="F4" s="29">
        <v>2.0</v>
      </c>
      <c r="G4" s="30">
        <v>2.0</v>
      </c>
      <c r="H4" s="29" t="s">
        <v>717</v>
      </c>
      <c r="I4" s="29">
        <v>3.0</v>
      </c>
      <c r="J4" s="29"/>
      <c r="K4" s="29"/>
      <c r="L4" s="29"/>
      <c r="M4" s="29"/>
      <c r="O4" s="53">
        <v>1.0</v>
      </c>
      <c r="P4" s="32" t="s">
        <v>719</v>
      </c>
      <c r="Q4" s="33" t="s">
        <v>721</v>
      </c>
      <c r="R4" s="34" t="s">
        <v>651</v>
      </c>
      <c r="S4" s="35">
        <v>18.0</v>
      </c>
      <c r="T4" s="35">
        <v>3.0</v>
      </c>
      <c r="V4" s="36">
        <v>2.0</v>
      </c>
      <c r="W4" s="37" t="s">
        <v>717</v>
      </c>
      <c r="X4" s="38" t="s">
        <v>722</v>
      </c>
      <c r="Y4" s="38" t="s">
        <v>372</v>
      </c>
      <c r="Z4" s="36">
        <v>0.0</v>
      </c>
      <c r="AA4" s="36">
        <v>0.0</v>
      </c>
    </row>
    <row r="5">
      <c r="A5" s="13">
        <v>3.0</v>
      </c>
      <c r="B5" s="14">
        <v>3.0</v>
      </c>
      <c r="C5" s="13">
        <v>18.0</v>
      </c>
      <c r="D5" s="14" t="s">
        <v>723</v>
      </c>
      <c r="F5" s="15">
        <v>3.0</v>
      </c>
      <c r="G5" s="16">
        <v>2.0</v>
      </c>
      <c r="H5" s="15" t="s">
        <v>724</v>
      </c>
      <c r="I5" s="15">
        <v>3.0</v>
      </c>
      <c r="J5" s="15"/>
      <c r="K5" s="15"/>
      <c r="L5" s="15"/>
      <c r="M5" s="15"/>
      <c r="O5" s="53">
        <v>1.0</v>
      </c>
      <c r="P5" s="32" t="s">
        <v>727</v>
      </c>
      <c r="Q5" s="33" t="s">
        <v>728</v>
      </c>
      <c r="R5" s="34" t="s">
        <v>729</v>
      </c>
      <c r="S5" s="35">
        <v>30.0</v>
      </c>
      <c r="T5" s="35">
        <v>5.0</v>
      </c>
      <c r="V5" s="39">
        <v>3.0</v>
      </c>
      <c r="W5" s="40" t="s">
        <v>724</v>
      </c>
      <c r="X5" s="41" t="s">
        <v>730</v>
      </c>
      <c r="Y5" s="41" t="s">
        <v>651</v>
      </c>
      <c r="Z5" s="39">
        <v>18.0</v>
      </c>
      <c r="AA5" s="39">
        <v>3.0</v>
      </c>
    </row>
    <row r="6">
      <c r="A6" s="27">
        <v>5.0</v>
      </c>
      <c r="B6" s="28">
        <v>6.0</v>
      </c>
      <c r="C6" s="27">
        <v>36.0</v>
      </c>
      <c r="D6" s="28" t="s">
        <v>733</v>
      </c>
      <c r="F6" s="29">
        <v>4.0</v>
      </c>
      <c r="G6" s="30">
        <v>2.0</v>
      </c>
      <c r="H6" s="29" t="s">
        <v>76</v>
      </c>
      <c r="I6" s="29">
        <v>3.0</v>
      </c>
      <c r="J6" s="29"/>
      <c r="K6" s="29"/>
      <c r="L6" s="29"/>
      <c r="M6" s="29"/>
      <c r="O6" s="53">
        <v>1.0</v>
      </c>
      <c r="P6" s="32" t="s">
        <v>735</v>
      </c>
      <c r="Q6" s="33" t="s">
        <v>736</v>
      </c>
      <c r="R6" s="34" t="s">
        <v>737</v>
      </c>
      <c r="S6" s="35">
        <v>0.0</v>
      </c>
      <c r="T6" s="35">
        <v>0.0</v>
      </c>
      <c r="V6" s="39">
        <v>4.0</v>
      </c>
      <c r="W6" s="40" t="s">
        <v>76</v>
      </c>
      <c r="X6" s="41" t="s">
        <v>738</v>
      </c>
      <c r="Y6" s="41" t="s">
        <v>372</v>
      </c>
      <c r="Z6" s="39">
        <v>0.0</v>
      </c>
      <c r="AA6" s="39">
        <v>0.0</v>
      </c>
    </row>
    <row r="7">
      <c r="A7" s="13">
        <v>6.0</v>
      </c>
      <c r="B7" s="14">
        <v>6.0</v>
      </c>
      <c r="C7" s="13">
        <v>42.0</v>
      </c>
      <c r="D7" s="14" t="s">
        <v>740</v>
      </c>
      <c r="F7" s="15">
        <v>5.0</v>
      </c>
      <c r="G7" s="16">
        <v>3.0</v>
      </c>
      <c r="H7" s="15" t="s">
        <v>741</v>
      </c>
      <c r="I7" s="15">
        <v>4.0</v>
      </c>
      <c r="J7" s="15"/>
      <c r="K7" s="15"/>
      <c r="L7" s="15"/>
      <c r="M7" s="15"/>
      <c r="O7" s="53">
        <v>2.0</v>
      </c>
      <c r="P7" s="32" t="s">
        <v>742</v>
      </c>
      <c r="Q7" s="33" t="s">
        <v>743</v>
      </c>
      <c r="R7" s="34" t="s">
        <v>700</v>
      </c>
      <c r="S7" s="35">
        <v>30.0</v>
      </c>
      <c r="T7" s="35">
        <v>5.0</v>
      </c>
      <c r="V7" s="22">
        <v>5.0</v>
      </c>
      <c r="W7" s="24" t="s">
        <v>741</v>
      </c>
      <c r="X7" s="25" t="s">
        <v>744</v>
      </c>
      <c r="Y7" s="25" t="s">
        <v>651</v>
      </c>
      <c r="Z7" s="22">
        <v>18.0</v>
      </c>
      <c r="AA7" s="22">
        <v>3.0</v>
      </c>
    </row>
    <row r="8">
      <c r="A8" s="27">
        <v>7.0</v>
      </c>
      <c r="B8" s="28">
        <v>8.0</v>
      </c>
      <c r="C8" s="27">
        <v>54.0</v>
      </c>
      <c r="D8" s="28" t="s">
        <v>746</v>
      </c>
      <c r="F8" s="29">
        <v>6.0</v>
      </c>
      <c r="G8" s="30">
        <v>3.0</v>
      </c>
      <c r="H8" s="29" t="s">
        <v>748</v>
      </c>
      <c r="I8" s="29">
        <v>4.0</v>
      </c>
      <c r="J8" s="29"/>
      <c r="K8" s="29"/>
      <c r="L8" s="29"/>
      <c r="M8" s="29"/>
      <c r="O8" s="50">
        <v>2.0</v>
      </c>
      <c r="P8" s="45" t="s">
        <v>749</v>
      </c>
      <c r="Q8" s="46" t="s">
        <v>750</v>
      </c>
      <c r="R8" s="47"/>
      <c r="S8" s="48"/>
      <c r="T8" s="48"/>
      <c r="V8" s="36">
        <v>6.0</v>
      </c>
      <c r="W8" s="37" t="s">
        <v>748</v>
      </c>
      <c r="X8" s="38" t="s">
        <v>753</v>
      </c>
      <c r="Y8" s="38" t="s">
        <v>372</v>
      </c>
      <c r="Z8" s="36">
        <v>0.0</v>
      </c>
      <c r="AA8" s="36">
        <v>0.0</v>
      </c>
    </row>
    <row r="9">
      <c r="A9" s="13">
        <v>9.0</v>
      </c>
      <c r="B9" s="14">
        <v>10.0</v>
      </c>
      <c r="C9" s="13">
        <v>72.0</v>
      </c>
      <c r="D9" s="14" t="s">
        <v>754</v>
      </c>
      <c r="F9" s="15">
        <v>7.0</v>
      </c>
      <c r="G9" s="16">
        <v>3.0</v>
      </c>
      <c r="H9" s="15" t="s">
        <v>756</v>
      </c>
      <c r="I9" s="15">
        <v>4.0</v>
      </c>
      <c r="J9" s="15"/>
      <c r="K9" s="15"/>
      <c r="L9" s="15"/>
      <c r="M9" s="15"/>
      <c r="O9" s="50">
        <v>2.0</v>
      </c>
      <c r="P9" s="45" t="s">
        <v>758</v>
      </c>
      <c r="Q9" s="46" t="s">
        <v>759</v>
      </c>
      <c r="R9" s="47"/>
      <c r="S9" s="48"/>
      <c r="T9" s="48"/>
      <c r="V9" s="39">
        <v>7.0</v>
      </c>
      <c r="W9" s="40" t="s">
        <v>756</v>
      </c>
      <c r="X9" s="41" t="s">
        <v>760</v>
      </c>
      <c r="Y9" s="41" t="s">
        <v>372</v>
      </c>
      <c r="Z9" s="39">
        <v>0.0</v>
      </c>
      <c r="AA9" s="39">
        <v>0.0</v>
      </c>
    </row>
    <row r="10">
      <c r="A10" s="27">
        <v>10.0</v>
      </c>
      <c r="B10" s="28">
        <v>12.0</v>
      </c>
      <c r="C10" s="27">
        <v>84.0</v>
      </c>
      <c r="D10" s="28" t="s">
        <v>763</v>
      </c>
      <c r="F10" s="29">
        <v>8.0</v>
      </c>
      <c r="G10" s="30">
        <v>3.0</v>
      </c>
      <c r="H10" s="29" t="s">
        <v>76</v>
      </c>
      <c r="I10" s="29">
        <v>4.0</v>
      </c>
      <c r="J10" s="29"/>
      <c r="K10" s="29"/>
      <c r="L10" s="29"/>
      <c r="M10" s="29"/>
      <c r="O10" s="50">
        <v>3.0</v>
      </c>
      <c r="P10" s="45" t="s">
        <v>764</v>
      </c>
      <c r="Q10" s="46" t="s">
        <v>765</v>
      </c>
      <c r="R10" s="47"/>
      <c r="S10" s="48"/>
      <c r="T10" s="48"/>
      <c r="V10" s="39">
        <v>9.0</v>
      </c>
      <c r="W10" s="40" t="s">
        <v>766</v>
      </c>
      <c r="X10" s="41" t="s">
        <v>767</v>
      </c>
      <c r="Y10" s="41" t="s">
        <v>372</v>
      </c>
      <c r="Z10" s="39">
        <v>0.0</v>
      </c>
      <c r="AA10" s="39">
        <v>0.0</v>
      </c>
    </row>
    <row r="11">
      <c r="A11" s="13">
        <v>11.0</v>
      </c>
      <c r="B11" s="14">
        <v>15.0</v>
      </c>
      <c r="C11" s="13">
        <v>90.0</v>
      </c>
      <c r="D11" s="14" t="s">
        <v>769</v>
      </c>
      <c r="F11" s="15">
        <v>9.0</v>
      </c>
      <c r="G11" s="16">
        <v>4.0</v>
      </c>
      <c r="H11" s="15" t="s">
        <v>766</v>
      </c>
      <c r="I11" s="15">
        <v>5.0</v>
      </c>
      <c r="J11" s="15"/>
      <c r="K11" s="15"/>
      <c r="L11" s="15"/>
      <c r="M11" s="15"/>
      <c r="O11" s="50">
        <v>3.0</v>
      </c>
      <c r="P11" s="45" t="s">
        <v>770</v>
      </c>
      <c r="Q11" s="46" t="s">
        <v>772</v>
      </c>
      <c r="R11" s="47"/>
      <c r="S11" s="48"/>
      <c r="T11" s="48"/>
      <c r="V11" s="22">
        <v>10.0</v>
      </c>
      <c r="W11" s="24" t="s">
        <v>773</v>
      </c>
      <c r="X11" s="25" t="s">
        <v>775</v>
      </c>
      <c r="Y11" s="25" t="s">
        <v>372</v>
      </c>
      <c r="Z11" s="22">
        <v>0.0</v>
      </c>
      <c r="AA11" s="22">
        <v>0.0</v>
      </c>
    </row>
    <row r="12">
      <c r="A12" s="27">
        <v>13.0</v>
      </c>
      <c r="B12" s="28">
        <v>20.0</v>
      </c>
      <c r="C12" s="27">
        <v>102.0</v>
      </c>
      <c r="D12" s="28" t="s">
        <v>776</v>
      </c>
      <c r="F12" s="29">
        <v>10.0</v>
      </c>
      <c r="G12" s="30">
        <v>4.0</v>
      </c>
      <c r="H12" s="29" t="s">
        <v>773</v>
      </c>
      <c r="I12" s="29">
        <v>5.0</v>
      </c>
      <c r="J12" s="29"/>
      <c r="K12" s="29"/>
      <c r="L12" s="29"/>
      <c r="M12" s="29"/>
      <c r="O12" s="50">
        <v>3.0</v>
      </c>
      <c r="P12" s="45" t="s">
        <v>403</v>
      </c>
      <c r="Q12" s="46" t="s">
        <v>779</v>
      </c>
      <c r="R12" s="47"/>
      <c r="S12" s="48"/>
      <c r="T12" s="48"/>
      <c r="V12" s="36">
        <v>11.0</v>
      </c>
      <c r="W12" s="37" t="s">
        <v>780</v>
      </c>
      <c r="X12" s="38" t="s">
        <v>781</v>
      </c>
      <c r="Y12" s="38" t="s">
        <v>700</v>
      </c>
      <c r="Z12" s="36">
        <v>30.0</v>
      </c>
      <c r="AA12" s="36">
        <v>5.0</v>
      </c>
    </row>
    <row r="13">
      <c r="A13" s="13">
        <v>15.0</v>
      </c>
      <c r="B13" s="14">
        <v>24.0</v>
      </c>
      <c r="C13" s="13">
        <v>120.0</v>
      </c>
      <c r="D13" s="14" t="s">
        <v>784</v>
      </c>
      <c r="F13" s="15">
        <v>11.0</v>
      </c>
      <c r="G13" s="16">
        <v>4.0</v>
      </c>
      <c r="H13" s="15" t="s">
        <v>780</v>
      </c>
      <c r="I13" s="15">
        <v>5.0</v>
      </c>
      <c r="J13" s="15"/>
      <c r="K13" s="15"/>
      <c r="L13" s="15"/>
      <c r="M13" s="15"/>
      <c r="O13" s="50">
        <v>4.0</v>
      </c>
      <c r="P13" s="45" t="s">
        <v>704</v>
      </c>
      <c r="Q13" s="46" t="s">
        <v>786</v>
      </c>
      <c r="R13" s="47"/>
      <c r="S13" s="48"/>
      <c r="T13" s="48"/>
      <c r="V13" s="39">
        <v>13.0</v>
      </c>
      <c r="W13" s="40" t="s">
        <v>787</v>
      </c>
      <c r="X13" s="41" t="s">
        <v>788</v>
      </c>
      <c r="Y13" s="41" t="s">
        <v>640</v>
      </c>
      <c r="Z13" s="39">
        <v>12.0</v>
      </c>
      <c r="AA13" s="39">
        <v>2.0</v>
      </c>
    </row>
    <row r="14">
      <c r="A14" s="27">
        <v>18.0</v>
      </c>
      <c r="B14" s="28">
        <v>30.0</v>
      </c>
      <c r="C14" s="27">
        <v>156.0</v>
      </c>
      <c r="D14" s="28" t="s">
        <v>789</v>
      </c>
      <c r="F14" s="29">
        <v>12.0</v>
      </c>
      <c r="G14" s="30">
        <v>4.0</v>
      </c>
      <c r="H14" s="29" t="s">
        <v>76</v>
      </c>
      <c r="I14" s="29">
        <v>5.0</v>
      </c>
      <c r="J14" s="29"/>
      <c r="K14" s="29"/>
      <c r="L14" s="29"/>
      <c r="M14" s="29"/>
      <c r="O14" s="53">
        <v>4.0</v>
      </c>
      <c r="P14" s="32" t="s">
        <v>305</v>
      </c>
      <c r="Q14" s="33" t="s">
        <v>790</v>
      </c>
      <c r="R14" s="34"/>
      <c r="S14" s="35"/>
      <c r="T14" s="35"/>
      <c r="V14" s="39">
        <v>15.0</v>
      </c>
      <c r="W14" s="40" t="s">
        <v>791</v>
      </c>
      <c r="X14" s="41" t="s">
        <v>792</v>
      </c>
      <c r="Y14" s="41" t="s">
        <v>372</v>
      </c>
      <c r="Z14" s="39">
        <v>0.0</v>
      </c>
      <c r="AA14" s="39">
        <v>0.0</v>
      </c>
    </row>
    <row r="15">
      <c r="A15" s="13">
        <v>20.0</v>
      </c>
      <c r="B15" s="14">
        <v>40.0</v>
      </c>
      <c r="C15" s="13">
        <v>210.0</v>
      </c>
      <c r="D15" s="14" t="s">
        <v>793</v>
      </c>
      <c r="F15" s="15">
        <v>13.0</v>
      </c>
      <c r="G15" s="16">
        <v>5.0</v>
      </c>
      <c r="H15" s="15" t="s">
        <v>787</v>
      </c>
      <c r="I15" s="15">
        <v>6.0</v>
      </c>
      <c r="J15" s="15"/>
      <c r="K15" s="15"/>
      <c r="L15" s="15"/>
      <c r="M15" s="15"/>
      <c r="O15" s="53">
        <v>5.0</v>
      </c>
      <c r="P15" s="32" t="s">
        <v>794</v>
      </c>
      <c r="Q15" s="33" t="s">
        <v>795</v>
      </c>
      <c r="R15" s="34"/>
      <c r="S15" s="35"/>
      <c r="T15" s="35"/>
      <c r="V15" s="22">
        <v>18.0</v>
      </c>
      <c r="W15" s="24" t="s">
        <v>796</v>
      </c>
      <c r="X15" s="25" t="s">
        <v>797</v>
      </c>
      <c r="Y15" s="25" t="s">
        <v>372</v>
      </c>
      <c r="Z15" s="22">
        <v>0.0</v>
      </c>
      <c r="AA15" s="22">
        <v>0.0</v>
      </c>
    </row>
    <row r="16">
      <c r="A16" s="27"/>
      <c r="B16" s="28"/>
      <c r="C16" s="27"/>
      <c r="D16" s="28"/>
      <c r="F16" s="29">
        <v>14.0</v>
      </c>
      <c r="G16" s="30">
        <v>5.0</v>
      </c>
      <c r="H16" s="29" t="s">
        <v>791</v>
      </c>
      <c r="I16" s="29">
        <v>6.0</v>
      </c>
      <c r="J16" s="29"/>
      <c r="K16" s="29"/>
      <c r="L16" s="29"/>
      <c r="M16" s="29"/>
      <c r="O16" s="53">
        <v>5.0</v>
      </c>
      <c r="P16" s="32" t="s">
        <v>798</v>
      </c>
      <c r="Q16" s="33" t="s">
        <v>799</v>
      </c>
      <c r="R16" s="34"/>
      <c r="S16" s="35"/>
      <c r="T16" s="35"/>
      <c r="V16" s="36">
        <v>20.0</v>
      </c>
      <c r="W16" s="37" t="s">
        <v>800</v>
      </c>
      <c r="X16" s="38" t="s">
        <v>801</v>
      </c>
      <c r="Y16" s="38" t="s">
        <v>802</v>
      </c>
      <c r="Z16" s="36" t="s">
        <v>372</v>
      </c>
      <c r="AA16" s="36" t="s">
        <v>372</v>
      </c>
    </row>
    <row r="17">
      <c r="A17" s="13"/>
      <c r="B17" s="14"/>
      <c r="C17" s="13"/>
      <c r="D17" s="14"/>
      <c r="F17" s="15">
        <v>15.0</v>
      </c>
      <c r="G17" s="16">
        <v>5.0</v>
      </c>
      <c r="H17" s="15" t="s">
        <v>803</v>
      </c>
      <c r="I17" s="15">
        <v>6.0</v>
      </c>
      <c r="J17" s="15"/>
      <c r="K17" s="15"/>
      <c r="L17" s="15"/>
      <c r="M17" s="15"/>
      <c r="O17" s="53">
        <v>5.0</v>
      </c>
      <c r="P17" s="32" t="s">
        <v>804</v>
      </c>
      <c r="Q17" s="33" t="s">
        <v>805</v>
      </c>
      <c r="R17" s="34"/>
      <c r="S17" s="35"/>
      <c r="T17" s="35"/>
      <c r="V17" s="39"/>
      <c r="W17" s="40"/>
      <c r="X17" s="41"/>
      <c r="Y17" s="41"/>
      <c r="Z17" s="39"/>
      <c r="AA17" s="39"/>
    </row>
    <row r="18">
      <c r="A18" s="27"/>
      <c r="B18" s="28"/>
      <c r="C18" s="27"/>
      <c r="D18" s="28"/>
      <c r="F18" s="29">
        <v>16.0</v>
      </c>
      <c r="G18" s="30">
        <v>5.0</v>
      </c>
      <c r="H18" s="29" t="s">
        <v>76</v>
      </c>
      <c r="I18" s="29">
        <v>6.0</v>
      </c>
      <c r="J18" s="29"/>
      <c r="K18" s="29"/>
      <c r="L18" s="29"/>
      <c r="M18" s="29"/>
      <c r="O18" s="53">
        <v>5.0</v>
      </c>
      <c r="P18" s="32" t="s">
        <v>806</v>
      </c>
      <c r="Q18" s="33" t="s">
        <v>807</v>
      </c>
      <c r="R18" s="34"/>
      <c r="S18" s="35"/>
      <c r="T18" s="35"/>
      <c r="V18" s="39"/>
      <c r="W18" s="40"/>
      <c r="X18" s="41"/>
      <c r="Y18" s="41"/>
      <c r="Z18" s="39"/>
      <c r="AA18" s="39"/>
    </row>
    <row r="19">
      <c r="A19" s="13"/>
      <c r="B19" s="14"/>
      <c r="C19" s="13"/>
      <c r="D19" s="14"/>
      <c r="F19" s="15">
        <v>17.0</v>
      </c>
      <c r="G19" s="16">
        <v>6.0</v>
      </c>
      <c r="H19" s="15" t="s">
        <v>796</v>
      </c>
      <c r="I19" s="15">
        <v>7.0</v>
      </c>
      <c r="J19" s="15"/>
      <c r="K19" s="15"/>
      <c r="L19" s="15"/>
      <c r="M19" s="15"/>
      <c r="O19" s="50">
        <v>5.0</v>
      </c>
      <c r="P19" s="45" t="s">
        <v>808</v>
      </c>
      <c r="Q19" s="46" t="s">
        <v>809</v>
      </c>
      <c r="R19" s="47"/>
      <c r="S19" s="48"/>
      <c r="T19" s="48"/>
      <c r="V19" s="22"/>
      <c r="W19" s="24"/>
      <c r="X19" s="25"/>
      <c r="Y19" s="25"/>
      <c r="Z19" s="22"/>
      <c r="AA19" s="22"/>
    </row>
    <row r="20">
      <c r="A20" s="27"/>
      <c r="B20" s="28"/>
      <c r="C20" s="27"/>
      <c r="D20" s="28"/>
      <c r="F20" s="29">
        <v>18.0</v>
      </c>
      <c r="G20" s="30">
        <v>6.0</v>
      </c>
      <c r="H20" s="29" t="s">
        <v>810</v>
      </c>
      <c r="I20" s="29">
        <v>7.0</v>
      </c>
      <c r="J20" s="29"/>
      <c r="K20" s="29"/>
      <c r="L20" s="29"/>
      <c r="M20" s="29"/>
      <c r="O20" s="50"/>
      <c r="P20" s="45"/>
      <c r="Q20" s="46"/>
      <c r="R20" s="47"/>
      <c r="S20" s="48"/>
      <c r="T20" s="48"/>
      <c r="V20" s="36"/>
      <c r="W20" s="37"/>
      <c r="X20" s="38"/>
      <c r="Y20" s="38"/>
      <c r="Z20" s="36"/>
      <c r="AA20" s="36"/>
    </row>
    <row r="21">
      <c r="A21" s="13"/>
      <c r="B21" s="14"/>
      <c r="C21" s="13"/>
      <c r="D21" s="14"/>
      <c r="F21" s="15">
        <v>19.0</v>
      </c>
      <c r="G21" s="16">
        <v>6.0</v>
      </c>
      <c r="H21" s="15" t="s">
        <v>76</v>
      </c>
      <c r="I21" s="15">
        <v>7.0</v>
      </c>
      <c r="J21" s="15"/>
      <c r="K21" s="15"/>
      <c r="L21" s="15"/>
      <c r="M21" s="15"/>
      <c r="O21" s="50"/>
      <c r="P21" s="45"/>
      <c r="Q21" s="46"/>
      <c r="R21" s="47"/>
      <c r="S21" s="48"/>
      <c r="T21" s="48"/>
      <c r="V21" s="39"/>
      <c r="W21" s="40"/>
      <c r="X21" s="41"/>
      <c r="Y21" s="41"/>
      <c r="Z21" s="39"/>
      <c r="AA21" s="39"/>
    </row>
    <row r="22">
      <c r="A22" s="60"/>
      <c r="B22" s="60"/>
      <c r="C22" s="60"/>
      <c r="D22" s="60"/>
      <c r="F22" s="62">
        <v>20.0</v>
      </c>
      <c r="G22" s="63">
        <v>6.0</v>
      </c>
      <c r="H22" s="62" t="s">
        <v>800</v>
      </c>
      <c r="I22" s="62">
        <v>8.0</v>
      </c>
      <c r="J22" s="62"/>
      <c r="K22" s="62"/>
      <c r="L22" s="62"/>
      <c r="M22" s="62"/>
      <c r="O22" s="50"/>
      <c r="P22" s="45"/>
      <c r="Q22" s="46"/>
      <c r="R22" s="47"/>
      <c r="S22" s="48"/>
      <c r="T22" s="48"/>
      <c r="V22" s="39"/>
      <c r="W22" s="40"/>
      <c r="X22" s="41"/>
      <c r="Y22" s="41"/>
      <c r="Z22" s="39"/>
      <c r="AA22" s="39"/>
    </row>
    <row r="23">
      <c r="A23" s="66"/>
      <c r="B23" s="66"/>
      <c r="C23" s="66"/>
      <c r="D23" s="66"/>
      <c r="G23" s="67"/>
      <c r="O23" s="53"/>
      <c r="P23" s="32"/>
      <c r="Q23" s="33"/>
      <c r="R23" s="34"/>
      <c r="S23" s="35"/>
      <c r="T23" s="35"/>
      <c r="V23" s="22"/>
      <c r="W23" s="24"/>
      <c r="X23" s="25"/>
      <c r="Y23" s="25"/>
      <c r="Z23" s="22"/>
      <c r="AA23" s="22"/>
    </row>
    <row r="24">
      <c r="A24" s="66"/>
      <c r="B24" s="66"/>
      <c r="C24" s="66"/>
      <c r="D24" s="66"/>
      <c r="G24" s="67"/>
      <c r="O24" s="53"/>
      <c r="P24" s="32"/>
      <c r="Q24" s="33"/>
      <c r="R24" s="34"/>
      <c r="S24" s="35"/>
      <c r="T24" s="35"/>
      <c r="V24" s="36"/>
      <c r="W24" s="37"/>
      <c r="X24" s="38"/>
      <c r="Y24" s="38"/>
      <c r="Z24" s="36"/>
      <c r="AA24" s="36"/>
    </row>
    <row r="25">
      <c r="A25" s="66"/>
      <c r="B25" s="66"/>
      <c r="C25" s="66"/>
      <c r="D25" s="66"/>
      <c r="G25" s="67"/>
      <c r="O25" s="53"/>
      <c r="P25" s="32"/>
      <c r="Q25" s="33"/>
      <c r="R25" s="34"/>
      <c r="S25" s="35"/>
      <c r="T25" s="35"/>
      <c r="V25" s="39"/>
      <c r="W25" s="40"/>
      <c r="X25" s="41"/>
      <c r="Y25" s="41"/>
      <c r="Z25" s="39"/>
      <c r="AA25" s="39"/>
    </row>
    <row r="26">
      <c r="A26" s="66"/>
      <c r="B26" s="66"/>
      <c r="C26" s="66"/>
      <c r="D26" s="66"/>
      <c r="G26" s="67"/>
      <c r="O26" s="53"/>
      <c r="P26" s="32"/>
      <c r="Q26" s="33"/>
      <c r="R26" s="34"/>
      <c r="S26" s="35"/>
      <c r="T26" s="35"/>
      <c r="V26" s="39"/>
      <c r="W26" s="40"/>
      <c r="X26" s="41"/>
      <c r="Y26" s="41"/>
      <c r="Z26" s="39"/>
      <c r="AA26" s="39"/>
    </row>
    <row r="27">
      <c r="A27" s="66"/>
      <c r="B27" s="66"/>
      <c r="C27" s="66"/>
      <c r="D27" s="66"/>
      <c r="G27" s="67"/>
      <c r="O27" s="71"/>
      <c r="P27" s="72"/>
      <c r="Q27" s="73"/>
      <c r="R27" s="74"/>
      <c r="S27" s="75"/>
      <c r="T27" s="75"/>
      <c r="V27" s="22"/>
      <c r="W27" s="24"/>
      <c r="X27" s="25"/>
      <c r="Y27" s="25"/>
      <c r="Z27" s="22"/>
      <c r="AA27" s="22"/>
    </row>
    <row r="28">
      <c r="A28" s="66"/>
      <c r="B28" s="66"/>
      <c r="C28" s="66"/>
      <c r="D28" s="66"/>
      <c r="G28" s="67"/>
      <c r="P28" s="76"/>
      <c r="V28" s="36"/>
      <c r="W28" s="37"/>
      <c r="X28" s="38"/>
      <c r="Y28" s="38"/>
      <c r="Z28" s="36"/>
      <c r="AA28" s="36"/>
    </row>
    <row r="29">
      <c r="A29" s="66"/>
      <c r="B29" s="66"/>
      <c r="C29" s="66"/>
      <c r="D29" s="66"/>
      <c r="G29" s="67"/>
      <c r="P29" s="77"/>
      <c r="V29" s="39"/>
      <c r="W29" s="40"/>
      <c r="X29" s="41"/>
      <c r="Y29" s="41"/>
      <c r="Z29" s="39"/>
      <c r="AA29" s="39"/>
    </row>
    <row r="30">
      <c r="B30" s="66"/>
      <c r="C30" s="66"/>
      <c r="D30" s="66"/>
      <c r="G30" s="67"/>
      <c r="P30" s="76"/>
      <c r="V30" s="39"/>
      <c r="W30" s="40"/>
      <c r="X30" s="41"/>
      <c r="Y30" s="41"/>
      <c r="Z30" s="39"/>
      <c r="AA30" s="39"/>
    </row>
    <row r="31">
      <c r="A31" s="66"/>
      <c r="B31" s="66"/>
      <c r="C31" s="66"/>
      <c r="D31" s="66"/>
      <c r="G31" s="67"/>
      <c r="P31" s="77"/>
      <c r="V31" s="22"/>
      <c r="W31" s="24"/>
      <c r="X31" s="25"/>
      <c r="Y31" s="25"/>
      <c r="Z31" s="22"/>
      <c r="AA31" s="22"/>
    </row>
    <row r="32">
      <c r="A32" s="66"/>
      <c r="B32" s="66"/>
      <c r="C32" s="66"/>
      <c r="D32" s="66"/>
      <c r="G32" s="67"/>
      <c r="P32" s="76"/>
      <c r="V32" s="36"/>
      <c r="W32" s="37"/>
      <c r="X32" s="38"/>
      <c r="Y32" s="38"/>
      <c r="Z32" s="36"/>
      <c r="AA32" s="36"/>
    </row>
    <row r="33">
      <c r="A33" s="66"/>
      <c r="B33" s="66"/>
      <c r="C33" s="66"/>
      <c r="D33" s="81"/>
      <c r="G33" s="67"/>
      <c r="P33" s="76"/>
      <c r="R33" s="82"/>
      <c r="V33" s="39"/>
      <c r="W33" s="40"/>
      <c r="X33" s="41"/>
      <c r="Y33" s="41"/>
      <c r="Z33" s="39"/>
      <c r="AA33" s="39"/>
    </row>
    <row r="34">
      <c r="A34" s="66"/>
      <c r="B34" s="66"/>
      <c r="C34" s="66"/>
      <c r="D34" s="81"/>
      <c r="G34" s="67"/>
      <c r="P34" s="76"/>
      <c r="R34" s="82"/>
      <c r="V34" s="39"/>
      <c r="W34" s="40"/>
      <c r="X34" s="41"/>
      <c r="Y34" s="41"/>
      <c r="Z34" s="39"/>
      <c r="AA34" s="39"/>
    </row>
    <row r="35">
      <c r="A35" s="66"/>
      <c r="B35" s="66"/>
      <c r="C35" s="66"/>
      <c r="D35" s="66"/>
      <c r="G35" s="67"/>
      <c r="P35" s="76"/>
      <c r="R35" s="82"/>
      <c r="V35" s="22"/>
      <c r="W35" s="24"/>
      <c r="X35" s="25"/>
      <c r="Y35" s="25"/>
      <c r="Z35" s="22"/>
      <c r="AA35" s="22"/>
    </row>
    <row r="36">
      <c r="A36" s="66"/>
      <c r="B36" s="66"/>
      <c r="C36" s="66"/>
      <c r="D36" s="66"/>
      <c r="G36" s="67"/>
      <c r="P36" s="77"/>
      <c r="R36" s="82"/>
      <c r="V36" s="36"/>
      <c r="W36" s="37"/>
      <c r="X36" s="38"/>
      <c r="Y36" s="38"/>
      <c r="Z36" s="36"/>
      <c r="AA36" s="36"/>
    </row>
    <row r="37">
      <c r="A37" s="66"/>
      <c r="B37" s="66"/>
      <c r="C37" s="66"/>
      <c r="D37" s="66"/>
      <c r="G37" s="67"/>
      <c r="P37" s="76"/>
      <c r="R37" s="82"/>
      <c r="V37" s="39"/>
      <c r="W37" s="40"/>
      <c r="X37" s="41"/>
      <c r="Y37" s="41"/>
      <c r="Z37" s="39"/>
      <c r="AA37" s="39"/>
    </row>
    <row r="38">
      <c r="A38" s="66"/>
      <c r="B38" s="66"/>
      <c r="C38" s="66"/>
      <c r="D38" s="66"/>
      <c r="G38" s="67"/>
      <c r="P38" s="77"/>
      <c r="R38" s="82"/>
      <c r="V38" s="39"/>
      <c r="W38" s="40"/>
      <c r="X38" s="41"/>
      <c r="Y38" s="41"/>
      <c r="Z38" s="39"/>
      <c r="AA38" s="39"/>
    </row>
    <row r="39">
      <c r="A39" s="66"/>
      <c r="C39" s="66"/>
      <c r="D39" s="66"/>
      <c r="G39" s="67"/>
      <c r="R39" s="82"/>
      <c r="V39" s="22"/>
      <c r="W39" s="24"/>
      <c r="X39" s="25"/>
      <c r="Y39" s="25"/>
      <c r="Z39" s="22"/>
      <c r="AA39" s="22"/>
    </row>
    <row r="40">
      <c r="A40" s="66"/>
      <c r="B40" s="66"/>
      <c r="C40" s="66"/>
      <c r="D40" s="66"/>
      <c r="G40" s="67"/>
      <c r="P40" s="76"/>
      <c r="R40" s="82"/>
      <c r="V40" s="36"/>
      <c r="W40" s="37"/>
      <c r="X40" s="38"/>
      <c r="Y40" s="38"/>
      <c r="Z40" s="36"/>
      <c r="AA40" s="36"/>
    </row>
    <row r="41">
      <c r="A41" s="66"/>
      <c r="B41" s="66"/>
      <c r="C41" s="66"/>
      <c r="D41" s="66"/>
      <c r="G41" s="67"/>
      <c r="P41" s="76"/>
      <c r="R41" s="82"/>
      <c r="V41" s="39"/>
      <c r="W41" s="40"/>
      <c r="X41" s="41"/>
      <c r="Y41" s="41"/>
      <c r="Z41" s="39"/>
      <c r="AA41" s="39"/>
    </row>
    <row r="42">
      <c r="A42" s="66"/>
      <c r="B42" s="66"/>
      <c r="C42" s="66"/>
      <c r="D42" s="66"/>
      <c r="G42" s="67"/>
      <c r="P42" s="76"/>
      <c r="V42" s="39"/>
      <c r="W42" s="40"/>
      <c r="X42" s="41"/>
      <c r="Y42" s="41"/>
      <c r="Z42" s="39"/>
      <c r="AA42" s="39"/>
    </row>
    <row r="43">
      <c r="A43" s="66"/>
      <c r="B43" s="66"/>
      <c r="C43" s="66"/>
      <c r="D43" s="66"/>
      <c r="G43" s="67"/>
      <c r="P43" s="77"/>
    </row>
    <row r="44">
      <c r="A44" s="66"/>
      <c r="B44" s="66"/>
      <c r="C44" s="66"/>
      <c r="D44" s="66"/>
      <c r="G44" s="67"/>
      <c r="P44" s="76"/>
    </row>
    <row r="45">
      <c r="A45" s="66"/>
      <c r="C45" s="66"/>
      <c r="D45" s="66"/>
      <c r="G45" s="67"/>
      <c r="P45" s="77"/>
    </row>
    <row r="46">
      <c r="A46" s="66"/>
      <c r="B46" s="66"/>
      <c r="C46" s="66"/>
      <c r="D46" s="66"/>
      <c r="G46" s="67"/>
    </row>
    <row r="47">
      <c r="A47" s="66"/>
      <c r="B47" s="66"/>
      <c r="C47" s="66"/>
      <c r="D47" s="66"/>
      <c r="G47" s="67"/>
      <c r="P47" s="76"/>
    </row>
    <row r="48">
      <c r="A48" s="66"/>
      <c r="B48" s="66"/>
      <c r="C48" s="66"/>
      <c r="D48" s="66"/>
      <c r="G48" s="67"/>
      <c r="P48" s="76"/>
      <c r="V48" s="67"/>
    </row>
    <row r="49">
      <c r="A49" s="66"/>
      <c r="B49" s="66"/>
      <c r="C49" s="66"/>
      <c r="D49" s="66"/>
      <c r="G49" s="67"/>
      <c r="P49" s="76"/>
      <c r="V49" s="67"/>
    </row>
    <row r="50">
      <c r="A50" s="66"/>
      <c r="B50" s="66"/>
      <c r="C50" s="66"/>
      <c r="D50" s="66"/>
      <c r="G50" s="67"/>
      <c r="P50" s="77"/>
      <c r="V50" s="67"/>
    </row>
    <row r="51">
      <c r="A51" s="66"/>
      <c r="B51" s="66"/>
      <c r="C51" s="66"/>
      <c r="D51" s="66"/>
      <c r="G51" s="67"/>
      <c r="P51" s="76"/>
      <c r="V51" s="67"/>
    </row>
    <row r="52">
      <c r="A52" s="66"/>
      <c r="B52" s="66"/>
      <c r="C52" s="66"/>
      <c r="D52" s="66"/>
      <c r="G52" s="67"/>
      <c r="P52" s="77"/>
      <c r="V52" s="67"/>
    </row>
    <row r="53">
      <c r="A53" s="66"/>
      <c r="B53" s="66"/>
      <c r="C53" s="66"/>
      <c r="D53" s="66"/>
      <c r="G53" s="67"/>
      <c r="V53" s="67"/>
    </row>
    <row r="54">
      <c r="A54" s="66"/>
      <c r="B54" s="66"/>
      <c r="C54" s="66"/>
      <c r="D54" s="66"/>
      <c r="G54" s="67"/>
      <c r="P54" s="76"/>
      <c r="V54" s="67"/>
    </row>
    <row r="55">
      <c r="A55" s="66"/>
      <c r="B55" s="66"/>
      <c r="C55" s="66"/>
      <c r="D55" s="66"/>
      <c r="G55" s="67"/>
      <c r="P55" s="76"/>
      <c r="V55" s="67"/>
    </row>
    <row r="56">
      <c r="A56" s="66"/>
      <c r="B56" s="66"/>
      <c r="C56" s="66"/>
      <c r="D56" s="66"/>
      <c r="G56" s="67"/>
      <c r="P56" s="76"/>
      <c r="V56" s="67"/>
    </row>
    <row r="57">
      <c r="A57" s="66"/>
      <c r="B57" s="66"/>
      <c r="C57" s="66"/>
      <c r="D57" s="66"/>
      <c r="G57" s="67"/>
      <c r="P57" s="77"/>
      <c r="V57" s="67"/>
    </row>
    <row r="58">
      <c r="A58" s="66"/>
      <c r="B58" s="66"/>
      <c r="C58" s="66"/>
      <c r="D58" s="66"/>
      <c r="G58" s="67"/>
      <c r="P58" s="76"/>
      <c r="V58" s="67"/>
    </row>
    <row r="59">
      <c r="A59" s="66"/>
      <c r="B59" s="66"/>
      <c r="C59" s="66"/>
      <c r="D59" s="66"/>
      <c r="G59" s="67"/>
      <c r="P59" s="77"/>
      <c r="V59" s="67"/>
    </row>
    <row r="60">
      <c r="A60" s="66"/>
      <c r="B60" s="66"/>
      <c r="C60" s="66"/>
      <c r="D60" s="66"/>
      <c r="G60" s="67"/>
      <c r="V60" s="67"/>
    </row>
    <row r="61">
      <c r="A61" s="66"/>
      <c r="B61" s="66"/>
      <c r="C61" s="66"/>
      <c r="D61" s="66"/>
      <c r="G61" s="67"/>
      <c r="P61" s="76"/>
      <c r="V61" s="67"/>
    </row>
    <row r="62">
      <c r="A62" s="66"/>
      <c r="B62" s="66"/>
      <c r="C62" s="66"/>
      <c r="D62" s="66"/>
      <c r="G62" s="67"/>
      <c r="P62" s="76"/>
      <c r="V62" s="67"/>
    </row>
    <row r="63">
      <c r="A63" s="66"/>
      <c r="B63" s="66"/>
      <c r="C63" s="66"/>
      <c r="D63" s="66"/>
      <c r="G63" s="67"/>
      <c r="P63" s="76"/>
      <c r="V63" s="67"/>
    </row>
    <row r="64">
      <c r="A64" s="66"/>
      <c r="B64" s="66"/>
      <c r="C64" s="66"/>
      <c r="D64" s="66"/>
      <c r="G64" s="67"/>
      <c r="V64" s="67"/>
    </row>
    <row r="65">
      <c r="A65" s="66"/>
      <c r="B65" s="66"/>
      <c r="C65" s="66"/>
      <c r="D65" s="66"/>
      <c r="G65" s="67"/>
      <c r="V65" s="67"/>
    </row>
    <row r="66">
      <c r="A66" s="66"/>
      <c r="B66" s="66"/>
      <c r="C66" s="66"/>
      <c r="D66" s="66"/>
      <c r="G66" s="67"/>
      <c r="V66" s="67"/>
    </row>
    <row r="67">
      <c r="A67" s="66"/>
      <c r="B67" s="66"/>
      <c r="C67" s="66"/>
      <c r="D67" s="66"/>
      <c r="G67" s="67"/>
      <c r="V67" s="67"/>
    </row>
    <row r="68">
      <c r="A68" s="66"/>
      <c r="B68" s="66"/>
      <c r="C68" s="66"/>
      <c r="D68" s="66"/>
      <c r="G68" s="67"/>
      <c r="V68" s="67"/>
    </row>
    <row r="69">
      <c r="A69" s="66"/>
      <c r="B69" s="66"/>
      <c r="C69" s="66"/>
      <c r="D69" s="66"/>
      <c r="G69" s="67"/>
      <c r="V69" s="67"/>
    </row>
    <row r="70">
      <c r="A70" s="66"/>
      <c r="B70" s="66"/>
      <c r="C70" s="66"/>
      <c r="D70" s="66"/>
      <c r="G70" s="67"/>
      <c r="V70" s="67"/>
    </row>
    <row r="71">
      <c r="A71" s="66"/>
      <c r="B71" s="66"/>
      <c r="C71" s="66"/>
      <c r="D71" s="66"/>
      <c r="G71" s="67"/>
      <c r="V71" s="67"/>
    </row>
    <row r="72">
      <c r="A72" s="66"/>
      <c r="B72" s="66"/>
      <c r="C72" s="66"/>
      <c r="D72" s="66"/>
      <c r="G72" s="67"/>
      <c r="V72" s="67"/>
    </row>
    <row r="73">
      <c r="A73" s="66"/>
      <c r="B73" s="66"/>
      <c r="C73" s="66"/>
      <c r="D73" s="66"/>
      <c r="G73" s="67"/>
      <c r="V73" s="67"/>
    </row>
    <row r="74">
      <c r="A74" s="66"/>
      <c r="B74" s="66"/>
      <c r="C74" s="66"/>
      <c r="D74" s="66"/>
      <c r="G74" s="67"/>
      <c r="V74" s="67"/>
    </row>
    <row r="75">
      <c r="A75" s="66"/>
      <c r="B75" s="66"/>
      <c r="C75" s="66"/>
      <c r="D75" s="66"/>
      <c r="G75" s="67"/>
      <c r="V75" s="67"/>
    </row>
    <row r="76">
      <c r="A76" s="66"/>
      <c r="B76" s="66"/>
      <c r="C76" s="66"/>
      <c r="D76" s="66"/>
      <c r="G76" s="67"/>
      <c r="V76" s="67"/>
    </row>
    <row r="77">
      <c r="A77" s="66"/>
      <c r="B77" s="66"/>
      <c r="C77" s="66"/>
      <c r="D77" s="66"/>
      <c r="G77" s="67"/>
      <c r="V77" s="67"/>
    </row>
    <row r="78">
      <c r="A78" s="66"/>
      <c r="B78" s="66"/>
      <c r="C78" s="66"/>
      <c r="D78" s="66"/>
      <c r="G78" s="67"/>
      <c r="V78" s="67"/>
    </row>
    <row r="79">
      <c r="A79" s="66"/>
      <c r="B79" s="66"/>
      <c r="C79" s="66"/>
      <c r="D79" s="66"/>
      <c r="G79" s="67"/>
      <c r="V79" s="67"/>
    </row>
    <row r="80">
      <c r="A80" s="66"/>
      <c r="B80" s="66"/>
      <c r="C80" s="66"/>
      <c r="D80" s="66"/>
      <c r="G80" s="67"/>
      <c r="V80" s="67"/>
    </row>
    <row r="81">
      <c r="A81" s="66"/>
      <c r="B81" s="66"/>
      <c r="C81" s="66"/>
      <c r="D81" s="66"/>
      <c r="G81" s="67"/>
      <c r="V81" s="67"/>
    </row>
    <row r="82">
      <c r="A82" s="66"/>
      <c r="B82" s="66"/>
      <c r="C82" s="66"/>
      <c r="D82" s="66"/>
      <c r="G82" s="67"/>
      <c r="V82" s="67"/>
    </row>
    <row r="83">
      <c r="A83" s="66"/>
      <c r="B83" s="66"/>
      <c r="C83" s="66"/>
      <c r="D83" s="66"/>
      <c r="G83" s="67"/>
      <c r="V83" s="67"/>
    </row>
    <row r="84">
      <c r="A84" s="66"/>
      <c r="B84" s="66"/>
      <c r="C84" s="66"/>
      <c r="D84" s="66"/>
      <c r="G84" s="67"/>
      <c r="V84" s="67"/>
    </row>
    <row r="85">
      <c r="A85" s="66"/>
      <c r="B85" s="66"/>
      <c r="C85" s="66"/>
      <c r="D85" s="66"/>
      <c r="G85" s="67"/>
      <c r="V85" s="67"/>
    </row>
    <row r="86">
      <c r="A86" s="66"/>
      <c r="B86" s="66"/>
      <c r="C86" s="66"/>
      <c r="D86" s="66"/>
      <c r="G86" s="67"/>
      <c r="V86" s="67"/>
    </row>
    <row r="87">
      <c r="A87" s="66"/>
      <c r="B87" s="66"/>
      <c r="C87" s="66"/>
      <c r="D87" s="66"/>
      <c r="G87" s="67"/>
      <c r="V87" s="67"/>
    </row>
    <row r="88">
      <c r="A88" s="66"/>
      <c r="B88" s="66"/>
      <c r="C88" s="66"/>
      <c r="D88" s="66"/>
      <c r="G88" s="67"/>
      <c r="V88" s="67"/>
    </row>
    <row r="89">
      <c r="A89" s="66"/>
      <c r="B89" s="66"/>
      <c r="C89" s="66"/>
      <c r="D89" s="66"/>
      <c r="G89" s="67"/>
      <c r="V89" s="67"/>
    </row>
    <row r="90">
      <c r="A90" s="66"/>
      <c r="B90" s="66"/>
      <c r="C90" s="66"/>
      <c r="D90" s="66"/>
      <c r="G90" s="67"/>
      <c r="V90" s="67"/>
    </row>
    <row r="91">
      <c r="A91" s="66"/>
      <c r="B91" s="66"/>
      <c r="C91" s="66"/>
      <c r="D91" s="66"/>
      <c r="G91" s="67"/>
      <c r="V91" s="67"/>
    </row>
    <row r="92">
      <c r="A92" s="66"/>
      <c r="B92" s="66"/>
      <c r="C92" s="66"/>
      <c r="D92" s="66"/>
      <c r="G92" s="67"/>
      <c r="V92" s="67"/>
    </row>
    <row r="93">
      <c r="A93" s="66"/>
      <c r="B93" s="66"/>
      <c r="C93" s="66"/>
      <c r="D93" s="66"/>
      <c r="G93" s="67"/>
      <c r="V93" s="67"/>
    </row>
    <row r="94">
      <c r="A94" s="66"/>
      <c r="B94" s="66"/>
      <c r="C94" s="66"/>
      <c r="D94" s="66"/>
      <c r="G94" s="67"/>
      <c r="V94" s="67"/>
    </row>
    <row r="95">
      <c r="A95" s="66"/>
      <c r="B95" s="66"/>
      <c r="C95" s="66"/>
      <c r="D95" s="66"/>
      <c r="G95" s="67"/>
      <c r="V95" s="67"/>
    </row>
    <row r="96">
      <c r="A96" s="66"/>
      <c r="B96" s="66"/>
      <c r="C96" s="66"/>
      <c r="D96" s="66"/>
      <c r="G96" s="67"/>
      <c r="V96" s="67"/>
    </row>
    <row r="97">
      <c r="A97" s="66"/>
      <c r="B97" s="66"/>
      <c r="C97" s="66"/>
      <c r="D97" s="66"/>
      <c r="G97" s="67"/>
      <c r="V97" s="67"/>
    </row>
    <row r="98">
      <c r="A98" s="66"/>
      <c r="B98" s="66"/>
      <c r="C98" s="66"/>
      <c r="D98" s="66"/>
      <c r="G98" s="67"/>
      <c r="V98" s="67"/>
    </row>
    <row r="99">
      <c r="A99" s="66"/>
      <c r="B99" s="66"/>
      <c r="C99" s="66"/>
      <c r="D99" s="66"/>
      <c r="G99" s="67"/>
      <c r="V99" s="67"/>
    </row>
    <row r="100">
      <c r="A100" s="66"/>
      <c r="B100" s="66"/>
      <c r="C100" s="66"/>
      <c r="D100" s="66"/>
      <c r="G100" s="67"/>
      <c r="V100" s="67"/>
    </row>
    <row r="101">
      <c r="A101" s="66"/>
      <c r="B101" s="66"/>
      <c r="C101" s="66"/>
      <c r="D101" s="66"/>
      <c r="G101" s="67"/>
      <c r="V101" s="67"/>
    </row>
    <row r="102">
      <c r="A102" s="66"/>
      <c r="B102" s="66"/>
      <c r="C102" s="66"/>
      <c r="D102" s="66"/>
      <c r="G102" s="67"/>
      <c r="V102" s="67"/>
    </row>
    <row r="103">
      <c r="A103" s="66"/>
      <c r="B103" s="66"/>
      <c r="C103" s="66"/>
      <c r="D103" s="66"/>
      <c r="G103" s="67"/>
      <c r="V103" s="67"/>
    </row>
    <row r="104">
      <c r="A104" s="66"/>
      <c r="B104" s="66"/>
      <c r="C104" s="66"/>
      <c r="D104" s="66"/>
      <c r="G104" s="67"/>
      <c r="V104" s="67"/>
    </row>
    <row r="105">
      <c r="A105" s="66"/>
      <c r="B105" s="66"/>
      <c r="C105" s="66"/>
      <c r="D105" s="66"/>
      <c r="G105" s="67"/>
      <c r="V105" s="67"/>
    </row>
    <row r="106">
      <c r="A106" s="66"/>
      <c r="B106" s="66"/>
      <c r="C106" s="66"/>
      <c r="D106" s="66"/>
      <c r="G106" s="67"/>
      <c r="V106" s="67"/>
    </row>
    <row r="107">
      <c r="A107" s="66"/>
      <c r="B107" s="66"/>
      <c r="C107" s="66"/>
      <c r="D107" s="66"/>
      <c r="G107" s="67"/>
      <c r="V107" s="67"/>
    </row>
    <row r="108">
      <c r="A108" s="66"/>
      <c r="B108" s="66"/>
      <c r="C108" s="66"/>
      <c r="D108" s="66"/>
      <c r="G108" s="67"/>
      <c r="V108" s="67"/>
    </row>
    <row r="109">
      <c r="A109" s="66"/>
      <c r="B109" s="66"/>
      <c r="C109" s="66"/>
      <c r="D109" s="66"/>
      <c r="G109" s="67"/>
      <c r="V109" s="67"/>
    </row>
    <row r="110">
      <c r="A110" s="66"/>
      <c r="B110" s="66"/>
      <c r="C110" s="66"/>
      <c r="D110" s="66"/>
      <c r="G110" s="67"/>
      <c r="V110" s="67"/>
    </row>
    <row r="111">
      <c r="A111" s="66"/>
      <c r="B111" s="66"/>
      <c r="C111" s="66"/>
      <c r="D111" s="66"/>
      <c r="G111" s="67"/>
      <c r="V111" s="67"/>
    </row>
    <row r="112">
      <c r="A112" s="66"/>
      <c r="B112" s="66"/>
      <c r="C112" s="66"/>
      <c r="D112" s="66"/>
      <c r="G112" s="67"/>
      <c r="V112" s="67"/>
    </row>
    <row r="113">
      <c r="A113" s="66"/>
      <c r="B113" s="66"/>
      <c r="C113" s="66"/>
      <c r="D113" s="66"/>
      <c r="G113" s="67"/>
      <c r="V113" s="67"/>
    </row>
    <row r="114">
      <c r="A114" s="66"/>
      <c r="B114" s="66"/>
      <c r="C114" s="66"/>
      <c r="D114" s="66"/>
      <c r="G114" s="67"/>
      <c r="V114" s="67"/>
    </row>
    <row r="115">
      <c r="A115" s="66"/>
      <c r="B115" s="66"/>
      <c r="C115" s="66"/>
      <c r="D115" s="66"/>
      <c r="G115" s="67"/>
      <c r="V115" s="67"/>
    </row>
    <row r="116">
      <c r="A116" s="66"/>
      <c r="B116" s="66"/>
      <c r="C116" s="66"/>
      <c r="D116" s="66"/>
      <c r="G116" s="67"/>
      <c r="V116" s="67"/>
    </row>
    <row r="117">
      <c r="A117" s="66"/>
      <c r="B117" s="66"/>
      <c r="C117" s="66"/>
      <c r="D117" s="66"/>
      <c r="G117" s="67"/>
      <c r="V117" s="67"/>
    </row>
    <row r="118">
      <c r="A118" s="66"/>
      <c r="B118" s="66"/>
      <c r="C118" s="66"/>
      <c r="D118" s="66"/>
      <c r="G118" s="67"/>
      <c r="V118" s="67"/>
    </row>
    <row r="119">
      <c r="A119" s="66"/>
      <c r="B119" s="66"/>
      <c r="C119" s="66"/>
      <c r="D119" s="66"/>
      <c r="G119" s="67"/>
      <c r="V119" s="67"/>
    </row>
    <row r="120">
      <c r="A120" s="66"/>
      <c r="B120" s="66"/>
      <c r="C120" s="66"/>
      <c r="D120" s="66"/>
      <c r="G120" s="67"/>
      <c r="V120" s="67"/>
    </row>
    <row r="121">
      <c r="A121" s="66"/>
      <c r="B121" s="66"/>
      <c r="C121" s="66"/>
      <c r="D121" s="66"/>
      <c r="G121" s="67"/>
      <c r="V121" s="67"/>
    </row>
    <row r="122">
      <c r="A122" s="66"/>
      <c r="B122" s="66"/>
      <c r="C122" s="66"/>
      <c r="D122" s="66"/>
      <c r="G122" s="67"/>
      <c r="V122" s="67"/>
    </row>
    <row r="123">
      <c r="A123" s="66"/>
      <c r="B123" s="66"/>
      <c r="C123" s="66"/>
      <c r="D123" s="66"/>
      <c r="G123" s="67"/>
      <c r="V123" s="67"/>
    </row>
    <row r="124">
      <c r="A124" s="66"/>
      <c r="B124" s="66"/>
      <c r="C124" s="66"/>
      <c r="D124" s="66"/>
      <c r="G124" s="67"/>
      <c r="V124" s="67"/>
    </row>
    <row r="125">
      <c r="A125" s="66"/>
      <c r="B125" s="66"/>
      <c r="C125" s="66"/>
      <c r="D125" s="66"/>
      <c r="G125" s="67"/>
      <c r="V125" s="67"/>
    </row>
    <row r="126">
      <c r="A126" s="66"/>
      <c r="B126" s="66"/>
      <c r="C126" s="66"/>
      <c r="D126" s="66"/>
      <c r="G126" s="67"/>
      <c r="V126" s="67"/>
    </row>
    <row r="127">
      <c r="A127" s="66"/>
      <c r="B127" s="66"/>
      <c r="C127" s="66"/>
      <c r="D127" s="66"/>
      <c r="G127" s="67"/>
      <c r="V127" s="67"/>
    </row>
    <row r="128">
      <c r="A128" s="66"/>
      <c r="B128" s="66"/>
      <c r="C128" s="66"/>
      <c r="D128" s="66"/>
      <c r="G128" s="67"/>
      <c r="V128" s="67"/>
    </row>
    <row r="129">
      <c r="A129" s="66"/>
      <c r="B129" s="66"/>
      <c r="C129" s="66"/>
      <c r="D129" s="66"/>
      <c r="G129" s="67"/>
      <c r="V129" s="67"/>
    </row>
    <row r="130">
      <c r="A130" s="66"/>
      <c r="B130" s="66"/>
      <c r="C130" s="66"/>
      <c r="D130" s="66"/>
      <c r="G130" s="67"/>
      <c r="V130" s="67"/>
    </row>
    <row r="131">
      <c r="A131" s="66"/>
      <c r="B131" s="66"/>
      <c r="C131" s="66"/>
      <c r="D131" s="66"/>
      <c r="G131" s="67"/>
      <c r="V131" s="67"/>
    </row>
    <row r="132">
      <c r="A132" s="66"/>
      <c r="B132" s="66"/>
      <c r="C132" s="66"/>
      <c r="D132" s="66"/>
      <c r="G132" s="67"/>
      <c r="V132" s="67"/>
    </row>
    <row r="133">
      <c r="A133" s="66"/>
      <c r="B133" s="66"/>
      <c r="C133" s="66"/>
      <c r="D133" s="66"/>
      <c r="G133" s="67"/>
      <c r="V133" s="67"/>
    </row>
    <row r="134">
      <c r="A134" s="66"/>
      <c r="B134" s="66"/>
      <c r="C134" s="66"/>
      <c r="D134" s="66"/>
      <c r="G134" s="67"/>
      <c r="V134" s="67"/>
    </row>
    <row r="135">
      <c r="A135" s="66"/>
      <c r="B135" s="66"/>
      <c r="C135" s="66"/>
      <c r="D135" s="66"/>
      <c r="G135" s="67"/>
      <c r="V135" s="67"/>
    </row>
    <row r="136">
      <c r="A136" s="66"/>
      <c r="B136" s="66"/>
      <c r="C136" s="66"/>
      <c r="D136" s="66"/>
      <c r="G136" s="67"/>
      <c r="V136" s="67"/>
    </row>
    <row r="137">
      <c r="A137" s="66"/>
      <c r="B137" s="66"/>
      <c r="C137" s="66"/>
      <c r="D137" s="66"/>
      <c r="G137" s="67"/>
      <c r="V137" s="67"/>
    </row>
    <row r="138">
      <c r="A138" s="66"/>
      <c r="B138" s="66"/>
      <c r="C138" s="66"/>
      <c r="D138" s="66"/>
      <c r="G138" s="67"/>
      <c r="V138" s="67"/>
    </row>
    <row r="139">
      <c r="A139" s="66"/>
      <c r="B139" s="66"/>
      <c r="C139" s="66"/>
      <c r="D139" s="66"/>
      <c r="G139" s="67"/>
      <c r="V139" s="67"/>
    </row>
    <row r="140">
      <c r="A140" s="66"/>
      <c r="B140" s="66"/>
      <c r="C140" s="66"/>
      <c r="D140" s="66"/>
      <c r="G140" s="67"/>
      <c r="V140" s="67"/>
    </row>
    <row r="141">
      <c r="A141" s="66"/>
      <c r="B141" s="66"/>
      <c r="C141" s="66"/>
      <c r="D141" s="66"/>
      <c r="G141" s="67"/>
      <c r="V141" s="67"/>
    </row>
    <row r="142">
      <c r="A142" s="66"/>
      <c r="B142" s="66"/>
      <c r="C142" s="66"/>
      <c r="D142" s="66"/>
      <c r="G142" s="67"/>
      <c r="V142" s="67"/>
    </row>
    <row r="143">
      <c r="A143" s="66"/>
      <c r="B143" s="66"/>
      <c r="C143" s="66"/>
      <c r="D143" s="66"/>
      <c r="G143" s="67"/>
      <c r="V143" s="67"/>
    </row>
    <row r="144">
      <c r="A144" s="66"/>
      <c r="B144" s="66"/>
      <c r="C144" s="66"/>
      <c r="D144" s="66"/>
      <c r="G144" s="67"/>
      <c r="V144" s="67"/>
    </row>
    <row r="145">
      <c r="A145" s="66"/>
      <c r="B145" s="66"/>
      <c r="C145" s="66"/>
      <c r="D145" s="66"/>
      <c r="G145" s="67"/>
      <c r="V145" s="67"/>
    </row>
    <row r="146">
      <c r="A146" s="66"/>
      <c r="B146" s="66"/>
      <c r="C146" s="66"/>
      <c r="D146" s="66"/>
      <c r="G146" s="67"/>
      <c r="V146" s="67"/>
    </row>
    <row r="147">
      <c r="A147" s="66"/>
      <c r="B147" s="66"/>
      <c r="C147" s="66"/>
      <c r="D147" s="66"/>
      <c r="G147" s="67"/>
      <c r="V147" s="67"/>
    </row>
    <row r="148">
      <c r="A148" s="66"/>
      <c r="B148" s="66"/>
      <c r="C148" s="66"/>
      <c r="D148" s="66"/>
      <c r="G148" s="67"/>
      <c r="V148" s="67"/>
    </row>
    <row r="149">
      <c r="A149" s="66"/>
      <c r="B149" s="66"/>
      <c r="C149" s="66"/>
      <c r="D149" s="66"/>
      <c r="G149" s="67"/>
      <c r="V149" s="67"/>
    </row>
    <row r="150">
      <c r="A150" s="66"/>
      <c r="B150" s="66"/>
      <c r="C150" s="66"/>
      <c r="D150" s="66"/>
      <c r="G150" s="67"/>
      <c r="V150" s="67"/>
    </row>
    <row r="151">
      <c r="A151" s="66"/>
      <c r="B151" s="66"/>
      <c r="C151" s="66"/>
      <c r="D151" s="66"/>
      <c r="G151" s="67"/>
      <c r="V151" s="67"/>
    </row>
    <row r="152">
      <c r="A152" s="66"/>
      <c r="B152" s="66"/>
      <c r="C152" s="66"/>
      <c r="D152" s="66"/>
      <c r="G152" s="67"/>
      <c r="V152" s="67"/>
    </row>
    <row r="153">
      <c r="A153" s="66"/>
      <c r="B153" s="66"/>
      <c r="C153" s="66"/>
      <c r="D153" s="66"/>
      <c r="G153" s="67"/>
      <c r="V153" s="67"/>
    </row>
    <row r="154">
      <c r="A154" s="66"/>
      <c r="B154" s="66"/>
      <c r="C154" s="66"/>
      <c r="D154" s="66"/>
      <c r="G154" s="67"/>
      <c r="V154" s="67"/>
    </row>
    <row r="155">
      <c r="A155" s="66"/>
      <c r="B155" s="66"/>
      <c r="C155" s="66"/>
      <c r="D155" s="66"/>
      <c r="G155" s="67"/>
      <c r="V155" s="67"/>
    </row>
    <row r="156">
      <c r="A156" s="66"/>
      <c r="B156" s="66"/>
      <c r="C156" s="66"/>
      <c r="D156" s="66"/>
      <c r="G156" s="67"/>
      <c r="V156" s="67"/>
    </row>
    <row r="157">
      <c r="A157" s="66"/>
      <c r="B157" s="66"/>
      <c r="C157" s="66"/>
      <c r="D157" s="66"/>
      <c r="G157" s="67"/>
      <c r="V157" s="67"/>
    </row>
    <row r="158">
      <c r="A158" s="66"/>
      <c r="B158" s="66"/>
      <c r="C158" s="66"/>
      <c r="D158" s="66"/>
      <c r="G158" s="67"/>
      <c r="V158" s="67"/>
    </row>
    <row r="159">
      <c r="A159" s="66"/>
      <c r="B159" s="66"/>
      <c r="C159" s="66"/>
      <c r="D159" s="66"/>
      <c r="G159" s="67"/>
      <c r="V159" s="67"/>
    </row>
    <row r="160">
      <c r="A160" s="66"/>
      <c r="B160" s="66"/>
      <c r="C160" s="66"/>
      <c r="D160" s="66"/>
      <c r="G160" s="67"/>
      <c r="V160" s="67"/>
    </row>
    <row r="161">
      <c r="A161" s="66"/>
      <c r="B161" s="66"/>
      <c r="C161" s="66"/>
      <c r="D161" s="66"/>
      <c r="G161" s="67"/>
      <c r="V161" s="67"/>
    </row>
    <row r="162">
      <c r="A162" s="66"/>
      <c r="B162" s="66"/>
      <c r="C162" s="66"/>
      <c r="D162" s="66"/>
      <c r="G162" s="67"/>
      <c r="V162" s="67"/>
    </row>
    <row r="163">
      <c r="A163" s="66"/>
      <c r="B163" s="66"/>
      <c r="C163" s="66"/>
      <c r="D163" s="66"/>
      <c r="G163" s="67"/>
      <c r="V163" s="67"/>
    </row>
    <row r="164">
      <c r="A164" s="66"/>
      <c r="B164" s="66"/>
      <c r="C164" s="66"/>
      <c r="D164" s="66"/>
      <c r="G164" s="67"/>
      <c r="V164" s="67"/>
    </row>
    <row r="165">
      <c r="A165" s="66"/>
      <c r="B165" s="66"/>
      <c r="C165" s="66"/>
      <c r="D165" s="66"/>
      <c r="G165" s="67"/>
      <c r="V165" s="67"/>
    </row>
    <row r="166">
      <c r="A166" s="66"/>
      <c r="B166" s="66"/>
      <c r="C166" s="66"/>
      <c r="D166" s="66"/>
      <c r="G166" s="67"/>
      <c r="V166" s="67"/>
    </row>
    <row r="167">
      <c r="A167" s="66"/>
      <c r="B167" s="66"/>
      <c r="C167" s="66"/>
      <c r="D167" s="66"/>
      <c r="G167" s="67"/>
      <c r="V167" s="67"/>
    </row>
    <row r="168">
      <c r="A168" s="66"/>
      <c r="B168" s="66"/>
      <c r="C168" s="66"/>
      <c r="D168" s="66"/>
      <c r="G168" s="67"/>
      <c r="V168" s="67"/>
    </row>
    <row r="169">
      <c r="A169" s="66"/>
      <c r="B169" s="66"/>
      <c r="C169" s="66"/>
      <c r="D169" s="66"/>
      <c r="G169" s="67"/>
      <c r="V169" s="67"/>
    </row>
    <row r="170">
      <c r="A170" s="66"/>
      <c r="B170" s="66"/>
      <c r="C170" s="66"/>
      <c r="D170" s="66"/>
      <c r="G170" s="67"/>
      <c r="V170" s="67"/>
    </row>
    <row r="171">
      <c r="A171" s="66"/>
      <c r="B171" s="66"/>
      <c r="C171" s="66"/>
      <c r="D171" s="66"/>
      <c r="G171" s="67"/>
      <c r="V171" s="67"/>
    </row>
    <row r="172">
      <c r="A172" s="66"/>
      <c r="B172" s="66"/>
      <c r="C172" s="66"/>
      <c r="D172" s="66"/>
      <c r="G172" s="67"/>
      <c r="V172" s="67"/>
    </row>
    <row r="173">
      <c r="A173" s="66"/>
      <c r="B173" s="66"/>
      <c r="C173" s="66"/>
      <c r="D173" s="66"/>
      <c r="G173" s="67"/>
      <c r="V173" s="67"/>
    </row>
    <row r="174">
      <c r="A174" s="66"/>
      <c r="B174" s="66"/>
      <c r="C174" s="66"/>
      <c r="D174" s="66"/>
      <c r="G174" s="67"/>
      <c r="V174" s="67"/>
    </row>
    <row r="175">
      <c r="A175" s="66"/>
      <c r="B175" s="66"/>
      <c r="C175" s="66"/>
      <c r="D175" s="66"/>
      <c r="G175" s="67"/>
      <c r="V175" s="67"/>
    </row>
    <row r="176">
      <c r="A176" s="66"/>
      <c r="B176" s="66"/>
      <c r="C176" s="66"/>
      <c r="D176" s="66"/>
      <c r="G176" s="67"/>
      <c r="V176" s="67"/>
    </row>
    <row r="177">
      <c r="A177" s="66"/>
      <c r="B177" s="66"/>
      <c r="C177" s="66"/>
      <c r="D177" s="66"/>
      <c r="G177" s="67"/>
      <c r="V177" s="67"/>
    </row>
    <row r="178">
      <c r="A178" s="66"/>
      <c r="B178" s="66"/>
      <c r="C178" s="66"/>
      <c r="D178" s="66"/>
      <c r="G178" s="67"/>
      <c r="V178" s="67"/>
    </row>
    <row r="179">
      <c r="A179" s="66"/>
      <c r="B179" s="66"/>
      <c r="C179" s="66"/>
      <c r="D179" s="66"/>
      <c r="G179" s="67"/>
      <c r="V179" s="67"/>
    </row>
    <row r="180">
      <c r="A180" s="66"/>
      <c r="B180" s="66"/>
      <c r="C180" s="66"/>
      <c r="D180" s="66"/>
      <c r="G180" s="67"/>
      <c r="V180" s="67"/>
    </row>
    <row r="181">
      <c r="A181" s="66"/>
      <c r="B181" s="66"/>
      <c r="C181" s="66"/>
      <c r="D181" s="66"/>
      <c r="G181" s="67"/>
      <c r="V181" s="67"/>
    </row>
    <row r="182">
      <c r="A182" s="66"/>
      <c r="B182" s="66"/>
      <c r="C182" s="66"/>
      <c r="D182" s="66"/>
      <c r="G182" s="67"/>
      <c r="V182" s="67"/>
    </row>
    <row r="183">
      <c r="A183" s="66"/>
      <c r="B183" s="66"/>
      <c r="C183" s="66"/>
      <c r="D183" s="66"/>
      <c r="G183" s="67"/>
      <c r="V183" s="67"/>
    </row>
    <row r="184">
      <c r="A184" s="66"/>
      <c r="B184" s="66"/>
      <c r="C184" s="66"/>
      <c r="D184" s="66"/>
      <c r="G184" s="67"/>
      <c r="V184" s="67"/>
    </row>
    <row r="185">
      <c r="A185" s="66"/>
      <c r="B185" s="66"/>
      <c r="C185" s="66"/>
      <c r="D185" s="66"/>
      <c r="G185" s="67"/>
      <c r="V185" s="67"/>
    </row>
    <row r="186">
      <c r="A186" s="66"/>
      <c r="B186" s="66"/>
      <c r="C186" s="66"/>
      <c r="D186" s="66"/>
      <c r="G186" s="67"/>
      <c r="V186" s="67"/>
    </row>
    <row r="187">
      <c r="A187" s="66"/>
      <c r="B187" s="66"/>
      <c r="C187" s="66"/>
      <c r="D187" s="66"/>
      <c r="G187" s="67"/>
      <c r="V187" s="67"/>
    </row>
    <row r="188">
      <c r="A188" s="66"/>
      <c r="B188" s="66"/>
      <c r="C188" s="66"/>
      <c r="D188" s="66"/>
      <c r="G188" s="67"/>
      <c r="V188" s="67"/>
    </row>
    <row r="189">
      <c r="A189" s="66"/>
      <c r="B189" s="66"/>
      <c r="C189" s="66"/>
      <c r="D189" s="66"/>
      <c r="G189" s="67"/>
      <c r="V189" s="67"/>
    </row>
    <row r="190">
      <c r="A190" s="66"/>
      <c r="B190" s="66"/>
      <c r="C190" s="66"/>
      <c r="D190" s="66"/>
      <c r="G190" s="67"/>
      <c r="V190" s="67"/>
    </row>
    <row r="191">
      <c r="A191" s="66"/>
      <c r="B191" s="66"/>
      <c r="C191" s="66"/>
      <c r="D191" s="66"/>
      <c r="G191" s="67"/>
      <c r="V191" s="67"/>
    </row>
    <row r="192">
      <c r="A192" s="66"/>
      <c r="B192" s="66"/>
      <c r="C192" s="66"/>
      <c r="D192" s="66"/>
      <c r="G192" s="67"/>
      <c r="V192" s="67"/>
    </row>
    <row r="193">
      <c r="A193" s="66"/>
      <c r="B193" s="66"/>
      <c r="C193" s="66"/>
      <c r="D193" s="66"/>
      <c r="G193" s="67"/>
      <c r="V193" s="67"/>
    </row>
    <row r="194">
      <c r="A194" s="66"/>
      <c r="B194" s="66"/>
      <c r="C194" s="66"/>
      <c r="D194" s="66"/>
      <c r="G194" s="67"/>
      <c r="V194" s="67"/>
    </row>
    <row r="195">
      <c r="A195" s="66"/>
      <c r="B195" s="66"/>
      <c r="C195" s="66"/>
      <c r="D195" s="66"/>
      <c r="G195" s="67"/>
      <c r="V195" s="67"/>
    </row>
    <row r="196">
      <c r="A196" s="66"/>
      <c r="B196" s="66"/>
      <c r="C196" s="66"/>
      <c r="D196" s="66"/>
      <c r="G196" s="67"/>
      <c r="V196" s="67"/>
    </row>
    <row r="197">
      <c r="A197" s="66"/>
      <c r="B197" s="66"/>
      <c r="C197" s="66"/>
      <c r="D197" s="66"/>
      <c r="G197" s="67"/>
      <c r="V197" s="67"/>
    </row>
    <row r="198">
      <c r="A198" s="66"/>
      <c r="B198" s="66"/>
      <c r="C198" s="66"/>
      <c r="D198" s="66"/>
      <c r="G198" s="67"/>
      <c r="V198" s="67"/>
    </row>
    <row r="199">
      <c r="A199" s="66"/>
      <c r="B199" s="66"/>
      <c r="C199" s="66"/>
      <c r="D199" s="66"/>
      <c r="G199" s="67"/>
      <c r="V199" s="67"/>
    </row>
    <row r="200">
      <c r="A200" s="66"/>
      <c r="B200" s="66"/>
      <c r="C200" s="66"/>
      <c r="D200" s="66"/>
      <c r="G200" s="67"/>
      <c r="V200" s="67"/>
    </row>
    <row r="201">
      <c r="A201" s="66"/>
      <c r="B201" s="66"/>
      <c r="C201" s="66"/>
      <c r="D201" s="66"/>
      <c r="G201" s="67"/>
      <c r="V201" s="67"/>
    </row>
    <row r="202">
      <c r="A202" s="66"/>
      <c r="B202" s="66"/>
      <c r="C202" s="66"/>
      <c r="D202" s="66"/>
      <c r="G202" s="67"/>
      <c r="V202" s="67"/>
    </row>
    <row r="203">
      <c r="A203" s="66"/>
      <c r="B203" s="66"/>
      <c r="C203" s="66"/>
      <c r="D203" s="66"/>
      <c r="G203" s="67"/>
      <c r="V203" s="67"/>
    </row>
    <row r="204">
      <c r="A204" s="66"/>
      <c r="B204" s="66"/>
      <c r="C204" s="66"/>
      <c r="D204" s="66"/>
      <c r="G204" s="67"/>
      <c r="V204" s="67"/>
    </row>
    <row r="205">
      <c r="A205" s="66"/>
      <c r="B205" s="66"/>
      <c r="C205" s="66"/>
      <c r="D205" s="66"/>
      <c r="G205" s="67"/>
      <c r="V205" s="67"/>
    </row>
    <row r="206">
      <c r="A206" s="66"/>
      <c r="B206" s="66"/>
      <c r="C206" s="66"/>
      <c r="D206" s="66"/>
      <c r="G206" s="67"/>
      <c r="V206" s="67"/>
    </row>
    <row r="207">
      <c r="A207" s="66"/>
      <c r="B207" s="66"/>
      <c r="C207" s="66"/>
      <c r="D207" s="66"/>
      <c r="G207" s="67"/>
      <c r="V207" s="67"/>
    </row>
    <row r="208">
      <c r="A208" s="66"/>
      <c r="B208" s="66"/>
      <c r="C208" s="66"/>
      <c r="D208" s="66"/>
      <c r="G208" s="67"/>
      <c r="V208" s="67"/>
    </row>
    <row r="209">
      <c r="A209" s="66"/>
      <c r="B209" s="66"/>
      <c r="C209" s="66"/>
      <c r="D209" s="66"/>
      <c r="G209" s="67"/>
      <c r="V209" s="67"/>
    </row>
    <row r="210">
      <c r="A210" s="66"/>
      <c r="B210" s="66"/>
      <c r="C210" s="66"/>
      <c r="D210" s="66"/>
      <c r="G210" s="67"/>
      <c r="V210" s="67"/>
    </row>
    <row r="211">
      <c r="A211" s="66"/>
      <c r="B211" s="66"/>
      <c r="C211" s="66"/>
      <c r="D211" s="66"/>
      <c r="G211" s="67"/>
      <c r="V211" s="67"/>
    </row>
    <row r="212">
      <c r="A212" s="66"/>
      <c r="B212" s="66"/>
      <c r="C212" s="66"/>
      <c r="D212" s="66"/>
      <c r="G212" s="67"/>
      <c r="V212" s="67"/>
    </row>
    <row r="213">
      <c r="A213" s="66"/>
      <c r="B213" s="66"/>
      <c r="C213" s="66"/>
      <c r="D213" s="66"/>
      <c r="G213" s="67"/>
      <c r="V213" s="67"/>
    </row>
    <row r="214">
      <c r="A214" s="66"/>
      <c r="B214" s="66"/>
      <c r="C214" s="66"/>
      <c r="D214" s="66"/>
      <c r="G214" s="67"/>
      <c r="V214" s="67"/>
    </row>
    <row r="215">
      <c r="A215" s="66"/>
      <c r="B215" s="66"/>
      <c r="C215" s="66"/>
      <c r="D215" s="66"/>
      <c r="G215" s="67"/>
      <c r="V215" s="67"/>
    </row>
    <row r="216">
      <c r="A216" s="66"/>
      <c r="B216" s="66"/>
      <c r="C216" s="66"/>
      <c r="D216" s="66"/>
      <c r="G216" s="67"/>
      <c r="V216" s="67"/>
    </row>
    <row r="217">
      <c r="A217" s="66"/>
      <c r="B217" s="66"/>
      <c r="C217" s="66"/>
      <c r="D217" s="66"/>
      <c r="G217" s="67"/>
      <c r="V217" s="67"/>
    </row>
    <row r="218">
      <c r="A218" s="66"/>
      <c r="B218" s="66"/>
      <c r="C218" s="66"/>
      <c r="D218" s="66"/>
      <c r="G218" s="67"/>
      <c r="V218" s="67"/>
    </row>
    <row r="219">
      <c r="A219" s="66"/>
      <c r="B219" s="66"/>
      <c r="C219" s="66"/>
      <c r="D219" s="66"/>
      <c r="G219" s="67"/>
      <c r="V219" s="67"/>
    </row>
    <row r="220">
      <c r="A220" s="66"/>
      <c r="B220" s="66"/>
      <c r="C220" s="66"/>
      <c r="D220" s="66"/>
      <c r="G220" s="67"/>
      <c r="V220" s="67"/>
    </row>
    <row r="221">
      <c r="A221" s="66"/>
      <c r="B221" s="66"/>
      <c r="C221" s="66"/>
      <c r="D221" s="66"/>
      <c r="G221" s="67"/>
      <c r="V221" s="67"/>
    </row>
    <row r="222">
      <c r="A222" s="66"/>
      <c r="B222" s="66"/>
      <c r="C222" s="66"/>
      <c r="D222" s="66"/>
      <c r="G222" s="67"/>
      <c r="V222" s="67"/>
    </row>
    <row r="223">
      <c r="A223" s="66"/>
      <c r="B223" s="66"/>
      <c r="C223" s="66"/>
      <c r="D223" s="66"/>
      <c r="G223" s="67"/>
      <c r="V223" s="67"/>
    </row>
    <row r="224">
      <c r="A224" s="66"/>
      <c r="B224" s="66"/>
      <c r="C224" s="66"/>
      <c r="D224" s="66"/>
      <c r="G224" s="67"/>
      <c r="V224" s="67"/>
    </row>
    <row r="225">
      <c r="A225" s="66"/>
      <c r="B225" s="66"/>
      <c r="C225" s="66"/>
      <c r="D225" s="66"/>
      <c r="G225" s="67"/>
      <c r="V225" s="67"/>
    </row>
    <row r="226">
      <c r="A226" s="66"/>
      <c r="B226" s="66"/>
      <c r="C226" s="66"/>
      <c r="D226" s="66"/>
      <c r="G226" s="67"/>
      <c r="V226" s="67"/>
    </row>
    <row r="227">
      <c r="A227" s="66"/>
      <c r="B227" s="66"/>
      <c r="C227" s="66"/>
      <c r="D227" s="66"/>
      <c r="G227" s="67"/>
      <c r="V227" s="67"/>
    </row>
    <row r="228">
      <c r="A228" s="66"/>
      <c r="B228" s="66"/>
      <c r="C228" s="66"/>
      <c r="D228" s="66"/>
      <c r="G228" s="67"/>
      <c r="V228" s="67"/>
    </row>
    <row r="229">
      <c r="A229" s="66"/>
      <c r="B229" s="66"/>
      <c r="C229" s="66"/>
      <c r="D229" s="66"/>
      <c r="G229" s="67"/>
      <c r="V229" s="67"/>
    </row>
    <row r="230">
      <c r="A230" s="66"/>
      <c r="B230" s="66"/>
      <c r="C230" s="66"/>
      <c r="D230" s="66"/>
      <c r="G230" s="67"/>
      <c r="V230" s="67"/>
    </row>
    <row r="231">
      <c r="A231" s="66"/>
      <c r="B231" s="66"/>
      <c r="C231" s="66"/>
      <c r="D231" s="66"/>
      <c r="G231" s="67"/>
      <c r="V231" s="67"/>
    </row>
    <row r="232">
      <c r="A232" s="66"/>
      <c r="B232" s="66"/>
      <c r="C232" s="66"/>
      <c r="D232" s="66"/>
      <c r="G232" s="67"/>
      <c r="V232" s="67"/>
    </row>
    <row r="233">
      <c r="A233" s="66"/>
      <c r="B233" s="66"/>
      <c r="C233" s="66"/>
      <c r="D233" s="66"/>
      <c r="G233" s="67"/>
      <c r="V233" s="67"/>
    </row>
    <row r="234">
      <c r="A234" s="66"/>
      <c r="B234" s="66"/>
      <c r="C234" s="66"/>
      <c r="D234" s="66"/>
      <c r="G234" s="67"/>
      <c r="V234" s="67"/>
    </row>
    <row r="235">
      <c r="A235" s="66"/>
      <c r="B235" s="66"/>
      <c r="C235" s="66"/>
      <c r="D235" s="66"/>
      <c r="G235" s="67"/>
      <c r="V235" s="67"/>
    </row>
    <row r="236">
      <c r="A236" s="66"/>
      <c r="B236" s="66"/>
      <c r="C236" s="66"/>
      <c r="D236" s="66"/>
      <c r="G236" s="67"/>
      <c r="V236" s="67"/>
    </row>
    <row r="237">
      <c r="A237" s="66"/>
      <c r="B237" s="66"/>
      <c r="C237" s="66"/>
      <c r="D237" s="66"/>
      <c r="G237" s="67"/>
      <c r="V237" s="67"/>
    </row>
    <row r="238">
      <c r="A238" s="66"/>
      <c r="B238" s="66"/>
      <c r="C238" s="66"/>
      <c r="D238" s="66"/>
      <c r="G238" s="67"/>
      <c r="V238" s="67"/>
    </row>
    <row r="239">
      <c r="A239" s="66"/>
      <c r="B239" s="66"/>
      <c r="C239" s="66"/>
      <c r="D239" s="66"/>
      <c r="G239" s="67"/>
      <c r="V239" s="67"/>
    </row>
    <row r="240">
      <c r="A240" s="66"/>
      <c r="B240" s="66"/>
      <c r="C240" s="66"/>
      <c r="D240" s="66"/>
      <c r="G240" s="67"/>
      <c r="V240" s="67"/>
    </row>
    <row r="241">
      <c r="A241" s="66"/>
      <c r="B241" s="66"/>
      <c r="C241" s="66"/>
      <c r="D241" s="66"/>
      <c r="G241" s="67"/>
      <c r="V241" s="67"/>
    </row>
    <row r="242">
      <c r="A242" s="66"/>
      <c r="B242" s="66"/>
      <c r="C242" s="66"/>
      <c r="D242" s="66"/>
      <c r="G242" s="67"/>
      <c r="V242" s="67"/>
    </row>
    <row r="243">
      <c r="A243" s="66"/>
      <c r="B243" s="66"/>
      <c r="C243" s="66"/>
      <c r="D243" s="66"/>
      <c r="G243" s="67"/>
      <c r="V243" s="67"/>
    </row>
    <row r="244">
      <c r="A244" s="66"/>
      <c r="B244" s="66"/>
      <c r="C244" s="66"/>
      <c r="D244" s="66"/>
      <c r="G244" s="67"/>
      <c r="V244" s="67"/>
    </row>
    <row r="245">
      <c r="A245" s="66"/>
      <c r="B245" s="66"/>
      <c r="C245" s="66"/>
      <c r="D245" s="66"/>
      <c r="G245" s="67"/>
      <c r="V245" s="67"/>
    </row>
    <row r="246">
      <c r="A246" s="66"/>
      <c r="B246" s="66"/>
      <c r="C246" s="66"/>
      <c r="D246" s="66"/>
      <c r="G246" s="67"/>
      <c r="V246" s="67"/>
    </row>
    <row r="247">
      <c r="A247" s="66"/>
      <c r="B247" s="66"/>
      <c r="C247" s="66"/>
      <c r="D247" s="66"/>
      <c r="G247" s="67"/>
      <c r="V247" s="67"/>
    </row>
    <row r="248">
      <c r="A248" s="66"/>
      <c r="B248" s="66"/>
      <c r="C248" s="66"/>
      <c r="D248" s="66"/>
      <c r="G248" s="67"/>
      <c r="V248" s="67"/>
    </row>
    <row r="249">
      <c r="A249" s="66"/>
      <c r="B249" s="66"/>
      <c r="C249" s="66"/>
      <c r="D249" s="66"/>
      <c r="G249" s="67"/>
      <c r="V249" s="67"/>
    </row>
    <row r="250">
      <c r="A250" s="66"/>
      <c r="B250" s="66"/>
      <c r="C250" s="66"/>
      <c r="D250" s="66"/>
      <c r="G250" s="67"/>
      <c r="V250" s="67"/>
    </row>
    <row r="251">
      <c r="A251" s="66"/>
      <c r="B251" s="66"/>
      <c r="C251" s="66"/>
      <c r="D251" s="66"/>
      <c r="G251" s="67"/>
      <c r="V251" s="67"/>
    </row>
    <row r="252">
      <c r="A252" s="66"/>
      <c r="B252" s="66"/>
      <c r="C252" s="66"/>
      <c r="D252" s="66"/>
      <c r="G252" s="67"/>
      <c r="V252" s="67"/>
    </row>
    <row r="253">
      <c r="A253" s="66"/>
      <c r="B253" s="66"/>
      <c r="C253" s="66"/>
      <c r="D253" s="66"/>
      <c r="G253" s="67"/>
      <c r="V253" s="67"/>
    </row>
    <row r="254">
      <c r="A254" s="66"/>
      <c r="B254" s="66"/>
      <c r="C254" s="66"/>
      <c r="D254" s="66"/>
      <c r="G254" s="67"/>
      <c r="V254" s="67"/>
    </row>
    <row r="255">
      <c r="A255" s="66"/>
      <c r="B255" s="66"/>
      <c r="C255" s="66"/>
      <c r="D255" s="66"/>
      <c r="G255" s="67"/>
      <c r="V255" s="67"/>
    </row>
    <row r="256">
      <c r="A256" s="66"/>
      <c r="B256" s="66"/>
      <c r="C256" s="66"/>
      <c r="D256" s="66"/>
      <c r="G256" s="67"/>
      <c r="V256" s="67"/>
    </row>
    <row r="257">
      <c r="A257" s="66"/>
      <c r="B257" s="66"/>
      <c r="C257" s="66"/>
      <c r="D257" s="66"/>
      <c r="G257" s="67"/>
      <c r="V257" s="67"/>
    </row>
    <row r="258">
      <c r="A258" s="66"/>
      <c r="B258" s="66"/>
      <c r="C258" s="66"/>
      <c r="D258" s="66"/>
      <c r="G258" s="67"/>
      <c r="V258" s="67"/>
    </row>
    <row r="259">
      <c r="A259" s="66"/>
      <c r="B259" s="66"/>
      <c r="C259" s="66"/>
      <c r="D259" s="66"/>
      <c r="G259" s="67"/>
      <c r="V259" s="67"/>
    </row>
    <row r="260">
      <c r="A260" s="66"/>
      <c r="B260" s="66"/>
      <c r="C260" s="66"/>
      <c r="D260" s="66"/>
      <c r="G260" s="67"/>
      <c r="V260" s="67"/>
    </row>
    <row r="261">
      <c r="A261" s="66"/>
      <c r="B261" s="66"/>
      <c r="C261" s="66"/>
      <c r="D261" s="66"/>
      <c r="G261" s="67"/>
      <c r="V261" s="67"/>
    </row>
    <row r="262">
      <c r="A262" s="66"/>
      <c r="B262" s="66"/>
      <c r="C262" s="66"/>
      <c r="D262" s="66"/>
      <c r="G262" s="67"/>
      <c r="V262" s="67"/>
    </row>
    <row r="263">
      <c r="A263" s="66"/>
      <c r="B263" s="66"/>
      <c r="C263" s="66"/>
      <c r="D263" s="66"/>
      <c r="G263" s="67"/>
      <c r="V263" s="67"/>
    </row>
    <row r="264">
      <c r="A264" s="66"/>
      <c r="B264" s="66"/>
      <c r="C264" s="66"/>
      <c r="D264" s="66"/>
      <c r="G264" s="67"/>
      <c r="V264" s="67"/>
    </row>
    <row r="265">
      <c r="A265" s="66"/>
      <c r="B265" s="66"/>
      <c r="C265" s="66"/>
      <c r="D265" s="66"/>
      <c r="G265" s="67"/>
      <c r="V265" s="67"/>
    </row>
    <row r="266">
      <c r="A266" s="66"/>
      <c r="B266" s="66"/>
      <c r="C266" s="66"/>
      <c r="D266" s="66"/>
      <c r="G266" s="67"/>
      <c r="V266" s="67"/>
    </row>
    <row r="267">
      <c r="A267" s="66"/>
      <c r="B267" s="66"/>
      <c r="C267" s="66"/>
      <c r="D267" s="66"/>
      <c r="G267" s="67"/>
      <c r="V267" s="67"/>
    </row>
    <row r="268">
      <c r="A268" s="66"/>
      <c r="B268" s="66"/>
      <c r="C268" s="66"/>
      <c r="D268" s="66"/>
      <c r="G268" s="67"/>
      <c r="V268" s="67"/>
    </row>
    <row r="269">
      <c r="A269" s="66"/>
      <c r="B269" s="66"/>
      <c r="C269" s="66"/>
      <c r="D269" s="66"/>
      <c r="G269" s="67"/>
      <c r="V269" s="67"/>
    </row>
    <row r="270">
      <c r="A270" s="66"/>
      <c r="B270" s="66"/>
      <c r="C270" s="66"/>
      <c r="D270" s="66"/>
      <c r="G270" s="67"/>
      <c r="V270" s="67"/>
    </row>
    <row r="271">
      <c r="A271" s="66"/>
      <c r="B271" s="66"/>
      <c r="C271" s="66"/>
      <c r="D271" s="66"/>
      <c r="G271" s="67"/>
      <c r="V271" s="67"/>
    </row>
    <row r="272">
      <c r="A272" s="66"/>
      <c r="B272" s="66"/>
      <c r="C272" s="66"/>
      <c r="D272" s="66"/>
      <c r="G272" s="67"/>
      <c r="V272" s="67"/>
    </row>
    <row r="273">
      <c r="A273" s="66"/>
      <c r="B273" s="66"/>
      <c r="C273" s="66"/>
      <c r="D273" s="66"/>
      <c r="G273" s="67"/>
      <c r="V273" s="67"/>
    </row>
    <row r="274">
      <c r="A274" s="66"/>
      <c r="B274" s="66"/>
      <c r="C274" s="66"/>
      <c r="D274" s="66"/>
      <c r="G274" s="67"/>
      <c r="V274" s="67"/>
    </row>
    <row r="275">
      <c r="A275" s="66"/>
      <c r="B275" s="66"/>
      <c r="C275" s="66"/>
      <c r="D275" s="66"/>
      <c r="G275" s="67"/>
      <c r="V275" s="67"/>
    </row>
    <row r="276">
      <c r="A276" s="66"/>
      <c r="B276" s="66"/>
      <c r="C276" s="66"/>
      <c r="D276" s="66"/>
      <c r="G276" s="67"/>
      <c r="V276" s="67"/>
    </row>
    <row r="277">
      <c r="A277" s="66"/>
      <c r="B277" s="66"/>
      <c r="C277" s="66"/>
      <c r="D277" s="66"/>
      <c r="G277" s="67"/>
      <c r="V277" s="67"/>
    </row>
    <row r="278">
      <c r="A278" s="66"/>
      <c r="B278" s="66"/>
      <c r="C278" s="66"/>
      <c r="D278" s="66"/>
      <c r="G278" s="67"/>
      <c r="V278" s="67"/>
    </row>
    <row r="279">
      <c r="A279" s="66"/>
      <c r="B279" s="66"/>
      <c r="C279" s="66"/>
      <c r="D279" s="66"/>
      <c r="G279" s="67"/>
      <c r="V279" s="67"/>
    </row>
    <row r="280">
      <c r="A280" s="66"/>
      <c r="B280" s="66"/>
      <c r="C280" s="66"/>
      <c r="D280" s="66"/>
      <c r="G280" s="67"/>
      <c r="V280" s="67"/>
    </row>
    <row r="281">
      <c r="A281" s="66"/>
      <c r="B281" s="66"/>
      <c r="C281" s="66"/>
      <c r="D281" s="66"/>
      <c r="G281" s="67"/>
      <c r="V281" s="67"/>
    </row>
    <row r="282">
      <c r="A282" s="66"/>
      <c r="B282" s="66"/>
      <c r="C282" s="66"/>
      <c r="D282" s="66"/>
      <c r="G282" s="67"/>
      <c r="V282" s="67"/>
    </row>
    <row r="283">
      <c r="A283" s="66"/>
      <c r="B283" s="66"/>
      <c r="C283" s="66"/>
      <c r="D283" s="66"/>
      <c r="G283" s="67"/>
      <c r="V283" s="67"/>
    </row>
    <row r="284">
      <c r="A284" s="66"/>
      <c r="B284" s="66"/>
      <c r="C284" s="66"/>
      <c r="D284" s="66"/>
      <c r="G284" s="67"/>
      <c r="V284" s="67"/>
    </row>
    <row r="285">
      <c r="A285" s="66"/>
      <c r="B285" s="66"/>
      <c r="C285" s="66"/>
      <c r="D285" s="66"/>
      <c r="G285" s="67"/>
      <c r="V285" s="67"/>
    </row>
    <row r="286">
      <c r="A286" s="66"/>
      <c r="B286" s="66"/>
      <c r="C286" s="66"/>
      <c r="D286" s="66"/>
      <c r="G286" s="67"/>
      <c r="V286" s="67"/>
    </row>
    <row r="287">
      <c r="A287" s="66"/>
      <c r="B287" s="66"/>
      <c r="C287" s="66"/>
      <c r="D287" s="66"/>
      <c r="G287" s="67"/>
      <c r="V287" s="67"/>
    </row>
    <row r="288">
      <c r="A288" s="66"/>
      <c r="B288" s="66"/>
      <c r="C288" s="66"/>
      <c r="D288" s="66"/>
      <c r="G288" s="67"/>
      <c r="V288" s="67"/>
    </row>
    <row r="289">
      <c r="A289" s="66"/>
      <c r="B289" s="66"/>
      <c r="C289" s="66"/>
      <c r="D289" s="66"/>
      <c r="G289" s="67"/>
      <c r="V289" s="67"/>
    </row>
    <row r="290">
      <c r="A290" s="66"/>
      <c r="B290" s="66"/>
      <c r="C290" s="66"/>
      <c r="D290" s="66"/>
      <c r="G290" s="67"/>
      <c r="V290" s="67"/>
    </row>
    <row r="291">
      <c r="A291" s="66"/>
      <c r="B291" s="66"/>
      <c r="C291" s="66"/>
      <c r="D291" s="66"/>
      <c r="G291" s="67"/>
      <c r="V291" s="67"/>
    </row>
    <row r="292">
      <c r="A292" s="66"/>
      <c r="B292" s="66"/>
      <c r="C292" s="66"/>
      <c r="D292" s="66"/>
      <c r="G292" s="67"/>
      <c r="V292" s="67"/>
    </row>
    <row r="293">
      <c r="A293" s="66"/>
      <c r="B293" s="66"/>
      <c r="C293" s="66"/>
      <c r="D293" s="66"/>
      <c r="G293" s="67"/>
      <c r="V293" s="67"/>
    </row>
    <row r="294">
      <c r="A294" s="66"/>
      <c r="B294" s="66"/>
      <c r="C294" s="66"/>
      <c r="D294" s="66"/>
      <c r="G294" s="67"/>
      <c r="V294" s="67"/>
    </row>
    <row r="295">
      <c r="A295" s="66"/>
      <c r="B295" s="66"/>
      <c r="C295" s="66"/>
      <c r="D295" s="66"/>
      <c r="G295" s="67"/>
      <c r="V295" s="67"/>
    </row>
    <row r="296">
      <c r="A296" s="66"/>
      <c r="B296" s="66"/>
      <c r="C296" s="66"/>
      <c r="D296" s="66"/>
      <c r="G296" s="67"/>
      <c r="V296" s="67"/>
    </row>
    <row r="297">
      <c r="A297" s="66"/>
      <c r="B297" s="66"/>
      <c r="C297" s="66"/>
      <c r="D297" s="66"/>
      <c r="G297" s="67"/>
      <c r="V297" s="67"/>
    </row>
    <row r="298">
      <c r="A298" s="66"/>
      <c r="B298" s="66"/>
      <c r="C298" s="66"/>
      <c r="D298" s="66"/>
      <c r="G298" s="67"/>
      <c r="V298" s="67"/>
    </row>
    <row r="299">
      <c r="A299" s="66"/>
      <c r="B299" s="66"/>
      <c r="C299" s="66"/>
      <c r="D299" s="66"/>
      <c r="G299" s="67"/>
      <c r="V299" s="67"/>
    </row>
    <row r="300">
      <c r="A300" s="66"/>
      <c r="B300" s="66"/>
      <c r="C300" s="66"/>
      <c r="D300" s="66"/>
      <c r="G300" s="67"/>
      <c r="V300" s="67"/>
    </row>
    <row r="301">
      <c r="A301" s="66"/>
      <c r="B301" s="66"/>
      <c r="C301" s="66"/>
      <c r="D301" s="66"/>
      <c r="G301" s="67"/>
      <c r="V301" s="67"/>
    </row>
    <row r="302">
      <c r="A302" s="66"/>
      <c r="B302" s="66"/>
      <c r="C302" s="66"/>
      <c r="D302" s="66"/>
      <c r="G302" s="67"/>
      <c r="V302" s="67"/>
    </row>
    <row r="303">
      <c r="A303" s="66"/>
      <c r="B303" s="66"/>
      <c r="C303" s="66"/>
      <c r="D303" s="66"/>
      <c r="G303" s="67"/>
      <c r="V303" s="67"/>
    </row>
    <row r="304">
      <c r="A304" s="66"/>
      <c r="B304" s="66"/>
      <c r="C304" s="66"/>
      <c r="D304" s="66"/>
      <c r="G304" s="67"/>
      <c r="V304" s="67"/>
    </row>
    <row r="305">
      <c r="A305" s="66"/>
      <c r="B305" s="66"/>
      <c r="C305" s="66"/>
      <c r="D305" s="66"/>
      <c r="G305" s="67"/>
      <c r="V305" s="67"/>
    </row>
    <row r="306">
      <c r="A306" s="66"/>
      <c r="B306" s="66"/>
      <c r="C306" s="66"/>
      <c r="D306" s="66"/>
      <c r="G306" s="67"/>
      <c r="V306" s="67"/>
    </row>
    <row r="307">
      <c r="A307" s="66"/>
      <c r="B307" s="66"/>
      <c r="C307" s="66"/>
      <c r="D307" s="66"/>
      <c r="G307" s="67"/>
      <c r="V307" s="67"/>
    </row>
    <row r="308">
      <c r="A308" s="66"/>
      <c r="B308" s="66"/>
      <c r="C308" s="66"/>
      <c r="D308" s="66"/>
      <c r="G308" s="67"/>
      <c r="V308" s="67"/>
    </row>
    <row r="309">
      <c r="A309" s="66"/>
      <c r="B309" s="66"/>
      <c r="C309" s="66"/>
      <c r="D309" s="66"/>
      <c r="G309" s="67"/>
      <c r="V309" s="67"/>
    </row>
    <row r="310">
      <c r="A310" s="66"/>
      <c r="B310" s="66"/>
      <c r="C310" s="66"/>
      <c r="D310" s="66"/>
      <c r="G310" s="67"/>
      <c r="V310" s="67"/>
    </row>
    <row r="311">
      <c r="A311" s="66"/>
      <c r="B311" s="66"/>
      <c r="C311" s="66"/>
      <c r="D311" s="66"/>
      <c r="G311" s="67"/>
      <c r="V311" s="67"/>
    </row>
    <row r="312">
      <c r="A312" s="66"/>
      <c r="B312" s="66"/>
      <c r="C312" s="66"/>
      <c r="D312" s="66"/>
      <c r="G312" s="67"/>
      <c r="V312" s="67"/>
    </row>
    <row r="313">
      <c r="A313" s="66"/>
      <c r="B313" s="66"/>
      <c r="C313" s="66"/>
      <c r="D313" s="66"/>
      <c r="G313" s="67"/>
      <c r="V313" s="67"/>
    </row>
    <row r="314">
      <c r="A314" s="66"/>
      <c r="B314" s="66"/>
      <c r="C314" s="66"/>
      <c r="D314" s="66"/>
      <c r="G314" s="67"/>
      <c r="V314" s="67"/>
    </row>
    <row r="315">
      <c r="A315" s="66"/>
      <c r="B315" s="66"/>
      <c r="C315" s="66"/>
      <c r="D315" s="66"/>
      <c r="G315" s="67"/>
      <c r="V315" s="67"/>
    </row>
    <row r="316">
      <c r="A316" s="66"/>
      <c r="B316" s="66"/>
      <c r="C316" s="66"/>
      <c r="D316" s="66"/>
      <c r="G316" s="67"/>
      <c r="V316" s="67"/>
    </row>
    <row r="317">
      <c r="A317" s="66"/>
      <c r="B317" s="66"/>
      <c r="C317" s="66"/>
      <c r="D317" s="66"/>
      <c r="G317" s="67"/>
      <c r="V317" s="67"/>
    </row>
    <row r="318">
      <c r="A318" s="66"/>
      <c r="B318" s="66"/>
      <c r="C318" s="66"/>
      <c r="D318" s="66"/>
      <c r="G318" s="67"/>
      <c r="V318" s="67"/>
    </row>
    <row r="319">
      <c r="A319" s="66"/>
      <c r="B319" s="66"/>
      <c r="C319" s="66"/>
      <c r="D319" s="66"/>
      <c r="G319" s="67"/>
      <c r="V319" s="67"/>
    </row>
    <row r="320">
      <c r="A320" s="66"/>
      <c r="B320" s="66"/>
      <c r="C320" s="66"/>
      <c r="D320" s="66"/>
      <c r="G320" s="67"/>
      <c r="V320" s="67"/>
    </row>
    <row r="321">
      <c r="A321" s="66"/>
      <c r="B321" s="66"/>
      <c r="C321" s="66"/>
      <c r="D321" s="66"/>
      <c r="G321" s="67"/>
      <c r="V321" s="67"/>
    </row>
    <row r="322">
      <c r="A322" s="66"/>
      <c r="B322" s="66"/>
      <c r="C322" s="66"/>
      <c r="D322" s="66"/>
      <c r="G322" s="67"/>
      <c r="V322" s="67"/>
    </row>
    <row r="323">
      <c r="A323" s="66"/>
      <c r="B323" s="66"/>
      <c r="C323" s="66"/>
      <c r="D323" s="66"/>
      <c r="G323" s="67"/>
      <c r="V323" s="67"/>
    </row>
    <row r="324">
      <c r="A324" s="66"/>
      <c r="B324" s="66"/>
      <c r="C324" s="66"/>
      <c r="D324" s="66"/>
      <c r="G324" s="67"/>
      <c r="V324" s="67"/>
    </row>
    <row r="325">
      <c r="A325" s="66"/>
      <c r="B325" s="66"/>
      <c r="C325" s="66"/>
      <c r="D325" s="66"/>
      <c r="G325" s="67"/>
      <c r="V325" s="67"/>
    </row>
    <row r="326">
      <c r="A326" s="66"/>
      <c r="B326" s="66"/>
      <c r="C326" s="66"/>
      <c r="D326" s="66"/>
      <c r="G326" s="67"/>
      <c r="V326" s="67"/>
    </row>
    <row r="327">
      <c r="A327" s="66"/>
      <c r="B327" s="66"/>
      <c r="C327" s="66"/>
      <c r="D327" s="66"/>
      <c r="G327" s="67"/>
      <c r="V327" s="67"/>
    </row>
    <row r="328">
      <c r="A328" s="66"/>
      <c r="B328" s="66"/>
      <c r="C328" s="66"/>
      <c r="D328" s="66"/>
      <c r="G328" s="67"/>
      <c r="V328" s="67"/>
    </row>
    <row r="329">
      <c r="A329" s="66"/>
      <c r="B329" s="66"/>
      <c r="C329" s="66"/>
      <c r="D329" s="66"/>
      <c r="G329" s="67"/>
      <c r="V329" s="67"/>
    </row>
    <row r="330">
      <c r="A330" s="66"/>
      <c r="B330" s="66"/>
      <c r="C330" s="66"/>
      <c r="D330" s="66"/>
      <c r="G330" s="67"/>
      <c r="V330" s="67"/>
    </row>
    <row r="331">
      <c r="A331" s="66"/>
      <c r="B331" s="66"/>
      <c r="C331" s="66"/>
      <c r="D331" s="66"/>
      <c r="G331" s="67"/>
      <c r="V331" s="67"/>
    </row>
    <row r="332">
      <c r="A332" s="66"/>
      <c r="B332" s="66"/>
      <c r="C332" s="66"/>
      <c r="D332" s="66"/>
      <c r="G332" s="67"/>
      <c r="V332" s="67"/>
    </row>
    <row r="333">
      <c r="A333" s="66"/>
      <c r="B333" s="66"/>
      <c r="C333" s="66"/>
      <c r="D333" s="66"/>
      <c r="G333" s="67"/>
      <c r="V333" s="67"/>
    </row>
    <row r="334">
      <c r="A334" s="66"/>
      <c r="B334" s="66"/>
      <c r="C334" s="66"/>
      <c r="D334" s="66"/>
      <c r="G334" s="67"/>
      <c r="V334" s="67"/>
    </row>
    <row r="335">
      <c r="A335" s="66"/>
      <c r="B335" s="66"/>
      <c r="C335" s="66"/>
      <c r="D335" s="66"/>
      <c r="G335" s="67"/>
      <c r="V335" s="67"/>
    </row>
    <row r="336">
      <c r="A336" s="66"/>
      <c r="B336" s="66"/>
      <c r="C336" s="66"/>
      <c r="D336" s="66"/>
      <c r="G336" s="67"/>
      <c r="V336" s="67"/>
    </row>
    <row r="337">
      <c r="A337" s="66"/>
      <c r="B337" s="66"/>
      <c r="C337" s="66"/>
      <c r="D337" s="66"/>
      <c r="G337" s="67"/>
      <c r="V337" s="67"/>
    </row>
    <row r="338">
      <c r="A338" s="66"/>
      <c r="B338" s="66"/>
      <c r="C338" s="66"/>
      <c r="D338" s="66"/>
      <c r="G338" s="67"/>
      <c r="V338" s="67"/>
    </row>
    <row r="339">
      <c r="A339" s="66"/>
      <c r="B339" s="66"/>
      <c r="C339" s="66"/>
      <c r="D339" s="66"/>
      <c r="G339" s="67"/>
      <c r="V339" s="67"/>
    </row>
    <row r="340">
      <c r="A340" s="66"/>
      <c r="B340" s="66"/>
      <c r="C340" s="66"/>
      <c r="D340" s="66"/>
      <c r="G340" s="67"/>
      <c r="V340" s="67"/>
    </row>
    <row r="341">
      <c r="A341" s="66"/>
      <c r="B341" s="66"/>
      <c r="C341" s="66"/>
      <c r="D341" s="66"/>
      <c r="G341" s="67"/>
      <c r="V341" s="67"/>
    </row>
    <row r="342">
      <c r="A342" s="66"/>
      <c r="B342" s="66"/>
      <c r="C342" s="66"/>
      <c r="D342" s="66"/>
      <c r="G342" s="67"/>
      <c r="V342" s="67"/>
    </row>
    <row r="343">
      <c r="A343" s="66"/>
      <c r="B343" s="66"/>
      <c r="C343" s="66"/>
      <c r="D343" s="66"/>
      <c r="G343" s="67"/>
      <c r="V343" s="67"/>
    </row>
    <row r="344">
      <c r="A344" s="66"/>
      <c r="B344" s="66"/>
      <c r="C344" s="66"/>
      <c r="D344" s="66"/>
      <c r="G344" s="67"/>
      <c r="V344" s="67"/>
    </row>
    <row r="345">
      <c r="A345" s="66"/>
      <c r="B345" s="66"/>
      <c r="C345" s="66"/>
      <c r="D345" s="66"/>
      <c r="G345" s="67"/>
      <c r="V345" s="67"/>
    </row>
    <row r="346">
      <c r="A346" s="66"/>
      <c r="B346" s="66"/>
      <c r="C346" s="66"/>
      <c r="D346" s="66"/>
      <c r="G346" s="67"/>
      <c r="V346" s="67"/>
    </row>
    <row r="347">
      <c r="A347" s="66"/>
      <c r="B347" s="66"/>
      <c r="C347" s="66"/>
      <c r="D347" s="66"/>
      <c r="G347" s="67"/>
      <c r="V347" s="67"/>
    </row>
    <row r="348">
      <c r="A348" s="66"/>
      <c r="B348" s="66"/>
      <c r="C348" s="66"/>
      <c r="D348" s="66"/>
      <c r="G348" s="67"/>
      <c r="V348" s="67"/>
    </row>
    <row r="349">
      <c r="A349" s="66"/>
      <c r="B349" s="66"/>
      <c r="C349" s="66"/>
      <c r="D349" s="66"/>
      <c r="G349" s="67"/>
      <c r="V349" s="67"/>
    </row>
    <row r="350">
      <c r="A350" s="66"/>
      <c r="B350" s="66"/>
      <c r="C350" s="66"/>
      <c r="D350" s="66"/>
      <c r="G350" s="67"/>
      <c r="V350" s="67"/>
    </row>
    <row r="351">
      <c r="A351" s="66"/>
      <c r="B351" s="66"/>
      <c r="C351" s="66"/>
      <c r="D351" s="66"/>
      <c r="G351" s="67"/>
      <c r="V351" s="67"/>
    </row>
    <row r="352">
      <c r="A352" s="66"/>
      <c r="B352" s="66"/>
      <c r="C352" s="66"/>
      <c r="D352" s="66"/>
      <c r="G352" s="67"/>
      <c r="V352" s="67"/>
    </row>
    <row r="353">
      <c r="A353" s="66"/>
      <c r="B353" s="66"/>
      <c r="C353" s="66"/>
      <c r="D353" s="66"/>
      <c r="G353" s="67"/>
      <c r="V353" s="67"/>
    </row>
    <row r="354">
      <c r="A354" s="66"/>
      <c r="B354" s="66"/>
      <c r="C354" s="66"/>
      <c r="D354" s="66"/>
      <c r="G354" s="67"/>
      <c r="V354" s="67"/>
    </row>
    <row r="355">
      <c r="A355" s="66"/>
      <c r="B355" s="66"/>
      <c r="C355" s="66"/>
      <c r="D355" s="66"/>
      <c r="G355" s="67"/>
      <c r="V355" s="67"/>
    </row>
    <row r="356">
      <c r="A356" s="66"/>
      <c r="B356" s="66"/>
      <c r="C356" s="66"/>
      <c r="D356" s="66"/>
      <c r="G356" s="67"/>
      <c r="V356" s="67"/>
    </row>
    <row r="357">
      <c r="A357" s="66"/>
      <c r="B357" s="66"/>
      <c r="C357" s="66"/>
      <c r="D357" s="66"/>
      <c r="G357" s="67"/>
      <c r="V357" s="67"/>
    </row>
    <row r="358">
      <c r="A358" s="66"/>
      <c r="B358" s="66"/>
      <c r="C358" s="66"/>
      <c r="D358" s="66"/>
      <c r="G358" s="67"/>
      <c r="V358" s="67"/>
    </row>
    <row r="359">
      <c r="A359" s="66"/>
      <c r="B359" s="66"/>
      <c r="C359" s="66"/>
      <c r="D359" s="66"/>
      <c r="G359" s="67"/>
      <c r="V359" s="67"/>
    </row>
    <row r="360">
      <c r="A360" s="66"/>
      <c r="B360" s="66"/>
      <c r="C360" s="66"/>
      <c r="D360" s="66"/>
      <c r="G360" s="67"/>
      <c r="V360" s="67"/>
    </row>
    <row r="361">
      <c r="A361" s="66"/>
      <c r="B361" s="66"/>
      <c r="C361" s="66"/>
      <c r="D361" s="66"/>
      <c r="G361" s="67"/>
      <c r="V361" s="67"/>
    </row>
    <row r="362">
      <c r="A362" s="66"/>
      <c r="B362" s="66"/>
      <c r="C362" s="66"/>
      <c r="D362" s="66"/>
      <c r="G362" s="67"/>
      <c r="V362" s="67"/>
    </row>
    <row r="363">
      <c r="A363" s="66"/>
      <c r="B363" s="66"/>
      <c r="C363" s="66"/>
      <c r="D363" s="66"/>
      <c r="G363" s="67"/>
      <c r="V363" s="67"/>
    </row>
    <row r="364">
      <c r="A364" s="66"/>
      <c r="B364" s="66"/>
      <c r="C364" s="66"/>
      <c r="D364" s="66"/>
      <c r="G364" s="67"/>
      <c r="V364" s="67"/>
    </row>
    <row r="365">
      <c r="A365" s="66"/>
      <c r="B365" s="66"/>
      <c r="C365" s="66"/>
      <c r="D365" s="66"/>
      <c r="G365" s="67"/>
      <c r="V365" s="67"/>
    </row>
    <row r="366">
      <c r="A366" s="66"/>
      <c r="B366" s="66"/>
      <c r="C366" s="66"/>
      <c r="D366" s="66"/>
      <c r="G366" s="67"/>
      <c r="V366" s="67"/>
    </row>
    <row r="367">
      <c r="A367" s="66"/>
      <c r="B367" s="66"/>
      <c r="C367" s="66"/>
      <c r="D367" s="66"/>
      <c r="G367" s="67"/>
      <c r="V367" s="67"/>
    </row>
    <row r="368">
      <c r="A368" s="66"/>
      <c r="B368" s="66"/>
      <c r="C368" s="66"/>
      <c r="D368" s="66"/>
      <c r="G368" s="67"/>
      <c r="V368" s="67"/>
    </row>
    <row r="369">
      <c r="A369" s="66"/>
      <c r="B369" s="66"/>
      <c r="C369" s="66"/>
      <c r="D369" s="66"/>
      <c r="G369" s="67"/>
      <c r="V369" s="67"/>
    </row>
    <row r="370">
      <c r="A370" s="66"/>
      <c r="B370" s="66"/>
      <c r="C370" s="66"/>
      <c r="D370" s="66"/>
      <c r="G370" s="67"/>
      <c r="V370" s="67"/>
    </row>
    <row r="371">
      <c r="A371" s="66"/>
      <c r="B371" s="66"/>
      <c r="C371" s="66"/>
      <c r="D371" s="66"/>
      <c r="G371" s="67"/>
      <c r="V371" s="67"/>
    </row>
    <row r="372">
      <c r="A372" s="66"/>
      <c r="B372" s="66"/>
      <c r="C372" s="66"/>
      <c r="D372" s="66"/>
      <c r="G372" s="67"/>
      <c r="V372" s="67"/>
    </row>
    <row r="373">
      <c r="A373" s="66"/>
      <c r="B373" s="66"/>
      <c r="C373" s="66"/>
      <c r="D373" s="66"/>
      <c r="G373" s="67"/>
      <c r="V373" s="67"/>
    </row>
    <row r="374">
      <c r="A374" s="66"/>
      <c r="B374" s="66"/>
      <c r="C374" s="66"/>
      <c r="D374" s="66"/>
      <c r="G374" s="67"/>
      <c r="V374" s="67"/>
    </row>
    <row r="375">
      <c r="A375" s="66"/>
      <c r="B375" s="66"/>
      <c r="C375" s="66"/>
      <c r="D375" s="66"/>
      <c r="G375" s="67"/>
      <c r="V375" s="67"/>
    </row>
    <row r="376">
      <c r="A376" s="66"/>
      <c r="B376" s="66"/>
      <c r="C376" s="66"/>
      <c r="D376" s="66"/>
      <c r="G376" s="67"/>
      <c r="V376" s="67"/>
    </row>
    <row r="377">
      <c r="A377" s="66"/>
      <c r="B377" s="66"/>
      <c r="C377" s="66"/>
      <c r="D377" s="66"/>
      <c r="G377" s="67"/>
      <c r="V377" s="67"/>
    </row>
    <row r="378">
      <c r="A378" s="66"/>
      <c r="B378" s="66"/>
      <c r="C378" s="66"/>
      <c r="D378" s="66"/>
      <c r="G378" s="67"/>
      <c r="V378" s="67"/>
    </row>
    <row r="379">
      <c r="A379" s="66"/>
      <c r="B379" s="66"/>
      <c r="C379" s="66"/>
      <c r="D379" s="66"/>
      <c r="G379" s="67"/>
      <c r="V379" s="67"/>
    </row>
    <row r="380">
      <c r="A380" s="66"/>
      <c r="B380" s="66"/>
      <c r="C380" s="66"/>
      <c r="D380" s="66"/>
      <c r="G380" s="67"/>
      <c r="V380" s="67"/>
    </row>
    <row r="381">
      <c r="A381" s="66"/>
      <c r="B381" s="66"/>
      <c r="C381" s="66"/>
      <c r="D381" s="66"/>
      <c r="G381" s="67"/>
      <c r="V381" s="67"/>
    </row>
    <row r="382">
      <c r="A382" s="66"/>
      <c r="B382" s="66"/>
      <c r="C382" s="66"/>
      <c r="D382" s="66"/>
      <c r="G382" s="67"/>
      <c r="V382" s="67"/>
    </row>
    <row r="383">
      <c r="A383" s="66"/>
      <c r="B383" s="66"/>
      <c r="C383" s="66"/>
      <c r="D383" s="66"/>
      <c r="G383" s="67"/>
      <c r="V383" s="67"/>
    </row>
    <row r="384">
      <c r="A384" s="66"/>
      <c r="B384" s="66"/>
      <c r="C384" s="66"/>
      <c r="D384" s="66"/>
      <c r="G384" s="67"/>
      <c r="V384" s="67"/>
    </row>
    <row r="385">
      <c r="A385" s="66"/>
      <c r="B385" s="66"/>
      <c r="C385" s="66"/>
      <c r="D385" s="66"/>
      <c r="G385" s="67"/>
      <c r="V385" s="67"/>
    </row>
    <row r="386">
      <c r="A386" s="66"/>
      <c r="B386" s="66"/>
      <c r="C386" s="66"/>
      <c r="D386" s="66"/>
      <c r="G386" s="67"/>
      <c r="V386" s="67"/>
    </row>
    <row r="387">
      <c r="A387" s="66"/>
      <c r="B387" s="66"/>
      <c r="C387" s="66"/>
      <c r="D387" s="66"/>
      <c r="G387" s="67"/>
      <c r="V387" s="67"/>
    </row>
    <row r="388">
      <c r="A388" s="66"/>
      <c r="B388" s="66"/>
      <c r="C388" s="66"/>
      <c r="D388" s="66"/>
      <c r="G388" s="67"/>
      <c r="V388" s="67"/>
    </row>
    <row r="389">
      <c r="A389" s="66"/>
      <c r="B389" s="66"/>
      <c r="C389" s="66"/>
      <c r="D389" s="66"/>
      <c r="G389" s="67"/>
      <c r="V389" s="67"/>
    </row>
    <row r="390">
      <c r="A390" s="66"/>
      <c r="B390" s="66"/>
      <c r="C390" s="66"/>
      <c r="D390" s="66"/>
      <c r="G390" s="67"/>
      <c r="V390" s="67"/>
    </row>
    <row r="391">
      <c r="A391" s="66"/>
      <c r="B391" s="66"/>
      <c r="C391" s="66"/>
      <c r="D391" s="66"/>
      <c r="G391" s="67"/>
      <c r="V391" s="67"/>
    </row>
    <row r="392">
      <c r="A392" s="66"/>
      <c r="B392" s="66"/>
      <c r="C392" s="66"/>
      <c r="D392" s="66"/>
      <c r="G392" s="67"/>
      <c r="V392" s="67"/>
    </row>
    <row r="393">
      <c r="A393" s="66"/>
      <c r="B393" s="66"/>
      <c r="C393" s="66"/>
      <c r="D393" s="66"/>
      <c r="G393" s="67"/>
      <c r="V393" s="67"/>
    </row>
    <row r="394">
      <c r="A394" s="66"/>
      <c r="B394" s="66"/>
      <c r="C394" s="66"/>
      <c r="D394" s="66"/>
      <c r="G394" s="67"/>
      <c r="V394" s="67"/>
    </row>
    <row r="395">
      <c r="A395" s="66"/>
      <c r="B395" s="66"/>
      <c r="C395" s="66"/>
      <c r="D395" s="66"/>
      <c r="G395" s="67"/>
      <c r="V395" s="67"/>
    </row>
    <row r="396">
      <c r="A396" s="66"/>
      <c r="B396" s="66"/>
      <c r="C396" s="66"/>
      <c r="D396" s="66"/>
      <c r="G396" s="67"/>
      <c r="V396" s="67"/>
    </row>
    <row r="397">
      <c r="A397" s="66"/>
      <c r="B397" s="66"/>
      <c r="C397" s="66"/>
      <c r="D397" s="66"/>
      <c r="G397" s="67"/>
      <c r="V397" s="67"/>
    </row>
    <row r="398">
      <c r="A398" s="66"/>
      <c r="B398" s="66"/>
      <c r="C398" s="66"/>
      <c r="D398" s="66"/>
      <c r="G398" s="67"/>
      <c r="V398" s="67"/>
    </row>
    <row r="399">
      <c r="A399" s="66"/>
      <c r="B399" s="66"/>
      <c r="C399" s="66"/>
      <c r="D399" s="66"/>
      <c r="G399" s="67"/>
      <c r="V399" s="67"/>
    </row>
    <row r="400">
      <c r="A400" s="66"/>
      <c r="B400" s="66"/>
      <c r="C400" s="66"/>
      <c r="D400" s="66"/>
      <c r="G400" s="67"/>
      <c r="V400" s="67"/>
    </row>
    <row r="401">
      <c r="A401" s="66"/>
      <c r="B401" s="66"/>
      <c r="C401" s="66"/>
      <c r="D401" s="66"/>
      <c r="G401" s="67"/>
      <c r="V401" s="67"/>
    </row>
    <row r="402">
      <c r="A402" s="66"/>
      <c r="B402" s="66"/>
      <c r="C402" s="66"/>
      <c r="D402" s="66"/>
      <c r="G402" s="67"/>
      <c r="V402" s="67"/>
    </row>
    <row r="403">
      <c r="A403" s="66"/>
      <c r="B403" s="66"/>
      <c r="C403" s="66"/>
      <c r="D403" s="66"/>
      <c r="G403" s="67"/>
      <c r="V403" s="67"/>
    </row>
    <row r="404">
      <c r="A404" s="66"/>
      <c r="B404" s="66"/>
      <c r="C404" s="66"/>
      <c r="D404" s="66"/>
      <c r="G404" s="67"/>
      <c r="V404" s="67"/>
    </row>
    <row r="405">
      <c r="A405" s="66"/>
      <c r="B405" s="66"/>
      <c r="C405" s="66"/>
      <c r="D405" s="66"/>
      <c r="G405" s="67"/>
      <c r="V405" s="67"/>
    </row>
    <row r="406">
      <c r="A406" s="66"/>
      <c r="B406" s="66"/>
      <c r="C406" s="66"/>
      <c r="D406" s="66"/>
      <c r="G406" s="67"/>
      <c r="V406" s="67"/>
    </row>
    <row r="407">
      <c r="A407" s="66"/>
      <c r="B407" s="66"/>
      <c r="C407" s="66"/>
      <c r="D407" s="66"/>
      <c r="G407" s="67"/>
      <c r="V407" s="67"/>
    </row>
    <row r="408">
      <c r="A408" s="66"/>
      <c r="B408" s="66"/>
      <c r="C408" s="66"/>
      <c r="D408" s="66"/>
      <c r="G408" s="67"/>
      <c r="V408" s="67"/>
    </row>
    <row r="409">
      <c r="A409" s="66"/>
      <c r="B409" s="66"/>
      <c r="C409" s="66"/>
      <c r="D409" s="66"/>
      <c r="G409" s="67"/>
      <c r="V409" s="67"/>
    </row>
    <row r="410">
      <c r="A410" s="66"/>
      <c r="B410" s="66"/>
      <c r="C410" s="66"/>
      <c r="D410" s="66"/>
      <c r="G410" s="67"/>
      <c r="V410" s="67"/>
    </row>
    <row r="411">
      <c r="A411" s="66"/>
      <c r="B411" s="66"/>
      <c r="C411" s="66"/>
      <c r="D411" s="66"/>
      <c r="G411" s="67"/>
      <c r="V411" s="67"/>
    </row>
    <row r="412">
      <c r="A412" s="66"/>
      <c r="B412" s="66"/>
      <c r="C412" s="66"/>
      <c r="D412" s="66"/>
      <c r="G412" s="67"/>
      <c r="V412" s="67"/>
    </row>
    <row r="413">
      <c r="A413" s="66"/>
      <c r="B413" s="66"/>
      <c r="C413" s="66"/>
      <c r="D413" s="66"/>
      <c r="G413" s="67"/>
      <c r="V413" s="67"/>
    </row>
    <row r="414">
      <c r="A414" s="66"/>
      <c r="B414" s="66"/>
      <c r="C414" s="66"/>
      <c r="D414" s="66"/>
      <c r="G414" s="67"/>
      <c r="V414" s="67"/>
    </row>
    <row r="415">
      <c r="A415" s="66"/>
      <c r="B415" s="66"/>
      <c r="C415" s="66"/>
      <c r="D415" s="66"/>
      <c r="G415" s="67"/>
      <c r="V415" s="67"/>
    </row>
    <row r="416">
      <c r="A416" s="66"/>
      <c r="B416" s="66"/>
      <c r="C416" s="66"/>
      <c r="D416" s="66"/>
      <c r="G416" s="67"/>
      <c r="V416" s="67"/>
    </row>
    <row r="417">
      <c r="A417" s="66"/>
      <c r="B417" s="66"/>
      <c r="C417" s="66"/>
      <c r="D417" s="66"/>
      <c r="G417" s="67"/>
      <c r="V417" s="67"/>
    </row>
    <row r="418">
      <c r="A418" s="66"/>
      <c r="B418" s="66"/>
      <c r="C418" s="66"/>
      <c r="D418" s="66"/>
      <c r="G418" s="67"/>
      <c r="V418" s="67"/>
    </row>
    <row r="419">
      <c r="A419" s="66"/>
      <c r="B419" s="66"/>
      <c r="C419" s="66"/>
      <c r="D419" s="66"/>
      <c r="G419" s="67"/>
      <c r="V419" s="67"/>
    </row>
    <row r="420">
      <c r="A420" s="66"/>
      <c r="B420" s="66"/>
      <c r="C420" s="66"/>
      <c r="D420" s="66"/>
      <c r="G420" s="67"/>
      <c r="V420" s="67"/>
    </row>
    <row r="421">
      <c r="A421" s="66"/>
      <c r="B421" s="66"/>
      <c r="C421" s="66"/>
      <c r="D421" s="66"/>
      <c r="G421" s="67"/>
      <c r="V421" s="67"/>
    </row>
    <row r="422">
      <c r="A422" s="66"/>
      <c r="B422" s="66"/>
      <c r="C422" s="66"/>
      <c r="D422" s="66"/>
      <c r="G422" s="67"/>
      <c r="V422" s="67"/>
    </row>
    <row r="423">
      <c r="A423" s="66"/>
      <c r="B423" s="66"/>
      <c r="C423" s="66"/>
      <c r="D423" s="66"/>
      <c r="G423" s="67"/>
      <c r="V423" s="67"/>
    </row>
    <row r="424">
      <c r="A424" s="66"/>
      <c r="B424" s="66"/>
      <c r="C424" s="66"/>
      <c r="D424" s="66"/>
      <c r="G424" s="67"/>
      <c r="V424" s="67"/>
    </row>
    <row r="425">
      <c r="A425" s="66"/>
      <c r="B425" s="66"/>
      <c r="C425" s="66"/>
      <c r="D425" s="66"/>
      <c r="G425" s="67"/>
      <c r="V425" s="67"/>
    </row>
    <row r="426">
      <c r="A426" s="66"/>
      <c r="B426" s="66"/>
      <c r="C426" s="66"/>
      <c r="D426" s="66"/>
      <c r="G426" s="67"/>
      <c r="V426" s="67"/>
    </row>
    <row r="427">
      <c r="A427" s="66"/>
      <c r="B427" s="66"/>
      <c r="C427" s="66"/>
      <c r="D427" s="66"/>
      <c r="G427" s="67"/>
      <c r="V427" s="67"/>
    </row>
    <row r="428">
      <c r="A428" s="66"/>
      <c r="B428" s="66"/>
      <c r="C428" s="66"/>
      <c r="D428" s="66"/>
      <c r="G428" s="67"/>
      <c r="V428" s="67"/>
    </row>
    <row r="429">
      <c r="A429" s="66"/>
      <c r="B429" s="66"/>
      <c r="C429" s="66"/>
      <c r="D429" s="66"/>
      <c r="G429" s="67"/>
      <c r="V429" s="67"/>
    </row>
    <row r="430">
      <c r="A430" s="66"/>
      <c r="B430" s="66"/>
      <c r="C430" s="66"/>
      <c r="D430" s="66"/>
      <c r="G430" s="67"/>
      <c r="V430" s="67"/>
    </row>
    <row r="431">
      <c r="A431" s="66"/>
      <c r="B431" s="66"/>
      <c r="C431" s="66"/>
      <c r="D431" s="66"/>
      <c r="G431" s="67"/>
      <c r="V431" s="67"/>
    </row>
    <row r="432">
      <c r="A432" s="66"/>
      <c r="B432" s="66"/>
      <c r="C432" s="66"/>
      <c r="D432" s="66"/>
      <c r="G432" s="67"/>
      <c r="V432" s="67"/>
    </row>
    <row r="433">
      <c r="A433" s="66"/>
      <c r="B433" s="66"/>
      <c r="C433" s="66"/>
      <c r="D433" s="66"/>
      <c r="G433" s="67"/>
      <c r="V433" s="67"/>
    </row>
    <row r="434">
      <c r="A434" s="66"/>
      <c r="B434" s="66"/>
      <c r="C434" s="66"/>
      <c r="D434" s="66"/>
      <c r="G434" s="67"/>
      <c r="V434" s="67"/>
    </row>
    <row r="435">
      <c r="A435" s="66"/>
      <c r="B435" s="66"/>
      <c r="C435" s="66"/>
      <c r="D435" s="66"/>
      <c r="G435" s="67"/>
      <c r="V435" s="67"/>
    </row>
    <row r="436">
      <c r="A436" s="66"/>
      <c r="B436" s="66"/>
      <c r="C436" s="66"/>
      <c r="D436" s="66"/>
      <c r="G436" s="67"/>
      <c r="V436" s="67"/>
    </row>
    <row r="437">
      <c r="A437" s="66"/>
      <c r="B437" s="66"/>
      <c r="C437" s="66"/>
      <c r="D437" s="66"/>
      <c r="G437" s="67"/>
      <c r="V437" s="67"/>
    </row>
    <row r="438">
      <c r="A438" s="66"/>
      <c r="B438" s="66"/>
      <c r="C438" s="66"/>
      <c r="D438" s="66"/>
      <c r="G438" s="67"/>
      <c r="V438" s="67"/>
    </row>
    <row r="439">
      <c r="A439" s="66"/>
      <c r="B439" s="66"/>
      <c r="C439" s="66"/>
      <c r="D439" s="66"/>
      <c r="G439" s="67"/>
      <c r="V439" s="67"/>
    </row>
    <row r="440">
      <c r="A440" s="66"/>
      <c r="B440" s="66"/>
      <c r="C440" s="66"/>
      <c r="D440" s="66"/>
      <c r="G440" s="67"/>
      <c r="V440" s="67"/>
    </row>
    <row r="441">
      <c r="A441" s="66"/>
      <c r="B441" s="66"/>
      <c r="C441" s="66"/>
      <c r="D441" s="66"/>
      <c r="G441" s="67"/>
      <c r="V441" s="67"/>
    </row>
    <row r="442">
      <c r="A442" s="66"/>
      <c r="B442" s="66"/>
      <c r="C442" s="66"/>
      <c r="D442" s="66"/>
      <c r="G442" s="67"/>
      <c r="V442" s="67"/>
    </row>
    <row r="443">
      <c r="A443" s="66"/>
      <c r="B443" s="66"/>
      <c r="C443" s="66"/>
      <c r="D443" s="66"/>
      <c r="G443" s="67"/>
      <c r="V443" s="67"/>
    </row>
    <row r="444">
      <c r="A444" s="66"/>
      <c r="B444" s="66"/>
      <c r="C444" s="66"/>
      <c r="D444" s="66"/>
      <c r="G444" s="67"/>
      <c r="V444" s="67"/>
    </row>
    <row r="445">
      <c r="A445" s="66"/>
      <c r="B445" s="66"/>
      <c r="C445" s="66"/>
      <c r="D445" s="66"/>
      <c r="G445" s="67"/>
      <c r="V445" s="67"/>
    </row>
    <row r="446">
      <c r="A446" s="66"/>
      <c r="B446" s="66"/>
      <c r="C446" s="66"/>
      <c r="D446" s="66"/>
      <c r="G446" s="67"/>
      <c r="V446" s="67"/>
    </row>
    <row r="447">
      <c r="A447" s="66"/>
      <c r="B447" s="66"/>
      <c r="C447" s="66"/>
      <c r="D447" s="66"/>
      <c r="G447" s="67"/>
      <c r="V447" s="67"/>
    </row>
    <row r="448">
      <c r="A448" s="66"/>
      <c r="B448" s="66"/>
      <c r="C448" s="66"/>
      <c r="D448" s="66"/>
      <c r="G448" s="67"/>
      <c r="V448" s="67"/>
    </row>
    <row r="449">
      <c r="A449" s="66"/>
      <c r="B449" s="66"/>
      <c r="C449" s="66"/>
      <c r="D449" s="66"/>
      <c r="G449" s="67"/>
      <c r="V449" s="67"/>
    </row>
    <row r="450">
      <c r="A450" s="66"/>
      <c r="B450" s="66"/>
      <c r="C450" s="66"/>
      <c r="D450" s="66"/>
      <c r="G450" s="67"/>
      <c r="V450" s="67"/>
    </row>
    <row r="451">
      <c r="A451" s="66"/>
      <c r="B451" s="66"/>
      <c r="C451" s="66"/>
      <c r="D451" s="66"/>
      <c r="G451" s="67"/>
      <c r="V451" s="67"/>
    </row>
    <row r="452">
      <c r="A452" s="66"/>
      <c r="B452" s="66"/>
      <c r="C452" s="66"/>
      <c r="D452" s="66"/>
      <c r="G452" s="67"/>
      <c r="V452" s="67"/>
    </row>
    <row r="453">
      <c r="A453" s="66"/>
      <c r="B453" s="66"/>
      <c r="C453" s="66"/>
      <c r="D453" s="66"/>
      <c r="G453" s="67"/>
      <c r="V453" s="67"/>
    </row>
    <row r="454">
      <c r="A454" s="66"/>
      <c r="B454" s="66"/>
      <c r="C454" s="66"/>
      <c r="D454" s="66"/>
      <c r="G454" s="67"/>
      <c r="V454" s="67"/>
    </row>
    <row r="455">
      <c r="A455" s="66"/>
      <c r="B455" s="66"/>
      <c r="C455" s="66"/>
      <c r="D455" s="66"/>
      <c r="G455" s="67"/>
      <c r="V455" s="67"/>
    </row>
    <row r="456">
      <c r="A456" s="66"/>
      <c r="B456" s="66"/>
      <c r="C456" s="66"/>
      <c r="D456" s="66"/>
      <c r="G456" s="67"/>
      <c r="V456" s="67"/>
    </row>
    <row r="457">
      <c r="A457" s="66"/>
      <c r="B457" s="66"/>
      <c r="C457" s="66"/>
      <c r="D457" s="66"/>
      <c r="G457" s="67"/>
      <c r="V457" s="67"/>
    </row>
    <row r="458">
      <c r="A458" s="66"/>
      <c r="B458" s="66"/>
      <c r="C458" s="66"/>
      <c r="D458" s="66"/>
      <c r="G458" s="67"/>
      <c r="V458" s="67"/>
    </row>
    <row r="459">
      <c r="A459" s="66"/>
      <c r="B459" s="66"/>
      <c r="C459" s="66"/>
      <c r="D459" s="66"/>
      <c r="G459" s="67"/>
      <c r="V459" s="67"/>
    </row>
    <row r="460">
      <c r="A460" s="66"/>
      <c r="B460" s="66"/>
      <c r="C460" s="66"/>
      <c r="D460" s="66"/>
      <c r="G460" s="67"/>
      <c r="V460" s="67"/>
    </row>
    <row r="461">
      <c r="A461" s="66"/>
      <c r="B461" s="66"/>
      <c r="C461" s="66"/>
      <c r="D461" s="66"/>
      <c r="G461" s="67"/>
      <c r="V461" s="67"/>
    </row>
    <row r="462">
      <c r="A462" s="66"/>
      <c r="B462" s="66"/>
      <c r="C462" s="66"/>
      <c r="D462" s="66"/>
      <c r="G462" s="67"/>
      <c r="V462" s="67"/>
    </row>
    <row r="463">
      <c r="A463" s="66"/>
      <c r="B463" s="66"/>
      <c r="C463" s="66"/>
      <c r="D463" s="66"/>
      <c r="G463" s="67"/>
      <c r="V463" s="67"/>
    </row>
    <row r="464">
      <c r="A464" s="66"/>
      <c r="B464" s="66"/>
      <c r="C464" s="66"/>
      <c r="D464" s="66"/>
      <c r="G464" s="67"/>
      <c r="V464" s="67"/>
    </row>
    <row r="465">
      <c r="A465" s="66"/>
      <c r="B465" s="66"/>
      <c r="C465" s="66"/>
      <c r="D465" s="66"/>
      <c r="G465" s="67"/>
      <c r="V465" s="67"/>
    </row>
    <row r="466">
      <c r="A466" s="66"/>
      <c r="B466" s="66"/>
      <c r="C466" s="66"/>
      <c r="D466" s="66"/>
      <c r="G466" s="67"/>
      <c r="V466" s="67"/>
    </row>
    <row r="467">
      <c r="A467" s="66"/>
      <c r="B467" s="66"/>
      <c r="C467" s="66"/>
      <c r="D467" s="66"/>
      <c r="G467" s="67"/>
      <c r="V467" s="67"/>
    </row>
    <row r="468">
      <c r="A468" s="66"/>
      <c r="B468" s="66"/>
      <c r="C468" s="66"/>
      <c r="D468" s="66"/>
      <c r="G468" s="67"/>
      <c r="V468" s="67"/>
    </row>
    <row r="469">
      <c r="A469" s="66"/>
      <c r="B469" s="66"/>
      <c r="C469" s="66"/>
      <c r="D469" s="66"/>
      <c r="G469" s="67"/>
      <c r="V469" s="67"/>
    </row>
    <row r="470">
      <c r="A470" s="66"/>
      <c r="B470" s="66"/>
      <c r="C470" s="66"/>
      <c r="D470" s="66"/>
      <c r="G470" s="67"/>
      <c r="V470" s="67"/>
    </row>
    <row r="471">
      <c r="A471" s="66"/>
      <c r="B471" s="66"/>
      <c r="C471" s="66"/>
      <c r="D471" s="66"/>
      <c r="G471" s="67"/>
      <c r="V471" s="67"/>
    </row>
    <row r="472">
      <c r="A472" s="66"/>
      <c r="B472" s="66"/>
      <c r="C472" s="66"/>
      <c r="D472" s="66"/>
      <c r="G472" s="67"/>
      <c r="V472" s="67"/>
    </row>
    <row r="473">
      <c r="A473" s="66"/>
      <c r="B473" s="66"/>
      <c r="C473" s="66"/>
      <c r="D473" s="66"/>
      <c r="G473" s="67"/>
      <c r="V473" s="67"/>
    </row>
    <row r="474">
      <c r="A474" s="66"/>
      <c r="B474" s="66"/>
      <c r="C474" s="66"/>
      <c r="D474" s="66"/>
      <c r="G474" s="67"/>
      <c r="V474" s="67"/>
    </row>
    <row r="475">
      <c r="A475" s="66"/>
      <c r="B475" s="66"/>
      <c r="C475" s="66"/>
      <c r="D475" s="66"/>
      <c r="G475" s="67"/>
      <c r="V475" s="67"/>
    </row>
    <row r="476">
      <c r="A476" s="66"/>
      <c r="B476" s="66"/>
      <c r="C476" s="66"/>
      <c r="D476" s="66"/>
      <c r="G476" s="67"/>
      <c r="V476" s="67"/>
    </row>
    <row r="477">
      <c r="A477" s="66"/>
      <c r="B477" s="66"/>
      <c r="C477" s="66"/>
      <c r="D477" s="66"/>
      <c r="G477" s="67"/>
      <c r="V477" s="67"/>
    </row>
    <row r="478">
      <c r="A478" s="66"/>
      <c r="B478" s="66"/>
      <c r="C478" s="66"/>
      <c r="D478" s="66"/>
      <c r="G478" s="67"/>
      <c r="V478" s="67"/>
    </row>
    <row r="479">
      <c r="A479" s="66"/>
      <c r="B479" s="66"/>
      <c r="C479" s="66"/>
      <c r="D479" s="66"/>
      <c r="G479" s="67"/>
      <c r="V479" s="67"/>
    </row>
    <row r="480">
      <c r="A480" s="66"/>
      <c r="B480" s="66"/>
      <c r="C480" s="66"/>
      <c r="D480" s="66"/>
      <c r="G480" s="67"/>
      <c r="V480" s="67"/>
    </row>
    <row r="481">
      <c r="A481" s="66"/>
      <c r="B481" s="66"/>
      <c r="C481" s="66"/>
      <c r="D481" s="66"/>
      <c r="G481" s="67"/>
      <c r="V481" s="67"/>
    </row>
    <row r="482">
      <c r="A482" s="66"/>
      <c r="B482" s="66"/>
      <c r="C482" s="66"/>
      <c r="D482" s="66"/>
      <c r="G482" s="67"/>
      <c r="V482" s="67"/>
    </row>
    <row r="483">
      <c r="A483" s="66"/>
      <c r="B483" s="66"/>
      <c r="C483" s="66"/>
      <c r="D483" s="66"/>
      <c r="G483" s="67"/>
      <c r="V483" s="67"/>
    </row>
    <row r="484">
      <c r="A484" s="66"/>
      <c r="B484" s="66"/>
      <c r="C484" s="66"/>
      <c r="D484" s="66"/>
      <c r="G484" s="67"/>
      <c r="V484" s="67"/>
    </row>
    <row r="485">
      <c r="A485" s="66"/>
      <c r="B485" s="66"/>
      <c r="C485" s="66"/>
      <c r="D485" s="66"/>
      <c r="G485" s="67"/>
      <c r="V485" s="67"/>
    </row>
    <row r="486">
      <c r="A486" s="66"/>
      <c r="B486" s="66"/>
      <c r="C486" s="66"/>
      <c r="D486" s="66"/>
      <c r="G486" s="67"/>
      <c r="V486" s="67"/>
    </row>
    <row r="487">
      <c r="A487" s="66"/>
      <c r="B487" s="66"/>
      <c r="C487" s="66"/>
      <c r="D487" s="66"/>
      <c r="G487" s="67"/>
      <c r="V487" s="67"/>
    </row>
    <row r="488">
      <c r="A488" s="66"/>
      <c r="B488" s="66"/>
      <c r="C488" s="66"/>
      <c r="D488" s="66"/>
      <c r="G488" s="67"/>
      <c r="V488" s="67"/>
    </row>
    <row r="489">
      <c r="A489" s="66"/>
      <c r="B489" s="66"/>
      <c r="C489" s="66"/>
      <c r="D489" s="66"/>
      <c r="G489" s="67"/>
      <c r="V489" s="67"/>
    </row>
    <row r="490">
      <c r="A490" s="66"/>
      <c r="B490" s="66"/>
      <c r="C490" s="66"/>
      <c r="D490" s="66"/>
      <c r="G490" s="67"/>
      <c r="V490" s="67"/>
    </row>
    <row r="491">
      <c r="A491" s="66"/>
      <c r="B491" s="66"/>
      <c r="C491" s="66"/>
      <c r="D491" s="66"/>
      <c r="G491" s="67"/>
      <c r="V491" s="67"/>
    </row>
    <row r="492">
      <c r="A492" s="66"/>
      <c r="B492" s="66"/>
      <c r="C492" s="66"/>
      <c r="D492" s="66"/>
      <c r="G492" s="67"/>
      <c r="V492" s="67"/>
    </row>
    <row r="493">
      <c r="A493" s="66"/>
      <c r="B493" s="66"/>
      <c r="C493" s="66"/>
      <c r="D493" s="66"/>
      <c r="G493" s="67"/>
      <c r="V493" s="67"/>
    </row>
    <row r="494">
      <c r="A494" s="66"/>
      <c r="B494" s="66"/>
      <c r="C494" s="66"/>
      <c r="D494" s="66"/>
      <c r="G494" s="67"/>
      <c r="V494" s="67"/>
    </row>
    <row r="495">
      <c r="A495" s="66"/>
      <c r="B495" s="66"/>
      <c r="C495" s="66"/>
      <c r="D495" s="66"/>
      <c r="G495" s="67"/>
      <c r="V495" s="67"/>
    </row>
    <row r="496">
      <c r="A496" s="66"/>
      <c r="B496" s="66"/>
      <c r="C496" s="66"/>
      <c r="D496" s="66"/>
      <c r="G496" s="67"/>
      <c r="V496" s="67"/>
    </row>
    <row r="497">
      <c r="A497" s="66"/>
      <c r="B497" s="66"/>
      <c r="C497" s="66"/>
      <c r="D497" s="66"/>
      <c r="G497" s="67"/>
      <c r="V497" s="67"/>
    </row>
    <row r="498">
      <c r="A498" s="66"/>
      <c r="B498" s="66"/>
      <c r="C498" s="66"/>
      <c r="D498" s="66"/>
      <c r="G498" s="67"/>
      <c r="V498" s="67"/>
    </row>
    <row r="499">
      <c r="A499" s="66"/>
      <c r="B499" s="66"/>
      <c r="C499" s="66"/>
      <c r="D499" s="66"/>
      <c r="G499" s="67"/>
      <c r="V499" s="67"/>
    </row>
    <row r="500">
      <c r="A500" s="66"/>
      <c r="B500" s="66"/>
      <c r="C500" s="66"/>
      <c r="D500" s="66"/>
      <c r="G500" s="67"/>
      <c r="V500" s="67"/>
    </row>
    <row r="501">
      <c r="A501" s="66"/>
      <c r="B501" s="66"/>
      <c r="C501" s="66"/>
      <c r="D501" s="66"/>
      <c r="G501" s="67"/>
      <c r="V501" s="67"/>
    </row>
    <row r="502">
      <c r="A502" s="66"/>
      <c r="B502" s="66"/>
      <c r="C502" s="66"/>
      <c r="D502" s="66"/>
      <c r="G502" s="67"/>
      <c r="V502" s="67"/>
    </row>
    <row r="503">
      <c r="A503" s="66"/>
      <c r="B503" s="66"/>
      <c r="C503" s="66"/>
      <c r="D503" s="66"/>
      <c r="G503" s="67"/>
      <c r="V503" s="67"/>
    </row>
    <row r="504">
      <c r="A504" s="66"/>
      <c r="B504" s="66"/>
      <c r="C504" s="66"/>
      <c r="D504" s="66"/>
      <c r="G504" s="67"/>
      <c r="V504" s="67"/>
    </row>
    <row r="505">
      <c r="A505" s="66"/>
      <c r="B505" s="66"/>
      <c r="C505" s="66"/>
      <c r="D505" s="66"/>
      <c r="G505" s="67"/>
      <c r="V505" s="67"/>
    </row>
    <row r="506">
      <c r="A506" s="66"/>
      <c r="B506" s="66"/>
      <c r="C506" s="66"/>
      <c r="D506" s="66"/>
      <c r="G506" s="67"/>
      <c r="V506" s="67"/>
    </row>
    <row r="507">
      <c r="A507" s="66"/>
      <c r="B507" s="66"/>
      <c r="C507" s="66"/>
      <c r="D507" s="66"/>
      <c r="G507" s="67"/>
      <c r="V507" s="67"/>
    </row>
    <row r="508">
      <c r="A508" s="66"/>
      <c r="B508" s="66"/>
      <c r="C508" s="66"/>
      <c r="D508" s="66"/>
      <c r="G508" s="67"/>
      <c r="V508" s="67"/>
    </row>
    <row r="509">
      <c r="A509" s="66"/>
      <c r="B509" s="66"/>
      <c r="C509" s="66"/>
      <c r="D509" s="66"/>
      <c r="G509" s="67"/>
      <c r="V509" s="67"/>
    </row>
    <row r="510">
      <c r="A510" s="66"/>
      <c r="B510" s="66"/>
      <c r="C510" s="66"/>
      <c r="D510" s="66"/>
      <c r="G510" s="67"/>
      <c r="V510" s="67"/>
    </row>
    <row r="511">
      <c r="A511" s="66"/>
      <c r="B511" s="66"/>
      <c r="C511" s="66"/>
      <c r="D511" s="66"/>
      <c r="G511" s="67"/>
      <c r="V511" s="67"/>
    </row>
    <row r="512">
      <c r="A512" s="66"/>
      <c r="B512" s="66"/>
      <c r="C512" s="66"/>
      <c r="D512" s="66"/>
      <c r="G512" s="67"/>
      <c r="V512" s="67"/>
    </row>
    <row r="513">
      <c r="A513" s="66"/>
      <c r="B513" s="66"/>
      <c r="C513" s="66"/>
      <c r="D513" s="66"/>
      <c r="G513" s="67"/>
      <c r="V513" s="67"/>
    </row>
    <row r="514">
      <c r="A514" s="66"/>
      <c r="B514" s="66"/>
      <c r="C514" s="66"/>
      <c r="D514" s="66"/>
      <c r="G514" s="67"/>
      <c r="V514" s="67"/>
    </row>
    <row r="515">
      <c r="A515" s="66"/>
      <c r="B515" s="66"/>
      <c r="C515" s="66"/>
      <c r="D515" s="66"/>
      <c r="G515" s="67"/>
      <c r="V515" s="67"/>
    </row>
    <row r="516">
      <c r="A516" s="66"/>
      <c r="B516" s="66"/>
      <c r="C516" s="66"/>
      <c r="D516" s="66"/>
      <c r="G516" s="67"/>
      <c r="V516" s="67"/>
    </row>
    <row r="517">
      <c r="A517" s="66"/>
      <c r="B517" s="66"/>
      <c r="C517" s="66"/>
      <c r="D517" s="66"/>
      <c r="G517" s="67"/>
      <c r="V517" s="67"/>
    </row>
    <row r="518">
      <c r="A518" s="66"/>
      <c r="B518" s="66"/>
      <c r="C518" s="66"/>
      <c r="D518" s="66"/>
      <c r="G518" s="67"/>
      <c r="V518" s="67"/>
    </row>
    <row r="519">
      <c r="A519" s="66"/>
      <c r="B519" s="66"/>
      <c r="C519" s="66"/>
      <c r="D519" s="66"/>
      <c r="G519" s="67"/>
      <c r="V519" s="67"/>
    </row>
    <row r="520">
      <c r="A520" s="66"/>
      <c r="B520" s="66"/>
      <c r="C520" s="66"/>
      <c r="D520" s="66"/>
      <c r="G520" s="67"/>
      <c r="V520" s="67"/>
    </row>
    <row r="521">
      <c r="A521" s="66"/>
      <c r="B521" s="66"/>
      <c r="C521" s="66"/>
      <c r="D521" s="66"/>
      <c r="G521" s="67"/>
      <c r="V521" s="67"/>
    </row>
    <row r="522">
      <c r="A522" s="66"/>
      <c r="B522" s="66"/>
      <c r="C522" s="66"/>
      <c r="D522" s="66"/>
      <c r="G522" s="67"/>
      <c r="V522" s="67"/>
    </row>
    <row r="523">
      <c r="A523" s="66"/>
      <c r="B523" s="66"/>
      <c r="C523" s="66"/>
      <c r="D523" s="66"/>
      <c r="G523" s="67"/>
      <c r="V523" s="67"/>
    </row>
    <row r="524">
      <c r="A524" s="66"/>
      <c r="B524" s="66"/>
      <c r="C524" s="66"/>
      <c r="D524" s="66"/>
      <c r="G524" s="67"/>
      <c r="V524" s="67"/>
    </row>
    <row r="525">
      <c r="A525" s="66"/>
      <c r="B525" s="66"/>
      <c r="C525" s="66"/>
      <c r="D525" s="66"/>
      <c r="G525" s="67"/>
      <c r="V525" s="67"/>
    </row>
    <row r="526">
      <c r="A526" s="66"/>
      <c r="B526" s="66"/>
      <c r="C526" s="66"/>
      <c r="D526" s="66"/>
      <c r="G526" s="67"/>
      <c r="V526" s="67"/>
    </row>
    <row r="527">
      <c r="A527" s="66"/>
      <c r="B527" s="66"/>
      <c r="C527" s="66"/>
      <c r="D527" s="66"/>
      <c r="G527" s="67"/>
      <c r="V527" s="67"/>
    </row>
    <row r="528">
      <c r="A528" s="66"/>
      <c r="B528" s="66"/>
      <c r="C528" s="66"/>
      <c r="D528" s="66"/>
      <c r="G528" s="67"/>
      <c r="V528" s="67"/>
    </row>
    <row r="529">
      <c r="A529" s="66"/>
      <c r="B529" s="66"/>
      <c r="C529" s="66"/>
      <c r="D529" s="66"/>
      <c r="G529" s="67"/>
      <c r="V529" s="67"/>
    </row>
    <row r="530">
      <c r="A530" s="66"/>
      <c r="B530" s="66"/>
      <c r="C530" s="66"/>
      <c r="D530" s="66"/>
      <c r="G530" s="67"/>
      <c r="V530" s="67"/>
    </row>
    <row r="531">
      <c r="A531" s="66"/>
      <c r="B531" s="66"/>
      <c r="C531" s="66"/>
      <c r="D531" s="66"/>
      <c r="G531" s="67"/>
      <c r="V531" s="67"/>
    </row>
    <row r="532">
      <c r="A532" s="66"/>
      <c r="B532" s="66"/>
      <c r="C532" s="66"/>
      <c r="D532" s="66"/>
      <c r="G532" s="67"/>
      <c r="V532" s="67"/>
    </row>
    <row r="533">
      <c r="A533" s="66"/>
      <c r="B533" s="66"/>
      <c r="C533" s="66"/>
      <c r="D533" s="66"/>
      <c r="G533" s="67"/>
      <c r="V533" s="67"/>
    </row>
    <row r="534">
      <c r="A534" s="66"/>
      <c r="B534" s="66"/>
      <c r="C534" s="66"/>
      <c r="D534" s="66"/>
      <c r="G534" s="67"/>
      <c r="V534" s="67"/>
    </row>
    <row r="535">
      <c r="A535" s="66"/>
      <c r="B535" s="66"/>
      <c r="C535" s="66"/>
      <c r="D535" s="66"/>
      <c r="G535" s="67"/>
      <c r="V535" s="67"/>
    </row>
    <row r="536">
      <c r="A536" s="66"/>
      <c r="B536" s="66"/>
      <c r="C536" s="66"/>
      <c r="D536" s="66"/>
      <c r="G536" s="67"/>
      <c r="V536" s="67"/>
    </row>
    <row r="537">
      <c r="A537" s="66"/>
      <c r="B537" s="66"/>
      <c r="C537" s="66"/>
      <c r="D537" s="66"/>
      <c r="G537" s="67"/>
      <c r="V537" s="67"/>
    </row>
    <row r="538">
      <c r="A538" s="66"/>
      <c r="B538" s="66"/>
      <c r="C538" s="66"/>
      <c r="D538" s="66"/>
      <c r="G538" s="67"/>
      <c r="V538" s="67"/>
    </row>
    <row r="539">
      <c r="A539" s="66"/>
      <c r="B539" s="66"/>
      <c r="C539" s="66"/>
      <c r="D539" s="66"/>
      <c r="G539" s="67"/>
      <c r="V539" s="67"/>
    </row>
    <row r="540">
      <c r="A540" s="66"/>
      <c r="B540" s="66"/>
      <c r="C540" s="66"/>
      <c r="D540" s="66"/>
      <c r="G540" s="67"/>
      <c r="V540" s="67"/>
    </row>
    <row r="541">
      <c r="A541" s="66"/>
      <c r="B541" s="66"/>
      <c r="C541" s="66"/>
      <c r="D541" s="66"/>
      <c r="G541" s="67"/>
      <c r="V541" s="67"/>
    </row>
    <row r="542">
      <c r="A542" s="66"/>
      <c r="B542" s="66"/>
      <c r="C542" s="66"/>
      <c r="D542" s="66"/>
      <c r="G542" s="67"/>
      <c r="V542" s="67"/>
    </row>
    <row r="543">
      <c r="A543" s="66"/>
      <c r="B543" s="66"/>
      <c r="C543" s="66"/>
      <c r="D543" s="66"/>
      <c r="G543" s="67"/>
      <c r="V543" s="67"/>
    </row>
    <row r="544">
      <c r="A544" s="66"/>
      <c r="B544" s="66"/>
      <c r="C544" s="66"/>
      <c r="D544" s="66"/>
      <c r="G544" s="67"/>
      <c r="V544" s="67"/>
    </row>
    <row r="545">
      <c r="A545" s="66"/>
      <c r="B545" s="66"/>
      <c r="C545" s="66"/>
      <c r="D545" s="66"/>
      <c r="G545" s="67"/>
      <c r="V545" s="67"/>
    </row>
    <row r="546">
      <c r="A546" s="66"/>
      <c r="B546" s="66"/>
      <c r="C546" s="66"/>
      <c r="D546" s="66"/>
      <c r="G546" s="67"/>
      <c r="V546" s="67"/>
    </row>
    <row r="547">
      <c r="A547" s="66"/>
      <c r="B547" s="66"/>
      <c r="C547" s="66"/>
      <c r="D547" s="66"/>
      <c r="G547" s="67"/>
      <c r="V547" s="67"/>
    </row>
    <row r="548">
      <c r="A548" s="66"/>
      <c r="B548" s="66"/>
      <c r="C548" s="66"/>
      <c r="D548" s="66"/>
      <c r="G548" s="67"/>
      <c r="V548" s="67"/>
    </row>
    <row r="549">
      <c r="A549" s="66"/>
      <c r="B549" s="66"/>
      <c r="C549" s="66"/>
      <c r="D549" s="66"/>
      <c r="G549" s="67"/>
      <c r="V549" s="67"/>
    </row>
    <row r="550">
      <c r="A550" s="66"/>
      <c r="B550" s="66"/>
      <c r="C550" s="66"/>
      <c r="D550" s="66"/>
      <c r="G550" s="67"/>
      <c r="V550" s="67"/>
    </row>
    <row r="551">
      <c r="A551" s="66"/>
      <c r="B551" s="66"/>
      <c r="C551" s="66"/>
      <c r="D551" s="66"/>
      <c r="G551" s="67"/>
      <c r="V551" s="67"/>
    </row>
    <row r="552">
      <c r="A552" s="66"/>
      <c r="B552" s="66"/>
      <c r="C552" s="66"/>
      <c r="D552" s="66"/>
      <c r="G552" s="67"/>
      <c r="V552" s="67"/>
    </row>
    <row r="553">
      <c r="A553" s="66"/>
      <c r="B553" s="66"/>
      <c r="C553" s="66"/>
      <c r="D553" s="66"/>
      <c r="G553" s="67"/>
      <c r="V553" s="67"/>
    </row>
    <row r="554">
      <c r="A554" s="66"/>
      <c r="B554" s="66"/>
      <c r="C554" s="66"/>
      <c r="D554" s="66"/>
      <c r="G554" s="67"/>
      <c r="V554" s="67"/>
    </row>
    <row r="555">
      <c r="A555" s="66"/>
      <c r="B555" s="66"/>
      <c r="C555" s="66"/>
      <c r="D555" s="66"/>
      <c r="G555" s="67"/>
      <c r="V555" s="67"/>
    </row>
    <row r="556">
      <c r="A556" s="66"/>
      <c r="B556" s="66"/>
      <c r="C556" s="66"/>
      <c r="D556" s="66"/>
      <c r="G556" s="67"/>
      <c r="V556" s="67"/>
    </row>
    <row r="557">
      <c r="A557" s="66"/>
      <c r="B557" s="66"/>
      <c r="C557" s="66"/>
      <c r="D557" s="66"/>
      <c r="G557" s="67"/>
      <c r="V557" s="67"/>
    </row>
    <row r="558">
      <c r="A558" s="66"/>
      <c r="B558" s="66"/>
      <c r="C558" s="66"/>
      <c r="D558" s="66"/>
      <c r="G558" s="67"/>
      <c r="V558" s="67"/>
    </row>
    <row r="559">
      <c r="A559" s="66"/>
      <c r="B559" s="66"/>
      <c r="C559" s="66"/>
      <c r="D559" s="66"/>
      <c r="G559" s="67"/>
      <c r="V559" s="67"/>
    </row>
    <row r="560">
      <c r="A560" s="66"/>
      <c r="B560" s="66"/>
      <c r="C560" s="66"/>
      <c r="D560" s="66"/>
      <c r="G560" s="67"/>
      <c r="V560" s="67"/>
    </row>
    <row r="561">
      <c r="A561" s="66"/>
      <c r="B561" s="66"/>
      <c r="C561" s="66"/>
      <c r="D561" s="66"/>
      <c r="G561" s="67"/>
      <c r="V561" s="67"/>
    </row>
    <row r="562">
      <c r="A562" s="66"/>
      <c r="B562" s="66"/>
      <c r="C562" s="66"/>
      <c r="D562" s="66"/>
      <c r="G562" s="67"/>
      <c r="V562" s="67"/>
    </row>
    <row r="563">
      <c r="A563" s="66"/>
      <c r="B563" s="66"/>
      <c r="C563" s="66"/>
      <c r="D563" s="66"/>
      <c r="G563" s="67"/>
      <c r="V563" s="67"/>
    </row>
    <row r="564">
      <c r="A564" s="66"/>
      <c r="B564" s="66"/>
      <c r="C564" s="66"/>
      <c r="D564" s="66"/>
      <c r="G564" s="67"/>
      <c r="V564" s="67"/>
    </row>
    <row r="565">
      <c r="A565" s="66"/>
      <c r="B565" s="66"/>
      <c r="C565" s="66"/>
      <c r="D565" s="66"/>
      <c r="G565" s="67"/>
      <c r="V565" s="67"/>
    </row>
    <row r="566">
      <c r="A566" s="66"/>
      <c r="B566" s="66"/>
      <c r="C566" s="66"/>
      <c r="D566" s="66"/>
      <c r="G566" s="67"/>
      <c r="V566" s="67"/>
    </row>
    <row r="567">
      <c r="A567" s="66"/>
      <c r="B567" s="66"/>
      <c r="C567" s="66"/>
      <c r="D567" s="66"/>
      <c r="G567" s="67"/>
      <c r="V567" s="67"/>
    </row>
    <row r="568">
      <c r="A568" s="66"/>
      <c r="B568" s="66"/>
      <c r="C568" s="66"/>
      <c r="D568" s="66"/>
      <c r="G568" s="67"/>
      <c r="V568" s="67"/>
    </row>
    <row r="569">
      <c r="A569" s="66"/>
      <c r="B569" s="66"/>
      <c r="C569" s="66"/>
      <c r="D569" s="66"/>
      <c r="G569" s="67"/>
      <c r="V569" s="67"/>
    </row>
    <row r="570">
      <c r="A570" s="66"/>
      <c r="B570" s="66"/>
      <c r="C570" s="66"/>
      <c r="D570" s="66"/>
      <c r="G570" s="67"/>
      <c r="V570" s="67"/>
    </row>
    <row r="571">
      <c r="A571" s="66"/>
      <c r="B571" s="66"/>
      <c r="C571" s="66"/>
      <c r="D571" s="66"/>
      <c r="G571" s="67"/>
      <c r="V571" s="67"/>
    </row>
    <row r="572">
      <c r="A572" s="66"/>
      <c r="B572" s="66"/>
      <c r="C572" s="66"/>
      <c r="D572" s="66"/>
      <c r="G572" s="67"/>
      <c r="V572" s="67"/>
    </row>
    <row r="573">
      <c r="A573" s="66"/>
      <c r="B573" s="66"/>
      <c r="C573" s="66"/>
      <c r="D573" s="66"/>
      <c r="G573" s="67"/>
      <c r="V573" s="67"/>
    </row>
    <row r="574">
      <c r="A574" s="66"/>
      <c r="B574" s="66"/>
      <c r="C574" s="66"/>
      <c r="D574" s="66"/>
      <c r="G574" s="67"/>
      <c r="V574" s="67"/>
    </row>
    <row r="575">
      <c r="A575" s="66"/>
      <c r="B575" s="66"/>
      <c r="C575" s="66"/>
      <c r="D575" s="66"/>
      <c r="G575" s="67"/>
      <c r="V575" s="67"/>
    </row>
    <row r="576">
      <c r="A576" s="66"/>
      <c r="B576" s="66"/>
      <c r="C576" s="66"/>
      <c r="D576" s="66"/>
      <c r="G576" s="67"/>
      <c r="V576" s="67"/>
    </row>
    <row r="577">
      <c r="A577" s="66"/>
      <c r="B577" s="66"/>
      <c r="C577" s="66"/>
      <c r="D577" s="66"/>
      <c r="G577" s="67"/>
      <c r="V577" s="67"/>
    </row>
    <row r="578">
      <c r="A578" s="66"/>
      <c r="B578" s="66"/>
      <c r="C578" s="66"/>
      <c r="D578" s="66"/>
      <c r="G578" s="67"/>
      <c r="V578" s="67"/>
    </row>
    <row r="579">
      <c r="A579" s="66"/>
      <c r="B579" s="66"/>
      <c r="C579" s="66"/>
      <c r="D579" s="66"/>
      <c r="G579" s="67"/>
      <c r="V579" s="67"/>
    </row>
    <row r="580">
      <c r="A580" s="66"/>
      <c r="B580" s="66"/>
      <c r="C580" s="66"/>
      <c r="D580" s="66"/>
      <c r="G580" s="67"/>
      <c r="V580" s="67"/>
    </row>
    <row r="581">
      <c r="A581" s="66"/>
      <c r="B581" s="66"/>
      <c r="C581" s="66"/>
      <c r="D581" s="66"/>
      <c r="G581" s="67"/>
      <c r="V581" s="67"/>
    </row>
    <row r="582">
      <c r="A582" s="66"/>
      <c r="B582" s="66"/>
      <c r="C582" s="66"/>
      <c r="D582" s="66"/>
      <c r="G582" s="67"/>
      <c r="V582" s="67"/>
    </row>
    <row r="583">
      <c r="A583" s="66"/>
      <c r="B583" s="66"/>
      <c r="C583" s="66"/>
      <c r="D583" s="66"/>
      <c r="G583" s="67"/>
      <c r="V583" s="67"/>
    </row>
    <row r="584">
      <c r="A584" s="66"/>
      <c r="B584" s="66"/>
      <c r="C584" s="66"/>
      <c r="D584" s="66"/>
      <c r="G584" s="67"/>
      <c r="V584" s="67"/>
    </row>
    <row r="585">
      <c r="A585" s="66"/>
      <c r="B585" s="66"/>
      <c r="C585" s="66"/>
      <c r="D585" s="66"/>
      <c r="G585" s="67"/>
      <c r="V585" s="67"/>
    </row>
    <row r="586">
      <c r="A586" s="66"/>
      <c r="B586" s="66"/>
      <c r="C586" s="66"/>
      <c r="D586" s="66"/>
      <c r="G586" s="67"/>
      <c r="V586" s="67"/>
    </row>
    <row r="587">
      <c r="A587" s="66"/>
      <c r="B587" s="66"/>
      <c r="C587" s="66"/>
      <c r="D587" s="66"/>
      <c r="G587" s="67"/>
      <c r="V587" s="67"/>
    </row>
    <row r="588">
      <c r="A588" s="66"/>
      <c r="B588" s="66"/>
      <c r="C588" s="66"/>
      <c r="D588" s="66"/>
      <c r="G588" s="67"/>
      <c r="V588" s="67"/>
    </row>
    <row r="589">
      <c r="A589" s="66"/>
      <c r="B589" s="66"/>
      <c r="C589" s="66"/>
      <c r="D589" s="66"/>
      <c r="G589" s="67"/>
      <c r="V589" s="67"/>
    </row>
    <row r="590">
      <c r="A590" s="66"/>
      <c r="B590" s="66"/>
      <c r="C590" s="66"/>
      <c r="D590" s="66"/>
      <c r="G590" s="67"/>
      <c r="V590" s="67"/>
    </row>
    <row r="591">
      <c r="A591" s="66"/>
      <c r="B591" s="66"/>
      <c r="C591" s="66"/>
      <c r="D591" s="66"/>
      <c r="G591" s="67"/>
      <c r="V591" s="67"/>
    </row>
    <row r="592">
      <c r="A592" s="66"/>
      <c r="B592" s="66"/>
      <c r="C592" s="66"/>
      <c r="D592" s="66"/>
      <c r="G592" s="67"/>
      <c r="V592" s="67"/>
    </row>
    <row r="593">
      <c r="A593" s="66"/>
      <c r="B593" s="66"/>
      <c r="C593" s="66"/>
      <c r="D593" s="66"/>
      <c r="G593" s="67"/>
      <c r="V593" s="67"/>
    </row>
    <row r="594">
      <c r="A594" s="66"/>
      <c r="B594" s="66"/>
      <c r="C594" s="66"/>
      <c r="D594" s="66"/>
      <c r="G594" s="67"/>
      <c r="V594" s="67"/>
    </row>
    <row r="595">
      <c r="A595" s="66"/>
      <c r="B595" s="66"/>
      <c r="C595" s="66"/>
      <c r="D595" s="66"/>
      <c r="G595" s="67"/>
      <c r="V595" s="67"/>
    </row>
    <row r="596">
      <c r="A596" s="66"/>
      <c r="B596" s="66"/>
      <c r="C596" s="66"/>
      <c r="D596" s="66"/>
      <c r="G596" s="67"/>
      <c r="V596" s="67"/>
    </row>
    <row r="597">
      <c r="A597" s="66"/>
      <c r="B597" s="66"/>
      <c r="C597" s="66"/>
      <c r="D597" s="66"/>
      <c r="G597" s="67"/>
      <c r="V597" s="67"/>
    </row>
    <row r="598">
      <c r="A598" s="66"/>
      <c r="B598" s="66"/>
      <c r="C598" s="66"/>
      <c r="D598" s="66"/>
      <c r="G598" s="67"/>
      <c r="V598" s="67"/>
    </row>
    <row r="599">
      <c r="A599" s="66"/>
      <c r="B599" s="66"/>
      <c r="C599" s="66"/>
      <c r="D599" s="66"/>
      <c r="G599" s="67"/>
      <c r="V599" s="67"/>
    </row>
    <row r="600">
      <c r="A600" s="66"/>
      <c r="B600" s="66"/>
      <c r="C600" s="66"/>
      <c r="D600" s="66"/>
      <c r="G600" s="67"/>
      <c r="V600" s="67"/>
    </row>
    <row r="601">
      <c r="A601" s="66"/>
      <c r="B601" s="66"/>
      <c r="C601" s="66"/>
      <c r="D601" s="66"/>
      <c r="G601" s="67"/>
      <c r="V601" s="67"/>
    </row>
    <row r="602">
      <c r="A602" s="66"/>
      <c r="B602" s="66"/>
      <c r="C602" s="66"/>
      <c r="D602" s="66"/>
      <c r="G602" s="67"/>
      <c r="V602" s="67"/>
    </row>
    <row r="603">
      <c r="A603" s="66"/>
      <c r="B603" s="66"/>
      <c r="C603" s="66"/>
      <c r="D603" s="66"/>
      <c r="G603" s="67"/>
      <c r="V603" s="67"/>
    </row>
    <row r="604">
      <c r="A604" s="66"/>
      <c r="B604" s="66"/>
      <c r="C604" s="66"/>
      <c r="D604" s="66"/>
      <c r="G604" s="67"/>
      <c r="V604" s="67"/>
    </row>
    <row r="605">
      <c r="A605" s="66"/>
      <c r="B605" s="66"/>
      <c r="C605" s="66"/>
      <c r="D605" s="66"/>
      <c r="G605" s="67"/>
      <c r="V605" s="67"/>
    </row>
    <row r="606">
      <c r="A606" s="66"/>
      <c r="B606" s="66"/>
      <c r="C606" s="66"/>
      <c r="D606" s="66"/>
      <c r="G606" s="67"/>
      <c r="V606" s="67"/>
    </row>
    <row r="607">
      <c r="A607" s="66"/>
      <c r="B607" s="66"/>
      <c r="C607" s="66"/>
      <c r="D607" s="66"/>
      <c r="G607" s="67"/>
      <c r="V607" s="67"/>
    </row>
    <row r="608">
      <c r="A608" s="66"/>
      <c r="B608" s="66"/>
      <c r="C608" s="66"/>
      <c r="D608" s="66"/>
      <c r="G608" s="67"/>
      <c r="V608" s="67"/>
    </row>
    <row r="609">
      <c r="A609" s="66"/>
      <c r="B609" s="66"/>
      <c r="C609" s="66"/>
      <c r="D609" s="66"/>
      <c r="G609" s="67"/>
      <c r="V609" s="67"/>
    </row>
    <row r="610">
      <c r="A610" s="66"/>
      <c r="B610" s="66"/>
      <c r="C610" s="66"/>
      <c r="D610" s="66"/>
      <c r="G610" s="67"/>
      <c r="V610" s="67"/>
    </row>
    <row r="611">
      <c r="A611" s="66"/>
      <c r="B611" s="66"/>
      <c r="C611" s="66"/>
      <c r="D611" s="66"/>
      <c r="G611" s="67"/>
      <c r="V611" s="67"/>
    </row>
    <row r="612">
      <c r="A612" s="66"/>
      <c r="B612" s="66"/>
      <c r="C612" s="66"/>
      <c r="D612" s="66"/>
      <c r="G612" s="67"/>
      <c r="V612" s="67"/>
    </row>
    <row r="613">
      <c r="A613" s="66"/>
      <c r="B613" s="66"/>
      <c r="C613" s="66"/>
      <c r="D613" s="66"/>
      <c r="G613" s="67"/>
      <c r="V613" s="67"/>
    </row>
    <row r="614">
      <c r="A614" s="66"/>
      <c r="B614" s="66"/>
      <c r="C614" s="66"/>
      <c r="D614" s="66"/>
      <c r="G614" s="67"/>
      <c r="V614" s="67"/>
    </row>
    <row r="615">
      <c r="A615" s="66"/>
      <c r="B615" s="66"/>
      <c r="C615" s="66"/>
      <c r="D615" s="66"/>
      <c r="G615" s="67"/>
      <c r="V615" s="67"/>
    </row>
    <row r="616">
      <c r="A616" s="66"/>
      <c r="B616" s="66"/>
      <c r="C616" s="66"/>
      <c r="D616" s="66"/>
      <c r="G616" s="67"/>
      <c r="V616" s="67"/>
    </row>
    <row r="617">
      <c r="A617" s="66"/>
      <c r="B617" s="66"/>
      <c r="C617" s="66"/>
      <c r="D617" s="66"/>
      <c r="G617" s="67"/>
      <c r="V617" s="67"/>
    </row>
    <row r="618">
      <c r="A618" s="66"/>
      <c r="B618" s="66"/>
      <c r="C618" s="66"/>
      <c r="D618" s="66"/>
      <c r="G618" s="67"/>
      <c r="V618" s="67"/>
    </row>
    <row r="619">
      <c r="A619" s="66"/>
      <c r="B619" s="66"/>
      <c r="C619" s="66"/>
      <c r="D619" s="66"/>
      <c r="G619" s="67"/>
      <c r="V619" s="67"/>
    </row>
    <row r="620">
      <c r="A620" s="66"/>
      <c r="B620" s="66"/>
      <c r="C620" s="66"/>
      <c r="D620" s="66"/>
      <c r="G620" s="67"/>
      <c r="V620" s="67"/>
    </row>
    <row r="621">
      <c r="A621" s="66"/>
      <c r="B621" s="66"/>
      <c r="C621" s="66"/>
      <c r="D621" s="66"/>
      <c r="G621" s="67"/>
      <c r="V621" s="67"/>
    </row>
    <row r="622">
      <c r="A622" s="66"/>
      <c r="B622" s="66"/>
      <c r="C622" s="66"/>
      <c r="D622" s="66"/>
      <c r="G622" s="67"/>
      <c r="V622" s="67"/>
    </row>
    <row r="623">
      <c r="A623" s="66"/>
      <c r="B623" s="66"/>
      <c r="C623" s="66"/>
      <c r="D623" s="66"/>
      <c r="G623" s="67"/>
      <c r="V623" s="67"/>
    </row>
    <row r="624">
      <c r="A624" s="66"/>
      <c r="B624" s="66"/>
      <c r="C624" s="66"/>
      <c r="D624" s="66"/>
      <c r="G624" s="67"/>
      <c r="V624" s="67"/>
    </row>
    <row r="625">
      <c r="A625" s="66"/>
      <c r="B625" s="66"/>
      <c r="C625" s="66"/>
      <c r="D625" s="66"/>
      <c r="G625" s="67"/>
      <c r="V625" s="67"/>
    </row>
    <row r="626">
      <c r="A626" s="66"/>
      <c r="B626" s="66"/>
      <c r="C626" s="66"/>
      <c r="D626" s="66"/>
      <c r="G626" s="67"/>
      <c r="V626" s="67"/>
    </row>
    <row r="627">
      <c r="A627" s="66"/>
      <c r="B627" s="66"/>
      <c r="C627" s="66"/>
      <c r="D627" s="66"/>
      <c r="G627" s="67"/>
      <c r="V627" s="67"/>
    </row>
    <row r="628">
      <c r="A628" s="66"/>
      <c r="B628" s="66"/>
      <c r="C628" s="66"/>
      <c r="D628" s="66"/>
      <c r="G628" s="67"/>
      <c r="V628" s="67"/>
    </row>
    <row r="629">
      <c r="A629" s="66"/>
      <c r="B629" s="66"/>
      <c r="C629" s="66"/>
      <c r="D629" s="66"/>
      <c r="G629" s="67"/>
      <c r="V629" s="67"/>
    </row>
    <row r="630">
      <c r="A630" s="66"/>
      <c r="B630" s="66"/>
      <c r="C630" s="66"/>
      <c r="D630" s="66"/>
      <c r="G630" s="67"/>
      <c r="V630" s="67"/>
    </row>
    <row r="631">
      <c r="A631" s="66"/>
      <c r="B631" s="66"/>
      <c r="C631" s="66"/>
      <c r="D631" s="66"/>
      <c r="G631" s="67"/>
      <c r="V631" s="67"/>
    </row>
    <row r="632">
      <c r="A632" s="66"/>
      <c r="B632" s="66"/>
      <c r="C632" s="66"/>
      <c r="D632" s="66"/>
      <c r="G632" s="67"/>
      <c r="V632" s="67"/>
    </row>
    <row r="633">
      <c r="A633" s="66"/>
      <c r="B633" s="66"/>
      <c r="C633" s="66"/>
      <c r="D633" s="66"/>
      <c r="G633" s="67"/>
      <c r="V633" s="67"/>
    </row>
    <row r="634">
      <c r="A634" s="66"/>
      <c r="B634" s="66"/>
      <c r="C634" s="66"/>
      <c r="D634" s="66"/>
      <c r="G634" s="67"/>
      <c r="V634" s="67"/>
    </row>
    <row r="635">
      <c r="A635" s="66"/>
      <c r="B635" s="66"/>
      <c r="C635" s="66"/>
      <c r="D635" s="66"/>
      <c r="G635" s="67"/>
      <c r="V635" s="67"/>
    </row>
    <row r="636">
      <c r="A636" s="66"/>
      <c r="B636" s="66"/>
      <c r="C636" s="66"/>
      <c r="D636" s="66"/>
      <c r="G636" s="67"/>
      <c r="V636" s="67"/>
    </row>
    <row r="637">
      <c r="A637" s="66"/>
      <c r="B637" s="66"/>
      <c r="C637" s="66"/>
      <c r="D637" s="66"/>
      <c r="G637" s="67"/>
      <c r="V637" s="67"/>
    </row>
    <row r="638">
      <c r="A638" s="66"/>
      <c r="B638" s="66"/>
      <c r="C638" s="66"/>
      <c r="D638" s="66"/>
      <c r="G638" s="67"/>
      <c r="V638" s="67"/>
    </row>
    <row r="639">
      <c r="A639" s="66"/>
      <c r="B639" s="66"/>
      <c r="C639" s="66"/>
      <c r="D639" s="66"/>
      <c r="G639" s="67"/>
      <c r="V639" s="67"/>
    </row>
    <row r="640">
      <c r="A640" s="66"/>
      <c r="B640" s="66"/>
      <c r="C640" s="66"/>
      <c r="D640" s="66"/>
      <c r="G640" s="67"/>
      <c r="V640" s="67"/>
    </row>
    <row r="641">
      <c r="A641" s="66"/>
      <c r="B641" s="66"/>
      <c r="C641" s="66"/>
      <c r="D641" s="66"/>
      <c r="G641" s="67"/>
      <c r="V641" s="67"/>
    </row>
    <row r="642">
      <c r="A642" s="66"/>
      <c r="B642" s="66"/>
      <c r="C642" s="66"/>
      <c r="D642" s="66"/>
      <c r="G642" s="67"/>
      <c r="V642" s="67"/>
    </row>
    <row r="643">
      <c r="A643" s="66"/>
      <c r="B643" s="66"/>
      <c r="C643" s="66"/>
      <c r="D643" s="66"/>
      <c r="G643" s="67"/>
      <c r="V643" s="67"/>
    </row>
    <row r="644">
      <c r="A644" s="66"/>
      <c r="B644" s="66"/>
      <c r="C644" s="66"/>
      <c r="D644" s="66"/>
      <c r="G644" s="67"/>
      <c r="V644" s="67"/>
    </row>
    <row r="645">
      <c r="A645" s="66"/>
      <c r="B645" s="66"/>
      <c r="C645" s="66"/>
      <c r="D645" s="66"/>
      <c r="G645" s="67"/>
      <c r="V645" s="67"/>
    </row>
    <row r="646">
      <c r="A646" s="66"/>
      <c r="B646" s="66"/>
      <c r="C646" s="66"/>
      <c r="D646" s="66"/>
      <c r="G646" s="67"/>
      <c r="V646" s="67"/>
    </row>
    <row r="647">
      <c r="A647" s="66"/>
      <c r="B647" s="66"/>
      <c r="C647" s="66"/>
      <c r="D647" s="66"/>
      <c r="G647" s="67"/>
      <c r="V647" s="67"/>
    </row>
    <row r="648">
      <c r="A648" s="66"/>
      <c r="B648" s="66"/>
      <c r="C648" s="66"/>
      <c r="D648" s="66"/>
      <c r="G648" s="67"/>
      <c r="V648" s="67"/>
    </row>
    <row r="649">
      <c r="A649" s="66"/>
      <c r="B649" s="66"/>
      <c r="C649" s="66"/>
      <c r="D649" s="66"/>
      <c r="G649" s="67"/>
      <c r="V649" s="67"/>
    </row>
    <row r="650">
      <c r="A650" s="66"/>
      <c r="B650" s="66"/>
      <c r="C650" s="66"/>
      <c r="D650" s="66"/>
      <c r="G650" s="67"/>
      <c r="V650" s="67"/>
    </row>
    <row r="651">
      <c r="A651" s="66"/>
      <c r="B651" s="66"/>
      <c r="C651" s="66"/>
      <c r="D651" s="66"/>
      <c r="G651" s="67"/>
      <c r="V651" s="67"/>
    </row>
    <row r="652">
      <c r="A652" s="66"/>
      <c r="B652" s="66"/>
      <c r="C652" s="66"/>
      <c r="D652" s="66"/>
      <c r="G652" s="67"/>
      <c r="V652" s="67"/>
    </row>
    <row r="653">
      <c r="A653" s="66"/>
      <c r="B653" s="66"/>
      <c r="C653" s="66"/>
      <c r="D653" s="66"/>
      <c r="G653" s="67"/>
      <c r="V653" s="67"/>
    </row>
    <row r="654">
      <c r="A654" s="66"/>
      <c r="B654" s="66"/>
      <c r="C654" s="66"/>
      <c r="D654" s="66"/>
      <c r="G654" s="67"/>
      <c r="V654" s="67"/>
    </row>
    <row r="655">
      <c r="A655" s="66"/>
      <c r="B655" s="66"/>
      <c r="C655" s="66"/>
      <c r="D655" s="66"/>
      <c r="G655" s="67"/>
      <c r="V655" s="67"/>
    </row>
    <row r="656">
      <c r="A656" s="66"/>
      <c r="B656" s="66"/>
      <c r="C656" s="66"/>
      <c r="D656" s="66"/>
      <c r="G656" s="67"/>
      <c r="V656" s="67"/>
    </row>
    <row r="657">
      <c r="A657" s="66"/>
      <c r="B657" s="66"/>
      <c r="C657" s="66"/>
      <c r="D657" s="66"/>
      <c r="G657" s="67"/>
      <c r="V657" s="67"/>
    </row>
    <row r="658">
      <c r="A658" s="66"/>
      <c r="B658" s="66"/>
      <c r="C658" s="66"/>
      <c r="D658" s="66"/>
      <c r="G658" s="67"/>
      <c r="V658" s="67"/>
    </row>
    <row r="659">
      <c r="A659" s="66"/>
      <c r="B659" s="66"/>
      <c r="C659" s="66"/>
      <c r="D659" s="66"/>
      <c r="G659" s="67"/>
      <c r="V659" s="67"/>
    </row>
    <row r="660">
      <c r="A660" s="66"/>
      <c r="B660" s="66"/>
      <c r="C660" s="66"/>
      <c r="D660" s="66"/>
      <c r="G660" s="67"/>
      <c r="V660" s="67"/>
    </row>
    <row r="661">
      <c r="A661" s="66"/>
      <c r="B661" s="66"/>
      <c r="C661" s="66"/>
      <c r="D661" s="66"/>
      <c r="G661" s="67"/>
      <c r="V661" s="67"/>
    </row>
    <row r="662">
      <c r="A662" s="66"/>
      <c r="B662" s="66"/>
      <c r="C662" s="66"/>
      <c r="D662" s="66"/>
      <c r="G662" s="67"/>
      <c r="V662" s="67"/>
    </row>
    <row r="663">
      <c r="A663" s="66"/>
      <c r="B663" s="66"/>
      <c r="C663" s="66"/>
      <c r="D663" s="66"/>
      <c r="G663" s="67"/>
      <c r="V663" s="67"/>
    </row>
    <row r="664">
      <c r="A664" s="66"/>
      <c r="B664" s="66"/>
      <c r="C664" s="66"/>
      <c r="D664" s="66"/>
      <c r="G664" s="67"/>
      <c r="V664" s="67"/>
    </row>
    <row r="665">
      <c r="A665" s="66"/>
      <c r="B665" s="66"/>
      <c r="C665" s="66"/>
      <c r="D665" s="66"/>
      <c r="G665" s="67"/>
      <c r="V665" s="67"/>
    </row>
    <row r="666">
      <c r="A666" s="66"/>
      <c r="B666" s="66"/>
      <c r="C666" s="66"/>
      <c r="D666" s="66"/>
      <c r="G666" s="67"/>
      <c r="V666" s="67"/>
    </row>
    <row r="667">
      <c r="A667" s="66"/>
      <c r="B667" s="66"/>
      <c r="C667" s="66"/>
      <c r="D667" s="66"/>
      <c r="G667" s="67"/>
      <c r="V667" s="67"/>
    </row>
    <row r="668">
      <c r="A668" s="66"/>
      <c r="B668" s="66"/>
      <c r="C668" s="66"/>
      <c r="D668" s="66"/>
      <c r="G668" s="67"/>
      <c r="V668" s="67"/>
    </row>
    <row r="669">
      <c r="A669" s="66"/>
      <c r="B669" s="66"/>
      <c r="C669" s="66"/>
      <c r="D669" s="66"/>
      <c r="G669" s="67"/>
      <c r="V669" s="67"/>
    </row>
    <row r="670">
      <c r="A670" s="66"/>
      <c r="B670" s="66"/>
      <c r="C670" s="66"/>
      <c r="D670" s="66"/>
      <c r="G670" s="67"/>
      <c r="V670" s="67"/>
    </row>
    <row r="671">
      <c r="A671" s="66"/>
      <c r="B671" s="66"/>
      <c r="C671" s="66"/>
      <c r="D671" s="66"/>
      <c r="G671" s="67"/>
      <c r="V671" s="67"/>
    </row>
    <row r="672">
      <c r="A672" s="66"/>
      <c r="B672" s="66"/>
      <c r="C672" s="66"/>
      <c r="D672" s="66"/>
      <c r="G672" s="67"/>
      <c r="V672" s="67"/>
    </row>
    <row r="673">
      <c r="A673" s="66"/>
      <c r="B673" s="66"/>
      <c r="C673" s="66"/>
      <c r="D673" s="66"/>
      <c r="G673" s="67"/>
      <c r="V673" s="67"/>
    </row>
    <row r="674">
      <c r="A674" s="66"/>
      <c r="B674" s="66"/>
      <c r="C674" s="66"/>
      <c r="D674" s="66"/>
      <c r="G674" s="67"/>
      <c r="V674" s="67"/>
    </row>
    <row r="675">
      <c r="A675" s="66"/>
      <c r="B675" s="66"/>
      <c r="C675" s="66"/>
      <c r="D675" s="66"/>
      <c r="G675" s="67"/>
      <c r="V675" s="67"/>
    </row>
    <row r="676">
      <c r="A676" s="66"/>
      <c r="B676" s="66"/>
      <c r="C676" s="66"/>
      <c r="D676" s="66"/>
      <c r="G676" s="67"/>
      <c r="V676" s="67"/>
    </row>
    <row r="677">
      <c r="A677" s="66"/>
      <c r="B677" s="66"/>
      <c r="C677" s="66"/>
      <c r="D677" s="66"/>
      <c r="G677" s="67"/>
      <c r="V677" s="67"/>
    </row>
    <row r="678">
      <c r="A678" s="66"/>
      <c r="B678" s="66"/>
      <c r="C678" s="66"/>
      <c r="D678" s="66"/>
      <c r="G678" s="67"/>
      <c r="V678" s="67"/>
    </row>
    <row r="679">
      <c r="A679" s="66"/>
      <c r="B679" s="66"/>
      <c r="C679" s="66"/>
      <c r="D679" s="66"/>
      <c r="G679" s="67"/>
      <c r="V679" s="67"/>
    </row>
    <row r="680">
      <c r="A680" s="66"/>
      <c r="B680" s="66"/>
      <c r="C680" s="66"/>
      <c r="D680" s="66"/>
      <c r="G680" s="67"/>
      <c r="V680" s="67"/>
    </row>
    <row r="681">
      <c r="A681" s="66"/>
      <c r="B681" s="66"/>
      <c r="C681" s="66"/>
      <c r="D681" s="66"/>
      <c r="G681" s="67"/>
      <c r="V681" s="67"/>
    </row>
    <row r="682">
      <c r="A682" s="66"/>
      <c r="B682" s="66"/>
      <c r="C682" s="66"/>
      <c r="D682" s="66"/>
      <c r="G682" s="67"/>
      <c r="V682" s="67"/>
    </row>
    <row r="683">
      <c r="A683" s="66"/>
      <c r="B683" s="66"/>
      <c r="C683" s="66"/>
      <c r="D683" s="66"/>
      <c r="G683" s="67"/>
      <c r="V683" s="67"/>
    </row>
    <row r="684">
      <c r="A684" s="66"/>
      <c r="B684" s="66"/>
      <c r="C684" s="66"/>
      <c r="D684" s="66"/>
      <c r="G684" s="67"/>
      <c r="V684" s="67"/>
    </row>
    <row r="685">
      <c r="A685" s="66"/>
      <c r="B685" s="66"/>
      <c r="C685" s="66"/>
      <c r="D685" s="66"/>
      <c r="G685" s="67"/>
      <c r="V685" s="67"/>
    </row>
    <row r="686">
      <c r="A686" s="66"/>
      <c r="B686" s="66"/>
      <c r="C686" s="66"/>
      <c r="D686" s="66"/>
      <c r="G686" s="67"/>
      <c r="V686" s="67"/>
    </row>
    <row r="687">
      <c r="A687" s="66"/>
      <c r="B687" s="66"/>
      <c r="C687" s="66"/>
      <c r="D687" s="66"/>
      <c r="G687" s="67"/>
      <c r="V687" s="67"/>
    </row>
    <row r="688">
      <c r="A688" s="66"/>
      <c r="B688" s="66"/>
      <c r="C688" s="66"/>
      <c r="D688" s="66"/>
      <c r="G688" s="67"/>
      <c r="V688" s="67"/>
    </row>
    <row r="689">
      <c r="A689" s="66"/>
      <c r="B689" s="66"/>
      <c r="C689" s="66"/>
      <c r="D689" s="66"/>
      <c r="G689" s="67"/>
      <c r="V689" s="67"/>
    </row>
    <row r="690">
      <c r="A690" s="66"/>
      <c r="B690" s="66"/>
      <c r="C690" s="66"/>
      <c r="D690" s="66"/>
      <c r="G690" s="67"/>
      <c r="V690" s="67"/>
    </row>
    <row r="691">
      <c r="A691" s="66"/>
      <c r="B691" s="66"/>
      <c r="C691" s="66"/>
      <c r="D691" s="66"/>
      <c r="G691" s="67"/>
      <c r="V691" s="67"/>
    </row>
    <row r="692">
      <c r="A692" s="66"/>
      <c r="B692" s="66"/>
      <c r="C692" s="66"/>
      <c r="D692" s="66"/>
      <c r="G692" s="67"/>
      <c r="V692" s="67"/>
    </row>
    <row r="693">
      <c r="A693" s="66"/>
      <c r="B693" s="66"/>
      <c r="C693" s="66"/>
      <c r="D693" s="66"/>
      <c r="G693" s="67"/>
      <c r="V693" s="67"/>
    </row>
    <row r="694">
      <c r="A694" s="66"/>
      <c r="B694" s="66"/>
      <c r="C694" s="66"/>
      <c r="D694" s="66"/>
      <c r="G694" s="67"/>
      <c r="V694" s="67"/>
    </row>
    <row r="695">
      <c r="A695" s="66"/>
      <c r="B695" s="66"/>
      <c r="C695" s="66"/>
      <c r="D695" s="66"/>
      <c r="G695" s="67"/>
      <c r="V695" s="67"/>
    </row>
    <row r="696">
      <c r="A696" s="66"/>
      <c r="B696" s="66"/>
      <c r="C696" s="66"/>
      <c r="D696" s="66"/>
      <c r="G696" s="67"/>
      <c r="V696" s="67"/>
    </row>
    <row r="697">
      <c r="A697" s="66"/>
      <c r="B697" s="66"/>
      <c r="C697" s="66"/>
      <c r="D697" s="66"/>
      <c r="G697" s="67"/>
      <c r="V697" s="67"/>
    </row>
    <row r="698">
      <c r="A698" s="66"/>
      <c r="B698" s="66"/>
      <c r="C698" s="66"/>
      <c r="D698" s="66"/>
      <c r="G698" s="67"/>
      <c r="V698" s="67"/>
    </row>
    <row r="699">
      <c r="A699" s="66"/>
      <c r="B699" s="66"/>
      <c r="C699" s="66"/>
      <c r="D699" s="66"/>
      <c r="G699" s="67"/>
      <c r="V699" s="67"/>
    </row>
    <row r="700">
      <c r="A700" s="66"/>
      <c r="B700" s="66"/>
      <c r="C700" s="66"/>
      <c r="D700" s="66"/>
      <c r="G700" s="67"/>
      <c r="V700" s="67"/>
    </row>
    <row r="701">
      <c r="A701" s="66"/>
      <c r="B701" s="66"/>
      <c r="C701" s="66"/>
      <c r="D701" s="66"/>
      <c r="G701" s="67"/>
      <c r="V701" s="67"/>
    </row>
    <row r="702">
      <c r="A702" s="66"/>
      <c r="B702" s="66"/>
      <c r="C702" s="66"/>
      <c r="D702" s="66"/>
      <c r="G702" s="67"/>
      <c r="V702" s="67"/>
    </row>
    <row r="703">
      <c r="A703" s="66"/>
      <c r="B703" s="66"/>
      <c r="C703" s="66"/>
      <c r="D703" s="66"/>
      <c r="G703" s="67"/>
      <c r="V703" s="67"/>
    </row>
    <row r="704">
      <c r="A704" s="66"/>
      <c r="B704" s="66"/>
      <c r="C704" s="66"/>
      <c r="D704" s="66"/>
      <c r="G704" s="67"/>
      <c r="V704" s="67"/>
    </row>
    <row r="705">
      <c r="A705" s="66"/>
      <c r="B705" s="66"/>
      <c r="C705" s="66"/>
      <c r="D705" s="66"/>
      <c r="G705" s="67"/>
      <c r="V705" s="67"/>
    </row>
    <row r="706">
      <c r="A706" s="66"/>
      <c r="B706" s="66"/>
      <c r="C706" s="66"/>
      <c r="D706" s="66"/>
      <c r="G706" s="67"/>
      <c r="V706" s="67"/>
    </row>
    <row r="707">
      <c r="A707" s="66"/>
      <c r="B707" s="66"/>
      <c r="C707" s="66"/>
      <c r="D707" s="66"/>
      <c r="G707" s="67"/>
      <c r="V707" s="67"/>
    </row>
    <row r="708">
      <c r="A708" s="66"/>
      <c r="B708" s="66"/>
      <c r="C708" s="66"/>
      <c r="D708" s="66"/>
      <c r="G708" s="67"/>
      <c r="V708" s="67"/>
    </row>
    <row r="709">
      <c r="A709" s="66"/>
      <c r="B709" s="66"/>
      <c r="C709" s="66"/>
      <c r="D709" s="66"/>
      <c r="G709" s="67"/>
      <c r="V709" s="67"/>
    </row>
    <row r="710">
      <c r="A710" s="66"/>
      <c r="B710" s="66"/>
      <c r="C710" s="66"/>
      <c r="D710" s="66"/>
      <c r="G710" s="67"/>
      <c r="V710" s="67"/>
    </row>
    <row r="711">
      <c r="A711" s="66"/>
      <c r="B711" s="66"/>
      <c r="C711" s="66"/>
      <c r="D711" s="66"/>
      <c r="G711" s="67"/>
      <c r="V711" s="67"/>
    </row>
    <row r="712">
      <c r="A712" s="66"/>
      <c r="B712" s="66"/>
      <c r="C712" s="66"/>
      <c r="D712" s="66"/>
      <c r="G712" s="67"/>
      <c r="V712" s="67"/>
    </row>
    <row r="713">
      <c r="A713" s="66"/>
      <c r="B713" s="66"/>
      <c r="C713" s="66"/>
      <c r="D713" s="66"/>
      <c r="G713" s="67"/>
      <c r="V713" s="67"/>
    </row>
    <row r="714">
      <c r="A714" s="66"/>
      <c r="B714" s="66"/>
      <c r="C714" s="66"/>
      <c r="D714" s="66"/>
      <c r="G714" s="67"/>
      <c r="V714" s="67"/>
    </row>
    <row r="715">
      <c r="A715" s="66"/>
      <c r="B715" s="66"/>
      <c r="C715" s="66"/>
      <c r="D715" s="66"/>
      <c r="G715" s="67"/>
      <c r="V715" s="67"/>
    </row>
    <row r="716">
      <c r="A716" s="66"/>
      <c r="B716" s="66"/>
      <c r="C716" s="66"/>
      <c r="D716" s="66"/>
      <c r="G716" s="67"/>
      <c r="V716" s="67"/>
    </row>
    <row r="717">
      <c r="A717" s="66"/>
      <c r="B717" s="66"/>
      <c r="C717" s="66"/>
      <c r="D717" s="66"/>
      <c r="G717" s="67"/>
      <c r="V717" s="67"/>
    </row>
    <row r="718">
      <c r="A718" s="66"/>
      <c r="B718" s="66"/>
      <c r="C718" s="66"/>
      <c r="D718" s="66"/>
      <c r="G718" s="67"/>
      <c r="V718" s="67"/>
    </row>
    <row r="719">
      <c r="A719" s="66"/>
      <c r="B719" s="66"/>
      <c r="C719" s="66"/>
      <c r="D719" s="66"/>
      <c r="G719" s="67"/>
      <c r="V719" s="67"/>
    </row>
    <row r="720">
      <c r="A720" s="66"/>
      <c r="B720" s="66"/>
      <c r="C720" s="66"/>
      <c r="D720" s="66"/>
      <c r="G720" s="67"/>
      <c r="V720" s="67"/>
    </row>
    <row r="721">
      <c r="A721" s="66"/>
      <c r="B721" s="66"/>
      <c r="C721" s="66"/>
      <c r="D721" s="66"/>
      <c r="G721" s="67"/>
      <c r="V721" s="67"/>
    </row>
    <row r="722">
      <c r="A722" s="66"/>
      <c r="B722" s="66"/>
      <c r="C722" s="66"/>
      <c r="D722" s="66"/>
      <c r="G722" s="67"/>
      <c r="V722" s="67"/>
    </row>
    <row r="723">
      <c r="A723" s="66"/>
      <c r="B723" s="66"/>
      <c r="C723" s="66"/>
      <c r="D723" s="66"/>
      <c r="G723" s="67"/>
      <c r="V723" s="67"/>
    </row>
    <row r="724">
      <c r="A724" s="66"/>
      <c r="B724" s="66"/>
      <c r="C724" s="66"/>
      <c r="D724" s="66"/>
      <c r="G724" s="67"/>
      <c r="V724" s="67"/>
    </row>
    <row r="725">
      <c r="A725" s="66"/>
      <c r="B725" s="66"/>
      <c r="C725" s="66"/>
      <c r="D725" s="66"/>
      <c r="G725" s="67"/>
      <c r="V725" s="67"/>
    </row>
    <row r="726">
      <c r="A726" s="66"/>
      <c r="B726" s="66"/>
      <c r="C726" s="66"/>
      <c r="D726" s="66"/>
      <c r="G726" s="67"/>
      <c r="V726" s="67"/>
    </row>
    <row r="727">
      <c r="A727" s="66"/>
      <c r="B727" s="66"/>
      <c r="C727" s="66"/>
      <c r="D727" s="66"/>
      <c r="G727" s="67"/>
      <c r="V727" s="67"/>
    </row>
    <row r="728">
      <c r="A728" s="66"/>
      <c r="B728" s="66"/>
      <c r="C728" s="66"/>
      <c r="D728" s="66"/>
      <c r="G728" s="67"/>
      <c r="V728" s="67"/>
    </row>
    <row r="729">
      <c r="A729" s="66"/>
      <c r="B729" s="66"/>
      <c r="C729" s="66"/>
      <c r="D729" s="66"/>
      <c r="G729" s="67"/>
      <c r="V729" s="67"/>
    </row>
    <row r="730">
      <c r="A730" s="66"/>
      <c r="B730" s="66"/>
      <c r="C730" s="66"/>
      <c r="D730" s="66"/>
      <c r="G730" s="67"/>
      <c r="V730" s="67"/>
    </row>
    <row r="731">
      <c r="A731" s="66"/>
      <c r="B731" s="66"/>
      <c r="C731" s="66"/>
      <c r="D731" s="66"/>
      <c r="G731" s="67"/>
      <c r="V731" s="67"/>
    </row>
    <row r="732">
      <c r="A732" s="66"/>
      <c r="B732" s="66"/>
      <c r="C732" s="66"/>
      <c r="D732" s="66"/>
      <c r="G732" s="67"/>
      <c r="V732" s="67"/>
    </row>
    <row r="733">
      <c r="A733" s="66"/>
      <c r="B733" s="66"/>
      <c r="C733" s="66"/>
      <c r="D733" s="66"/>
      <c r="G733" s="67"/>
      <c r="V733" s="67"/>
    </row>
    <row r="734">
      <c r="A734" s="66"/>
      <c r="B734" s="66"/>
      <c r="C734" s="66"/>
      <c r="D734" s="66"/>
      <c r="G734" s="67"/>
      <c r="V734" s="67"/>
    </row>
    <row r="735">
      <c r="A735" s="66"/>
      <c r="B735" s="66"/>
      <c r="C735" s="66"/>
      <c r="D735" s="66"/>
      <c r="G735" s="67"/>
      <c r="V735" s="67"/>
    </row>
    <row r="736">
      <c r="A736" s="66"/>
      <c r="B736" s="66"/>
      <c r="C736" s="66"/>
      <c r="D736" s="66"/>
      <c r="G736" s="67"/>
      <c r="V736" s="67"/>
    </row>
    <row r="737">
      <c r="A737" s="66"/>
      <c r="B737" s="66"/>
      <c r="C737" s="66"/>
      <c r="D737" s="66"/>
      <c r="G737" s="67"/>
      <c r="V737" s="67"/>
    </row>
    <row r="738">
      <c r="A738" s="66"/>
      <c r="B738" s="66"/>
      <c r="C738" s="66"/>
      <c r="D738" s="66"/>
      <c r="G738" s="67"/>
      <c r="V738" s="67"/>
    </row>
    <row r="739">
      <c r="A739" s="66"/>
      <c r="B739" s="66"/>
      <c r="C739" s="66"/>
      <c r="D739" s="66"/>
      <c r="G739" s="67"/>
      <c r="V739" s="67"/>
    </row>
    <row r="740">
      <c r="A740" s="66"/>
      <c r="B740" s="66"/>
      <c r="C740" s="66"/>
      <c r="D740" s="66"/>
      <c r="G740" s="67"/>
      <c r="V740" s="67"/>
    </row>
    <row r="741">
      <c r="A741" s="66"/>
      <c r="B741" s="66"/>
      <c r="C741" s="66"/>
      <c r="D741" s="66"/>
      <c r="G741" s="67"/>
      <c r="V741" s="67"/>
    </row>
    <row r="742">
      <c r="A742" s="66"/>
      <c r="B742" s="66"/>
      <c r="C742" s="66"/>
      <c r="D742" s="66"/>
      <c r="G742" s="67"/>
      <c r="V742" s="67"/>
    </row>
    <row r="743">
      <c r="A743" s="66"/>
      <c r="B743" s="66"/>
      <c r="C743" s="66"/>
      <c r="D743" s="66"/>
      <c r="G743" s="67"/>
      <c r="V743" s="67"/>
    </row>
    <row r="744">
      <c r="A744" s="66"/>
      <c r="B744" s="66"/>
      <c r="C744" s="66"/>
      <c r="D744" s="66"/>
      <c r="G744" s="67"/>
      <c r="V744" s="67"/>
    </row>
    <row r="745">
      <c r="A745" s="66"/>
      <c r="B745" s="66"/>
      <c r="C745" s="66"/>
      <c r="D745" s="66"/>
      <c r="G745" s="67"/>
      <c r="V745" s="67"/>
    </row>
    <row r="746">
      <c r="A746" s="66"/>
      <c r="B746" s="66"/>
      <c r="C746" s="66"/>
      <c r="D746" s="66"/>
      <c r="G746" s="67"/>
      <c r="V746" s="67"/>
    </row>
    <row r="747">
      <c r="A747" s="66"/>
      <c r="B747" s="66"/>
      <c r="C747" s="66"/>
      <c r="D747" s="66"/>
      <c r="G747" s="67"/>
      <c r="V747" s="67"/>
    </row>
    <row r="748">
      <c r="A748" s="66"/>
      <c r="B748" s="66"/>
      <c r="C748" s="66"/>
      <c r="D748" s="66"/>
      <c r="G748" s="67"/>
      <c r="V748" s="67"/>
    </row>
    <row r="749">
      <c r="A749" s="66"/>
      <c r="B749" s="66"/>
      <c r="C749" s="66"/>
      <c r="D749" s="66"/>
      <c r="G749" s="67"/>
      <c r="V749" s="67"/>
    </row>
    <row r="750">
      <c r="A750" s="66"/>
      <c r="B750" s="66"/>
      <c r="C750" s="66"/>
      <c r="D750" s="66"/>
      <c r="G750" s="67"/>
      <c r="V750" s="67"/>
    </row>
    <row r="751">
      <c r="A751" s="66"/>
      <c r="B751" s="66"/>
      <c r="C751" s="66"/>
      <c r="D751" s="66"/>
      <c r="G751" s="67"/>
      <c r="V751" s="67"/>
    </row>
    <row r="752">
      <c r="A752" s="66"/>
      <c r="B752" s="66"/>
      <c r="C752" s="66"/>
      <c r="D752" s="66"/>
      <c r="G752" s="67"/>
      <c r="V752" s="67"/>
    </row>
    <row r="753">
      <c r="A753" s="66"/>
      <c r="B753" s="66"/>
      <c r="C753" s="66"/>
      <c r="D753" s="66"/>
      <c r="G753" s="67"/>
      <c r="V753" s="67"/>
    </row>
    <row r="754">
      <c r="A754" s="66"/>
      <c r="B754" s="66"/>
      <c r="C754" s="66"/>
      <c r="D754" s="66"/>
      <c r="G754" s="67"/>
      <c r="V754" s="67"/>
    </row>
    <row r="755">
      <c r="A755" s="66"/>
      <c r="B755" s="66"/>
      <c r="C755" s="66"/>
      <c r="D755" s="66"/>
      <c r="G755" s="67"/>
      <c r="V755" s="67"/>
    </row>
    <row r="756">
      <c r="A756" s="66"/>
      <c r="B756" s="66"/>
      <c r="C756" s="66"/>
      <c r="D756" s="66"/>
      <c r="G756" s="67"/>
      <c r="V756" s="67"/>
    </row>
    <row r="757">
      <c r="A757" s="66"/>
      <c r="B757" s="66"/>
      <c r="C757" s="66"/>
      <c r="D757" s="66"/>
      <c r="G757" s="67"/>
      <c r="V757" s="67"/>
    </row>
    <row r="758">
      <c r="A758" s="66"/>
      <c r="B758" s="66"/>
      <c r="C758" s="66"/>
      <c r="D758" s="66"/>
      <c r="G758" s="67"/>
      <c r="V758" s="67"/>
    </row>
    <row r="759">
      <c r="A759" s="66"/>
      <c r="B759" s="66"/>
      <c r="C759" s="66"/>
      <c r="D759" s="66"/>
      <c r="G759" s="67"/>
      <c r="V759" s="67"/>
    </row>
    <row r="760">
      <c r="A760" s="66"/>
      <c r="B760" s="66"/>
      <c r="C760" s="66"/>
      <c r="D760" s="66"/>
      <c r="G760" s="67"/>
      <c r="V760" s="67"/>
    </row>
    <row r="761">
      <c r="A761" s="66"/>
      <c r="B761" s="66"/>
      <c r="C761" s="66"/>
      <c r="D761" s="66"/>
      <c r="G761" s="67"/>
      <c r="V761" s="67"/>
    </row>
    <row r="762">
      <c r="A762" s="66"/>
      <c r="B762" s="66"/>
      <c r="C762" s="66"/>
      <c r="D762" s="66"/>
      <c r="G762" s="67"/>
      <c r="V762" s="67"/>
    </row>
    <row r="763">
      <c r="A763" s="66"/>
      <c r="B763" s="66"/>
      <c r="C763" s="66"/>
      <c r="D763" s="66"/>
      <c r="G763" s="67"/>
      <c r="V763" s="67"/>
    </row>
    <row r="764">
      <c r="A764" s="66"/>
      <c r="B764" s="66"/>
      <c r="C764" s="66"/>
      <c r="D764" s="66"/>
      <c r="G764" s="67"/>
      <c r="V764" s="67"/>
    </row>
    <row r="765">
      <c r="A765" s="66"/>
      <c r="B765" s="66"/>
      <c r="C765" s="66"/>
      <c r="D765" s="66"/>
      <c r="G765" s="67"/>
      <c r="V765" s="67"/>
    </row>
    <row r="766">
      <c r="A766" s="66"/>
      <c r="B766" s="66"/>
      <c r="C766" s="66"/>
      <c r="D766" s="66"/>
      <c r="G766" s="67"/>
      <c r="V766" s="67"/>
    </row>
    <row r="767">
      <c r="A767" s="66"/>
      <c r="B767" s="66"/>
      <c r="C767" s="66"/>
      <c r="D767" s="66"/>
      <c r="G767" s="67"/>
      <c r="V767" s="67"/>
    </row>
    <row r="768">
      <c r="A768" s="66"/>
      <c r="B768" s="66"/>
      <c r="C768" s="66"/>
      <c r="D768" s="66"/>
      <c r="G768" s="67"/>
      <c r="V768" s="67"/>
    </row>
    <row r="769">
      <c r="A769" s="66"/>
      <c r="B769" s="66"/>
      <c r="C769" s="66"/>
      <c r="D769" s="66"/>
      <c r="G769" s="67"/>
      <c r="V769" s="67"/>
    </row>
    <row r="770">
      <c r="A770" s="66"/>
      <c r="B770" s="66"/>
      <c r="C770" s="66"/>
      <c r="D770" s="66"/>
      <c r="G770" s="67"/>
      <c r="V770" s="67"/>
    </row>
    <row r="771">
      <c r="A771" s="66"/>
      <c r="B771" s="66"/>
      <c r="C771" s="66"/>
      <c r="D771" s="66"/>
      <c r="G771" s="67"/>
      <c r="V771" s="67"/>
    </row>
    <row r="772">
      <c r="A772" s="66"/>
      <c r="B772" s="66"/>
      <c r="C772" s="66"/>
      <c r="D772" s="66"/>
      <c r="G772" s="67"/>
      <c r="V772" s="67"/>
    </row>
    <row r="773">
      <c r="A773" s="66"/>
      <c r="B773" s="66"/>
      <c r="C773" s="66"/>
      <c r="D773" s="66"/>
      <c r="G773" s="67"/>
      <c r="V773" s="67"/>
    </row>
    <row r="774">
      <c r="A774" s="66"/>
      <c r="B774" s="66"/>
      <c r="C774" s="66"/>
      <c r="D774" s="66"/>
      <c r="G774" s="67"/>
      <c r="V774" s="67"/>
    </row>
    <row r="775">
      <c r="A775" s="66"/>
      <c r="B775" s="66"/>
      <c r="C775" s="66"/>
      <c r="D775" s="66"/>
      <c r="G775" s="67"/>
      <c r="V775" s="67"/>
    </row>
    <row r="776">
      <c r="A776" s="66"/>
      <c r="B776" s="66"/>
      <c r="C776" s="66"/>
      <c r="D776" s="66"/>
      <c r="G776" s="67"/>
      <c r="V776" s="67"/>
    </row>
    <row r="777">
      <c r="A777" s="66"/>
      <c r="B777" s="66"/>
      <c r="C777" s="66"/>
      <c r="D777" s="66"/>
      <c r="G777" s="67"/>
      <c r="V777" s="67"/>
    </row>
    <row r="778">
      <c r="A778" s="66"/>
      <c r="B778" s="66"/>
      <c r="C778" s="66"/>
      <c r="D778" s="66"/>
      <c r="G778" s="67"/>
      <c r="V778" s="67"/>
    </row>
    <row r="779">
      <c r="A779" s="66"/>
      <c r="B779" s="66"/>
      <c r="C779" s="66"/>
      <c r="D779" s="66"/>
      <c r="G779" s="67"/>
      <c r="V779" s="67"/>
    </row>
    <row r="780">
      <c r="A780" s="66"/>
      <c r="B780" s="66"/>
      <c r="C780" s="66"/>
      <c r="D780" s="66"/>
      <c r="G780" s="67"/>
      <c r="V780" s="67"/>
    </row>
    <row r="781">
      <c r="A781" s="66"/>
      <c r="B781" s="66"/>
      <c r="C781" s="66"/>
      <c r="D781" s="66"/>
      <c r="G781" s="67"/>
      <c r="V781" s="67"/>
    </row>
    <row r="782">
      <c r="A782" s="66"/>
      <c r="B782" s="66"/>
      <c r="C782" s="66"/>
      <c r="D782" s="66"/>
      <c r="G782" s="67"/>
      <c r="V782" s="67"/>
    </row>
    <row r="783">
      <c r="A783" s="66"/>
      <c r="B783" s="66"/>
      <c r="C783" s="66"/>
      <c r="D783" s="66"/>
      <c r="G783" s="67"/>
      <c r="V783" s="67"/>
    </row>
    <row r="784">
      <c r="A784" s="66"/>
      <c r="B784" s="66"/>
      <c r="C784" s="66"/>
      <c r="D784" s="66"/>
      <c r="G784" s="67"/>
      <c r="V784" s="67"/>
    </row>
    <row r="785">
      <c r="A785" s="66"/>
      <c r="B785" s="66"/>
      <c r="C785" s="66"/>
      <c r="D785" s="66"/>
      <c r="G785" s="67"/>
      <c r="V785" s="67"/>
    </row>
    <row r="786">
      <c r="A786" s="66"/>
      <c r="B786" s="66"/>
      <c r="C786" s="66"/>
      <c r="D786" s="66"/>
      <c r="G786" s="67"/>
      <c r="V786" s="67"/>
    </row>
    <row r="787">
      <c r="A787" s="66"/>
      <c r="B787" s="66"/>
      <c r="C787" s="66"/>
      <c r="D787" s="66"/>
      <c r="G787" s="67"/>
      <c r="V787" s="67"/>
    </row>
    <row r="788">
      <c r="A788" s="66"/>
      <c r="B788" s="66"/>
      <c r="C788" s="66"/>
      <c r="D788" s="66"/>
      <c r="G788" s="67"/>
      <c r="V788" s="67"/>
    </row>
    <row r="789">
      <c r="A789" s="66"/>
      <c r="B789" s="66"/>
      <c r="C789" s="66"/>
      <c r="D789" s="66"/>
      <c r="G789" s="67"/>
      <c r="V789" s="67"/>
    </row>
    <row r="790">
      <c r="A790" s="66"/>
      <c r="B790" s="66"/>
      <c r="C790" s="66"/>
      <c r="D790" s="66"/>
      <c r="G790" s="67"/>
      <c r="V790" s="67"/>
    </row>
    <row r="791">
      <c r="A791" s="66"/>
      <c r="B791" s="66"/>
      <c r="C791" s="66"/>
      <c r="D791" s="66"/>
      <c r="G791" s="67"/>
      <c r="V791" s="67"/>
    </row>
    <row r="792">
      <c r="A792" s="66"/>
      <c r="B792" s="66"/>
      <c r="C792" s="66"/>
      <c r="D792" s="66"/>
      <c r="G792" s="67"/>
      <c r="V792" s="67"/>
    </row>
    <row r="793">
      <c r="A793" s="66"/>
      <c r="B793" s="66"/>
      <c r="C793" s="66"/>
      <c r="D793" s="66"/>
      <c r="G793" s="67"/>
      <c r="V793" s="67"/>
    </row>
    <row r="794">
      <c r="A794" s="66"/>
      <c r="B794" s="66"/>
      <c r="C794" s="66"/>
      <c r="D794" s="66"/>
      <c r="G794" s="67"/>
      <c r="V794" s="67"/>
    </row>
    <row r="795">
      <c r="A795" s="66"/>
      <c r="B795" s="66"/>
      <c r="C795" s="66"/>
      <c r="D795" s="66"/>
      <c r="G795" s="67"/>
      <c r="V795" s="67"/>
    </row>
    <row r="796">
      <c r="A796" s="66"/>
      <c r="B796" s="66"/>
      <c r="C796" s="66"/>
      <c r="D796" s="66"/>
      <c r="G796" s="67"/>
      <c r="V796" s="67"/>
    </row>
    <row r="797">
      <c r="A797" s="66"/>
      <c r="B797" s="66"/>
      <c r="C797" s="66"/>
      <c r="D797" s="66"/>
      <c r="G797" s="67"/>
      <c r="V797" s="67"/>
    </row>
    <row r="798">
      <c r="A798" s="66"/>
      <c r="B798" s="66"/>
      <c r="C798" s="66"/>
      <c r="D798" s="66"/>
      <c r="G798" s="67"/>
      <c r="V798" s="67"/>
    </row>
    <row r="799">
      <c r="A799" s="66"/>
      <c r="B799" s="66"/>
      <c r="C799" s="66"/>
      <c r="D799" s="66"/>
      <c r="G799" s="67"/>
      <c r="V799" s="67"/>
    </row>
    <row r="800">
      <c r="A800" s="66"/>
      <c r="B800" s="66"/>
      <c r="C800" s="66"/>
      <c r="D800" s="66"/>
      <c r="G800" s="67"/>
      <c r="V800" s="67"/>
    </row>
    <row r="801">
      <c r="A801" s="66"/>
      <c r="B801" s="66"/>
      <c r="C801" s="66"/>
      <c r="D801" s="66"/>
      <c r="G801" s="67"/>
      <c r="V801" s="67"/>
    </row>
    <row r="802">
      <c r="A802" s="66"/>
      <c r="B802" s="66"/>
      <c r="C802" s="66"/>
      <c r="D802" s="66"/>
      <c r="G802" s="67"/>
      <c r="V802" s="67"/>
    </row>
    <row r="803">
      <c r="A803" s="66"/>
      <c r="B803" s="66"/>
      <c r="C803" s="66"/>
      <c r="D803" s="66"/>
      <c r="G803" s="67"/>
      <c r="V803" s="67"/>
    </row>
    <row r="804">
      <c r="A804" s="66"/>
      <c r="B804" s="66"/>
      <c r="C804" s="66"/>
      <c r="D804" s="66"/>
      <c r="G804" s="67"/>
      <c r="V804" s="67"/>
    </row>
    <row r="805">
      <c r="A805" s="66"/>
      <c r="B805" s="66"/>
      <c r="C805" s="66"/>
      <c r="D805" s="66"/>
      <c r="G805" s="67"/>
      <c r="V805" s="67"/>
    </row>
    <row r="806">
      <c r="A806" s="66"/>
      <c r="B806" s="66"/>
      <c r="C806" s="66"/>
      <c r="D806" s="66"/>
      <c r="G806" s="67"/>
      <c r="V806" s="67"/>
    </row>
    <row r="807">
      <c r="A807" s="66"/>
      <c r="B807" s="66"/>
      <c r="C807" s="66"/>
      <c r="D807" s="66"/>
      <c r="G807" s="67"/>
      <c r="V807" s="67"/>
    </row>
    <row r="808">
      <c r="A808" s="66"/>
      <c r="B808" s="66"/>
      <c r="C808" s="66"/>
      <c r="D808" s="66"/>
      <c r="G808" s="67"/>
      <c r="V808" s="67"/>
    </row>
    <row r="809">
      <c r="A809" s="66"/>
      <c r="B809" s="66"/>
      <c r="C809" s="66"/>
      <c r="D809" s="66"/>
      <c r="G809" s="67"/>
      <c r="V809" s="67"/>
    </row>
    <row r="810">
      <c r="A810" s="66"/>
      <c r="B810" s="66"/>
      <c r="C810" s="66"/>
      <c r="D810" s="66"/>
      <c r="G810" s="67"/>
      <c r="V810" s="67"/>
    </row>
    <row r="811">
      <c r="A811" s="66"/>
      <c r="B811" s="66"/>
      <c r="C811" s="66"/>
      <c r="D811" s="66"/>
      <c r="G811" s="67"/>
      <c r="V811" s="67"/>
    </row>
    <row r="812">
      <c r="A812" s="66"/>
      <c r="B812" s="66"/>
      <c r="C812" s="66"/>
      <c r="D812" s="66"/>
      <c r="G812" s="67"/>
      <c r="V812" s="67"/>
    </row>
    <row r="813">
      <c r="A813" s="66"/>
      <c r="B813" s="66"/>
      <c r="C813" s="66"/>
      <c r="D813" s="66"/>
      <c r="G813" s="67"/>
      <c r="V813" s="67"/>
    </row>
    <row r="814">
      <c r="A814" s="66"/>
      <c r="B814" s="66"/>
      <c r="C814" s="66"/>
      <c r="D814" s="66"/>
      <c r="G814" s="67"/>
      <c r="V814" s="67"/>
    </row>
    <row r="815">
      <c r="A815" s="66"/>
      <c r="B815" s="66"/>
      <c r="C815" s="66"/>
      <c r="D815" s="66"/>
      <c r="G815" s="67"/>
      <c r="V815" s="67"/>
    </row>
    <row r="816">
      <c r="A816" s="66"/>
      <c r="B816" s="66"/>
      <c r="C816" s="66"/>
      <c r="D816" s="66"/>
      <c r="G816" s="67"/>
      <c r="V816" s="67"/>
    </row>
    <row r="817">
      <c r="A817" s="66"/>
      <c r="B817" s="66"/>
      <c r="C817" s="66"/>
      <c r="D817" s="66"/>
      <c r="G817" s="67"/>
      <c r="V817" s="67"/>
    </row>
    <row r="818">
      <c r="A818" s="66"/>
      <c r="B818" s="66"/>
      <c r="C818" s="66"/>
      <c r="D818" s="66"/>
      <c r="G818" s="67"/>
      <c r="V818" s="67"/>
    </row>
    <row r="819">
      <c r="A819" s="66"/>
      <c r="B819" s="66"/>
      <c r="C819" s="66"/>
      <c r="D819" s="66"/>
      <c r="G819" s="67"/>
      <c r="V819" s="67"/>
    </row>
    <row r="820">
      <c r="A820" s="66"/>
      <c r="B820" s="66"/>
      <c r="C820" s="66"/>
      <c r="D820" s="66"/>
      <c r="G820" s="67"/>
      <c r="V820" s="67"/>
    </row>
    <row r="821">
      <c r="A821" s="66"/>
      <c r="B821" s="66"/>
      <c r="C821" s="66"/>
      <c r="D821" s="66"/>
      <c r="G821" s="67"/>
      <c r="V821" s="67"/>
    </row>
    <row r="822">
      <c r="A822" s="66"/>
      <c r="B822" s="66"/>
      <c r="C822" s="66"/>
      <c r="D822" s="66"/>
      <c r="G822" s="67"/>
      <c r="V822" s="67"/>
    </row>
    <row r="823">
      <c r="A823" s="66"/>
      <c r="B823" s="66"/>
      <c r="C823" s="66"/>
      <c r="D823" s="66"/>
      <c r="G823" s="67"/>
      <c r="V823" s="67"/>
    </row>
    <row r="824">
      <c r="A824" s="66"/>
      <c r="B824" s="66"/>
      <c r="C824" s="66"/>
      <c r="D824" s="66"/>
      <c r="G824" s="67"/>
      <c r="V824" s="67"/>
    </row>
    <row r="825">
      <c r="A825" s="66"/>
      <c r="B825" s="66"/>
      <c r="C825" s="66"/>
      <c r="D825" s="66"/>
      <c r="G825" s="67"/>
      <c r="V825" s="67"/>
    </row>
    <row r="826">
      <c r="A826" s="66"/>
      <c r="B826" s="66"/>
      <c r="C826" s="66"/>
      <c r="D826" s="66"/>
      <c r="G826" s="67"/>
      <c r="V826" s="67"/>
    </row>
    <row r="827">
      <c r="A827" s="66"/>
      <c r="B827" s="66"/>
      <c r="C827" s="66"/>
      <c r="D827" s="66"/>
      <c r="G827" s="67"/>
      <c r="V827" s="67"/>
    </row>
    <row r="828">
      <c r="A828" s="66"/>
      <c r="B828" s="66"/>
      <c r="C828" s="66"/>
      <c r="D828" s="66"/>
      <c r="G828" s="67"/>
      <c r="V828" s="67"/>
    </row>
    <row r="829">
      <c r="A829" s="66"/>
      <c r="B829" s="66"/>
      <c r="C829" s="66"/>
      <c r="D829" s="66"/>
      <c r="G829" s="67"/>
      <c r="V829" s="67"/>
    </row>
    <row r="830">
      <c r="A830" s="66"/>
      <c r="B830" s="66"/>
      <c r="C830" s="66"/>
      <c r="D830" s="66"/>
      <c r="G830" s="67"/>
      <c r="V830" s="67"/>
    </row>
    <row r="831">
      <c r="A831" s="66"/>
      <c r="B831" s="66"/>
      <c r="C831" s="66"/>
      <c r="D831" s="66"/>
      <c r="G831" s="67"/>
      <c r="V831" s="67"/>
    </row>
    <row r="832">
      <c r="A832" s="66"/>
      <c r="B832" s="66"/>
      <c r="C832" s="66"/>
      <c r="D832" s="66"/>
      <c r="G832" s="67"/>
      <c r="V832" s="67"/>
    </row>
    <row r="833">
      <c r="A833" s="66"/>
      <c r="B833" s="66"/>
      <c r="C833" s="66"/>
      <c r="D833" s="66"/>
      <c r="G833" s="67"/>
      <c r="V833" s="67"/>
    </row>
    <row r="834">
      <c r="A834" s="66"/>
      <c r="B834" s="66"/>
      <c r="C834" s="66"/>
      <c r="D834" s="66"/>
      <c r="G834" s="67"/>
      <c r="V834" s="67"/>
    </row>
    <row r="835">
      <c r="A835" s="66"/>
      <c r="B835" s="66"/>
      <c r="C835" s="66"/>
      <c r="D835" s="66"/>
      <c r="G835" s="67"/>
      <c r="V835" s="67"/>
    </row>
    <row r="836">
      <c r="A836" s="66"/>
      <c r="B836" s="66"/>
      <c r="C836" s="66"/>
      <c r="D836" s="66"/>
      <c r="G836" s="67"/>
      <c r="V836" s="67"/>
    </row>
    <row r="837">
      <c r="A837" s="66"/>
      <c r="B837" s="66"/>
      <c r="C837" s="66"/>
      <c r="D837" s="66"/>
      <c r="G837" s="67"/>
      <c r="V837" s="67"/>
    </row>
    <row r="838">
      <c r="A838" s="66"/>
      <c r="B838" s="66"/>
      <c r="C838" s="66"/>
      <c r="D838" s="66"/>
      <c r="G838" s="67"/>
      <c r="V838" s="67"/>
    </row>
    <row r="839">
      <c r="A839" s="66"/>
      <c r="B839" s="66"/>
      <c r="C839" s="66"/>
      <c r="D839" s="66"/>
      <c r="G839" s="67"/>
      <c r="V839" s="67"/>
    </row>
    <row r="840">
      <c r="A840" s="66"/>
      <c r="B840" s="66"/>
      <c r="C840" s="66"/>
      <c r="D840" s="66"/>
      <c r="G840" s="67"/>
      <c r="V840" s="67"/>
    </row>
    <row r="841">
      <c r="A841" s="66"/>
      <c r="B841" s="66"/>
      <c r="C841" s="66"/>
      <c r="D841" s="66"/>
      <c r="G841" s="67"/>
      <c r="V841" s="67"/>
    </row>
    <row r="842">
      <c r="A842" s="66"/>
      <c r="B842" s="66"/>
      <c r="C842" s="66"/>
      <c r="D842" s="66"/>
      <c r="G842" s="67"/>
      <c r="V842" s="67"/>
    </row>
    <row r="843">
      <c r="A843" s="66"/>
      <c r="B843" s="66"/>
      <c r="C843" s="66"/>
      <c r="D843" s="66"/>
      <c r="G843" s="67"/>
      <c r="V843" s="67"/>
    </row>
    <row r="844">
      <c r="A844" s="66"/>
      <c r="B844" s="66"/>
      <c r="C844" s="66"/>
      <c r="D844" s="66"/>
      <c r="G844" s="67"/>
      <c r="V844" s="67"/>
    </row>
    <row r="845">
      <c r="A845" s="66"/>
      <c r="B845" s="66"/>
      <c r="C845" s="66"/>
      <c r="D845" s="66"/>
      <c r="G845" s="67"/>
      <c r="V845" s="67"/>
    </row>
    <row r="846">
      <c r="A846" s="66"/>
      <c r="B846" s="66"/>
      <c r="C846" s="66"/>
      <c r="D846" s="66"/>
      <c r="G846" s="67"/>
      <c r="V846" s="67"/>
    </row>
    <row r="847">
      <c r="A847" s="66"/>
      <c r="B847" s="66"/>
      <c r="C847" s="66"/>
      <c r="D847" s="66"/>
      <c r="G847" s="67"/>
      <c r="V847" s="67"/>
    </row>
    <row r="848">
      <c r="A848" s="66"/>
      <c r="B848" s="66"/>
      <c r="C848" s="66"/>
      <c r="D848" s="66"/>
      <c r="G848" s="67"/>
      <c r="V848" s="67"/>
    </row>
    <row r="849">
      <c r="A849" s="66"/>
      <c r="B849" s="66"/>
      <c r="C849" s="66"/>
      <c r="D849" s="66"/>
      <c r="G849" s="67"/>
      <c r="V849" s="67"/>
    </row>
    <row r="850">
      <c r="A850" s="66"/>
      <c r="B850" s="66"/>
      <c r="C850" s="66"/>
      <c r="D850" s="66"/>
      <c r="G850" s="67"/>
      <c r="V850" s="67"/>
    </row>
    <row r="851">
      <c r="A851" s="66"/>
      <c r="B851" s="66"/>
      <c r="C851" s="66"/>
      <c r="D851" s="66"/>
      <c r="G851" s="67"/>
      <c r="V851" s="67"/>
    </row>
    <row r="852">
      <c r="A852" s="66"/>
      <c r="B852" s="66"/>
      <c r="C852" s="66"/>
      <c r="D852" s="66"/>
      <c r="G852" s="67"/>
      <c r="V852" s="67"/>
    </row>
    <row r="853">
      <c r="A853" s="66"/>
      <c r="B853" s="66"/>
      <c r="C853" s="66"/>
      <c r="D853" s="66"/>
      <c r="G853" s="67"/>
      <c r="V853" s="67"/>
    </row>
    <row r="854">
      <c r="A854" s="66"/>
      <c r="B854" s="66"/>
      <c r="C854" s="66"/>
      <c r="D854" s="66"/>
      <c r="G854" s="67"/>
      <c r="V854" s="67"/>
    </row>
    <row r="855">
      <c r="A855" s="66"/>
      <c r="B855" s="66"/>
      <c r="C855" s="66"/>
      <c r="D855" s="66"/>
      <c r="G855" s="67"/>
      <c r="V855" s="67"/>
    </row>
    <row r="856">
      <c r="A856" s="66"/>
      <c r="B856" s="66"/>
      <c r="C856" s="66"/>
      <c r="D856" s="66"/>
      <c r="G856" s="67"/>
      <c r="V856" s="67"/>
    </row>
    <row r="857">
      <c r="A857" s="66"/>
      <c r="B857" s="66"/>
      <c r="C857" s="66"/>
      <c r="D857" s="66"/>
      <c r="G857" s="67"/>
      <c r="V857" s="67"/>
    </row>
    <row r="858">
      <c r="A858" s="66"/>
      <c r="B858" s="66"/>
      <c r="C858" s="66"/>
      <c r="D858" s="66"/>
      <c r="G858" s="67"/>
      <c r="V858" s="67"/>
    </row>
    <row r="859">
      <c r="A859" s="66"/>
      <c r="B859" s="66"/>
      <c r="C859" s="66"/>
      <c r="D859" s="66"/>
      <c r="G859" s="67"/>
      <c r="V859" s="67"/>
    </row>
    <row r="860">
      <c r="A860" s="66"/>
      <c r="B860" s="66"/>
      <c r="C860" s="66"/>
      <c r="D860" s="66"/>
      <c r="G860" s="67"/>
      <c r="V860" s="67"/>
    </row>
    <row r="861">
      <c r="A861" s="66"/>
      <c r="B861" s="66"/>
      <c r="C861" s="66"/>
      <c r="D861" s="66"/>
      <c r="G861" s="67"/>
      <c r="V861" s="67"/>
    </row>
    <row r="862">
      <c r="A862" s="66"/>
      <c r="B862" s="66"/>
      <c r="C862" s="66"/>
      <c r="D862" s="66"/>
      <c r="G862" s="67"/>
      <c r="V862" s="67"/>
    </row>
    <row r="863">
      <c r="A863" s="66"/>
      <c r="B863" s="66"/>
      <c r="C863" s="66"/>
      <c r="D863" s="66"/>
      <c r="G863" s="67"/>
      <c r="V863" s="67"/>
    </row>
    <row r="864">
      <c r="A864" s="66"/>
      <c r="B864" s="66"/>
      <c r="C864" s="66"/>
      <c r="D864" s="66"/>
      <c r="G864" s="67"/>
      <c r="V864" s="67"/>
    </row>
    <row r="865">
      <c r="A865" s="66"/>
      <c r="B865" s="66"/>
      <c r="C865" s="66"/>
      <c r="D865" s="66"/>
      <c r="G865" s="67"/>
      <c r="V865" s="67"/>
    </row>
    <row r="866">
      <c r="A866" s="66"/>
      <c r="B866" s="66"/>
      <c r="C866" s="66"/>
      <c r="D866" s="66"/>
      <c r="G866" s="67"/>
      <c r="V866" s="67"/>
    </row>
    <row r="867">
      <c r="A867" s="66"/>
      <c r="B867" s="66"/>
      <c r="C867" s="66"/>
      <c r="D867" s="66"/>
      <c r="G867" s="67"/>
      <c r="V867" s="67"/>
    </row>
    <row r="868">
      <c r="A868" s="66"/>
      <c r="B868" s="66"/>
      <c r="C868" s="66"/>
      <c r="D868" s="66"/>
      <c r="G868" s="67"/>
      <c r="V868" s="67"/>
    </row>
    <row r="869">
      <c r="A869" s="66"/>
      <c r="B869" s="66"/>
      <c r="C869" s="66"/>
      <c r="D869" s="66"/>
      <c r="G869" s="67"/>
      <c r="V869" s="67"/>
    </row>
    <row r="870">
      <c r="A870" s="66"/>
      <c r="B870" s="66"/>
      <c r="C870" s="66"/>
      <c r="D870" s="66"/>
      <c r="G870" s="67"/>
      <c r="V870" s="67"/>
    </row>
    <row r="871">
      <c r="A871" s="66"/>
      <c r="B871" s="66"/>
      <c r="C871" s="66"/>
      <c r="D871" s="66"/>
      <c r="G871" s="67"/>
      <c r="V871" s="67"/>
    </row>
    <row r="872">
      <c r="A872" s="66"/>
      <c r="B872" s="66"/>
      <c r="C872" s="66"/>
      <c r="D872" s="66"/>
      <c r="G872" s="67"/>
      <c r="V872" s="67"/>
    </row>
    <row r="873">
      <c r="A873" s="66"/>
      <c r="B873" s="66"/>
      <c r="C873" s="66"/>
      <c r="D873" s="66"/>
      <c r="G873" s="67"/>
      <c r="V873" s="67"/>
    </row>
    <row r="874">
      <c r="A874" s="66"/>
      <c r="B874" s="66"/>
      <c r="C874" s="66"/>
      <c r="D874" s="66"/>
      <c r="G874" s="67"/>
      <c r="V874" s="67"/>
    </row>
    <row r="875">
      <c r="A875" s="66"/>
      <c r="B875" s="66"/>
      <c r="C875" s="66"/>
      <c r="D875" s="66"/>
      <c r="G875" s="67"/>
      <c r="V875" s="67"/>
    </row>
    <row r="876">
      <c r="A876" s="66"/>
      <c r="B876" s="66"/>
      <c r="C876" s="66"/>
      <c r="D876" s="66"/>
      <c r="G876" s="67"/>
      <c r="V876" s="67"/>
    </row>
    <row r="877">
      <c r="A877" s="66"/>
      <c r="B877" s="66"/>
      <c r="C877" s="66"/>
      <c r="D877" s="66"/>
      <c r="G877" s="67"/>
      <c r="V877" s="67"/>
    </row>
    <row r="878">
      <c r="A878" s="66"/>
      <c r="B878" s="66"/>
      <c r="C878" s="66"/>
      <c r="D878" s="66"/>
      <c r="G878" s="67"/>
      <c r="V878" s="67"/>
    </row>
    <row r="879">
      <c r="A879" s="66"/>
      <c r="B879" s="66"/>
      <c r="C879" s="66"/>
      <c r="D879" s="66"/>
      <c r="G879" s="67"/>
      <c r="V879" s="67"/>
    </row>
    <row r="880">
      <c r="A880" s="66"/>
      <c r="B880" s="66"/>
      <c r="C880" s="66"/>
      <c r="D880" s="66"/>
      <c r="G880" s="67"/>
      <c r="V880" s="67"/>
    </row>
    <row r="881">
      <c r="A881" s="66"/>
      <c r="B881" s="66"/>
      <c r="C881" s="66"/>
      <c r="D881" s="66"/>
      <c r="G881" s="67"/>
      <c r="V881" s="67"/>
    </row>
    <row r="882">
      <c r="A882" s="66"/>
      <c r="B882" s="66"/>
      <c r="C882" s="66"/>
      <c r="D882" s="66"/>
      <c r="G882" s="67"/>
      <c r="V882" s="67"/>
    </row>
    <row r="883">
      <c r="A883" s="66"/>
      <c r="B883" s="66"/>
      <c r="C883" s="66"/>
      <c r="D883" s="66"/>
      <c r="G883" s="67"/>
      <c r="V883" s="67"/>
    </row>
    <row r="884">
      <c r="A884" s="66"/>
      <c r="B884" s="66"/>
      <c r="C884" s="66"/>
      <c r="D884" s="66"/>
      <c r="G884" s="67"/>
      <c r="V884" s="67"/>
    </row>
    <row r="885">
      <c r="A885" s="66"/>
      <c r="B885" s="66"/>
      <c r="C885" s="66"/>
      <c r="D885" s="66"/>
      <c r="G885" s="67"/>
      <c r="V885" s="67"/>
    </row>
    <row r="886">
      <c r="A886" s="66"/>
      <c r="B886" s="66"/>
      <c r="C886" s="66"/>
      <c r="D886" s="66"/>
      <c r="G886" s="67"/>
      <c r="V886" s="67"/>
    </row>
    <row r="887">
      <c r="A887" s="66"/>
      <c r="B887" s="66"/>
      <c r="C887" s="66"/>
      <c r="D887" s="66"/>
      <c r="G887" s="67"/>
      <c r="V887" s="67"/>
    </row>
    <row r="888">
      <c r="A888" s="66"/>
      <c r="B888" s="66"/>
      <c r="C888" s="66"/>
      <c r="D888" s="66"/>
      <c r="G888" s="67"/>
      <c r="V888" s="67"/>
    </row>
    <row r="889">
      <c r="A889" s="66"/>
      <c r="B889" s="66"/>
      <c r="C889" s="66"/>
      <c r="D889" s="66"/>
      <c r="G889" s="67"/>
      <c r="V889" s="67"/>
    </row>
    <row r="890">
      <c r="A890" s="66"/>
      <c r="B890" s="66"/>
      <c r="C890" s="66"/>
      <c r="D890" s="66"/>
      <c r="G890" s="67"/>
      <c r="V890" s="67"/>
    </row>
    <row r="891">
      <c r="A891" s="66"/>
      <c r="B891" s="66"/>
      <c r="C891" s="66"/>
      <c r="D891" s="66"/>
      <c r="G891" s="67"/>
      <c r="V891" s="67"/>
    </row>
    <row r="892">
      <c r="A892" s="66"/>
      <c r="B892" s="66"/>
      <c r="C892" s="66"/>
      <c r="D892" s="66"/>
      <c r="G892" s="67"/>
      <c r="V892" s="67"/>
    </row>
    <row r="893">
      <c r="A893" s="66"/>
      <c r="B893" s="66"/>
      <c r="C893" s="66"/>
      <c r="D893" s="66"/>
      <c r="G893" s="67"/>
      <c r="V893" s="67"/>
    </row>
    <row r="894">
      <c r="A894" s="66"/>
      <c r="B894" s="66"/>
      <c r="C894" s="66"/>
      <c r="D894" s="66"/>
      <c r="G894" s="67"/>
      <c r="V894" s="67"/>
    </row>
    <row r="895">
      <c r="A895" s="66"/>
      <c r="B895" s="66"/>
      <c r="C895" s="66"/>
      <c r="D895" s="66"/>
      <c r="G895" s="67"/>
      <c r="V895" s="67"/>
    </row>
    <row r="896">
      <c r="A896" s="66"/>
      <c r="B896" s="66"/>
      <c r="C896" s="66"/>
      <c r="D896" s="66"/>
      <c r="G896" s="67"/>
      <c r="V896" s="67"/>
    </row>
    <row r="897">
      <c r="A897" s="66"/>
      <c r="B897" s="66"/>
      <c r="C897" s="66"/>
      <c r="D897" s="66"/>
      <c r="G897" s="67"/>
      <c r="V897" s="67"/>
    </row>
    <row r="898">
      <c r="A898" s="66"/>
      <c r="B898" s="66"/>
      <c r="C898" s="66"/>
      <c r="D898" s="66"/>
      <c r="G898" s="67"/>
      <c r="V898" s="67"/>
    </row>
    <row r="899">
      <c r="A899" s="66"/>
      <c r="B899" s="66"/>
      <c r="C899" s="66"/>
      <c r="D899" s="66"/>
      <c r="G899" s="67"/>
      <c r="V899" s="67"/>
    </row>
    <row r="900">
      <c r="A900" s="66"/>
      <c r="B900" s="66"/>
      <c r="C900" s="66"/>
      <c r="D900" s="66"/>
      <c r="G900" s="67"/>
      <c r="V900" s="67"/>
    </row>
    <row r="901">
      <c r="A901" s="66"/>
      <c r="B901" s="66"/>
      <c r="C901" s="66"/>
      <c r="D901" s="66"/>
      <c r="G901" s="67"/>
      <c r="V901" s="67"/>
    </row>
    <row r="902">
      <c r="A902" s="66"/>
      <c r="B902" s="66"/>
      <c r="C902" s="66"/>
      <c r="D902" s="66"/>
      <c r="G902" s="67"/>
      <c r="V902" s="67"/>
    </row>
    <row r="903">
      <c r="A903" s="66"/>
      <c r="B903" s="66"/>
      <c r="C903" s="66"/>
      <c r="D903" s="66"/>
      <c r="G903" s="67"/>
      <c r="V903" s="67"/>
    </row>
    <row r="904">
      <c r="A904" s="66"/>
      <c r="B904" s="66"/>
      <c r="C904" s="66"/>
      <c r="D904" s="66"/>
      <c r="G904" s="67"/>
      <c r="V904" s="67"/>
    </row>
    <row r="905">
      <c r="A905" s="66"/>
      <c r="B905" s="66"/>
      <c r="C905" s="66"/>
      <c r="D905" s="66"/>
      <c r="G905" s="67"/>
      <c r="V905" s="67"/>
    </row>
    <row r="906">
      <c r="A906" s="66"/>
      <c r="B906" s="66"/>
      <c r="C906" s="66"/>
      <c r="D906" s="66"/>
      <c r="G906" s="67"/>
      <c r="V906" s="67"/>
    </row>
    <row r="907">
      <c r="A907" s="66"/>
      <c r="B907" s="66"/>
      <c r="C907" s="66"/>
      <c r="D907" s="66"/>
      <c r="G907" s="67"/>
      <c r="V907" s="67"/>
    </row>
    <row r="908">
      <c r="A908" s="66"/>
      <c r="B908" s="66"/>
      <c r="C908" s="66"/>
      <c r="D908" s="66"/>
      <c r="G908" s="67"/>
      <c r="V908" s="67"/>
    </row>
    <row r="909">
      <c r="A909" s="66"/>
      <c r="B909" s="66"/>
      <c r="C909" s="66"/>
      <c r="D909" s="66"/>
      <c r="G909" s="67"/>
      <c r="V909" s="67"/>
    </row>
    <row r="910">
      <c r="A910" s="66"/>
      <c r="B910" s="66"/>
      <c r="C910" s="66"/>
      <c r="D910" s="66"/>
      <c r="G910" s="67"/>
      <c r="V910" s="67"/>
    </row>
    <row r="911">
      <c r="A911" s="66"/>
      <c r="B911" s="66"/>
      <c r="C911" s="66"/>
      <c r="D911" s="66"/>
      <c r="G911" s="67"/>
      <c r="V911" s="67"/>
    </row>
    <row r="912">
      <c r="A912" s="66"/>
      <c r="B912" s="66"/>
      <c r="C912" s="66"/>
      <c r="D912" s="66"/>
      <c r="G912" s="67"/>
      <c r="V912" s="67"/>
    </row>
    <row r="913">
      <c r="A913" s="66"/>
      <c r="B913" s="66"/>
      <c r="C913" s="66"/>
      <c r="D913" s="66"/>
      <c r="G913" s="67"/>
      <c r="V913" s="67"/>
    </row>
    <row r="914">
      <c r="A914" s="66"/>
      <c r="B914" s="66"/>
      <c r="C914" s="66"/>
      <c r="D914" s="66"/>
      <c r="G914" s="67"/>
      <c r="V914" s="67"/>
    </row>
    <row r="915">
      <c r="A915" s="66"/>
      <c r="B915" s="66"/>
      <c r="C915" s="66"/>
      <c r="D915" s="66"/>
      <c r="G915" s="67"/>
      <c r="V915" s="67"/>
    </row>
    <row r="916">
      <c r="A916" s="66"/>
      <c r="B916" s="66"/>
      <c r="C916" s="66"/>
      <c r="D916" s="66"/>
      <c r="G916" s="67"/>
      <c r="V916" s="67"/>
    </row>
    <row r="917">
      <c r="A917" s="66"/>
      <c r="B917" s="66"/>
      <c r="C917" s="66"/>
      <c r="D917" s="66"/>
      <c r="G917" s="67"/>
      <c r="V917" s="67"/>
    </row>
    <row r="918">
      <c r="A918" s="66"/>
      <c r="B918" s="66"/>
      <c r="C918" s="66"/>
      <c r="D918" s="66"/>
      <c r="G918" s="67"/>
      <c r="V918" s="67"/>
    </row>
    <row r="919">
      <c r="A919" s="66"/>
      <c r="B919" s="66"/>
      <c r="C919" s="66"/>
      <c r="D919" s="66"/>
      <c r="G919" s="67"/>
      <c r="V919" s="67"/>
    </row>
    <row r="920">
      <c r="A920" s="66"/>
      <c r="B920" s="66"/>
      <c r="C920" s="66"/>
      <c r="D920" s="66"/>
      <c r="G920" s="67"/>
      <c r="V920" s="67"/>
    </row>
    <row r="921">
      <c r="A921" s="66"/>
      <c r="B921" s="66"/>
      <c r="C921" s="66"/>
      <c r="D921" s="66"/>
      <c r="G921" s="67"/>
      <c r="V921" s="67"/>
    </row>
    <row r="922">
      <c r="A922" s="66"/>
      <c r="B922" s="66"/>
      <c r="C922" s="66"/>
      <c r="D922" s="66"/>
      <c r="G922" s="67"/>
      <c r="V922" s="67"/>
    </row>
    <row r="923">
      <c r="A923" s="66"/>
      <c r="B923" s="66"/>
      <c r="C923" s="66"/>
      <c r="D923" s="66"/>
      <c r="G923" s="67"/>
      <c r="V923" s="67"/>
    </row>
    <row r="924">
      <c r="A924" s="66"/>
      <c r="B924" s="66"/>
      <c r="C924" s="66"/>
      <c r="D924" s="66"/>
      <c r="G924" s="67"/>
      <c r="V924" s="67"/>
    </row>
    <row r="925">
      <c r="A925" s="66"/>
      <c r="B925" s="66"/>
      <c r="C925" s="66"/>
      <c r="D925" s="66"/>
      <c r="G925" s="67"/>
      <c r="V925" s="67"/>
    </row>
    <row r="926">
      <c r="A926" s="66"/>
      <c r="B926" s="66"/>
      <c r="C926" s="66"/>
      <c r="D926" s="66"/>
      <c r="G926" s="67"/>
      <c r="V926" s="67"/>
    </row>
    <row r="927">
      <c r="A927" s="66"/>
      <c r="B927" s="66"/>
      <c r="C927" s="66"/>
      <c r="D927" s="66"/>
      <c r="G927" s="67"/>
      <c r="V927" s="67"/>
    </row>
    <row r="928">
      <c r="A928" s="66"/>
      <c r="B928" s="66"/>
      <c r="C928" s="66"/>
      <c r="D928" s="66"/>
      <c r="G928" s="67"/>
      <c r="V928" s="67"/>
    </row>
    <row r="929">
      <c r="A929" s="66"/>
      <c r="B929" s="66"/>
      <c r="C929" s="66"/>
      <c r="D929" s="66"/>
      <c r="G929" s="67"/>
      <c r="V929" s="67"/>
    </row>
    <row r="930">
      <c r="A930" s="66"/>
      <c r="B930" s="66"/>
      <c r="C930" s="66"/>
      <c r="D930" s="66"/>
      <c r="G930" s="67"/>
      <c r="V930" s="67"/>
    </row>
    <row r="931">
      <c r="A931" s="66"/>
      <c r="B931" s="66"/>
      <c r="C931" s="66"/>
      <c r="D931" s="66"/>
      <c r="G931" s="67"/>
      <c r="V931" s="67"/>
    </row>
    <row r="932">
      <c r="A932" s="66"/>
      <c r="B932" s="66"/>
      <c r="C932" s="66"/>
      <c r="D932" s="66"/>
      <c r="G932" s="67"/>
      <c r="V932" s="67"/>
    </row>
    <row r="933">
      <c r="A933" s="66"/>
      <c r="B933" s="66"/>
      <c r="C933" s="66"/>
      <c r="D933" s="66"/>
      <c r="G933" s="67"/>
      <c r="V933" s="67"/>
    </row>
    <row r="934">
      <c r="A934" s="66"/>
      <c r="B934" s="66"/>
      <c r="C934" s="66"/>
      <c r="D934" s="66"/>
      <c r="G934" s="67"/>
      <c r="V934" s="67"/>
    </row>
    <row r="935">
      <c r="A935" s="66"/>
      <c r="B935" s="66"/>
      <c r="C935" s="66"/>
      <c r="D935" s="66"/>
      <c r="G935" s="67"/>
      <c r="V935" s="67"/>
    </row>
    <row r="936">
      <c r="A936" s="66"/>
      <c r="B936" s="66"/>
      <c r="C936" s="66"/>
      <c r="D936" s="66"/>
      <c r="G936" s="67"/>
      <c r="V936" s="67"/>
    </row>
    <row r="937">
      <c r="A937" s="66"/>
      <c r="B937" s="66"/>
      <c r="C937" s="66"/>
      <c r="D937" s="66"/>
      <c r="G937" s="67"/>
      <c r="V937" s="67"/>
    </row>
    <row r="938">
      <c r="A938" s="66"/>
      <c r="B938" s="66"/>
      <c r="C938" s="66"/>
      <c r="D938" s="66"/>
      <c r="G938" s="67"/>
      <c r="V938" s="67"/>
    </row>
    <row r="939">
      <c r="A939" s="66"/>
      <c r="B939" s="66"/>
      <c r="C939" s="66"/>
      <c r="D939" s="66"/>
      <c r="G939" s="67"/>
      <c r="V939" s="67"/>
    </row>
    <row r="940">
      <c r="A940" s="66"/>
      <c r="B940" s="66"/>
      <c r="C940" s="66"/>
      <c r="D940" s="66"/>
      <c r="G940" s="67"/>
      <c r="V940" s="67"/>
    </row>
    <row r="941">
      <c r="A941" s="66"/>
      <c r="B941" s="66"/>
      <c r="C941" s="66"/>
      <c r="D941" s="66"/>
      <c r="G941" s="67"/>
      <c r="V941" s="67"/>
    </row>
    <row r="942">
      <c r="A942" s="66"/>
      <c r="B942" s="66"/>
      <c r="C942" s="66"/>
      <c r="D942" s="66"/>
      <c r="G942" s="67"/>
      <c r="V942" s="67"/>
    </row>
    <row r="943">
      <c r="A943" s="66"/>
      <c r="B943" s="66"/>
      <c r="C943" s="66"/>
      <c r="D943" s="66"/>
      <c r="G943" s="67"/>
      <c r="V943" s="67"/>
    </row>
    <row r="944">
      <c r="A944" s="66"/>
      <c r="B944" s="66"/>
      <c r="C944" s="66"/>
      <c r="D944" s="66"/>
      <c r="G944" s="67"/>
      <c r="V944" s="67"/>
    </row>
    <row r="945">
      <c r="A945" s="66"/>
      <c r="B945" s="66"/>
      <c r="C945" s="66"/>
      <c r="D945" s="66"/>
      <c r="G945" s="67"/>
      <c r="V945" s="67"/>
    </row>
    <row r="946">
      <c r="A946" s="66"/>
      <c r="B946" s="66"/>
      <c r="C946" s="66"/>
      <c r="D946" s="66"/>
      <c r="G946" s="67"/>
      <c r="V946" s="67"/>
    </row>
    <row r="947">
      <c r="A947" s="66"/>
      <c r="B947" s="66"/>
      <c r="C947" s="66"/>
      <c r="D947" s="66"/>
      <c r="G947" s="67"/>
      <c r="V947" s="67"/>
    </row>
    <row r="948">
      <c r="A948" s="66"/>
      <c r="B948" s="66"/>
      <c r="C948" s="66"/>
      <c r="D948" s="66"/>
      <c r="G948" s="67"/>
      <c r="V948" s="67"/>
    </row>
    <row r="949">
      <c r="A949" s="66"/>
      <c r="B949" s="66"/>
      <c r="C949" s="66"/>
      <c r="D949" s="66"/>
      <c r="G949" s="67"/>
      <c r="V949" s="67"/>
    </row>
    <row r="950">
      <c r="A950" s="66"/>
      <c r="B950" s="66"/>
      <c r="C950" s="66"/>
      <c r="D950" s="66"/>
      <c r="G950" s="67"/>
      <c r="V950" s="67"/>
    </row>
    <row r="951">
      <c r="A951" s="66"/>
      <c r="B951" s="66"/>
      <c r="C951" s="66"/>
      <c r="D951" s="66"/>
      <c r="G951" s="67"/>
      <c r="V951" s="67"/>
    </row>
    <row r="952">
      <c r="A952" s="66"/>
      <c r="B952" s="66"/>
      <c r="C952" s="66"/>
      <c r="D952" s="66"/>
      <c r="G952" s="67"/>
      <c r="V952" s="67"/>
    </row>
    <row r="953">
      <c r="A953" s="66"/>
      <c r="B953" s="66"/>
      <c r="C953" s="66"/>
      <c r="D953" s="66"/>
      <c r="G953" s="67"/>
      <c r="V953" s="67"/>
    </row>
    <row r="954">
      <c r="A954" s="66"/>
      <c r="B954" s="66"/>
      <c r="C954" s="66"/>
      <c r="D954" s="66"/>
      <c r="G954" s="67"/>
      <c r="V954" s="67"/>
    </row>
    <row r="955">
      <c r="A955" s="66"/>
      <c r="B955" s="66"/>
      <c r="C955" s="66"/>
      <c r="D955" s="66"/>
      <c r="G955" s="67"/>
      <c r="V955" s="67"/>
    </row>
    <row r="956">
      <c r="A956" s="66"/>
      <c r="B956" s="66"/>
      <c r="C956" s="66"/>
      <c r="D956" s="66"/>
      <c r="G956" s="67"/>
      <c r="V956" s="67"/>
    </row>
    <row r="957">
      <c r="A957" s="66"/>
      <c r="B957" s="66"/>
      <c r="C957" s="66"/>
      <c r="D957" s="66"/>
      <c r="G957" s="67"/>
      <c r="V957" s="67"/>
    </row>
    <row r="958">
      <c r="A958" s="66"/>
      <c r="B958" s="66"/>
      <c r="C958" s="66"/>
      <c r="D958" s="66"/>
      <c r="G958" s="67"/>
      <c r="V958" s="67"/>
    </row>
    <row r="959">
      <c r="A959" s="66"/>
      <c r="B959" s="66"/>
      <c r="C959" s="66"/>
      <c r="D959" s="66"/>
      <c r="G959" s="67"/>
      <c r="V959" s="67"/>
    </row>
    <row r="960">
      <c r="A960" s="66"/>
      <c r="B960" s="66"/>
      <c r="C960" s="66"/>
      <c r="D960" s="66"/>
      <c r="G960" s="67"/>
      <c r="V960" s="67"/>
    </row>
    <row r="961">
      <c r="A961" s="66"/>
      <c r="B961" s="66"/>
      <c r="C961" s="66"/>
      <c r="D961" s="66"/>
      <c r="G961" s="67"/>
      <c r="V961" s="67"/>
    </row>
    <row r="962">
      <c r="A962" s="66"/>
      <c r="B962" s="66"/>
      <c r="C962" s="66"/>
      <c r="D962" s="66"/>
      <c r="G962" s="67"/>
      <c r="V962" s="67"/>
    </row>
    <row r="963">
      <c r="A963" s="66"/>
      <c r="B963" s="66"/>
      <c r="C963" s="66"/>
      <c r="D963" s="66"/>
      <c r="G963" s="67"/>
      <c r="V963" s="67"/>
    </row>
    <row r="964">
      <c r="A964" s="66"/>
      <c r="B964" s="66"/>
      <c r="C964" s="66"/>
      <c r="D964" s="66"/>
      <c r="G964" s="67"/>
      <c r="V964" s="67"/>
    </row>
    <row r="965">
      <c r="A965" s="66"/>
      <c r="B965" s="66"/>
      <c r="C965" s="66"/>
      <c r="D965" s="66"/>
      <c r="G965" s="67"/>
      <c r="V965" s="67"/>
    </row>
    <row r="966">
      <c r="A966" s="66"/>
      <c r="B966" s="66"/>
      <c r="C966" s="66"/>
      <c r="D966" s="66"/>
      <c r="G966" s="67"/>
      <c r="V966" s="67"/>
    </row>
    <row r="967">
      <c r="A967" s="66"/>
      <c r="B967" s="66"/>
      <c r="C967" s="66"/>
      <c r="D967" s="66"/>
      <c r="G967" s="67"/>
      <c r="V967" s="67"/>
    </row>
    <row r="968">
      <c r="A968" s="66"/>
      <c r="B968" s="66"/>
      <c r="C968" s="66"/>
      <c r="D968" s="66"/>
      <c r="G968" s="67"/>
      <c r="V968" s="67"/>
    </row>
    <row r="969">
      <c r="A969" s="66"/>
      <c r="B969" s="66"/>
      <c r="C969" s="66"/>
      <c r="D969" s="66"/>
      <c r="G969" s="67"/>
      <c r="V969" s="67"/>
    </row>
    <row r="970">
      <c r="A970" s="66"/>
      <c r="B970" s="66"/>
      <c r="C970" s="66"/>
      <c r="D970" s="66"/>
      <c r="G970" s="67"/>
      <c r="V970" s="67"/>
    </row>
    <row r="971">
      <c r="A971" s="66"/>
      <c r="B971" s="66"/>
      <c r="C971" s="66"/>
      <c r="D971" s="66"/>
      <c r="G971" s="67"/>
      <c r="V971" s="67"/>
    </row>
    <row r="972">
      <c r="A972" s="66"/>
      <c r="B972" s="66"/>
      <c r="C972" s="66"/>
      <c r="D972" s="66"/>
      <c r="G972" s="67"/>
      <c r="V972" s="67"/>
    </row>
    <row r="973">
      <c r="A973" s="66"/>
      <c r="B973" s="66"/>
      <c r="C973" s="66"/>
      <c r="D973" s="66"/>
      <c r="G973" s="67"/>
      <c r="V973" s="67"/>
    </row>
    <row r="974">
      <c r="A974" s="66"/>
      <c r="B974" s="66"/>
      <c r="C974" s="66"/>
      <c r="D974" s="66"/>
      <c r="G974" s="67"/>
      <c r="V974" s="67"/>
    </row>
    <row r="975">
      <c r="A975" s="66"/>
      <c r="B975" s="66"/>
      <c r="C975" s="66"/>
      <c r="D975" s="66"/>
      <c r="G975" s="67"/>
      <c r="V975" s="67"/>
    </row>
    <row r="976">
      <c r="A976" s="66"/>
      <c r="B976" s="66"/>
      <c r="C976" s="66"/>
      <c r="D976" s="66"/>
      <c r="G976" s="67"/>
      <c r="V976" s="67"/>
    </row>
    <row r="977">
      <c r="A977" s="66"/>
      <c r="B977" s="66"/>
      <c r="C977" s="66"/>
      <c r="D977" s="66"/>
      <c r="G977" s="67"/>
      <c r="V977" s="67"/>
    </row>
    <row r="978">
      <c r="A978" s="66"/>
      <c r="B978" s="66"/>
      <c r="C978" s="66"/>
      <c r="D978" s="66"/>
      <c r="G978" s="67"/>
      <c r="V978" s="67"/>
    </row>
    <row r="979">
      <c r="A979" s="66"/>
      <c r="B979" s="66"/>
      <c r="C979" s="66"/>
      <c r="D979" s="66"/>
      <c r="G979" s="67"/>
      <c r="V979" s="67"/>
    </row>
    <row r="980">
      <c r="A980" s="66"/>
      <c r="B980" s="66"/>
      <c r="C980" s="66"/>
      <c r="D980" s="66"/>
      <c r="G980" s="67"/>
      <c r="V980" s="67"/>
    </row>
    <row r="981">
      <c r="A981" s="66"/>
      <c r="B981" s="66"/>
      <c r="C981" s="66"/>
      <c r="D981" s="66"/>
      <c r="G981" s="67"/>
      <c r="V981" s="67"/>
    </row>
    <row r="982">
      <c r="A982" s="66"/>
      <c r="B982" s="66"/>
      <c r="C982" s="66"/>
      <c r="D982" s="66"/>
      <c r="G982" s="67"/>
      <c r="V982" s="67"/>
    </row>
    <row r="983">
      <c r="A983" s="66"/>
      <c r="B983" s="66"/>
      <c r="C983" s="66"/>
      <c r="D983" s="66"/>
      <c r="G983" s="67"/>
      <c r="V983" s="67"/>
    </row>
    <row r="984">
      <c r="A984" s="66"/>
      <c r="B984" s="66"/>
      <c r="C984" s="66"/>
      <c r="D984" s="66"/>
      <c r="G984" s="67"/>
      <c r="V984" s="67"/>
    </row>
    <row r="985">
      <c r="A985" s="66"/>
      <c r="B985" s="66"/>
      <c r="C985" s="66"/>
      <c r="D985" s="66"/>
      <c r="G985" s="67"/>
      <c r="V985" s="67"/>
    </row>
    <row r="986">
      <c r="A986" s="66"/>
      <c r="B986" s="66"/>
      <c r="C986" s="66"/>
      <c r="D986" s="66"/>
      <c r="G986" s="67"/>
      <c r="V986" s="67"/>
    </row>
    <row r="987">
      <c r="A987" s="66"/>
      <c r="B987" s="66"/>
      <c r="C987" s="66"/>
      <c r="D987" s="66"/>
      <c r="G987" s="67"/>
      <c r="V987" s="67"/>
    </row>
    <row r="988">
      <c r="A988" s="66"/>
      <c r="B988" s="66"/>
      <c r="C988" s="66"/>
      <c r="D988" s="66"/>
      <c r="G988" s="67"/>
      <c r="V988" s="67"/>
    </row>
    <row r="989">
      <c r="A989" s="66"/>
      <c r="B989" s="66"/>
      <c r="C989" s="66"/>
      <c r="D989" s="66"/>
      <c r="G989" s="67"/>
      <c r="V989" s="67"/>
    </row>
    <row r="990">
      <c r="A990" s="66"/>
      <c r="B990" s="66"/>
      <c r="C990" s="66"/>
      <c r="D990" s="66"/>
      <c r="G990" s="67"/>
      <c r="V990" s="67"/>
    </row>
    <row r="991">
      <c r="A991" s="66"/>
      <c r="B991" s="66"/>
      <c r="C991" s="66"/>
      <c r="D991" s="66"/>
      <c r="G991" s="67"/>
      <c r="V991" s="67"/>
    </row>
    <row r="992">
      <c r="A992" s="66"/>
      <c r="B992" s="66"/>
      <c r="C992" s="66"/>
      <c r="D992" s="66"/>
      <c r="G992" s="67"/>
      <c r="V992" s="67"/>
    </row>
    <row r="993">
      <c r="A993" s="66"/>
      <c r="B993" s="66"/>
      <c r="C993" s="66"/>
      <c r="D993" s="66"/>
      <c r="G993" s="67"/>
      <c r="V993" s="67"/>
    </row>
    <row r="994">
      <c r="A994" s="66"/>
      <c r="B994" s="66"/>
      <c r="C994" s="66"/>
      <c r="D994" s="66"/>
      <c r="G994" s="67"/>
      <c r="V994" s="67"/>
    </row>
    <row r="995">
      <c r="A995" s="66"/>
      <c r="B995" s="66"/>
      <c r="C995" s="66"/>
      <c r="D995" s="66"/>
      <c r="G995" s="67"/>
      <c r="V995" s="67"/>
    </row>
    <row r="996">
      <c r="A996" s="66"/>
      <c r="B996" s="66"/>
      <c r="C996" s="66"/>
      <c r="D996" s="66"/>
      <c r="G996" s="67"/>
      <c r="V996" s="67"/>
    </row>
    <row r="997">
      <c r="A997" s="66"/>
      <c r="B997" s="66"/>
      <c r="C997" s="66"/>
      <c r="D997" s="66"/>
      <c r="G997" s="67"/>
      <c r="V997" s="67"/>
    </row>
    <row r="998">
      <c r="A998" s="66"/>
      <c r="B998" s="66"/>
      <c r="C998" s="66"/>
      <c r="D998" s="66"/>
      <c r="G998" s="67"/>
      <c r="V998" s="67"/>
    </row>
    <row r="999">
      <c r="A999" s="66"/>
      <c r="B999" s="66"/>
      <c r="C999" s="66"/>
      <c r="D999" s="66"/>
      <c r="G999" s="67"/>
      <c r="V999" s="67"/>
    </row>
    <row r="1000">
      <c r="A1000" s="66"/>
      <c r="B1000" s="66"/>
      <c r="C1000" s="66"/>
      <c r="D1000" s="66"/>
      <c r="G1000" s="67"/>
      <c r="V1000" s="67"/>
    </row>
    <row r="1001">
      <c r="A1001" s="66"/>
      <c r="B1001" s="66"/>
      <c r="C1001" s="66"/>
      <c r="D1001" s="66"/>
      <c r="G1001" s="67"/>
      <c r="V1001" s="67"/>
    </row>
  </sheetData>
  <mergeCells count="4">
    <mergeCell ref="A1:D1"/>
    <mergeCell ref="F1:M1"/>
    <mergeCell ref="O1:T1"/>
    <mergeCell ref="V1:AB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15.0"/>
    <col customWidth="1" min="3" max="3" width="15.38"/>
    <col customWidth="1" min="4" max="4" width="174.75"/>
    <col customWidth="1" min="6" max="6" width="5.0"/>
    <col customWidth="1" min="7" max="7" width="15.63"/>
    <col customWidth="1" min="8" max="8" width="44.13"/>
    <col customWidth="1" min="15" max="15" width="14.75"/>
    <col customWidth="1" min="16" max="16" width="21.38"/>
    <col customWidth="1" min="17" max="17" width="104.75"/>
    <col customWidth="1" min="18" max="18" width="43.38"/>
    <col customWidth="1" min="22" max="22" width="5.0"/>
    <col customWidth="1" min="23" max="23" width="26.38"/>
    <col customWidth="1" min="24" max="24" width="117.25"/>
    <col customWidth="1" min="25" max="25" width="74.63"/>
    <col customWidth="1" min="26" max="26" width="12.13"/>
    <col customWidth="1" min="27" max="27" width="11.13"/>
  </cols>
  <sheetData>
    <row r="1">
      <c r="A1" s="1" t="s">
        <v>0</v>
      </c>
      <c r="B1" s="2"/>
      <c r="C1" s="2"/>
      <c r="D1" s="3"/>
      <c r="F1" s="4" t="s">
        <v>1</v>
      </c>
      <c r="G1" s="2"/>
      <c r="H1" s="2"/>
      <c r="I1" s="2"/>
      <c r="J1" s="2"/>
      <c r="K1" s="2"/>
      <c r="L1" s="2"/>
      <c r="M1" s="3"/>
      <c r="O1" s="5" t="s">
        <v>2</v>
      </c>
      <c r="P1" s="2"/>
      <c r="Q1" s="2"/>
      <c r="R1" s="2"/>
      <c r="S1" s="2"/>
      <c r="T1" s="3"/>
      <c r="V1" s="5" t="s">
        <v>3</v>
      </c>
      <c r="W1" s="2"/>
      <c r="X1" s="2"/>
      <c r="Y1" s="2"/>
      <c r="Z1" s="2"/>
      <c r="AA1" s="2"/>
      <c r="AB1" s="3"/>
    </row>
    <row r="2">
      <c r="A2" s="6" t="s">
        <v>4</v>
      </c>
      <c r="B2" s="6" t="s">
        <v>5</v>
      </c>
      <c r="C2" s="6" t="s">
        <v>6</v>
      </c>
      <c r="D2" s="6" t="s">
        <v>8</v>
      </c>
      <c r="F2" s="8" t="s">
        <v>4</v>
      </c>
      <c r="G2" s="9" t="s">
        <v>9</v>
      </c>
      <c r="H2" s="8" t="s">
        <v>11</v>
      </c>
      <c r="I2" s="8" t="s">
        <v>12</v>
      </c>
      <c r="J2" s="8" t="s">
        <v>13</v>
      </c>
      <c r="K2" s="8" t="s">
        <v>14</v>
      </c>
      <c r="L2" s="8" t="s">
        <v>15</v>
      </c>
      <c r="M2" s="8" t="s">
        <v>16</v>
      </c>
      <c r="O2" s="10" t="s">
        <v>17</v>
      </c>
      <c r="P2" s="10"/>
      <c r="Q2" s="10"/>
      <c r="R2" s="10"/>
      <c r="S2" s="12" t="s">
        <v>24</v>
      </c>
      <c r="T2" s="12" t="s">
        <v>25</v>
      </c>
      <c r="V2" s="10" t="s">
        <v>4</v>
      </c>
      <c r="W2" s="10" t="s">
        <v>26</v>
      </c>
      <c r="X2" s="10" t="s">
        <v>20</v>
      </c>
      <c r="Y2" s="10" t="s">
        <v>22</v>
      </c>
      <c r="Z2" s="12" t="s">
        <v>24</v>
      </c>
      <c r="AA2" s="12" t="s">
        <v>25</v>
      </c>
      <c r="AB2" s="12" t="s">
        <v>27</v>
      </c>
    </row>
    <row r="3">
      <c r="A3" s="13">
        <v>1.0</v>
      </c>
      <c r="B3" s="13">
        <v>2.0</v>
      </c>
      <c r="C3" s="13">
        <v>12.0</v>
      </c>
      <c r="D3" s="14" t="s">
        <v>811</v>
      </c>
      <c r="F3" s="15">
        <v>1.0</v>
      </c>
      <c r="G3" s="16">
        <v>2.0</v>
      </c>
      <c r="H3" s="15" t="s">
        <v>812</v>
      </c>
      <c r="I3" s="15">
        <v>2.0</v>
      </c>
      <c r="J3" s="15" t="s">
        <v>42</v>
      </c>
      <c r="K3" s="15" t="s">
        <v>42</v>
      </c>
      <c r="L3" s="15" t="s">
        <v>42</v>
      </c>
      <c r="M3" s="15" t="s">
        <v>42</v>
      </c>
      <c r="O3" s="17" t="s">
        <v>813</v>
      </c>
      <c r="P3" s="18" t="s">
        <v>66</v>
      </c>
      <c r="Q3" s="19" t="s">
        <v>814</v>
      </c>
      <c r="R3" s="20" t="s">
        <v>815</v>
      </c>
      <c r="S3" s="21">
        <v>8.0</v>
      </c>
      <c r="T3" s="21">
        <v>1.0</v>
      </c>
      <c r="V3" s="22">
        <v>1.0</v>
      </c>
      <c r="W3" s="24" t="s">
        <v>812</v>
      </c>
      <c r="X3" s="25" t="s">
        <v>816</v>
      </c>
      <c r="Y3" s="25" t="s">
        <v>817</v>
      </c>
      <c r="Z3" s="22">
        <v>6.0</v>
      </c>
      <c r="AA3" s="22">
        <v>1.0</v>
      </c>
    </row>
    <row r="4">
      <c r="A4" s="27">
        <v>2.0</v>
      </c>
      <c r="B4" s="28">
        <v>6.0</v>
      </c>
      <c r="C4" s="27">
        <v>28.0</v>
      </c>
      <c r="D4" s="28" t="s">
        <v>818</v>
      </c>
      <c r="F4" s="29">
        <v>2.0</v>
      </c>
      <c r="G4" s="30">
        <v>2.0</v>
      </c>
      <c r="H4" s="29" t="s">
        <v>819</v>
      </c>
      <c r="I4" s="29">
        <v>3.0</v>
      </c>
      <c r="J4" s="29" t="s">
        <v>42</v>
      </c>
      <c r="K4" s="29" t="s">
        <v>42</v>
      </c>
      <c r="L4" s="29" t="s">
        <v>42</v>
      </c>
      <c r="M4" s="29" t="s">
        <v>42</v>
      </c>
      <c r="O4" s="53"/>
      <c r="P4" s="32" t="s">
        <v>727</v>
      </c>
      <c r="Q4" s="33" t="s">
        <v>820</v>
      </c>
      <c r="R4" s="34" t="s">
        <v>817</v>
      </c>
      <c r="S4" s="35">
        <v>6.0</v>
      </c>
      <c r="T4" s="35">
        <v>1.0</v>
      </c>
      <c r="U4" s="103"/>
      <c r="V4" s="36">
        <v>1.0</v>
      </c>
      <c r="W4" s="37" t="s">
        <v>821</v>
      </c>
      <c r="X4" s="38" t="s">
        <v>822</v>
      </c>
      <c r="Y4" s="38" t="s">
        <v>372</v>
      </c>
      <c r="Z4" s="36">
        <v>0.0</v>
      </c>
      <c r="AA4" s="36">
        <v>0.0</v>
      </c>
    </row>
    <row r="5">
      <c r="A5" s="13">
        <v>3.0</v>
      </c>
      <c r="B5" s="14">
        <v>12.0</v>
      </c>
      <c r="C5" s="13">
        <v>36.0</v>
      </c>
      <c r="D5" s="14" t="s">
        <v>823</v>
      </c>
      <c r="F5" s="15">
        <v>3.0</v>
      </c>
      <c r="G5" s="16">
        <v>2.0</v>
      </c>
      <c r="H5" s="15" t="s">
        <v>824</v>
      </c>
      <c r="I5" s="15">
        <v>4.0</v>
      </c>
      <c r="J5" s="15">
        <v>2.0</v>
      </c>
      <c r="K5" s="15" t="s">
        <v>42</v>
      </c>
      <c r="L5" s="15" t="s">
        <v>42</v>
      </c>
      <c r="M5" s="15" t="s">
        <v>42</v>
      </c>
      <c r="O5" s="53"/>
      <c r="P5" s="32" t="s">
        <v>34</v>
      </c>
      <c r="Q5" s="33" t="s">
        <v>825</v>
      </c>
      <c r="R5" s="34" t="s">
        <v>372</v>
      </c>
      <c r="S5" s="35" t="s">
        <v>42</v>
      </c>
      <c r="T5" s="35" t="s">
        <v>42</v>
      </c>
      <c r="U5" s="103"/>
      <c r="V5" s="39">
        <v>2.0</v>
      </c>
      <c r="W5" s="40" t="s">
        <v>819</v>
      </c>
      <c r="X5" s="41" t="s">
        <v>826</v>
      </c>
      <c r="Y5" s="41" t="s">
        <v>827</v>
      </c>
      <c r="Z5" s="39">
        <f>2*8+2*6</f>
        <v>28</v>
      </c>
      <c r="AA5" s="39">
        <v>4.0</v>
      </c>
    </row>
    <row r="6">
      <c r="A6" s="27">
        <v>4.0</v>
      </c>
      <c r="B6" s="28">
        <v>12.0</v>
      </c>
      <c r="C6" s="27">
        <v>36.0</v>
      </c>
      <c r="D6" s="28" t="s">
        <v>828</v>
      </c>
      <c r="F6" s="29">
        <v>4.0</v>
      </c>
      <c r="G6" s="30">
        <v>2.0</v>
      </c>
      <c r="H6" s="29" t="s">
        <v>76</v>
      </c>
      <c r="I6" s="29">
        <v>4.0</v>
      </c>
      <c r="J6" s="29">
        <v>2.0</v>
      </c>
      <c r="K6" s="29" t="s">
        <v>42</v>
      </c>
      <c r="L6" s="29" t="s">
        <v>42</v>
      </c>
      <c r="M6" s="29" t="s">
        <v>42</v>
      </c>
      <c r="O6" s="53"/>
      <c r="P6" s="32" t="s">
        <v>829</v>
      </c>
      <c r="Q6" s="33" t="s">
        <v>830</v>
      </c>
      <c r="R6" s="34" t="s">
        <v>372</v>
      </c>
      <c r="S6" s="35" t="s">
        <v>42</v>
      </c>
      <c r="T6" s="35" t="s">
        <v>42</v>
      </c>
      <c r="U6" s="103"/>
      <c r="V6" s="39">
        <v>2.0</v>
      </c>
      <c r="W6" s="40" t="s">
        <v>831</v>
      </c>
      <c r="X6" s="41" t="s">
        <v>832</v>
      </c>
      <c r="Y6" s="41" t="s">
        <v>372</v>
      </c>
      <c r="Z6" s="39">
        <v>0.0</v>
      </c>
      <c r="AA6" s="39">
        <v>0.0</v>
      </c>
    </row>
    <row r="7">
      <c r="A7" s="13">
        <v>5.0</v>
      </c>
      <c r="B7" s="14">
        <v>18.0</v>
      </c>
      <c r="C7" s="13">
        <v>60.0</v>
      </c>
      <c r="D7" s="14" t="s">
        <v>833</v>
      </c>
      <c r="F7" s="15">
        <v>5.0</v>
      </c>
      <c r="G7" s="16">
        <v>3.0</v>
      </c>
      <c r="H7" s="15" t="s">
        <v>834</v>
      </c>
      <c r="I7" s="15">
        <v>4.0</v>
      </c>
      <c r="J7" s="15">
        <v>3.0</v>
      </c>
      <c r="K7" s="15" t="s">
        <v>42</v>
      </c>
      <c r="L7" s="15" t="s">
        <v>42</v>
      </c>
      <c r="M7" s="15" t="s">
        <v>42</v>
      </c>
      <c r="O7" s="53"/>
      <c r="P7" s="32" t="s">
        <v>742</v>
      </c>
      <c r="Q7" s="33" t="s">
        <v>835</v>
      </c>
      <c r="R7" s="34" t="s">
        <v>372</v>
      </c>
      <c r="S7" s="35" t="s">
        <v>42</v>
      </c>
      <c r="T7" s="35" t="s">
        <v>42</v>
      </c>
      <c r="U7" s="103"/>
      <c r="V7" s="22">
        <v>3.0</v>
      </c>
      <c r="W7" s="24" t="s">
        <v>836</v>
      </c>
      <c r="X7" s="25" t="s">
        <v>837</v>
      </c>
      <c r="Y7" s="25" t="s">
        <v>838</v>
      </c>
      <c r="Z7" s="22">
        <v>6.0</v>
      </c>
      <c r="AA7" s="22">
        <v>1.0</v>
      </c>
    </row>
    <row r="8">
      <c r="A8" s="27">
        <v>6.0</v>
      </c>
      <c r="B8" s="28">
        <v>18.0</v>
      </c>
      <c r="C8" s="27">
        <v>60.0</v>
      </c>
      <c r="D8" s="28" t="s">
        <v>839</v>
      </c>
      <c r="F8" s="29">
        <v>6.0</v>
      </c>
      <c r="G8" s="30">
        <v>3.0</v>
      </c>
      <c r="H8" s="29" t="s">
        <v>840</v>
      </c>
      <c r="I8" s="29">
        <v>4.0</v>
      </c>
      <c r="J8" s="29">
        <v>3.0</v>
      </c>
      <c r="K8" s="29" t="s">
        <v>42</v>
      </c>
      <c r="L8" s="29" t="s">
        <v>42</v>
      </c>
      <c r="M8" s="29" t="s">
        <v>42</v>
      </c>
      <c r="O8" s="50"/>
      <c r="P8" s="45" t="s">
        <v>841</v>
      </c>
      <c r="Q8" s="46" t="s">
        <v>842</v>
      </c>
      <c r="R8" s="47" t="s">
        <v>817</v>
      </c>
      <c r="S8" s="48">
        <v>6.0</v>
      </c>
      <c r="T8" s="48">
        <v>1.0</v>
      </c>
      <c r="U8" s="103"/>
      <c r="V8" s="36">
        <v>4.0</v>
      </c>
      <c r="W8" s="37" t="s">
        <v>76</v>
      </c>
      <c r="X8" s="38" t="s">
        <v>843</v>
      </c>
      <c r="Y8" s="38" t="s">
        <v>372</v>
      </c>
      <c r="Z8" s="36">
        <v>0.0</v>
      </c>
      <c r="AA8" s="36">
        <v>0.0</v>
      </c>
    </row>
    <row r="9">
      <c r="A9" s="13">
        <v>7.0</v>
      </c>
      <c r="B9" s="14">
        <v>30.0</v>
      </c>
      <c r="C9" s="13">
        <v>80.0</v>
      </c>
      <c r="D9" s="14" t="s">
        <v>844</v>
      </c>
      <c r="F9" s="15">
        <v>7.0</v>
      </c>
      <c r="G9" s="16">
        <v>3.0</v>
      </c>
      <c r="H9" s="15" t="s">
        <v>845</v>
      </c>
      <c r="I9" s="15">
        <v>4.0</v>
      </c>
      <c r="J9" s="15">
        <v>3.0</v>
      </c>
      <c r="K9" s="15">
        <v>2.0</v>
      </c>
      <c r="L9" s="15" t="s">
        <v>42</v>
      </c>
      <c r="M9" s="15" t="s">
        <v>42</v>
      </c>
      <c r="O9" s="50" t="s">
        <v>846</v>
      </c>
      <c r="P9" s="45" t="s">
        <v>847</v>
      </c>
      <c r="Q9" s="46" t="s">
        <v>848</v>
      </c>
      <c r="R9" s="47" t="s">
        <v>849</v>
      </c>
      <c r="S9" s="48">
        <v>12.0</v>
      </c>
      <c r="T9" s="48">
        <v>2.0</v>
      </c>
      <c r="V9" s="39">
        <v>5.0</v>
      </c>
      <c r="W9" s="40" t="s">
        <v>834</v>
      </c>
      <c r="X9" s="41" t="s">
        <v>850</v>
      </c>
      <c r="Y9" s="41" t="s">
        <v>372</v>
      </c>
      <c r="Z9" s="39">
        <v>0.0</v>
      </c>
      <c r="AA9" s="39">
        <v>0.0</v>
      </c>
    </row>
    <row r="10">
      <c r="A10" s="27">
        <v>8.0</v>
      </c>
      <c r="B10" s="28">
        <v>30.0</v>
      </c>
      <c r="C10" s="27">
        <v>80.0</v>
      </c>
      <c r="D10" s="28" t="s">
        <v>851</v>
      </c>
      <c r="F10" s="29">
        <v>8.0</v>
      </c>
      <c r="G10" s="30">
        <v>3.0</v>
      </c>
      <c r="H10" s="29" t="s">
        <v>76</v>
      </c>
      <c r="I10" s="29">
        <v>4.0</v>
      </c>
      <c r="J10" s="29">
        <v>3.0</v>
      </c>
      <c r="K10" s="29">
        <v>2.0</v>
      </c>
      <c r="L10" s="29" t="s">
        <v>42</v>
      </c>
      <c r="M10" s="29" t="s">
        <v>42</v>
      </c>
      <c r="O10" s="50"/>
      <c r="P10" s="45" t="s">
        <v>852</v>
      </c>
      <c r="Q10" s="46" t="s">
        <v>97</v>
      </c>
      <c r="R10" s="47" t="s">
        <v>372</v>
      </c>
      <c r="S10" s="48" t="s">
        <v>42</v>
      </c>
      <c r="T10" s="48" t="s">
        <v>42</v>
      </c>
      <c r="U10" s="103"/>
      <c r="V10" s="39">
        <v>5.0</v>
      </c>
      <c r="W10" s="40" t="s">
        <v>853</v>
      </c>
      <c r="X10" s="41" t="s">
        <v>854</v>
      </c>
      <c r="Y10" s="41" t="s">
        <v>855</v>
      </c>
      <c r="Z10" s="39">
        <v>16.0</v>
      </c>
      <c r="AA10" s="39">
        <v>2.0</v>
      </c>
    </row>
    <row r="11">
      <c r="A11" s="13">
        <v>9.0</v>
      </c>
      <c r="B11" s="14">
        <v>48.0</v>
      </c>
      <c r="C11" s="13">
        <v>148.0</v>
      </c>
      <c r="D11" s="14" t="s">
        <v>856</v>
      </c>
      <c r="F11" s="15">
        <v>9.0</v>
      </c>
      <c r="G11" s="16">
        <v>4.0</v>
      </c>
      <c r="H11" s="15" t="s">
        <v>857</v>
      </c>
      <c r="I11" s="15">
        <v>4.0</v>
      </c>
      <c r="J11" s="15">
        <v>3.0</v>
      </c>
      <c r="K11" s="15">
        <v>3.0</v>
      </c>
      <c r="L11" s="15" t="s">
        <v>42</v>
      </c>
      <c r="M11" s="15" t="s">
        <v>42</v>
      </c>
      <c r="O11" s="50"/>
      <c r="P11" s="45" t="s">
        <v>858</v>
      </c>
      <c r="Q11" s="46" t="s">
        <v>859</v>
      </c>
      <c r="R11" s="47" t="s">
        <v>372</v>
      </c>
      <c r="S11" s="48" t="s">
        <v>42</v>
      </c>
      <c r="T11" s="48" t="s">
        <v>42</v>
      </c>
      <c r="U11" s="103"/>
      <c r="V11" s="22">
        <v>6.0</v>
      </c>
      <c r="W11" s="24" t="s">
        <v>840</v>
      </c>
      <c r="X11" s="25" t="s">
        <v>860</v>
      </c>
      <c r="Y11" s="25" t="s">
        <v>849</v>
      </c>
      <c r="Z11" s="22">
        <v>12.0</v>
      </c>
      <c r="AA11" s="22">
        <v>2.0</v>
      </c>
    </row>
    <row r="12">
      <c r="A12" s="27">
        <v>10.0</v>
      </c>
      <c r="B12" s="28">
        <v>48.0</v>
      </c>
      <c r="C12" s="27">
        <v>148.0</v>
      </c>
      <c r="D12" s="28" t="s">
        <v>861</v>
      </c>
      <c r="F12" s="29">
        <v>10.0</v>
      </c>
      <c r="G12" s="30">
        <v>4.0</v>
      </c>
      <c r="H12" s="29" t="s">
        <v>862</v>
      </c>
      <c r="I12" s="29">
        <v>4.0</v>
      </c>
      <c r="J12" s="29">
        <v>3.0</v>
      </c>
      <c r="K12" s="29">
        <v>3.0</v>
      </c>
      <c r="L12" s="29" t="s">
        <v>42</v>
      </c>
      <c r="M12" s="29" t="s">
        <v>42</v>
      </c>
      <c r="O12" s="50"/>
      <c r="P12" s="45" t="s">
        <v>403</v>
      </c>
      <c r="Q12" s="46" t="s">
        <v>863</v>
      </c>
      <c r="R12" s="47" t="s">
        <v>864</v>
      </c>
      <c r="S12" s="48">
        <v>13.0</v>
      </c>
      <c r="T12" s="48">
        <v>2.0</v>
      </c>
      <c r="U12" s="103"/>
      <c r="V12" s="36">
        <v>7.0</v>
      </c>
      <c r="W12" s="37" t="s">
        <v>845</v>
      </c>
      <c r="X12" s="38" t="s">
        <v>865</v>
      </c>
      <c r="Y12" s="38" t="s">
        <v>372</v>
      </c>
      <c r="Z12" s="36">
        <v>0.0</v>
      </c>
      <c r="AA12" s="36">
        <v>0.0</v>
      </c>
    </row>
    <row r="13">
      <c r="A13" s="13">
        <v>11.0</v>
      </c>
      <c r="B13" s="14">
        <v>60.0</v>
      </c>
      <c r="C13" s="13">
        <v>188.0</v>
      </c>
      <c r="D13" s="14" t="s">
        <v>866</v>
      </c>
      <c r="F13" s="15">
        <v>11.0</v>
      </c>
      <c r="G13" s="16">
        <v>4.0</v>
      </c>
      <c r="H13" s="15" t="s">
        <v>867</v>
      </c>
      <c r="I13" s="15">
        <v>4.0</v>
      </c>
      <c r="J13" s="15">
        <v>3.0</v>
      </c>
      <c r="K13" s="15">
        <v>3.0</v>
      </c>
      <c r="L13" s="15">
        <v>1.0</v>
      </c>
      <c r="M13" s="15" t="s">
        <v>42</v>
      </c>
      <c r="O13" s="50"/>
      <c r="P13" s="45" t="s">
        <v>868</v>
      </c>
      <c r="Q13" s="46" t="s">
        <v>869</v>
      </c>
      <c r="R13" s="47" t="s">
        <v>870</v>
      </c>
      <c r="S13" s="48">
        <v>12.0</v>
      </c>
      <c r="T13" s="48">
        <v>2.0</v>
      </c>
      <c r="U13" s="103"/>
      <c r="V13" s="39">
        <v>7.0</v>
      </c>
      <c r="W13" s="40" t="s">
        <v>871</v>
      </c>
      <c r="X13" s="41" t="s">
        <v>872</v>
      </c>
      <c r="Y13" s="41" t="s">
        <v>372</v>
      </c>
      <c r="Z13" s="39">
        <v>0.0</v>
      </c>
      <c r="AA13" s="39">
        <v>0.0</v>
      </c>
    </row>
    <row r="14">
      <c r="A14" s="27">
        <v>12.0</v>
      </c>
      <c r="B14" s="28">
        <v>60.0</v>
      </c>
      <c r="C14" s="27">
        <v>188.0</v>
      </c>
      <c r="D14" s="28" t="s">
        <v>873</v>
      </c>
      <c r="F14" s="29">
        <v>12.0</v>
      </c>
      <c r="G14" s="30">
        <v>4.0</v>
      </c>
      <c r="H14" s="29" t="s">
        <v>76</v>
      </c>
      <c r="I14" s="29">
        <v>4.0</v>
      </c>
      <c r="J14" s="29">
        <v>3.0</v>
      </c>
      <c r="K14" s="29">
        <v>3.0</v>
      </c>
      <c r="L14" s="29">
        <v>1.0</v>
      </c>
      <c r="M14" s="29" t="s">
        <v>42</v>
      </c>
      <c r="O14" s="53" t="s">
        <v>874</v>
      </c>
      <c r="P14" s="32" t="s">
        <v>770</v>
      </c>
      <c r="Q14" s="33" t="s">
        <v>875</v>
      </c>
      <c r="R14" s="34" t="s">
        <v>876</v>
      </c>
      <c r="S14" s="35">
        <v>24.0</v>
      </c>
      <c r="T14" s="35">
        <v>3.0</v>
      </c>
      <c r="V14" s="39">
        <v>8.0</v>
      </c>
      <c r="W14" s="40" t="s">
        <v>76</v>
      </c>
      <c r="X14" s="41" t="s">
        <v>843</v>
      </c>
      <c r="Y14" s="41" t="s">
        <v>372</v>
      </c>
      <c r="Z14" s="39">
        <v>0.0</v>
      </c>
      <c r="AA14" s="39">
        <v>0.0</v>
      </c>
    </row>
    <row r="15">
      <c r="A15" s="13">
        <v>13.0</v>
      </c>
      <c r="B15" s="14">
        <v>72.0</v>
      </c>
      <c r="C15" s="13">
        <v>228.0</v>
      </c>
      <c r="D15" s="14" t="s">
        <v>877</v>
      </c>
      <c r="F15" s="15">
        <v>13.0</v>
      </c>
      <c r="G15" s="16">
        <v>5.0</v>
      </c>
      <c r="H15" s="15" t="s">
        <v>878</v>
      </c>
      <c r="I15" s="15">
        <v>4.0</v>
      </c>
      <c r="J15" s="15">
        <v>3.0</v>
      </c>
      <c r="K15" s="15">
        <v>3.0</v>
      </c>
      <c r="L15" s="15">
        <v>1.0</v>
      </c>
      <c r="M15" s="15" t="s">
        <v>42</v>
      </c>
      <c r="O15" s="53"/>
      <c r="P15" s="104" t="s">
        <v>879</v>
      </c>
      <c r="Q15" s="105" t="s">
        <v>880</v>
      </c>
      <c r="R15" s="106" t="s">
        <v>881</v>
      </c>
      <c r="S15" s="107">
        <v>18.0</v>
      </c>
      <c r="T15" s="107">
        <v>3.0</v>
      </c>
      <c r="V15" s="22">
        <v>9.0</v>
      </c>
      <c r="W15" s="24" t="s">
        <v>857</v>
      </c>
      <c r="X15" s="25" t="s">
        <v>882</v>
      </c>
      <c r="Y15" s="25" t="s">
        <v>883</v>
      </c>
      <c r="Z15" s="22">
        <v>18.0</v>
      </c>
      <c r="AA15" s="22">
        <v>3.0</v>
      </c>
    </row>
    <row r="16">
      <c r="A16" s="27">
        <v>14.0</v>
      </c>
      <c r="B16" s="28">
        <v>72.0</v>
      </c>
      <c r="C16" s="27">
        <v>228.0</v>
      </c>
      <c r="D16" s="28" t="s">
        <v>884</v>
      </c>
      <c r="F16" s="29">
        <v>14.0</v>
      </c>
      <c r="G16" s="30">
        <v>5.0</v>
      </c>
      <c r="H16" s="29" t="s">
        <v>885</v>
      </c>
      <c r="I16" s="29">
        <v>4.0</v>
      </c>
      <c r="J16" s="29">
        <v>3.0</v>
      </c>
      <c r="K16" s="29">
        <v>3.0</v>
      </c>
      <c r="L16" s="29">
        <v>2.0</v>
      </c>
      <c r="M16" s="29" t="s">
        <v>42</v>
      </c>
      <c r="O16" s="53"/>
      <c r="P16" s="104" t="s">
        <v>360</v>
      </c>
      <c r="Q16" s="105" t="s">
        <v>886</v>
      </c>
      <c r="R16" s="106" t="s">
        <v>372</v>
      </c>
      <c r="S16" s="107" t="s">
        <v>42</v>
      </c>
      <c r="T16" s="107" t="s">
        <v>42</v>
      </c>
      <c r="V16" s="36">
        <v>9.0</v>
      </c>
      <c r="W16" s="37" t="s">
        <v>887</v>
      </c>
      <c r="X16" s="38" t="s">
        <v>888</v>
      </c>
      <c r="Y16" s="38" t="s">
        <v>889</v>
      </c>
      <c r="Z16" s="36">
        <v>100.0</v>
      </c>
      <c r="AA16" s="36">
        <v>10.0</v>
      </c>
    </row>
    <row r="17">
      <c r="A17" s="13">
        <v>15.0</v>
      </c>
      <c r="B17" s="14">
        <v>100.0</v>
      </c>
      <c r="C17" s="13">
        <v>308.0</v>
      </c>
      <c r="D17" s="14" t="s">
        <v>890</v>
      </c>
      <c r="F17" s="15">
        <v>15.0</v>
      </c>
      <c r="G17" s="16">
        <v>5.0</v>
      </c>
      <c r="H17" s="15" t="s">
        <v>76</v>
      </c>
      <c r="I17" s="15">
        <v>4.0</v>
      </c>
      <c r="J17" s="15">
        <v>3.0</v>
      </c>
      <c r="K17" s="15">
        <v>3.0</v>
      </c>
      <c r="L17" s="15">
        <v>2.0</v>
      </c>
      <c r="M17" s="15">
        <v>1.0</v>
      </c>
      <c r="O17" s="53"/>
      <c r="P17" s="104" t="s">
        <v>447</v>
      </c>
      <c r="Q17" s="105" t="s">
        <v>891</v>
      </c>
      <c r="R17" s="106" t="s">
        <v>372</v>
      </c>
      <c r="S17" s="107" t="s">
        <v>42</v>
      </c>
      <c r="T17" s="107" t="s">
        <v>42</v>
      </c>
      <c r="V17" s="39">
        <v>10.0</v>
      </c>
      <c r="W17" s="40" t="s">
        <v>862</v>
      </c>
      <c r="X17" s="41" t="s">
        <v>892</v>
      </c>
      <c r="Y17" s="41" t="s">
        <v>372</v>
      </c>
      <c r="Z17" s="39">
        <v>0.0</v>
      </c>
      <c r="AA17" s="39">
        <v>0.0</v>
      </c>
    </row>
    <row r="18">
      <c r="A18" s="27">
        <v>16.0</v>
      </c>
      <c r="B18" s="28">
        <v>100.0</v>
      </c>
      <c r="C18" s="27">
        <v>308.0</v>
      </c>
      <c r="D18" s="28" t="s">
        <v>893</v>
      </c>
      <c r="F18" s="29">
        <v>16.0</v>
      </c>
      <c r="G18" s="30">
        <v>5.0</v>
      </c>
      <c r="H18" s="29" t="s">
        <v>76</v>
      </c>
      <c r="I18" s="29">
        <v>4.0</v>
      </c>
      <c r="J18" s="29">
        <v>3.0</v>
      </c>
      <c r="K18" s="29">
        <v>3.0</v>
      </c>
      <c r="L18" s="29">
        <v>2.0</v>
      </c>
      <c r="M18" s="29">
        <v>1.0</v>
      </c>
      <c r="O18" s="53"/>
      <c r="P18" s="104" t="s">
        <v>806</v>
      </c>
      <c r="Q18" s="105" t="s">
        <v>894</v>
      </c>
      <c r="R18" s="106" t="s">
        <v>895</v>
      </c>
      <c r="S18" s="107">
        <v>24.0</v>
      </c>
      <c r="T18" s="107">
        <v>4.0</v>
      </c>
      <c r="V18" s="39">
        <v>11.0</v>
      </c>
      <c r="W18" s="40" t="s">
        <v>867</v>
      </c>
      <c r="X18" s="41" t="s">
        <v>896</v>
      </c>
      <c r="Y18" s="41" t="s">
        <v>372</v>
      </c>
      <c r="Z18" s="39">
        <v>0.0</v>
      </c>
      <c r="AA18" s="39">
        <v>0.0</v>
      </c>
    </row>
    <row r="19">
      <c r="A19" s="13">
        <v>17.0</v>
      </c>
      <c r="B19" s="14">
        <v>120.0</v>
      </c>
      <c r="C19" s="13">
        <v>388.0</v>
      </c>
      <c r="D19" s="14" t="s">
        <v>897</v>
      </c>
      <c r="F19" s="15">
        <v>17.0</v>
      </c>
      <c r="G19" s="16">
        <v>6.0</v>
      </c>
      <c r="H19" s="15" t="s">
        <v>898</v>
      </c>
      <c r="I19" s="15">
        <v>4.0</v>
      </c>
      <c r="J19" s="15">
        <v>3.0</v>
      </c>
      <c r="K19" s="15">
        <v>3.0</v>
      </c>
      <c r="L19" s="15">
        <v>2.0</v>
      </c>
      <c r="M19" s="15">
        <v>1.0</v>
      </c>
      <c r="O19" s="50" t="s">
        <v>899</v>
      </c>
      <c r="P19" s="45" t="s">
        <v>51</v>
      </c>
      <c r="Q19" s="46" t="s">
        <v>900</v>
      </c>
      <c r="R19" s="47" t="s">
        <v>372</v>
      </c>
      <c r="S19" s="48" t="s">
        <v>42</v>
      </c>
      <c r="T19" s="48" t="s">
        <v>42</v>
      </c>
      <c r="V19" s="22">
        <v>12.0</v>
      </c>
      <c r="W19" s="24" t="s">
        <v>76</v>
      </c>
      <c r="X19" s="25" t="s">
        <v>843</v>
      </c>
      <c r="Y19" s="25" t="s">
        <v>372</v>
      </c>
      <c r="Z19" s="22">
        <v>0.0</v>
      </c>
      <c r="AA19" s="22">
        <v>0.0</v>
      </c>
    </row>
    <row r="20">
      <c r="A20" s="27">
        <v>18.0</v>
      </c>
      <c r="B20" s="28">
        <v>120.0</v>
      </c>
      <c r="C20" s="27">
        <v>388.0</v>
      </c>
      <c r="D20" s="28" t="s">
        <v>901</v>
      </c>
      <c r="F20" s="29">
        <v>18.0</v>
      </c>
      <c r="G20" s="30">
        <v>6.0</v>
      </c>
      <c r="H20" s="29" t="s">
        <v>76</v>
      </c>
      <c r="I20" s="29">
        <v>4.0</v>
      </c>
      <c r="J20" s="29">
        <v>3.0</v>
      </c>
      <c r="K20" s="29">
        <v>3.0</v>
      </c>
      <c r="L20" s="29">
        <v>3.0</v>
      </c>
      <c r="M20" s="29">
        <v>2.0</v>
      </c>
      <c r="O20" s="50"/>
      <c r="P20" s="45" t="s">
        <v>902</v>
      </c>
      <c r="Q20" s="46" t="s">
        <v>903</v>
      </c>
      <c r="R20" s="47" t="s">
        <v>895</v>
      </c>
      <c r="S20" s="48">
        <v>24.0</v>
      </c>
      <c r="T20" s="48">
        <v>4.0</v>
      </c>
      <c r="U20" s="103"/>
      <c r="V20" s="36">
        <v>13.0</v>
      </c>
      <c r="W20" s="37" t="s">
        <v>878</v>
      </c>
      <c r="X20" s="38" t="s">
        <v>904</v>
      </c>
      <c r="Y20" s="38" t="s">
        <v>905</v>
      </c>
      <c r="Z20" s="36">
        <v>36.0</v>
      </c>
      <c r="AA20" s="36">
        <v>6.0</v>
      </c>
    </row>
    <row r="21">
      <c r="A21" s="13">
        <v>19.0</v>
      </c>
      <c r="B21" s="14">
        <v>120.0</v>
      </c>
      <c r="C21" s="13">
        <v>388.0</v>
      </c>
      <c r="D21" s="14" t="s">
        <v>906</v>
      </c>
      <c r="F21" s="15">
        <v>19.0</v>
      </c>
      <c r="G21" s="16">
        <v>6.0</v>
      </c>
      <c r="H21" s="15" t="s">
        <v>76</v>
      </c>
      <c r="I21" s="15">
        <v>4.0</v>
      </c>
      <c r="J21" s="15">
        <v>3.0</v>
      </c>
      <c r="K21" s="15">
        <v>3.0</v>
      </c>
      <c r="L21" s="15">
        <v>3.0</v>
      </c>
      <c r="M21" s="15">
        <v>2.0</v>
      </c>
      <c r="O21" s="50"/>
      <c r="P21" s="45" t="s">
        <v>907</v>
      </c>
      <c r="Q21" s="46" t="s">
        <v>908</v>
      </c>
      <c r="R21" s="47" t="s">
        <v>909</v>
      </c>
      <c r="S21" s="48">
        <v>40.0</v>
      </c>
      <c r="T21" s="48">
        <v>5.0</v>
      </c>
      <c r="U21" s="103"/>
      <c r="V21" s="39">
        <v>13.0</v>
      </c>
      <c r="W21" s="40" t="s">
        <v>910</v>
      </c>
      <c r="X21" s="41" t="s">
        <v>911</v>
      </c>
      <c r="Y21" s="41" t="s">
        <v>912</v>
      </c>
      <c r="Z21" s="39">
        <v>48.0</v>
      </c>
      <c r="AA21" s="39">
        <v>6.0</v>
      </c>
    </row>
    <row r="22">
      <c r="A22" s="60">
        <v>20.0</v>
      </c>
      <c r="B22" s="60">
        <v>156.0</v>
      </c>
      <c r="C22" s="60">
        <v>440.0</v>
      </c>
      <c r="D22" s="60" t="s">
        <v>913</v>
      </c>
      <c r="F22" s="62">
        <v>20.0</v>
      </c>
      <c r="G22" s="63">
        <v>6.0</v>
      </c>
      <c r="H22" s="62" t="s">
        <v>914</v>
      </c>
      <c r="I22" s="62">
        <v>4.0</v>
      </c>
      <c r="J22" s="62">
        <v>3.0</v>
      </c>
      <c r="K22" s="62">
        <v>3.0</v>
      </c>
      <c r="L22" s="62">
        <v>3.0</v>
      </c>
      <c r="M22" s="62">
        <v>2.0</v>
      </c>
      <c r="O22" s="50"/>
      <c r="P22" s="45" t="s">
        <v>915</v>
      </c>
      <c r="Q22" s="46" t="s">
        <v>916</v>
      </c>
      <c r="R22" s="47" t="s">
        <v>917</v>
      </c>
      <c r="S22" s="48">
        <v>32.0</v>
      </c>
      <c r="T22" s="48">
        <v>4.0</v>
      </c>
      <c r="U22" s="103"/>
      <c r="V22" s="39">
        <v>14.0</v>
      </c>
      <c r="W22" s="40" t="s">
        <v>885</v>
      </c>
      <c r="X22" s="41" t="s">
        <v>918</v>
      </c>
      <c r="Y22" s="41" t="s">
        <v>372</v>
      </c>
      <c r="Z22" s="39">
        <v>0.0</v>
      </c>
      <c r="AA22" s="39">
        <v>0.0</v>
      </c>
    </row>
    <row r="23">
      <c r="A23" s="66"/>
      <c r="B23" s="66"/>
      <c r="C23" s="66"/>
      <c r="D23" s="66"/>
      <c r="G23" s="67"/>
      <c r="O23" s="53"/>
      <c r="P23" s="32" t="s">
        <v>919</v>
      </c>
      <c r="Q23" s="33" t="s">
        <v>920</v>
      </c>
      <c r="R23" s="34" t="s">
        <v>895</v>
      </c>
      <c r="S23" s="35">
        <v>24.0</v>
      </c>
      <c r="T23" s="35">
        <v>4.0</v>
      </c>
      <c r="U23" s="103"/>
      <c r="V23" s="22">
        <v>15.0</v>
      </c>
      <c r="W23" s="24" t="s">
        <v>921</v>
      </c>
      <c r="X23" s="25" t="s">
        <v>922</v>
      </c>
      <c r="Y23" s="25" t="s">
        <v>923</v>
      </c>
      <c r="Z23" s="22">
        <v>20.0</v>
      </c>
      <c r="AA23" s="22">
        <v>20.0</v>
      </c>
    </row>
    <row r="24">
      <c r="A24" s="66"/>
      <c r="B24" s="66"/>
      <c r="C24" s="66"/>
      <c r="D24" s="66"/>
      <c r="G24" s="67"/>
      <c r="O24" s="53" t="s">
        <v>924</v>
      </c>
      <c r="P24" s="32" t="s">
        <v>857</v>
      </c>
      <c r="Q24" s="33" t="s">
        <v>925</v>
      </c>
      <c r="R24" s="34" t="s">
        <v>926</v>
      </c>
      <c r="S24" s="35">
        <v>18.0</v>
      </c>
      <c r="T24" s="35">
        <v>3.0</v>
      </c>
      <c r="V24" s="36">
        <v>18.0</v>
      </c>
      <c r="W24" s="37" t="s">
        <v>898</v>
      </c>
      <c r="X24" s="38" t="s">
        <v>927</v>
      </c>
      <c r="Y24" s="38" t="s">
        <v>928</v>
      </c>
      <c r="Z24" s="36">
        <v>60.0</v>
      </c>
      <c r="AA24" s="36">
        <v>10.0</v>
      </c>
    </row>
    <row r="25">
      <c r="A25" s="66"/>
      <c r="B25" s="66"/>
      <c r="C25" s="66"/>
      <c r="D25" s="66"/>
      <c r="G25" s="67"/>
      <c r="O25" s="53"/>
      <c r="P25" s="32" t="s">
        <v>929</v>
      </c>
      <c r="Q25" s="33" t="s">
        <v>930</v>
      </c>
      <c r="R25" s="34" t="s">
        <v>931</v>
      </c>
      <c r="S25" s="35">
        <v>30.0</v>
      </c>
      <c r="T25" s="35">
        <v>5.0</v>
      </c>
      <c r="U25" s="103"/>
      <c r="V25" s="39">
        <v>20.0</v>
      </c>
      <c r="W25" s="40" t="s">
        <v>914</v>
      </c>
      <c r="X25" s="41" t="s">
        <v>932</v>
      </c>
      <c r="Y25" s="41" t="s">
        <v>905</v>
      </c>
      <c r="Z25" s="39">
        <v>36.0</v>
      </c>
      <c r="AA25" s="39">
        <v>6.0</v>
      </c>
    </row>
    <row r="26">
      <c r="A26" s="66"/>
      <c r="B26" s="66"/>
      <c r="C26" s="66"/>
      <c r="D26" s="66"/>
      <c r="G26" s="67"/>
      <c r="O26" s="53"/>
      <c r="P26" s="32" t="s">
        <v>933</v>
      </c>
      <c r="Q26" s="33" t="s">
        <v>934</v>
      </c>
      <c r="R26" s="34" t="s">
        <v>912</v>
      </c>
      <c r="S26" s="35">
        <v>48.0</v>
      </c>
      <c r="T26" s="35">
        <v>6.0</v>
      </c>
      <c r="U26" s="103"/>
      <c r="V26" s="39"/>
      <c r="W26" s="40"/>
      <c r="X26" s="41"/>
      <c r="Y26" s="41"/>
      <c r="Z26" s="39"/>
      <c r="AA26" s="39"/>
    </row>
    <row r="27">
      <c r="A27" s="66"/>
      <c r="B27" s="66"/>
      <c r="C27" s="66"/>
      <c r="D27" s="66"/>
      <c r="G27" s="67"/>
      <c r="O27" s="53"/>
      <c r="P27" s="32" t="s">
        <v>804</v>
      </c>
      <c r="Q27" s="33" t="s">
        <v>935</v>
      </c>
      <c r="R27" s="34" t="s">
        <v>372</v>
      </c>
      <c r="S27" s="35" t="s">
        <v>42</v>
      </c>
      <c r="T27" s="35" t="s">
        <v>42</v>
      </c>
      <c r="U27" s="103"/>
      <c r="V27" s="22">
        <v>13.0</v>
      </c>
      <c r="W27" s="24"/>
      <c r="X27" s="25"/>
      <c r="Y27" s="25"/>
      <c r="Z27" s="22"/>
      <c r="AA27" s="22"/>
    </row>
    <row r="28">
      <c r="A28" s="66"/>
      <c r="B28" s="66"/>
      <c r="C28" s="66"/>
      <c r="D28" s="66"/>
      <c r="G28" s="67"/>
      <c r="O28" s="53"/>
      <c r="P28" s="32" t="s">
        <v>936</v>
      </c>
      <c r="Q28" s="33" t="s">
        <v>937</v>
      </c>
      <c r="R28" s="34" t="s">
        <v>372</v>
      </c>
      <c r="S28" s="35" t="s">
        <v>42</v>
      </c>
      <c r="T28" s="35" t="s">
        <v>42</v>
      </c>
      <c r="V28" s="36"/>
      <c r="W28" s="37"/>
      <c r="X28" s="38"/>
      <c r="Y28" s="38"/>
      <c r="Z28" s="36"/>
      <c r="AA28" s="36"/>
    </row>
    <row r="29">
      <c r="A29" s="66"/>
      <c r="B29" s="66"/>
      <c r="C29" s="66"/>
      <c r="D29" s="66"/>
      <c r="G29" s="67"/>
      <c r="P29" s="77"/>
      <c r="V29" s="39">
        <v>14.0</v>
      </c>
      <c r="W29" s="40"/>
      <c r="X29" s="41"/>
      <c r="Y29" s="41"/>
      <c r="Z29" s="39"/>
      <c r="AA29" s="39"/>
    </row>
    <row r="30">
      <c r="B30" s="66"/>
      <c r="C30" s="66"/>
      <c r="D30" s="66"/>
      <c r="G30" s="67"/>
      <c r="P30" s="76"/>
      <c r="V30" s="39"/>
      <c r="W30" s="40"/>
      <c r="X30" s="41"/>
      <c r="Y30" s="41"/>
      <c r="Z30" s="39"/>
      <c r="AA30" s="39"/>
    </row>
    <row r="31">
      <c r="A31" s="66"/>
      <c r="B31" s="66"/>
      <c r="C31" s="66"/>
      <c r="D31" s="66"/>
      <c r="G31" s="67"/>
      <c r="P31" s="77"/>
      <c r="V31" s="22">
        <v>15.0</v>
      </c>
      <c r="W31" s="24"/>
      <c r="X31" s="25"/>
      <c r="Y31" s="25"/>
      <c r="Z31" s="22"/>
      <c r="AA31" s="22"/>
    </row>
    <row r="32">
      <c r="A32" s="66"/>
      <c r="B32" s="66"/>
      <c r="C32" s="66"/>
      <c r="D32" s="66"/>
      <c r="G32" s="67"/>
      <c r="P32" s="76"/>
      <c r="V32" s="36"/>
      <c r="W32" s="37"/>
      <c r="X32" s="38"/>
      <c r="Y32" s="38"/>
      <c r="Z32" s="36"/>
      <c r="AA32" s="36"/>
    </row>
    <row r="33">
      <c r="A33" s="66"/>
      <c r="B33" s="66"/>
      <c r="C33" s="66"/>
      <c r="D33" s="81"/>
      <c r="G33" s="67"/>
      <c r="P33" s="76"/>
      <c r="R33" s="82"/>
      <c r="V33" s="39">
        <v>16.0</v>
      </c>
      <c r="W33" s="40"/>
      <c r="X33" s="41"/>
      <c r="Y33" s="41"/>
      <c r="Z33" s="39"/>
      <c r="AA33" s="39"/>
    </row>
    <row r="34">
      <c r="A34" s="66"/>
      <c r="B34" s="66"/>
      <c r="C34" s="66"/>
      <c r="D34" s="81"/>
      <c r="G34" s="67"/>
      <c r="P34" s="76"/>
      <c r="R34" s="82"/>
      <c r="V34" s="39"/>
      <c r="W34" s="40"/>
      <c r="X34" s="41"/>
      <c r="Y34" s="41"/>
      <c r="Z34" s="39"/>
      <c r="AA34" s="39"/>
    </row>
    <row r="35">
      <c r="A35" s="66"/>
      <c r="B35" s="66"/>
      <c r="C35" s="66"/>
      <c r="D35" s="66"/>
      <c r="G35" s="67"/>
      <c r="P35" s="76"/>
      <c r="R35" s="82"/>
      <c r="V35" s="22">
        <v>17.0</v>
      </c>
      <c r="W35" s="24"/>
      <c r="X35" s="25"/>
      <c r="Y35" s="25"/>
      <c r="Z35" s="22"/>
      <c r="AA35" s="22"/>
    </row>
    <row r="36">
      <c r="A36" s="66"/>
      <c r="B36" s="66"/>
      <c r="C36" s="66"/>
      <c r="D36" s="66"/>
      <c r="G36" s="67"/>
      <c r="P36" s="77"/>
      <c r="R36" s="82"/>
      <c r="V36" s="36"/>
      <c r="W36" s="37"/>
      <c r="X36" s="38"/>
      <c r="Y36" s="38"/>
      <c r="Z36" s="36"/>
      <c r="AA36" s="36"/>
    </row>
    <row r="37">
      <c r="A37" s="66"/>
      <c r="B37" s="66"/>
      <c r="C37" s="66"/>
      <c r="D37" s="66"/>
      <c r="G37" s="67"/>
      <c r="P37" s="76"/>
      <c r="R37" s="82"/>
      <c r="V37" s="39">
        <v>18.0</v>
      </c>
      <c r="W37" s="40"/>
      <c r="X37" s="41"/>
      <c r="Y37" s="41"/>
      <c r="Z37" s="39"/>
      <c r="AA37" s="39"/>
    </row>
    <row r="38">
      <c r="A38" s="66"/>
      <c r="B38" s="66"/>
      <c r="C38" s="66"/>
      <c r="D38" s="66"/>
      <c r="G38" s="67"/>
      <c r="P38" s="77"/>
      <c r="R38" s="82"/>
      <c r="V38" s="39"/>
      <c r="W38" s="40"/>
      <c r="X38" s="41"/>
      <c r="Y38" s="41"/>
      <c r="Z38" s="39"/>
      <c r="AA38" s="39"/>
    </row>
    <row r="39">
      <c r="A39" s="66"/>
      <c r="C39" s="66"/>
      <c r="D39" s="66"/>
      <c r="G39" s="67"/>
      <c r="R39" s="82"/>
      <c r="V39" s="22">
        <v>19.0</v>
      </c>
      <c r="W39" s="24"/>
      <c r="X39" s="25"/>
      <c r="Y39" s="25"/>
      <c r="Z39" s="22"/>
      <c r="AA39" s="22"/>
    </row>
    <row r="40">
      <c r="A40" s="66"/>
      <c r="B40" s="66"/>
      <c r="C40" s="66"/>
      <c r="D40" s="66"/>
      <c r="G40" s="67"/>
      <c r="P40" s="76"/>
      <c r="R40" s="82"/>
      <c r="V40" s="36"/>
      <c r="W40" s="37"/>
      <c r="X40" s="38"/>
      <c r="Y40" s="38"/>
      <c r="Z40" s="36"/>
      <c r="AA40" s="36"/>
    </row>
    <row r="41">
      <c r="A41" s="66"/>
      <c r="B41" s="66"/>
      <c r="C41" s="66"/>
      <c r="D41" s="66"/>
      <c r="G41" s="67"/>
      <c r="P41" s="76"/>
      <c r="R41" s="82"/>
      <c r="V41" s="39">
        <v>20.0</v>
      </c>
      <c r="W41" s="40"/>
      <c r="X41" s="41"/>
      <c r="Y41" s="41"/>
      <c r="Z41" s="39"/>
      <c r="AA41" s="39"/>
    </row>
    <row r="42">
      <c r="A42" s="66"/>
      <c r="B42" s="66"/>
      <c r="C42" s="66"/>
      <c r="D42" s="66"/>
      <c r="G42" s="67"/>
      <c r="P42" s="76"/>
      <c r="V42" s="39"/>
      <c r="W42" s="40"/>
      <c r="X42" s="41"/>
      <c r="Y42" s="41"/>
      <c r="Z42" s="39"/>
      <c r="AA42" s="39"/>
    </row>
    <row r="43">
      <c r="A43" s="66"/>
      <c r="B43" s="66"/>
      <c r="C43" s="66"/>
      <c r="D43" s="66"/>
      <c r="G43" s="67"/>
      <c r="P43" s="77"/>
    </row>
    <row r="44">
      <c r="A44" s="66"/>
      <c r="B44" s="66"/>
      <c r="C44" s="66"/>
      <c r="D44" s="66"/>
      <c r="G44" s="67"/>
      <c r="P44" s="76"/>
    </row>
    <row r="45">
      <c r="A45" s="66"/>
      <c r="C45" s="66"/>
      <c r="D45" s="66"/>
      <c r="G45" s="67"/>
      <c r="P45" s="77"/>
    </row>
    <row r="46">
      <c r="A46" s="66"/>
      <c r="B46" s="66"/>
      <c r="C46" s="66"/>
      <c r="D46" s="66"/>
      <c r="G46" s="67"/>
    </row>
    <row r="47">
      <c r="A47" s="66"/>
      <c r="B47" s="66"/>
      <c r="C47" s="66"/>
      <c r="D47" s="66"/>
      <c r="G47" s="67"/>
      <c r="P47" s="76"/>
    </row>
    <row r="48">
      <c r="A48" s="66"/>
      <c r="B48" s="66"/>
      <c r="C48" s="66"/>
      <c r="D48" s="66"/>
      <c r="G48" s="67"/>
      <c r="P48" s="76"/>
      <c r="V48" s="67"/>
    </row>
    <row r="49">
      <c r="A49" s="66"/>
      <c r="B49" s="66"/>
      <c r="C49" s="66"/>
      <c r="D49" s="66"/>
      <c r="G49" s="67"/>
      <c r="P49" s="76"/>
      <c r="V49" s="67"/>
    </row>
    <row r="50">
      <c r="A50" s="66"/>
      <c r="B50" s="66"/>
      <c r="C50" s="66"/>
      <c r="D50" s="66"/>
      <c r="G50" s="67"/>
      <c r="P50" s="77"/>
      <c r="V50" s="67"/>
    </row>
    <row r="51">
      <c r="A51" s="66"/>
      <c r="B51" s="66"/>
      <c r="C51" s="66"/>
      <c r="D51" s="66"/>
      <c r="G51" s="67"/>
      <c r="P51" s="76"/>
      <c r="V51" s="67"/>
    </row>
    <row r="52">
      <c r="A52" s="66"/>
      <c r="B52" s="66"/>
      <c r="C52" s="66"/>
      <c r="D52" s="66"/>
      <c r="G52" s="67"/>
      <c r="P52" s="77"/>
      <c r="V52" s="67"/>
    </row>
    <row r="53">
      <c r="A53" s="66"/>
      <c r="B53" s="66"/>
      <c r="C53" s="66"/>
      <c r="D53" s="66"/>
      <c r="G53" s="67"/>
      <c r="V53" s="67"/>
    </row>
    <row r="54">
      <c r="A54" s="66"/>
      <c r="B54" s="66"/>
      <c r="C54" s="66"/>
      <c r="D54" s="66"/>
      <c r="G54" s="67"/>
      <c r="P54" s="76"/>
      <c r="V54" s="67"/>
    </row>
    <row r="55">
      <c r="A55" s="66"/>
      <c r="B55" s="66"/>
      <c r="C55" s="66"/>
      <c r="D55" s="66"/>
      <c r="G55" s="67"/>
      <c r="P55" s="76"/>
      <c r="V55" s="67"/>
    </row>
    <row r="56">
      <c r="A56" s="66"/>
      <c r="B56" s="66"/>
      <c r="C56" s="66"/>
      <c r="D56" s="66"/>
      <c r="G56" s="67"/>
      <c r="P56" s="76"/>
      <c r="V56" s="67"/>
    </row>
    <row r="57">
      <c r="A57" s="66"/>
      <c r="B57" s="66"/>
      <c r="C57" s="66"/>
      <c r="D57" s="66"/>
      <c r="G57" s="67"/>
      <c r="P57" s="77"/>
      <c r="V57" s="67"/>
    </row>
    <row r="58">
      <c r="A58" s="66"/>
      <c r="B58" s="66"/>
      <c r="C58" s="66"/>
      <c r="D58" s="66"/>
      <c r="G58" s="67"/>
      <c r="P58" s="76"/>
      <c r="V58" s="67"/>
    </row>
    <row r="59">
      <c r="A59" s="66"/>
      <c r="B59" s="66"/>
      <c r="C59" s="66"/>
      <c r="D59" s="66"/>
      <c r="G59" s="67"/>
      <c r="P59" s="77"/>
      <c r="V59" s="67"/>
    </row>
    <row r="60">
      <c r="A60" s="66"/>
      <c r="B60" s="66"/>
      <c r="C60" s="66"/>
      <c r="D60" s="66"/>
      <c r="G60" s="67"/>
      <c r="V60" s="67"/>
    </row>
    <row r="61">
      <c r="A61" s="66"/>
      <c r="B61" s="66"/>
      <c r="C61" s="66"/>
      <c r="D61" s="66"/>
      <c r="G61" s="67"/>
      <c r="P61" s="76"/>
      <c r="V61" s="67"/>
    </row>
    <row r="62">
      <c r="A62" s="66"/>
      <c r="B62" s="66"/>
      <c r="C62" s="66"/>
      <c r="D62" s="66"/>
      <c r="G62" s="67"/>
      <c r="P62" s="76"/>
      <c r="V62" s="67"/>
    </row>
    <row r="63">
      <c r="A63" s="66"/>
      <c r="B63" s="66"/>
      <c r="C63" s="66"/>
      <c r="D63" s="66"/>
      <c r="G63" s="67"/>
      <c r="P63" s="76"/>
      <c r="V63" s="67"/>
    </row>
    <row r="64">
      <c r="A64" s="66"/>
      <c r="B64" s="66"/>
      <c r="C64" s="66"/>
      <c r="D64" s="66"/>
      <c r="G64" s="67"/>
      <c r="V64" s="67"/>
    </row>
    <row r="65">
      <c r="A65" s="66"/>
      <c r="B65" s="66"/>
      <c r="C65" s="66"/>
      <c r="D65" s="66"/>
      <c r="G65" s="67"/>
      <c r="V65" s="67"/>
    </row>
    <row r="66">
      <c r="A66" s="66"/>
      <c r="B66" s="66"/>
      <c r="C66" s="66"/>
      <c r="D66" s="66"/>
      <c r="G66" s="67"/>
      <c r="V66" s="67"/>
    </row>
    <row r="67">
      <c r="A67" s="66"/>
      <c r="B67" s="66"/>
      <c r="C67" s="66"/>
      <c r="D67" s="66"/>
      <c r="G67" s="67"/>
      <c r="V67" s="67"/>
    </row>
    <row r="68">
      <c r="A68" s="66"/>
      <c r="B68" s="66"/>
      <c r="C68" s="66"/>
      <c r="D68" s="66"/>
      <c r="G68" s="67"/>
      <c r="V68" s="67"/>
    </row>
    <row r="69">
      <c r="A69" s="66"/>
      <c r="B69" s="66"/>
      <c r="C69" s="66"/>
      <c r="D69" s="66"/>
      <c r="G69" s="67"/>
      <c r="V69" s="67"/>
    </row>
    <row r="70">
      <c r="A70" s="66"/>
      <c r="B70" s="66"/>
      <c r="C70" s="66"/>
      <c r="D70" s="66"/>
      <c r="G70" s="67"/>
      <c r="V70" s="67"/>
    </row>
    <row r="71">
      <c r="A71" s="66"/>
      <c r="B71" s="66"/>
      <c r="C71" s="66"/>
      <c r="D71" s="66"/>
      <c r="G71" s="67"/>
      <c r="V71" s="67"/>
    </row>
    <row r="72">
      <c r="A72" s="66"/>
      <c r="B72" s="66"/>
      <c r="C72" s="66"/>
      <c r="D72" s="66"/>
      <c r="G72" s="67"/>
      <c r="V72" s="67"/>
    </row>
    <row r="73">
      <c r="A73" s="66"/>
      <c r="B73" s="66"/>
      <c r="C73" s="66"/>
      <c r="D73" s="66"/>
      <c r="G73" s="67"/>
      <c r="V73" s="67"/>
    </row>
    <row r="74">
      <c r="A74" s="66"/>
      <c r="B74" s="66"/>
      <c r="C74" s="66"/>
      <c r="D74" s="66"/>
      <c r="G74" s="67"/>
      <c r="V74" s="67"/>
    </row>
    <row r="75">
      <c r="A75" s="66"/>
      <c r="B75" s="66"/>
      <c r="C75" s="66"/>
      <c r="D75" s="66"/>
      <c r="G75" s="67"/>
      <c r="V75" s="67"/>
    </row>
    <row r="76">
      <c r="A76" s="66"/>
      <c r="B76" s="66"/>
      <c r="C76" s="66"/>
      <c r="D76" s="66"/>
      <c r="G76" s="67"/>
      <c r="V76" s="67"/>
    </row>
    <row r="77">
      <c r="A77" s="66"/>
      <c r="B77" s="66"/>
      <c r="C77" s="66"/>
      <c r="D77" s="66"/>
      <c r="G77" s="67"/>
      <c r="V77" s="67"/>
    </row>
    <row r="78">
      <c r="A78" s="66"/>
      <c r="B78" s="66"/>
      <c r="C78" s="66"/>
      <c r="D78" s="66"/>
      <c r="G78" s="67"/>
      <c r="V78" s="67"/>
    </row>
    <row r="79">
      <c r="A79" s="66"/>
      <c r="B79" s="66"/>
      <c r="C79" s="66"/>
      <c r="D79" s="66"/>
      <c r="G79" s="67"/>
      <c r="V79" s="67"/>
    </row>
    <row r="80">
      <c r="A80" s="66"/>
      <c r="B80" s="66"/>
      <c r="C80" s="66"/>
      <c r="D80" s="66"/>
      <c r="G80" s="67"/>
      <c r="V80" s="67"/>
    </row>
    <row r="81">
      <c r="A81" s="66"/>
      <c r="B81" s="66"/>
      <c r="C81" s="66"/>
      <c r="D81" s="66"/>
      <c r="G81" s="67"/>
      <c r="V81" s="67"/>
    </row>
    <row r="82">
      <c r="A82" s="66"/>
      <c r="B82" s="66"/>
      <c r="C82" s="66"/>
      <c r="D82" s="66"/>
      <c r="G82" s="67"/>
      <c r="V82" s="67"/>
    </row>
    <row r="83">
      <c r="A83" s="66"/>
      <c r="B83" s="66"/>
      <c r="C83" s="66"/>
      <c r="D83" s="66"/>
      <c r="G83" s="67"/>
      <c r="V83" s="67"/>
    </row>
    <row r="84">
      <c r="A84" s="66"/>
      <c r="B84" s="66"/>
      <c r="C84" s="66"/>
      <c r="D84" s="66"/>
      <c r="G84" s="67"/>
      <c r="V84" s="67"/>
    </row>
    <row r="85">
      <c r="A85" s="66"/>
      <c r="B85" s="66"/>
      <c r="C85" s="66"/>
      <c r="D85" s="66"/>
      <c r="G85" s="67"/>
      <c r="V85" s="67"/>
    </row>
    <row r="86">
      <c r="A86" s="66"/>
      <c r="B86" s="66"/>
      <c r="C86" s="66"/>
      <c r="D86" s="66"/>
      <c r="G86" s="67"/>
      <c r="V86" s="67"/>
    </row>
    <row r="87">
      <c r="A87" s="66"/>
      <c r="B87" s="66"/>
      <c r="C87" s="66"/>
      <c r="D87" s="66"/>
      <c r="G87" s="67"/>
      <c r="V87" s="67"/>
    </row>
    <row r="88">
      <c r="A88" s="66"/>
      <c r="B88" s="66"/>
      <c r="C88" s="66"/>
      <c r="D88" s="66"/>
      <c r="G88" s="67"/>
      <c r="V88" s="67"/>
    </row>
    <row r="89">
      <c r="A89" s="66"/>
      <c r="B89" s="66"/>
      <c r="C89" s="66"/>
      <c r="D89" s="66"/>
      <c r="G89" s="67"/>
      <c r="V89" s="67"/>
    </row>
    <row r="90">
      <c r="A90" s="66"/>
      <c r="B90" s="66"/>
      <c r="C90" s="66"/>
      <c r="D90" s="66"/>
      <c r="G90" s="67"/>
      <c r="V90" s="67"/>
    </row>
    <row r="91">
      <c r="A91" s="66"/>
      <c r="B91" s="66"/>
      <c r="C91" s="66"/>
      <c r="D91" s="66"/>
      <c r="G91" s="67"/>
      <c r="V91" s="67"/>
    </row>
    <row r="92">
      <c r="A92" s="66"/>
      <c r="B92" s="66"/>
      <c r="C92" s="66"/>
      <c r="D92" s="66"/>
      <c r="G92" s="67"/>
      <c r="V92" s="67"/>
    </row>
    <row r="93">
      <c r="A93" s="66"/>
      <c r="B93" s="66"/>
      <c r="C93" s="66"/>
      <c r="D93" s="66"/>
      <c r="G93" s="67"/>
      <c r="V93" s="67"/>
    </row>
    <row r="94">
      <c r="A94" s="66"/>
      <c r="B94" s="66"/>
      <c r="C94" s="66"/>
      <c r="D94" s="66"/>
      <c r="G94" s="67"/>
      <c r="V94" s="67"/>
    </row>
    <row r="95">
      <c r="A95" s="66"/>
      <c r="B95" s="66"/>
      <c r="C95" s="66"/>
      <c r="D95" s="66"/>
      <c r="G95" s="67"/>
      <c r="V95" s="67"/>
    </row>
    <row r="96">
      <c r="A96" s="66"/>
      <c r="B96" s="66"/>
      <c r="C96" s="66"/>
      <c r="D96" s="66"/>
      <c r="G96" s="67"/>
      <c r="V96" s="67"/>
    </row>
    <row r="97">
      <c r="A97" s="66"/>
      <c r="B97" s="66"/>
      <c r="C97" s="66"/>
      <c r="D97" s="66"/>
      <c r="G97" s="67"/>
      <c r="V97" s="67"/>
    </row>
    <row r="98">
      <c r="A98" s="66"/>
      <c r="B98" s="66"/>
      <c r="C98" s="66"/>
      <c r="D98" s="66"/>
      <c r="G98" s="67"/>
      <c r="V98" s="67"/>
    </row>
    <row r="99">
      <c r="A99" s="66"/>
      <c r="B99" s="66"/>
      <c r="C99" s="66"/>
      <c r="D99" s="66"/>
      <c r="G99" s="67"/>
      <c r="V99" s="67"/>
    </row>
    <row r="100">
      <c r="A100" s="66"/>
      <c r="B100" s="66"/>
      <c r="C100" s="66"/>
      <c r="D100" s="66"/>
      <c r="G100" s="67"/>
      <c r="V100" s="67"/>
    </row>
    <row r="101">
      <c r="A101" s="66"/>
      <c r="B101" s="66"/>
      <c r="C101" s="66"/>
      <c r="D101" s="66"/>
      <c r="G101" s="67"/>
      <c r="V101" s="67"/>
    </row>
    <row r="102">
      <c r="A102" s="66"/>
      <c r="B102" s="66"/>
      <c r="C102" s="66"/>
      <c r="D102" s="66"/>
      <c r="G102" s="67"/>
      <c r="V102" s="67"/>
    </row>
    <row r="103">
      <c r="A103" s="66"/>
      <c r="B103" s="66"/>
      <c r="C103" s="66"/>
      <c r="D103" s="66"/>
      <c r="G103" s="67"/>
      <c r="V103" s="67"/>
    </row>
    <row r="104">
      <c r="A104" s="66"/>
      <c r="B104" s="66"/>
      <c r="C104" s="66"/>
      <c r="D104" s="66"/>
      <c r="G104" s="67"/>
      <c r="V104" s="67"/>
    </row>
    <row r="105">
      <c r="A105" s="66"/>
      <c r="B105" s="66"/>
      <c r="C105" s="66"/>
      <c r="D105" s="66"/>
      <c r="G105" s="67"/>
      <c r="V105" s="67"/>
    </row>
    <row r="106">
      <c r="A106" s="66"/>
      <c r="B106" s="66"/>
      <c r="C106" s="66"/>
      <c r="D106" s="66"/>
      <c r="G106" s="67"/>
      <c r="V106" s="67"/>
    </row>
    <row r="107">
      <c r="A107" s="66"/>
      <c r="B107" s="66"/>
      <c r="C107" s="66"/>
      <c r="D107" s="66"/>
      <c r="G107" s="67"/>
      <c r="V107" s="67"/>
    </row>
    <row r="108">
      <c r="A108" s="66"/>
      <c r="B108" s="66"/>
      <c r="C108" s="66"/>
      <c r="D108" s="66"/>
      <c r="G108" s="67"/>
      <c r="V108" s="67"/>
    </row>
    <row r="109">
      <c r="A109" s="66"/>
      <c r="B109" s="66"/>
      <c r="C109" s="66"/>
      <c r="D109" s="66"/>
      <c r="G109" s="67"/>
      <c r="V109" s="67"/>
    </row>
    <row r="110">
      <c r="A110" s="66"/>
      <c r="B110" s="66"/>
      <c r="C110" s="66"/>
      <c r="D110" s="66"/>
      <c r="G110" s="67"/>
      <c r="V110" s="67"/>
    </row>
    <row r="111">
      <c r="A111" s="66"/>
      <c r="B111" s="66"/>
      <c r="C111" s="66"/>
      <c r="D111" s="66"/>
      <c r="G111" s="67"/>
      <c r="V111" s="67"/>
    </row>
    <row r="112">
      <c r="A112" s="66"/>
      <c r="B112" s="66"/>
      <c r="C112" s="66"/>
      <c r="D112" s="66"/>
      <c r="G112" s="67"/>
      <c r="V112" s="67"/>
    </row>
    <row r="113">
      <c r="A113" s="66"/>
      <c r="B113" s="66"/>
      <c r="C113" s="66"/>
      <c r="D113" s="66"/>
      <c r="G113" s="67"/>
      <c r="V113" s="67"/>
    </row>
    <row r="114">
      <c r="A114" s="66"/>
      <c r="B114" s="66"/>
      <c r="C114" s="66"/>
      <c r="D114" s="66"/>
      <c r="G114" s="67"/>
      <c r="V114" s="67"/>
    </row>
    <row r="115">
      <c r="A115" s="66"/>
      <c r="B115" s="66"/>
      <c r="C115" s="66"/>
      <c r="D115" s="66"/>
      <c r="G115" s="67"/>
      <c r="V115" s="67"/>
    </row>
    <row r="116">
      <c r="A116" s="66"/>
      <c r="B116" s="66"/>
      <c r="C116" s="66"/>
      <c r="D116" s="66"/>
      <c r="G116" s="67"/>
      <c r="V116" s="67"/>
    </row>
    <row r="117">
      <c r="A117" s="66"/>
      <c r="B117" s="66"/>
      <c r="C117" s="66"/>
      <c r="D117" s="66"/>
      <c r="G117" s="67"/>
      <c r="V117" s="67"/>
    </row>
    <row r="118">
      <c r="A118" s="66"/>
      <c r="B118" s="66"/>
      <c r="C118" s="66"/>
      <c r="D118" s="66"/>
      <c r="G118" s="67"/>
      <c r="V118" s="67"/>
    </row>
    <row r="119">
      <c r="A119" s="66"/>
      <c r="B119" s="66"/>
      <c r="C119" s="66"/>
      <c r="D119" s="66"/>
      <c r="G119" s="67"/>
      <c r="V119" s="67"/>
    </row>
    <row r="120">
      <c r="A120" s="66"/>
      <c r="B120" s="66"/>
      <c r="C120" s="66"/>
      <c r="D120" s="66"/>
      <c r="G120" s="67"/>
      <c r="V120" s="67"/>
    </row>
    <row r="121">
      <c r="A121" s="66"/>
      <c r="B121" s="66"/>
      <c r="C121" s="66"/>
      <c r="D121" s="66"/>
      <c r="G121" s="67"/>
      <c r="V121" s="67"/>
    </row>
    <row r="122">
      <c r="A122" s="66"/>
      <c r="B122" s="66"/>
      <c r="C122" s="66"/>
      <c r="D122" s="66"/>
      <c r="G122" s="67"/>
      <c r="V122" s="67"/>
    </row>
    <row r="123">
      <c r="A123" s="66"/>
      <c r="B123" s="66"/>
      <c r="C123" s="66"/>
      <c r="D123" s="66"/>
      <c r="G123" s="67"/>
      <c r="V123" s="67"/>
    </row>
    <row r="124">
      <c r="A124" s="66"/>
      <c r="B124" s="66"/>
      <c r="C124" s="66"/>
      <c r="D124" s="66"/>
      <c r="G124" s="67"/>
      <c r="V124" s="67"/>
    </row>
    <row r="125">
      <c r="A125" s="66"/>
      <c r="B125" s="66"/>
      <c r="C125" s="66"/>
      <c r="D125" s="66"/>
      <c r="G125" s="67"/>
      <c r="V125" s="67"/>
    </row>
    <row r="126">
      <c r="A126" s="66"/>
      <c r="B126" s="66"/>
      <c r="C126" s="66"/>
      <c r="D126" s="66"/>
      <c r="G126" s="67"/>
      <c r="V126" s="67"/>
    </row>
    <row r="127">
      <c r="A127" s="66"/>
      <c r="B127" s="66"/>
      <c r="C127" s="66"/>
      <c r="D127" s="66"/>
      <c r="G127" s="67"/>
      <c r="V127" s="67"/>
    </row>
    <row r="128">
      <c r="A128" s="66"/>
      <c r="B128" s="66"/>
      <c r="C128" s="66"/>
      <c r="D128" s="66"/>
      <c r="G128" s="67"/>
      <c r="V128" s="67"/>
    </row>
    <row r="129">
      <c r="A129" s="66"/>
      <c r="B129" s="66"/>
      <c r="C129" s="66"/>
      <c r="D129" s="66"/>
      <c r="G129" s="67"/>
      <c r="V129" s="67"/>
    </row>
    <row r="130">
      <c r="A130" s="66"/>
      <c r="B130" s="66"/>
      <c r="C130" s="66"/>
      <c r="D130" s="66"/>
      <c r="G130" s="67"/>
      <c r="V130" s="67"/>
    </row>
    <row r="131">
      <c r="A131" s="66"/>
      <c r="B131" s="66"/>
      <c r="C131" s="66"/>
      <c r="D131" s="66"/>
      <c r="G131" s="67"/>
      <c r="V131" s="67"/>
    </row>
    <row r="132">
      <c r="A132" s="66"/>
      <c r="B132" s="66"/>
      <c r="C132" s="66"/>
      <c r="D132" s="66"/>
      <c r="G132" s="67"/>
      <c r="V132" s="67"/>
    </row>
    <row r="133">
      <c r="A133" s="66"/>
      <c r="B133" s="66"/>
      <c r="C133" s="66"/>
      <c r="D133" s="66"/>
      <c r="G133" s="67"/>
      <c r="V133" s="67"/>
    </row>
    <row r="134">
      <c r="A134" s="66"/>
      <c r="B134" s="66"/>
      <c r="C134" s="66"/>
      <c r="D134" s="66"/>
      <c r="G134" s="67"/>
      <c r="V134" s="67"/>
    </row>
    <row r="135">
      <c r="A135" s="66"/>
      <c r="B135" s="66"/>
      <c r="C135" s="66"/>
      <c r="D135" s="66"/>
      <c r="G135" s="67"/>
      <c r="V135" s="67"/>
    </row>
    <row r="136">
      <c r="A136" s="66"/>
      <c r="B136" s="66"/>
      <c r="C136" s="66"/>
      <c r="D136" s="66"/>
      <c r="G136" s="67"/>
      <c r="V136" s="67"/>
    </row>
    <row r="137">
      <c r="A137" s="66"/>
      <c r="B137" s="66"/>
      <c r="C137" s="66"/>
      <c r="D137" s="66"/>
      <c r="G137" s="67"/>
      <c r="V137" s="67"/>
    </row>
    <row r="138">
      <c r="A138" s="66"/>
      <c r="B138" s="66"/>
      <c r="C138" s="66"/>
      <c r="D138" s="66"/>
      <c r="G138" s="67"/>
      <c r="V138" s="67"/>
    </row>
    <row r="139">
      <c r="A139" s="66"/>
      <c r="B139" s="66"/>
      <c r="C139" s="66"/>
      <c r="D139" s="66"/>
      <c r="G139" s="67"/>
      <c r="V139" s="67"/>
    </row>
    <row r="140">
      <c r="A140" s="66"/>
      <c r="B140" s="66"/>
      <c r="C140" s="66"/>
      <c r="D140" s="66"/>
      <c r="G140" s="67"/>
      <c r="V140" s="67"/>
    </row>
    <row r="141">
      <c r="A141" s="66"/>
      <c r="B141" s="66"/>
      <c r="C141" s="66"/>
      <c r="D141" s="66"/>
      <c r="G141" s="67"/>
      <c r="V141" s="67"/>
    </row>
    <row r="142">
      <c r="A142" s="66"/>
      <c r="B142" s="66"/>
      <c r="C142" s="66"/>
      <c r="D142" s="66"/>
      <c r="G142" s="67"/>
      <c r="V142" s="67"/>
    </row>
    <row r="143">
      <c r="A143" s="66"/>
      <c r="B143" s="66"/>
      <c r="C143" s="66"/>
      <c r="D143" s="66"/>
      <c r="G143" s="67"/>
      <c r="V143" s="67"/>
    </row>
    <row r="144">
      <c r="A144" s="66"/>
      <c r="B144" s="66"/>
      <c r="C144" s="66"/>
      <c r="D144" s="66"/>
      <c r="G144" s="67"/>
      <c r="V144" s="67"/>
    </row>
    <row r="145">
      <c r="A145" s="66"/>
      <c r="B145" s="66"/>
      <c r="C145" s="66"/>
      <c r="D145" s="66"/>
      <c r="G145" s="67"/>
      <c r="V145" s="67"/>
    </row>
    <row r="146">
      <c r="A146" s="66"/>
      <c r="B146" s="66"/>
      <c r="C146" s="66"/>
      <c r="D146" s="66"/>
      <c r="G146" s="67"/>
      <c r="V146" s="67"/>
    </row>
    <row r="147">
      <c r="A147" s="66"/>
      <c r="B147" s="66"/>
      <c r="C147" s="66"/>
      <c r="D147" s="66"/>
      <c r="G147" s="67"/>
      <c r="V147" s="67"/>
    </row>
    <row r="148">
      <c r="A148" s="66"/>
      <c r="B148" s="66"/>
      <c r="C148" s="66"/>
      <c r="D148" s="66"/>
      <c r="G148" s="67"/>
      <c r="V148" s="67"/>
    </row>
    <row r="149">
      <c r="A149" s="66"/>
      <c r="B149" s="66"/>
      <c r="C149" s="66"/>
      <c r="D149" s="66"/>
      <c r="G149" s="67"/>
      <c r="V149" s="67"/>
    </row>
    <row r="150">
      <c r="A150" s="66"/>
      <c r="B150" s="66"/>
      <c r="C150" s="66"/>
      <c r="D150" s="66"/>
      <c r="G150" s="67"/>
      <c r="V150" s="67"/>
    </row>
    <row r="151">
      <c r="A151" s="66"/>
      <c r="B151" s="66"/>
      <c r="C151" s="66"/>
      <c r="D151" s="66"/>
      <c r="G151" s="67"/>
      <c r="V151" s="67"/>
    </row>
    <row r="152">
      <c r="A152" s="66"/>
      <c r="B152" s="66"/>
      <c r="C152" s="66"/>
      <c r="D152" s="66"/>
      <c r="G152" s="67"/>
      <c r="V152" s="67"/>
    </row>
    <row r="153">
      <c r="A153" s="66"/>
      <c r="B153" s="66"/>
      <c r="C153" s="66"/>
      <c r="D153" s="66"/>
      <c r="G153" s="67"/>
      <c r="V153" s="67"/>
    </row>
    <row r="154">
      <c r="A154" s="66"/>
      <c r="B154" s="66"/>
      <c r="C154" s="66"/>
      <c r="D154" s="66"/>
      <c r="G154" s="67"/>
      <c r="V154" s="67"/>
    </row>
    <row r="155">
      <c r="A155" s="66"/>
      <c r="B155" s="66"/>
      <c r="C155" s="66"/>
      <c r="D155" s="66"/>
      <c r="G155" s="67"/>
      <c r="V155" s="67"/>
    </row>
    <row r="156">
      <c r="A156" s="66"/>
      <c r="B156" s="66"/>
      <c r="C156" s="66"/>
      <c r="D156" s="66"/>
      <c r="G156" s="67"/>
      <c r="V156" s="67"/>
    </row>
    <row r="157">
      <c r="A157" s="66"/>
      <c r="B157" s="66"/>
      <c r="C157" s="66"/>
      <c r="D157" s="66"/>
      <c r="G157" s="67"/>
      <c r="V157" s="67"/>
    </row>
    <row r="158">
      <c r="A158" s="66"/>
      <c r="B158" s="66"/>
      <c r="C158" s="66"/>
      <c r="D158" s="66"/>
      <c r="G158" s="67"/>
      <c r="V158" s="67"/>
    </row>
    <row r="159">
      <c r="A159" s="66"/>
      <c r="B159" s="66"/>
      <c r="C159" s="66"/>
      <c r="D159" s="66"/>
      <c r="G159" s="67"/>
      <c r="V159" s="67"/>
    </row>
    <row r="160">
      <c r="A160" s="66"/>
      <c r="B160" s="66"/>
      <c r="C160" s="66"/>
      <c r="D160" s="66"/>
      <c r="G160" s="67"/>
      <c r="V160" s="67"/>
    </row>
    <row r="161">
      <c r="A161" s="66"/>
      <c r="B161" s="66"/>
      <c r="C161" s="66"/>
      <c r="D161" s="66"/>
      <c r="G161" s="67"/>
      <c r="V161" s="67"/>
    </row>
    <row r="162">
      <c r="A162" s="66"/>
      <c r="B162" s="66"/>
      <c r="C162" s="66"/>
      <c r="D162" s="66"/>
      <c r="G162" s="67"/>
      <c r="V162" s="67"/>
    </row>
    <row r="163">
      <c r="A163" s="66"/>
      <c r="B163" s="66"/>
      <c r="C163" s="66"/>
      <c r="D163" s="66"/>
      <c r="G163" s="67"/>
      <c r="V163" s="67"/>
    </row>
    <row r="164">
      <c r="A164" s="66"/>
      <c r="B164" s="66"/>
      <c r="C164" s="66"/>
      <c r="D164" s="66"/>
      <c r="G164" s="67"/>
      <c r="V164" s="67"/>
    </row>
    <row r="165">
      <c r="A165" s="66"/>
      <c r="B165" s="66"/>
      <c r="C165" s="66"/>
      <c r="D165" s="66"/>
      <c r="G165" s="67"/>
      <c r="V165" s="67"/>
    </row>
    <row r="166">
      <c r="A166" s="66"/>
      <c r="B166" s="66"/>
      <c r="C166" s="66"/>
      <c r="D166" s="66"/>
      <c r="G166" s="67"/>
      <c r="V166" s="67"/>
    </row>
    <row r="167">
      <c r="A167" s="66"/>
      <c r="B167" s="66"/>
      <c r="C167" s="66"/>
      <c r="D167" s="66"/>
      <c r="G167" s="67"/>
      <c r="V167" s="67"/>
    </row>
    <row r="168">
      <c r="A168" s="66"/>
      <c r="B168" s="66"/>
      <c r="C168" s="66"/>
      <c r="D168" s="66"/>
      <c r="G168" s="67"/>
      <c r="V168" s="67"/>
    </row>
    <row r="169">
      <c r="A169" s="66"/>
      <c r="B169" s="66"/>
      <c r="C169" s="66"/>
      <c r="D169" s="66"/>
      <c r="G169" s="67"/>
      <c r="V169" s="67"/>
    </row>
    <row r="170">
      <c r="A170" s="66"/>
      <c r="B170" s="66"/>
      <c r="C170" s="66"/>
      <c r="D170" s="66"/>
      <c r="G170" s="67"/>
      <c r="V170" s="67"/>
    </row>
    <row r="171">
      <c r="A171" s="66"/>
      <c r="B171" s="66"/>
      <c r="C171" s="66"/>
      <c r="D171" s="66"/>
      <c r="G171" s="67"/>
      <c r="V171" s="67"/>
    </row>
    <row r="172">
      <c r="A172" s="66"/>
      <c r="B172" s="66"/>
      <c r="C172" s="66"/>
      <c r="D172" s="66"/>
      <c r="G172" s="67"/>
      <c r="V172" s="67"/>
    </row>
    <row r="173">
      <c r="A173" s="66"/>
      <c r="B173" s="66"/>
      <c r="C173" s="66"/>
      <c r="D173" s="66"/>
      <c r="G173" s="67"/>
      <c r="V173" s="67"/>
    </row>
    <row r="174">
      <c r="A174" s="66"/>
      <c r="B174" s="66"/>
      <c r="C174" s="66"/>
      <c r="D174" s="66"/>
      <c r="G174" s="67"/>
      <c r="V174" s="67"/>
    </row>
    <row r="175">
      <c r="A175" s="66"/>
      <c r="B175" s="66"/>
      <c r="C175" s="66"/>
      <c r="D175" s="66"/>
      <c r="G175" s="67"/>
      <c r="V175" s="67"/>
    </row>
    <row r="176">
      <c r="A176" s="66"/>
      <c r="B176" s="66"/>
      <c r="C176" s="66"/>
      <c r="D176" s="66"/>
      <c r="G176" s="67"/>
      <c r="V176" s="67"/>
    </row>
    <row r="177">
      <c r="A177" s="66"/>
      <c r="B177" s="66"/>
      <c r="C177" s="66"/>
      <c r="D177" s="66"/>
      <c r="G177" s="67"/>
      <c r="V177" s="67"/>
    </row>
    <row r="178">
      <c r="A178" s="66"/>
      <c r="B178" s="66"/>
      <c r="C178" s="66"/>
      <c r="D178" s="66"/>
      <c r="G178" s="67"/>
      <c r="V178" s="67"/>
    </row>
    <row r="179">
      <c r="A179" s="66"/>
      <c r="B179" s="66"/>
      <c r="C179" s="66"/>
      <c r="D179" s="66"/>
      <c r="G179" s="67"/>
      <c r="V179" s="67"/>
    </row>
    <row r="180">
      <c r="A180" s="66"/>
      <c r="B180" s="66"/>
      <c r="C180" s="66"/>
      <c r="D180" s="66"/>
      <c r="G180" s="67"/>
      <c r="V180" s="67"/>
    </row>
    <row r="181">
      <c r="A181" s="66"/>
      <c r="B181" s="66"/>
      <c r="C181" s="66"/>
      <c r="D181" s="66"/>
      <c r="G181" s="67"/>
      <c r="V181" s="67"/>
    </row>
    <row r="182">
      <c r="A182" s="66"/>
      <c r="B182" s="66"/>
      <c r="C182" s="66"/>
      <c r="D182" s="66"/>
      <c r="G182" s="67"/>
      <c r="V182" s="67"/>
    </row>
    <row r="183">
      <c r="A183" s="66"/>
      <c r="B183" s="66"/>
      <c r="C183" s="66"/>
      <c r="D183" s="66"/>
      <c r="G183" s="67"/>
      <c r="V183" s="67"/>
    </row>
    <row r="184">
      <c r="A184" s="66"/>
      <c r="B184" s="66"/>
      <c r="C184" s="66"/>
      <c r="D184" s="66"/>
      <c r="G184" s="67"/>
      <c r="V184" s="67"/>
    </row>
    <row r="185">
      <c r="A185" s="66"/>
      <c r="B185" s="66"/>
      <c r="C185" s="66"/>
      <c r="D185" s="66"/>
      <c r="G185" s="67"/>
      <c r="V185" s="67"/>
    </row>
    <row r="186">
      <c r="A186" s="66"/>
      <c r="B186" s="66"/>
      <c r="C186" s="66"/>
      <c r="D186" s="66"/>
      <c r="G186" s="67"/>
      <c r="V186" s="67"/>
    </row>
    <row r="187">
      <c r="A187" s="66"/>
      <c r="B187" s="66"/>
      <c r="C187" s="66"/>
      <c r="D187" s="66"/>
      <c r="G187" s="67"/>
      <c r="V187" s="67"/>
    </row>
    <row r="188">
      <c r="A188" s="66"/>
      <c r="B188" s="66"/>
      <c r="C188" s="66"/>
      <c r="D188" s="66"/>
      <c r="G188" s="67"/>
      <c r="V188" s="67"/>
    </row>
    <row r="189">
      <c r="A189" s="66"/>
      <c r="B189" s="66"/>
      <c r="C189" s="66"/>
      <c r="D189" s="66"/>
      <c r="G189" s="67"/>
      <c r="V189" s="67"/>
    </row>
    <row r="190">
      <c r="A190" s="66"/>
      <c r="B190" s="66"/>
      <c r="C190" s="66"/>
      <c r="D190" s="66"/>
      <c r="G190" s="67"/>
      <c r="V190" s="67"/>
    </row>
    <row r="191">
      <c r="A191" s="66"/>
      <c r="B191" s="66"/>
      <c r="C191" s="66"/>
      <c r="D191" s="66"/>
      <c r="G191" s="67"/>
      <c r="V191" s="67"/>
    </row>
    <row r="192">
      <c r="A192" s="66"/>
      <c r="B192" s="66"/>
      <c r="C192" s="66"/>
      <c r="D192" s="66"/>
      <c r="G192" s="67"/>
      <c r="V192" s="67"/>
    </row>
    <row r="193">
      <c r="A193" s="66"/>
      <c r="B193" s="66"/>
      <c r="C193" s="66"/>
      <c r="D193" s="66"/>
      <c r="G193" s="67"/>
      <c r="V193" s="67"/>
    </row>
    <row r="194">
      <c r="A194" s="66"/>
      <c r="B194" s="66"/>
      <c r="C194" s="66"/>
      <c r="D194" s="66"/>
      <c r="G194" s="67"/>
      <c r="V194" s="67"/>
    </row>
    <row r="195">
      <c r="A195" s="66"/>
      <c r="B195" s="66"/>
      <c r="C195" s="66"/>
      <c r="D195" s="66"/>
      <c r="G195" s="67"/>
      <c r="V195" s="67"/>
    </row>
    <row r="196">
      <c r="A196" s="66"/>
      <c r="B196" s="66"/>
      <c r="C196" s="66"/>
      <c r="D196" s="66"/>
      <c r="G196" s="67"/>
      <c r="V196" s="67"/>
    </row>
    <row r="197">
      <c r="A197" s="66"/>
      <c r="B197" s="66"/>
      <c r="C197" s="66"/>
      <c r="D197" s="66"/>
      <c r="G197" s="67"/>
      <c r="V197" s="67"/>
    </row>
    <row r="198">
      <c r="A198" s="66"/>
      <c r="B198" s="66"/>
      <c r="C198" s="66"/>
      <c r="D198" s="66"/>
      <c r="G198" s="67"/>
      <c r="V198" s="67"/>
    </row>
    <row r="199">
      <c r="A199" s="66"/>
      <c r="B199" s="66"/>
      <c r="C199" s="66"/>
      <c r="D199" s="66"/>
      <c r="G199" s="67"/>
      <c r="V199" s="67"/>
    </row>
    <row r="200">
      <c r="A200" s="66"/>
      <c r="B200" s="66"/>
      <c r="C200" s="66"/>
      <c r="D200" s="66"/>
      <c r="G200" s="67"/>
      <c r="V200" s="67"/>
    </row>
    <row r="201">
      <c r="A201" s="66"/>
      <c r="B201" s="66"/>
      <c r="C201" s="66"/>
      <c r="D201" s="66"/>
      <c r="G201" s="67"/>
      <c r="V201" s="67"/>
    </row>
    <row r="202">
      <c r="A202" s="66"/>
      <c r="B202" s="66"/>
      <c r="C202" s="66"/>
      <c r="D202" s="66"/>
      <c r="G202" s="67"/>
      <c r="V202" s="67"/>
    </row>
    <row r="203">
      <c r="A203" s="66"/>
      <c r="B203" s="66"/>
      <c r="C203" s="66"/>
      <c r="D203" s="66"/>
      <c r="G203" s="67"/>
      <c r="V203" s="67"/>
    </row>
    <row r="204">
      <c r="A204" s="66"/>
      <c r="B204" s="66"/>
      <c r="C204" s="66"/>
      <c r="D204" s="66"/>
      <c r="G204" s="67"/>
      <c r="V204" s="67"/>
    </row>
    <row r="205">
      <c r="A205" s="66"/>
      <c r="B205" s="66"/>
      <c r="C205" s="66"/>
      <c r="D205" s="66"/>
      <c r="G205" s="67"/>
      <c r="V205" s="67"/>
    </row>
    <row r="206">
      <c r="A206" s="66"/>
      <c r="B206" s="66"/>
      <c r="C206" s="66"/>
      <c r="D206" s="66"/>
      <c r="G206" s="67"/>
      <c r="V206" s="67"/>
    </row>
    <row r="207">
      <c r="A207" s="66"/>
      <c r="B207" s="66"/>
      <c r="C207" s="66"/>
      <c r="D207" s="66"/>
      <c r="G207" s="67"/>
      <c r="V207" s="67"/>
    </row>
    <row r="208">
      <c r="A208" s="66"/>
      <c r="B208" s="66"/>
      <c r="C208" s="66"/>
      <c r="D208" s="66"/>
      <c r="G208" s="67"/>
      <c r="V208" s="67"/>
    </row>
    <row r="209">
      <c r="A209" s="66"/>
      <c r="B209" s="66"/>
      <c r="C209" s="66"/>
      <c r="D209" s="66"/>
      <c r="G209" s="67"/>
      <c r="V209" s="67"/>
    </row>
    <row r="210">
      <c r="A210" s="66"/>
      <c r="B210" s="66"/>
      <c r="C210" s="66"/>
      <c r="D210" s="66"/>
      <c r="G210" s="67"/>
      <c r="V210" s="67"/>
    </row>
    <row r="211">
      <c r="A211" s="66"/>
      <c r="B211" s="66"/>
      <c r="C211" s="66"/>
      <c r="D211" s="66"/>
      <c r="G211" s="67"/>
      <c r="V211" s="67"/>
    </row>
    <row r="212">
      <c r="A212" s="66"/>
      <c r="B212" s="66"/>
      <c r="C212" s="66"/>
      <c r="D212" s="66"/>
      <c r="G212" s="67"/>
      <c r="V212" s="67"/>
    </row>
    <row r="213">
      <c r="A213" s="66"/>
      <c r="B213" s="66"/>
      <c r="C213" s="66"/>
      <c r="D213" s="66"/>
      <c r="G213" s="67"/>
      <c r="V213" s="67"/>
    </row>
    <row r="214">
      <c r="A214" s="66"/>
      <c r="B214" s="66"/>
      <c r="C214" s="66"/>
      <c r="D214" s="66"/>
      <c r="G214" s="67"/>
      <c r="V214" s="67"/>
    </row>
    <row r="215">
      <c r="A215" s="66"/>
      <c r="B215" s="66"/>
      <c r="C215" s="66"/>
      <c r="D215" s="66"/>
      <c r="G215" s="67"/>
      <c r="V215" s="67"/>
    </row>
    <row r="216">
      <c r="A216" s="66"/>
      <c r="B216" s="66"/>
      <c r="C216" s="66"/>
      <c r="D216" s="66"/>
      <c r="G216" s="67"/>
      <c r="V216" s="67"/>
    </row>
    <row r="217">
      <c r="A217" s="66"/>
      <c r="B217" s="66"/>
      <c r="C217" s="66"/>
      <c r="D217" s="66"/>
      <c r="G217" s="67"/>
      <c r="V217" s="67"/>
    </row>
    <row r="218">
      <c r="A218" s="66"/>
      <c r="B218" s="66"/>
      <c r="C218" s="66"/>
      <c r="D218" s="66"/>
      <c r="G218" s="67"/>
      <c r="V218" s="67"/>
    </row>
    <row r="219">
      <c r="A219" s="66"/>
      <c r="B219" s="66"/>
      <c r="C219" s="66"/>
      <c r="D219" s="66"/>
      <c r="G219" s="67"/>
      <c r="V219" s="67"/>
    </row>
    <row r="220">
      <c r="A220" s="66"/>
      <c r="B220" s="66"/>
      <c r="C220" s="66"/>
      <c r="D220" s="66"/>
      <c r="G220" s="67"/>
      <c r="V220" s="67"/>
    </row>
    <row r="221">
      <c r="A221" s="66"/>
      <c r="B221" s="66"/>
      <c r="C221" s="66"/>
      <c r="D221" s="66"/>
      <c r="G221" s="67"/>
      <c r="V221" s="67"/>
    </row>
    <row r="222">
      <c r="A222" s="66"/>
      <c r="B222" s="66"/>
      <c r="C222" s="66"/>
      <c r="D222" s="66"/>
      <c r="G222" s="67"/>
      <c r="V222" s="67"/>
    </row>
    <row r="223">
      <c r="A223" s="66"/>
      <c r="B223" s="66"/>
      <c r="C223" s="66"/>
      <c r="D223" s="66"/>
      <c r="G223" s="67"/>
      <c r="V223" s="67"/>
    </row>
    <row r="224">
      <c r="A224" s="66"/>
      <c r="B224" s="66"/>
      <c r="C224" s="66"/>
      <c r="D224" s="66"/>
      <c r="G224" s="67"/>
      <c r="V224" s="67"/>
    </row>
    <row r="225">
      <c r="A225" s="66"/>
      <c r="B225" s="66"/>
      <c r="C225" s="66"/>
      <c r="D225" s="66"/>
      <c r="G225" s="67"/>
      <c r="V225" s="67"/>
    </row>
    <row r="226">
      <c r="A226" s="66"/>
      <c r="B226" s="66"/>
      <c r="C226" s="66"/>
      <c r="D226" s="66"/>
      <c r="G226" s="67"/>
      <c r="V226" s="67"/>
    </row>
    <row r="227">
      <c r="A227" s="66"/>
      <c r="B227" s="66"/>
      <c r="C227" s="66"/>
      <c r="D227" s="66"/>
      <c r="G227" s="67"/>
      <c r="V227" s="67"/>
    </row>
    <row r="228">
      <c r="A228" s="66"/>
      <c r="B228" s="66"/>
      <c r="C228" s="66"/>
      <c r="D228" s="66"/>
      <c r="G228" s="67"/>
      <c r="V228" s="67"/>
    </row>
    <row r="229">
      <c r="A229" s="66"/>
      <c r="B229" s="66"/>
      <c r="C229" s="66"/>
      <c r="D229" s="66"/>
      <c r="G229" s="67"/>
      <c r="V229" s="67"/>
    </row>
    <row r="230">
      <c r="A230" s="66"/>
      <c r="B230" s="66"/>
      <c r="C230" s="66"/>
      <c r="D230" s="66"/>
      <c r="G230" s="67"/>
      <c r="V230" s="67"/>
    </row>
    <row r="231">
      <c r="A231" s="66"/>
      <c r="B231" s="66"/>
      <c r="C231" s="66"/>
      <c r="D231" s="66"/>
      <c r="G231" s="67"/>
      <c r="V231" s="67"/>
    </row>
    <row r="232">
      <c r="A232" s="66"/>
      <c r="B232" s="66"/>
      <c r="C232" s="66"/>
      <c r="D232" s="66"/>
      <c r="G232" s="67"/>
      <c r="V232" s="67"/>
    </row>
    <row r="233">
      <c r="A233" s="66"/>
      <c r="B233" s="66"/>
      <c r="C233" s="66"/>
      <c r="D233" s="66"/>
      <c r="G233" s="67"/>
      <c r="V233" s="67"/>
    </row>
    <row r="234">
      <c r="A234" s="66"/>
      <c r="B234" s="66"/>
      <c r="C234" s="66"/>
      <c r="D234" s="66"/>
      <c r="G234" s="67"/>
      <c r="V234" s="67"/>
    </row>
    <row r="235">
      <c r="A235" s="66"/>
      <c r="B235" s="66"/>
      <c r="C235" s="66"/>
      <c r="D235" s="66"/>
      <c r="G235" s="67"/>
      <c r="V235" s="67"/>
    </row>
    <row r="236">
      <c r="A236" s="66"/>
      <c r="B236" s="66"/>
      <c r="C236" s="66"/>
      <c r="D236" s="66"/>
      <c r="G236" s="67"/>
      <c r="V236" s="67"/>
    </row>
    <row r="237">
      <c r="A237" s="66"/>
      <c r="B237" s="66"/>
      <c r="C237" s="66"/>
      <c r="D237" s="66"/>
      <c r="G237" s="67"/>
      <c r="V237" s="67"/>
    </row>
    <row r="238">
      <c r="A238" s="66"/>
      <c r="B238" s="66"/>
      <c r="C238" s="66"/>
      <c r="D238" s="66"/>
      <c r="G238" s="67"/>
      <c r="V238" s="67"/>
    </row>
    <row r="239">
      <c r="A239" s="66"/>
      <c r="B239" s="66"/>
      <c r="C239" s="66"/>
      <c r="D239" s="66"/>
      <c r="G239" s="67"/>
      <c r="V239" s="67"/>
    </row>
    <row r="240">
      <c r="A240" s="66"/>
      <c r="B240" s="66"/>
      <c r="C240" s="66"/>
      <c r="D240" s="66"/>
      <c r="G240" s="67"/>
      <c r="V240" s="67"/>
    </row>
    <row r="241">
      <c r="A241" s="66"/>
      <c r="B241" s="66"/>
      <c r="C241" s="66"/>
      <c r="D241" s="66"/>
      <c r="G241" s="67"/>
      <c r="V241" s="67"/>
    </row>
    <row r="242">
      <c r="A242" s="66"/>
      <c r="B242" s="66"/>
      <c r="C242" s="66"/>
      <c r="D242" s="66"/>
      <c r="G242" s="67"/>
      <c r="V242" s="67"/>
    </row>
    <row r="243">
      <c r="A243" s="66"/>
      <c r="B243" s="66"/>
      <c r="C243" s="66"/>
      <c r="D243" s="66"/>
      <c r="G243" s="67"/>
      <c r="V243" s="67"/>
    </row>
    <row r="244">
      <c r="A244" s="66"/>
      <c r="B244" s="66"/>
      <c r="C244" s="66"/>
      <c r="D244" s="66"/>
      <c r="G244" s="67"/>
      <c r="V244" s="67"/>
    </row>
    <row r="245">
      <c r="A245" s="66"/>
      <c r="B245" s="66"/>
      <c r="C245" s="66"/>
      <c r="D245" s="66"/>
      <c r="G245" s="67"/>
      <c r="V245" s="67"/>
    </row>
    <row r="246">
      <c r="A246" s="66"/>
      <c r="B246" s="66"/>
      <c r="C246" s="66"/>
      <c r="D246" s="66"/>
      <c r="G246" s="67"/>
      <c r="V246" s="67"/>
    </row>
    <row r="247">
      <c r="A247" s="66"/>
      <c r="B247" s="66"/>
      <c r="C247" s="66"/>
      <c r="D247" s="66"/>
      <c r="G247" s="67"/>
      <c r="V247" s="67"/>
    </row>
    <row r="248">
      <c r="A248" s="66"/>
      <c r="B248" s="66"/>
      <c r="C248" s="66"/>
      <c r="D248" s="66"/>
      <c r="G248" s="67"/>
      <c r="V248" s="67"/>
    </row>
    <row r="249">
      <c r="A249" s="66"/>
      <c r="B249" s="66"/>
      <c r="C249" s="66"/>
      <c r="D249" s="66"/>
      <c r="G249" s="67"/>
      <c r="V249" s="67"/>
    </row>
    <row r="250">
      <c r="A250" s="66"/>
      <c r="B250" s="66"/>
      <c r="C250" s="66"/>
      <c r="D250" s="66"/>
      <c r="G250" s="67"/>
      <c r="V250" s="67"/>
    </row>
    <row r="251">
      <c r="A251" s="66"/>
      <c r="B251" s="66"/>
      <c r="C251" s="66"/>
      <c r="D251" s="66"/>
      <c r="G251" s="67"/>
      <c r="V251" s="67"/>
    </row>
    <row r="252">
      <c r="A252" s="66"/>
      <c r="B252" s="66"/>
      <c r="C252" s="66"/>
      <c r="D252" s="66"/>
      <c r="G252" s="67"/>
      <c r="V252" s="67"/>
    </row>
    <row r="253">
      <c r="A253" s="66"/>
      <c r="B253" s="66"/>
      <c r="C253" s="66"/>
      <c r="D253" s="66"/>
      <c r="G253" s="67"/>
      <c r="V253" s="67"/>
    </row>
    <row r="254">
      <c r="A254" s="66"/>
      <c r="B254" s="66"/>
      <c r="C254" s="66"/>
      <c r="D254" s="66"/>
      <c r="G254" s="67"/>
      <c r="V254" s="67"/>
    </row>
    <row r="255">
      <c r="A255" s="66"/>
      <c r="B255" s="66"/>
      <c r="C255" s="66"/>
      <c r="D255" s="66"/>
      <c r="G255" s="67"/>
      <c r="V255" s="67"/>
    </row>
    <row r="256">
      <c r="A256" s="66"/>
      <c r="B256" s="66"/>
      <c r="C256" s="66"/>
      <c r="D256" s="66"/>
      <c r="G256" s="67"/>
      <c r="V256" s="67"/>
    </row>
    <row r="257">
      <c r="A257" s="66"/>
      <c r="B257" s="66"/>
      <c r="C257" s="66"/>
      <c r="D257" s="66"/>
      <c r="G257" s="67"/>
      <c r="V257" s="67"/>
    </row>
    <row r="258">
      <c r="A258" s="66"/>
      <c r="B258" s="66"/>
      <c r="C258" s="66"/>
      <c r="D258" s="66"/>
      <c r="G258" s="67"/>
      <c r="V258" s="67"/>
    </row>
    <row r="259">
      <c r="A259" s="66"/>
      <c r="B259" s="66"/>
      <c r="C259" s="66"/>
      <c r="D259" s="66"/>
      <c r="G259" s="67"/>
      <c r="V259" s="67"/>
    </row>
    <row r="260">
      <c r="A260" s="66"/>
      <c r="B260" s="66"/>
      <c r="C260" s="66"/>
      <c r="D260" s="66"/>
      <c r="G260" s="67"/>
      <c r="V260" s="67"/>
    </row>
    <row r="261">
      <c r="A261" s="66"/>
      <c r="B261" s="66"/>
      <c r="C261" s="66"/>
      <c r="D261" s="66"/>
      <c r="G261" s="67"/>
      <c r="V261" s="67"/>
    </row>
    <row r="262">
      <c r="A262" s="66"/>
      <c r="B262" s="66"/>
      <c r="C262" s="66"/>
      <c r="D262" s="66"/>
      <c r="G262" s="67"/>
      <c r="V262" s="67"/>
    </row>
    <row r="263">
      <c r="A263" s="66"/>
      <c r="B263" s="66"/>
      <c r="C263" s="66"/>
      <c r="D263" s="66"/>
      <c r="G263" s="67"/>
      <c r="V263" s="67"/>
    </row>
    <row r="264">
      <c r="A264" s="66"/>
      <c r="B264" s="66"/>
      <c r="C264" s="66"/>
      <c r="D264" s="66"/>
      <c r="G264" s="67"/>
      <c r="V264" s="67"/>
    </row>
    <row r="265">
      <c r="A265" s="66"/>
      <c r="B265" s="66"/>
      <c r="C265" s="66"/>
      <c r="D265" s="66"/>
      <c r="G265" s="67"/>
      <c r="V265" s="67"/>
    </row>
    <row r="266">
      <c r="A266" s="66"/>
      <c r="B266" s="66"/>
      <c r="C266" s="66"/>
      <c r="D266" s="66"/>
      <c r="G266" s="67"/>
      <c r="V266" s="67"/>
    </row>
    <row r="267">
      <c r="A267" s="66"/>
      <c r="B267" s="66"/>
      <c r="C267" s="66"/>
      <c r="D267" s="66"/>
      <c r="G267" s="67"/>
      <c r="V267" s="67"/>
    </row>
    <row r="268">
      <c r="A268" s="66"/>
      <c r="B268" s="66"/>
      <c r="C268" s="66"/>
      <c r="D268" s="66"/>
      <c r="G268" s="67"/>
      <c r="V268" s="67"/>
    </row>
    <row r="269">
      <c r="A269" s="66"/>
      <c r="B269" s="66"/>
      <c r="C269" s="66"/>
      <c r="D269" s="66"/>
      <c r="G269" s="67"/>
      <c r="V269" s="67"/>
    </row>
    <row r="270">
      <c r="A270" s="66"/>
      <c r="B270" s="66"/>
      <c r="C270" s="66"/>
      <c r="D270" s="66"/>
      <c r="G270" s="67"/>
      <c r="V270" s="67"/>
    </row>
    <row r="271">
      <c r="A271" s="66"/>
      <c r="B271" s="66"/>
      <c r="C271" s="66"/>
      <c r="D271" s="66"/>
      <c r="G271" s="67"/>
      <c r="V271" s="67"/>
    </row>
    <row r="272">
      <c r="A272" s="66"/>
      <c r="B272" s="66"/>
      <c r="C272" s="66"/>
      <c r="D272" s="66"/>
      <c r="G272" s="67"/>
      <c r="V272" s="67"/>
    </row>
    <row r="273">
      <c r="A273" s="66"/>
      <c r="B273" s="66"/>
      <c r="C273" s="66"/>
      <c r="D273" s="66"/>
      <c r="G273" s="67"/>
      <c r="V273" s="67"/>
    </row>
    <row r="274">
      <c r="A274" s="66"/>
      <c r="B274" s="66"/>
      <c r="C274" s="66"/>
      <c r="D274" s="66"/>
      <c r="G274" s="67"/>
      <c r="V274" s="67"/>
    </row>
    <row r="275">
      <c r="A275" s="66"/>
      <c r="B275" s="66"/>
      <c r="C275" s="66"/>
      <c r="D275" s="66"/>
      <c r="G275" s="67"/>
      <c r="V275" s="67"/>
    </row>
    <row r="276">
      <c r="A276" s="66"/>
      <c r="B276" s="66"/>
      <c r="C276" s="66"/>
      <c r="D276" s="66"/>
      <c r="G276" s="67"/>
      <c r="V276" s="67"/>
    </row>
    <row r="277">
      <c r="A277" s="66"/>
      <c r="B277" s="66"/>
      <c r="C277" s="66"/>
      <c r="D277" s="66"/>
      <c r="G277" s="67"/>
      <c r="V277" s="67"/>
    </row>
    <row r="278">
      <c r="A278" s="66"/>
      <c r="B278" s="66"/>
      <c r="C278" s="66"/>
      <c r="D278" s="66"/>
      <c r="G278" s="67"/>
      <c r="V278" s="67"/>
    </row>
    <row r="279">
      <c r="A279" s="66"/>
      <c r="B279" s="66"/>
      <c r="C279" s="66"/>
      <c r="D279" s="66"/>
      <c r="G279" s="67"/>
      <c r="V279" s="67"/>
    </row>
    <row r="280">
      <c r="A280" s="66"/>
      <c r="B280" s="66"/>
      <c r="C280" s="66"/>
      <c r="D280" s="66"/>
      <c r="G280" s="67"/>
      <c r="V280" s="67"/>
    </row>
    <row r="281">
      <c r="A281" s="66"/>
      <c r="B281" s="66"/>
      <c r="C281" s="66"/>
      <c r="D281" s="66"/>
      <c r="G281" s="67"/>
      <c r="V281" s="67"/>
    </row>
    <row r="282">
      <c r="A282" s="66"/>
      <c r="B282" s="66"/>
      <c r="C282" s="66"/>
      <c r="D282" s="66"/>
      <c r="G282" s="67"/>
      <c r="V282" s="67"/>
    </row>
    <row r="283">
      <c r="A283" s="66"/>
      <c r="B283" s="66"/>
      <c r="C283" s="66"/>
      <c r="D283" s="66"/>
      <c r="G283" s="67"/>
      <c r="V283" s="67"/>
    </row>
    <row r="284">
      <c r="A284" s="66"/>
      <c r="B284" s="66"/>
      <c r="C284" s="66"/>
      <c r="D284" s="66"/>
      <c r="G284" s="67"/>
      <c r="V284" s="67"/>
    </row>
    <row r="285">
      <c r="A285" s="66"/>
      <c r="B285" s="66"/>
      <c r="C285" s="66"/>
      <c r="D285" s="66"/>
      <c r="G285" s="67"/>
      <c r="V285" s="67"/>
    </row>
    <row r="286">
      <c r="A286" s="66"/>
      <c r="B286" s="66"/>
      <c r="C286" s="66"/>
      <c r="D286" s="66"/>
      <c r="G286" s="67"/>
      <c r="V286" s="67"/>
    </row>
    <row r="287">
      <c r="A287" s="66"/>
      <c r="B287" s="66"/>
      <c r="C287" s="66"/>
      <c r="D287" s="66"/>
      <c r="G287" s="67"/>
      <c r="V287" s="67"/>
    </row>
    <row r="288">
      <c r="A288" s="66"/>
      <c r="B288" s="66"/>
      <c r="C288" s="66"/>
      <c r="D288" s="66"/>
      <c r="G288" s="67"/>
      <c r="V288" s="67"/>
    </row>
    <row r="289">
      <c r="A289" s="66"/>
      <c r="B289" s="66"/>
      <c r="C289" s="66"/>
      <c r="D289" s="66"/>
      <c r="G289" s="67"/>
      <c r="V289" s="67"/>
    </row>
    <row r="290">
      <c r="A290" s="66"/>
      <c r="B290" s="66"/>
      <c r="C290" s="66"/>
      <c r="D290" s="66"/>
      <c r="G290" s="67"/>
      <c r="V290" s="67"/>
    </row>
    <row r="291">
      <c r="A291" s="66"/>
      <c r="B291" s="66"/>
      <c r="C291" s="66"/>
      <c r="D291" s="66"/>
      <c r="G291" s="67"/>
      <c r="V291" s="67"/>
    </row>
    <row r="292">
      <c r="A292" s="66"/>
      <c r="B292" s="66"/>
      <c r="C292" s="66"/>
      <c r="D292" s="66"/>
      <c r="G292" s="67"/>
      <c r="V292" s="67"/>
    </row>
    <row r="293">
      <c r="A293" s="66"/>
      <c r="B293" s="66"/>
      <c r="C293" s="66"/>
      <c r="D293" s="66"/>
      <c r="G293" s="67"/>
      <c r="V293" s="67"/>
    </row>
    <row r="294">
      <c r="A294" s="66"/>
      <c r="B294" s="66"/>
      <c r="C294" s="66"/>
      <c r="D294" s="66"/>
      <c r="G294" s="67"/>
      <c r="V294" s="67"/>
    </row>
    <row r="295">
      <c r="A295" s="66"/>
      <c r="B295" s="66"/>
      <c r="C295" s="66"/>
      <c r="D295" s="66"/>
      <c r="G295" s="67"/>
      <c r="V295" s="67"/>
    </row>
    <row r="296">
      <c r="A296" s="66"/>
      <c r="B296" s="66"/>
      <c r="C296" s="66"/>
      <c r="D296" s="66"/>
      <c r="G296" s="67"/>
      <c r="V296" s="67"/>
    </row>
    <row r="297">
      <c r="A297" s="66"/>
      <c r="B297" s="66"/>
      <c r="C297" s="66"/>
      <c r="D297" s="66"/>
      <c r="G297" s="67"/>
      <c r="V297" s="67"/>
    </row>
    <row r="298">
      <c r="A298" s="66"/>
      <c r="B298" s="66"/>
      <c r="C298" s="66"/>
      <c r="D298" s="66"/>
      <c r="G298" s="67"/>
      <c r="V298" s="67"/>
    </row>
    <row r="299">
      <c r="A299" s="66"/>
      <c r="B299" s="66"/>
      <c r="C299" s="66"/>
      <c r="D299" s="66"/>
      <c r="G299" s="67"/>
      <c r="V299" s="67"/>
    </row>
    <row r="300">
      <c r="A300" s="66"/>
      <c r="B300" s="66"/>
      <c r="C300" s="66"/>
      <c r="D300" s="66"/>
      <c r="G300" s="67"/>
      <c r="V300" s="67"/>
    </row>
    <row r="301">
      <c r="A301" s="66"/>
      <c r="B301" s="66"/>
      <c r="C301" s="66"/>
      <c r="D301" s="66"/>
      <c r="G301" s="67"/>
      <c r="V301" s="67"/>
    </row>
    <row r="302">
      <c r="A302" s="66"/>
      <c r="B302" s="66"/>
      <c r="C302" s="66"/>
      <c r="D302" s="66"/>
      <c r="G302" s="67"/>
      <c r="V302" s="67"/>
    </row>
    <row r="303">
      <c r="A303" s="66"/>
      <c r="B303" s="66"/>
      <c r="C303" s="66"/>
      <c r="D303" s="66"/>
      <c r="G303" s="67"/>
      <c r="V303" s="67"/>
    </row>
    <row r="304">
      <c r="A304" s="66"/>
      <c r="B304" s="66"/>
      <c r="C304" s="66"/>
      <c r="D304" s="66"/>
      <c r="G304" s="67"/>
      <c r="V304" s="67"/>
    </row>
    <row r="305">
      <c r="A305" s="66"/>
      <c r="B305" s="66"/>
      <c r="C305" s="66"/>
      <c r="D305" s="66"/>
      <c r="G305" s="67"/>
      <c r="V305" s="67"/>
    </row>
    <row r="306">
      <c r="A306" s="66"/>
      <c r="B306" s="66"/>
      <c r="C306" s="66"/>
      <c r="D306" s="66"/>
      <c r="G306" s="67"/>
      <c r="V306" s="67"/>
    </row>
    <row r="307">
      <c r="A307" s="66"/>
      <c r="B307" s="66"/>
      <c r="C307" s="66"/>
      <c r="D307" s="66"/>
      <c r="G307" s="67"/>
      <c r="V307" s="67"/>
    </row>
    <row r="308">
      <c r="A308" s="66"/>
      <c r="B308" s="66"/>
      <c r="C308" s="66"/>
      <c r="D308" s="66"/>
      <c r="G308" s="67"/>
      <c r="V308" s="67"/>
    </row>
    <row r="309">
      <c r="A309" s="66"/>
      <c r="B309" s="66"/>
      <c r="C309" s="66"/>
      <c r="D309" s="66"/>
      <c r="G309" s="67"/>
      <c r="V309" s="67"/>
    </row>
    <row r="310">
      <c r="A310" s="66"/>
      <c r="B310" s="66"/>
      <c r="C310" s="66"/>
      <c r="D310" s="66"/>
      <c r="G310" s="67"/>
      <c r="V310" s="67"/>
    </row>
    <row r="311">
      <c r="A311" s="66"/>
      <c r="B311" s="66"/>
      <c r="C311" s="66"/>
      <c r="D311" s="66"/>
      <c r="G311" s="67"/>
      <c r="V311" s="67"/>
    </row>
    <row r="312">
      <c r="A312" s="66"/>
      <c r="B312" s="66"/>
      <c r="C312" s="66"/>
      <c r="D312" s="66"/>
      <c r="G312" s="67"/>
      <c r="V312" s="67"/>
    </row>
    <row r="313">
      <c r="A313" s="66"/>
      <c r="B313" s="66"/>
      <c r="C313" s="66"/>
      <c r="D313" s="66"/>
      <c r="G313" s="67"/>
      <c r="V313" s="67"/>
    </row>
    <row r="314">
      <c r="A314" s="66"/>
      <c r="B314" s="66"/>
      <c r="C314" s="66"/>
      <c r="D314" s="66"/>
      <c r="G314" s="67"/>
      <c r="V314" s="67"/>
    </row>
    <row r="315">
      <c r="A315" s="66"/>
      <c r="B315" s="66"/>
      <c r="C315" s="66"/>
      <c r="D315" s="66"/>
      <c r="G315" s="67"/>
      <c r="V315" s="67"/>
    </row>
    <row r="316">
      <c r="A316" s="66"/>
      <c r="B316" s="66"/>
      <c r="C316" s="66"/>
      <c r="D316" s="66"/>
      <c r="G316" s="67"/>
      <c r="V316" s="67"/>
    </row>
    <row r="317">
      <c r="A317" s="66"/>
      <c r="B317" s="66"/>
      <c r="C317" s="66"/>
      <c r="D317" s="66"/>
      <c r="G317" s="67"/>
      <c r="V317" s="67"/>
    </row>
    <row r="318">
      <c r="A318" s="66"/>
      <c r="B318" s="66"/>
      <c r="C318" s="66"/>
      <c r="D318" s="66"/>
      <c r="G318" s="67"/>
      <c r="V318" s="67"/>
    </row>
    <row r="319">
      <c r="A319" s="66"/>
      <c r="B319" s="66"/>
      <c r="C319" s="66"/>
      <c r="D319" s="66"/>
      <c r="G319" s="67"/>
      <c r="V319" s="67"/>
    </row>
    <row r="320">
      <c r="A320" s="66"/>
      <c r="B320" s="66"/>
      <c r="C320" s="66"/>
      <c r="D320" s="66"/>
      <c r="G320" s="67"/>
      <c r="V320" s="67"/>
    </row>
    <row r="321">
      <c r="A321" s="66"/>
      <c r="B321" s="66"/>
      <c r="C321" s="66"/>
      <c r="D321" s="66"/>
      <c r="G321" s="67"/>
      <c r="V321" s="67"/>
    </row>
    <row r="322">
      <c r="A322" s="66"/>
      <c r="B322" s="66"/>
      <c r="C322" s="66"/>
      <c r="D322" s="66"/>
      <c r="G322" s="67"/>
      <c r="V322" s="67"/>
    </row>
    <row r="323">
      <c r="A323" s="66"/>
      <c r="B323" s="66"/>
      <c r="C323" s="66"/>
      <c r="D323" s="66"/>
      <c r="G323" s="67"/>
      <c r="V323" s="67"/>
    </row>
    <row r="324">
      <c r="A324" s="66"/>
      <c r="B324" s="66"/>
      <c r="C324" s="66"/>
      <c r="D324" s="66"/>
      <c r="G324" s="67"/>
      <c r="V324" s="67"/>
    </row>
    <row r="325">
      <c r="A325" s="66"/>
      <c r="B325" s="66"/>
      <c r="C325" s="66"/>
      <c r="D325" s="66"/>
      <c r="G325" s="67"/>
      <c r="V325" s="67"/>
    </row>
    <row r="326">
      <c r="A326" s="66"/>
      <c r="B326" s="66"/>
      <c r="C326" s="66"/>
      <c r="D326" s="66"/>
      <c r="G326" s="67"/>
      <c r="V326" s="67"/>
    </row>
    <row r="327">
      <c r="A327" s="66"/>
      <c r="B327" s="66"/>
      <c r="C327" s="66"/>
      <c r="D327" s="66"/>
      <c r="G327" s="67"/>
      <c r="V327" s="67"/>
    </row>
    <row r="328">
      <c r="A328" s="66"/>
      <c r="B328" s="66"/>
      <c r="C328" s="66"/>
      <c r="D328" s="66"/>
      <c r="G328" s="67"/>
      <c r="V328" s="67"/>
    </row>
    <row r="329">
      <c r="A329" s="66"/>
      <c r="B329" s="66"/>
      <c r="C329" s="66"/>
      <c r="D329" s="66"/>
      <c r="G329" s="67"/>
      <c r="V329" s="67"/>
    </row>
    <row r="330">
      <c r="A330" s="66"/>
      <c r="B330" s="66"/>
      <c r="C330" s="66"/>
      <c r="D330" s="66"/>
      <c r="G330" s="67"/>
      <c r="V330" s="67"/>
    </row>
    <row r="331">
      <c r="A331" s="66"/>
      <c r="B331" s="66"/>
      <c r="C331" s="66"/>
      <c r="D331" s="66"/>
      <c r="G331" s="67"/>
      <c r="V331" s="67"/>
    </row>
    <row r="332">
      <c r="A332" s="66"/>
      <c r="B332" s="66"/>
      <c r="C332" s="66"/>
      <c r="D332" s="66"/>
      <c r="G332" s="67"/>
      <c r="V332" s="67"/>
    </row>
    <row r="333">
      <c r="A333" s="66"/>
      <c r="B333" s="66"/>
      <c r="C333" s="66"/>
      <c r="D333" s="66"/>
      <c r="G333" s="67"/>
      <c r="V333" s="67"/>
    </row>
    <row r="334">
      <c r="A334" s="66"/>
      <c r="B334" s="66"/>
      <c r="C334" s="66"/>
      <c r="D334" s="66"/>
      <c r="G334" s="67"/>
      <c r="V334" s="67"/>
    </row>
    <row r="335">
      <c r="A335" s="66"/>
      <c r="B335" s="66"/>
      <c r="C335" s="66"/>
      <c r="D335" s="66"/>
      <c r="G335" s="67"/>
      <c r="V335" s="67"/>
    </row>
    <row r="336">
      <c r="A336" s="66"/>
      <c r="B336" s="66"/>
      <c r="C336" s="66"/>
      <c r="D336" s="66"/>
      <c r="G336" s="67"/>
      <c r="V336" s="67"/>
    </row>
    <row r="337">
      <c r="A337" s="66"/>
      <c r="B337" s="66"/>
      <c r="C337" s="66"/>
      <c r="D337" s="66"/>
      <c r="G337" s="67"/>
      <c r="V337" s="67"/>
    </row>
    <row r="338">
      <c r="A338" s="66"/>
      <c r="B338" s="66"/>
      <c r="C338" s="66"/>
      <c r="D338" s="66"/>
      <c r="G338" s="67"/>
      <c r="V338" s="67"/>
    </row>
    <row r="339">
      <c r="A339" s="66"/>
      <c r="B339" s="66"/>
      <c r="C339" s="66"/>
      <c r="D339" s="66"/>
      <c r="G339" s="67"/>
      <c r="V339" s="67"/>
    </row>
    <row r="340">
      <c r="A340" s="66"/>
      <c r="B340" s="66"/>
      <c r="C340" s="66"/>
      <c r="D340" s="66"/>
      <c r="G340" s="67"/>
      <c r="V340" s="67"/>
    </row>
    <row r="341">
      <c r="A341" s="66"/>
      <c r="B341" s="66"/>
      <c r="C341" s="66"/>
      <c r="D341" s="66"/>
      <c r="G341" s="67"/>
      <c r="V341" s="67"/>
    </row>
    <row r="342">
      <c r="A342" s="66"/>
      <c r="B342" s="66"/>
      <c r="C342" s="66"/>
      <c r="D342" s="66"/>
      <c r="G342" s="67"/>
      <c r="V342" s="67"/>
    </row>
    <row r="343">
      <c r="A343" s="66"/>
      <c r="B343" s="66"/>
      <c r="C343" s="66"/>
      <c r="D343" s="66"/>
      <c r="G343" s="67"/>
      <c r="V343" s="67"/>
    </row>
    <row r="344">
      <c r="A344" s="66"/>
      <c r="B344" s="66"/>
      <c r="C344" s="66"/>
      <c r="D344" s="66"/>
      <c r="G344" s="67"/>
      <c r="V344" s="67"/>
    </row>
    <row r="345">
      <c r="A345" s="66"/>
      <c r="B345" s="66"/>
      <c r="C345" s="66"/>
      <c r="D345" s="66"/>
      <c r="G345" s="67"/>
      <c r="V345" s="67"/>
    </row>
    <row r="346">
      <c r="A346" s="66"/>
      <c r="B346" s="66"/>
      <c r="C346" s="66"/>
      <c r="D346" s="66"/>
      <c r="G346" s="67"/>
      <c r="V346" s="67"/>
    </row>
    <row r="347">
      <c r="A347" s="66"/>
      <c r="B347" s="66"/>
      <c r="C347" s="66"/>
      <c r="D347" s="66"/>
      <c r="G347" s="67"/>
      <c r="V347" s="67"/>
    </row>
    <row r="348">
      <c r="A348" s="66"/>
      <c r="B348" s="66"/>
      <c r="C348" s="66"/>
      <c r="D348" s="66"/>
      <c r="G348" s="67"/>
      <c r="V348" s="67"/>
    </row>
    <row r="349">
      <c r="A349" s="66"/>
      <c r="B349" s="66"/>
      <c r="C349" s="66"/>
      <c r="D349" s="66"/>
      <c r="G349" s="67"/>
      <c r="V349" s="67"/>
    </row>
    <row r="350">
      <c r="A350" s="66"/>
      <c r="B350" s="66"/>
      <c r="C350" s="66"/>
      <c r="D350" s="66"/>
      <c r="G350" s="67"/>
      <c r="V350" s="67"/>
    </row>
    <row r="351">
      <c r="A351" s="66"/>
      <c r="B351" s="66"/>
      <c r="C351" s="66"/>
      <c r="D351" s="66"/>
      <c r="G351" s="67"/>
      <c r="V351" s="67"/>
    </row>
    <row r="352">
      <c r="A352" s="66"/>
      <c r="B352" s="66"/>
      <c r="C352" s="66"/>
      <c r="D352" s="66"/>
      <c r="G352" s="67"/>
      <c r="V352" s="67"/>
    </row>
    <row r="353">
      <c r="A353" s="66"/>
      <c r="B353" s="66"/>
      <c r="C353" s="66"/>
      <c r="D353" s="66"/>
      <c r="G353" s="67"/>
      <c r="V353" s="67"/>
    </row>
    <row r="354">
      <c r="A354" s="66"/>
      <c r="B354" s="66"/>
      <c r="C354" s="66"/>
      <c r="D354" s="66"/>
      <c r="G354" s="67"/>
      <c r="V354" s="67"/>
    </row>
    <row r="355">
      <c r="A355" s="66"/>
      <c r="B355" s="66"/>
      <c r="C355" s="66"/>
      <c r="D355" s="66"/>
      <c r="G355" s="67"/>
      <c r="V355" s="67"/>
    </row>
    <row r="356">
      <c r="A356" s="66"/>
      <c r="B356" s="66"/>
      <c r="C356" s="66"/>
      <c r="D356" s="66"/>
      <c r="G356" s="67"/>
      <c r="V356" s="67"/>
    </row>
    <row r="357">
      <c r="A357" s="66"/>
      <c r="B357" s="66"/>
      <c r="C357" s="66"/>
      <c r="D357" s="66"/>
      <c r="G357" s="67"/>
      <c r="V357" s="67"/>
    </row>
    <row r="358">
      <c r="A358" s="66"/>
      <c r="B358" s="66"/>
      <c r="C358" s="66"/>
      <c r="D358" s="66"/>
      <c r="G358" s="67"/>
      <c r="V358" s="67"/>
    </row>
    <row r="359">
      <c r="A359" s="66"/>
      <c r="B359" s="66"/>
      <c r="C359" s="66"/>
      <c r="D359" s="66"/>
      <c r="G359" s="67"/>
      <c r="V359" s="67"/>
    </row>
    <row r="360">
      <c r="A360" s="66"/>
      <c r="B360" s="66"/>
      <c r="C360" s="66"/>
      <c r="D360" s="66"/>
      <c r="G360" s="67"/>
      <c r="V360" s="67"/>
    </row>
    <row r="361">
      <c r="A361" s="66"/>
      <c r="B361" s="66"/>
      <c r="C361" s="66"/>
      <c r="D361" s="66"/>
      <c r="G361" s="67"/>
      <c r="V361" s="67"/>
    </row>
    <row r="362">
      <c r="A362" s="66"/>
      <c r="B362" s="66"/>
      <c r="C362" s="66"/>
      <c r="D362" s="66"/>
      <c r="G362" s="67"/>
      <c r="V362" s="67"/>
    </row>
    <row r="363">
      <c r="A363" s="66"/>
      <c r="B363" s="66"/>
      <c r="C363" s="66"/>
      <c r="D363" s="66"/>
      <c r="G363" s="67"/>
      <c r="V363" s="67"/>
    </row>
    <row r="364">
      <c r="A364" s="66"/>
      <c r="B364" s="66"/>
      <c r="C364" s="66"/>
      <c r="D364" s="66"/>
      <c r="G364" s="67"/>
      <c r="V364" s="67"/>
    </row>
    <row r="365">
      <c r="A365" s="66"/>
      <c r="B365" s="66"/>
      <c r="C365" s="66"/>
      <c r="D365" s="66"/>
      <c r="G365" s="67"/>
      <c r="V365" s="67"/>
    </row>
    <row r="366">
      <c r="A366" s="66"/>
      <c r="B366" s="66"/>
      <c r="C366" s="66"/>
      <c r="D366" s="66"/>
      <c r="G366" s="67"/>
      <c r="V366" s="67"/>
    </row>
    <row r="367">
      <c r="A367" s="66"/>
      <c r="B367" s="66"/>
      <c r="C367" s="66"/>
      <c r="D367" s="66"/>
      <c r="G367" s="67"/>
      <c r="V367" s="67"/>
    </row>
    <row r="368">
      <c r="A368" s="66"/>
      <c r="B368" s="66"/>
      <c r="C368" s="66"/>
      <c r="D368" s="66"/>
      <c r="G368" s="67"/>
      <c r="V368" s="67"/>
    </row>
    <row r="369">
      <c r="A369" s="66"/>
      <c r="B369" s="66"/>
      <c r="C369" s="66"/>
      <c r="D369" s="66"/>
      <c r="G369" s="67"/>
      <c r="V369" s="67"/>
    </row>
    <row r="370">
      <c r="A370" s="66"/>
      <c r="B370" s="66"/>
      <c r="C370" s="66"/>
      <c r="D370" s="66"/>
      <c r="G370" s="67"/>
      <c r="V370" s="67"/>
    </row>
    <row r="371">
      <c r="A371" s="66"/>
      <c r="B371" s="66"/>
      <c r="C371" s="66"/>
      <c r="D371" s="66"/>
      <c r="G371" s="67"/>
      <c r="V371" s="67"/>
    </row>
    <row r="372">
      <c r="A372" s="66"/>
      <c r="B372" s="66"/>
      <c r="C372" s="66"/>
      <c r="D372" s="66"/>
      <c r="G372" s="67"/>
      <c r="V372" s="67"/>
    </row>
    <row r="373">
      <c r="A373" s="66"/>
      <c r="B373" s="66"/>
      <c r="C373" s="66"/>
      <c r="D373" s="66"/>
      <c r="G373" s="67"/>
      <c r="V373" s="67"/>
    </row>
    <row r="374">
      <c r="A374" s="66"/>
      <c r="B374" s="66"/>
      <c r="C374" s="66"/>
      <c r="D374" s="66"/>
      <c r="G374" s="67"/>
      <c r="V374" s="67"/>
    </row>
    <row r="375">
      <c r="A375" s="66"/>
      <c r="B375" s="66"/>
      <c r="C375" s="66"/>
      <c r="D375" s="66"/>
      <c r="G375" s="67"/>
      <c r="V375" s="67"/>
    </row>
    <row r="376">
      <c r="A376" s="66"/>
      <c r="B376" s="66"/>
      <c r="C376" s="66"/>
      <c r="D376" s="66"/>
      <c r="G376" s="67"/>
      <c r="V376" s="67"/>
    </row>
    <row r="377">
      <c r="A377" s="66"/>
      <c r="B377" s="66"/>
      <c r="C377" s="66"/>
      <c r="D377" s="66"/>
      <c r="G377" s="67"/>
      <c r="V377" s="67"/>
    </row>
    <row r="378">
      <c r="A378" s="66"/>
      <c r="B378" s="66"/>
      <c r="C378" s="66"/>
      <c r="D378" s="66"/>
      <c r="G378" s="67"/>
      <c r="V378" s="67"/>
    </row>
    <row r="379">
      <c r="A379" s="66"/>
      <c r="B379" s="66"/>
      <c r="C379" s="66"/>
      <c r="D379" s="66"/>
      <c r="G379" s="67"/>
      <c r="V379" s="67"/>
    </row>
    <row r="380">
      <c r="A380" s="66"/>
      <c r="B380" s="66"/>
      <c r="C380" s="66"/>
      <c r="D380" s="66"/>
      <c r="G380" s="67"/>
      <c r="V380" s="67"/>
    </row>
    <row r="381">
      <c r="A381" s="66"/>
      <c r="B381" s="66"/>
      <c r="C381" s="66"/>
      <c r="D381" s="66"/>
      <c r="G381" s="67"/>
      <c r="V381" s="67"/>
    </row>
    <row r="382">
      <c r="A382" s="66"/>
      <c r="B382" s="66"/>
      <c r="C382" s="66"/>
      <c r="D382" s="66"/>
      <c r="G382" s="67"/>
      <c r="V382" s="67"/>
    </row>
    <row r="383">
      <c r="A383" s="66"/>
      <c r="B383" s="66"/>
      <c r="C383" s="66"/>
      <c r="D383" s="66"/>
      <c r="G383" s="67"/>
      <c r="V383" s="67"/>
    </row>
    <row r="384">
      <c r="A384" s="66"/>
      <c r="B384" s="66"/>
      <c r="C384" s="66"/>
      <c r="D384" s="66"/>
      <c r="G384" s="67"/>
      <c r="V384" s="67"/>
    </row>
    <row r="385">
      <c r="A385" s="66"/>
      <c r="B385" s="66"/>
      <c r="C385" s="66"/>
      <c r="D385" s="66"/>
      <c r="G385" s="67"/>
      <c r="V385" s="67"/>
    </row>
    <row r="386">
      <c r="A386" s="66"/>
      <c r="B386" s="66"/>
      <c r="C386" s="66"/>
      <c r="D386" s="66"/>
      <c r="G386" s="67"/>
      <c r="V386" s="67"/>
    </row>
    <row r="387">
      <c r="A387" s="66"/>
      <c r="B387" s="66"/>
      <c r="C387" s="66"/>
      <c r="D387" s="66"/>
      <c r="G387" s="67"/>
      <c r="V387" s="67"/>
    </row>
    <row r="388">
      <c r="A388" s="66"/>
      <c r="B388" s="66"/>
      <c r="C388" s="66"/>
      <c r="D388" s="66"/>
      <c r="G388" s="67"/>
      <c r="V388" s="67"/>
    </row>
    <row r="389">
      <c r="A389" s="66"/>
      <c r="B389" s="66"/>
      <c r="C389" s="66"/>
      <c r="D389" s="66"/>
      <c r="G389" s="67"/>
      <c r="V389" s="67"/>
    </row>
    <row r="390">
      <c r="A390" s="66"/>
      <c r="B390" s="66"/>
      <c r="C390" s="66"/>
      <c r="D390" s="66"/>
      <c r="G390" s="67"/>
      <c r="V390" s="67"/>
    </row>
    <row r="391">
      <c r="A391" s="66"/>
      <c r="B391" s="66"/>
      <c r="C391" s="66"/>
      <c r="D391" s="66"/>
      <c r="G391" s="67"/>
      <c r="V391" s="67"/>
    </row>
    <row r="392">
      <c r="A392" s="66"/>
      <c r="B392" s="66"/>
      <c r="C392" s="66"/>
      <c r="D392" s="66"/>
      <c r="G392" s="67"/>
      <c r="V392" s="67"/>
    </row>
    <row r="393">
      <c r="A393" s="66"/>
      <c r="B393" s="66"/>
      <c r="C393" s="66"/>
      <c r="D393" s="66"/>
      <c r="G393" s="67"/>
      <c r="V393" s="67"/>
    </row>
    <row r="394">
      <c r="A394" s="66"/>
      <c r="B394" s="66"/>
      <c r="C394" s="66"/>
      <c r="D394" s="66"/>
      <c r="G394" s="67"/>
      <c r="V394" s="67"/>
    </row>
    <row r="395">
      <c r="A395" s="66"/>
      <c r="B395" s="66"/>
      <c r="C395" s="66"/>
      <c r="D395" s="66"/>
      <c r="G395" s="67"/>
      <c r="V395" s="67"/>
    </row>
    <row r="396">
      <c r="A396" s="66"/>
      <c r="B396" s="66"/>
      <c r="C396" s="66"/>
      <c r="D396" s="66"/>
      <c r="G396" s="67"/>
      <c r="V396" s="67"/>
    </row>
    <row r="397">
      <c r="A397" s="66"/>
      <c r="B397" s="66"/>
      <c r="C397" s="66"/>
      <c r="D397" s="66"/>
      <c r="G397" s="67"/>
      <c r="V397" s="67"/>
    </row>
    <row r="398">
      <c r="A398" s="66"/>
      <c r="B398" s="66"/>
      <c r="C398" s="66"/>
      <c r="D398" s="66"/>
      <c r="G398" s="67"/>
      <c r="V398" s="67"/>
    </row>
    <row r="399">
      <c r="A399" s="66"/>
      <c r="B399" s="66"/>
      <c r="C399" s="66"/>
      <c r="D399" s="66"/>
      <c r="G399" s="67"/>
      <c r="V399" s="67"/>
    </row>
    <row r="400">
      <c r="A400" s="66"/>
      <c r="B400" s="66"/>
      <c r="C400" s="66"/>
      <c r="D400" s="66"/>
      <c r="G400" s="67"/>
      <c r="V400" s="67"/>
    </row>
    <row r="401">
      <c r="A401" s="66"/>
      <c r="B401" s="66"/>
      <c r="C401" s="66"/>
      <c r="D401" s="66"/>
      <c r="G401" s="67"/>
      <c r="V401" s="67"/>
    </row>
    <row r="402">
      <c r="A402" s="66"/>
      <c r="B402" s="66"/>
      <c r="C402" s="66"/>
      <c r="D402" s="66"/>
      <c r="G402" s="67"/>
      <c r="V402" s="67"/>
    </row>
    <row r="403">
      <c r="A403" s="66"/>
      <c r="B403" s="66"/>
      <c r="C403" s="66"/>
      <c r="D403" s="66"/>
      <c r="G403" s="67"/>
      <c r="V403" s="67"/>
    </row>
    <row r="404">
      <c r="A404" s="66"/>
      <c r="B404" s="66"/>
      <c r="C404" s="66"/>
      <c r="D404" s="66"/>
      <c r="G404" s="67"/>
      <c r="V404" s="67"/>
    </row>
    <row r="405">
      <c r="A405" s="66"/>
      <c r="B405" s="66"/>
      <c r="C405" s="66"/>
      <c r="D405" s="66"/>
      <c r="G405" s="67"/>
      <c r="V405" s="67"/>
    </row>
    <row r="406">
      <c r="A406" s="66"/>
      <c r="B406" s="66"/>
      <c r="C406" s="66"/>
      <c r="D406" s="66"/>
      <c r="G406" s="67"/>
      <c r="V406" s="67"/>
    </row>
    <row r="407">
      <c r="A407" s="66"/>
      <c r="B407" s="66"/>
      <c r="C407" s="66"/>
      <c r="D407" s="66"/>
      <c r="G407" s="67"/>
      <c r="V407" s="67"/>
    </row>
    <row r="408">
      <c r="A408" s="66"/>
      <c r="B408" s="66"/>
      <c r="C408" s="66"/>
      <c r="D408" s="66"/>
      <c r="G408" s="67"/>
      <c r="V408" s="67"/>
    </row>
    <row r="409">
      <c r="A409" s="66"/>
      <c r="B409" s="66"/>
      <c r="C409" s="66"/>
      <c r="D409" s="66"/>
      <c r="G409" s="67"/>
      <c r="V409" s="67"/>
    </row>
    <row r="410">
      <c r="A410" s="66"/>
      <c r="B410" s="66"/>
      <c r="C410" s="66"/>
      <c r="D410" s="66"/>
      <c r="G410" s="67"/>
      <c r="V410" s="67"/>
    </row>
    <row r="411">
      <c r="A411" s="66"/>
      <c r="B411" s="66"/>
      <c r="C411" s="66"/>
      <c r="D411" s="66"/>
      <c r="G411" s="67"/>
      <c r="V411" s="67"/>
    </row>
    <row r="412">
      <c r="A412" s="66"/>
      <c r="B412" s="66"/>
      <c r="C412" s="66"/>
      <c r="D412" s="66"/>
      <c r="G412" s="67"/>
      <c r="V412" s="67"/>
    </row>
    <row r="413">
      <c r="A413" s="66"/>
      <c r="B413" s="66"/>
      <c r="C413" s="66"/>
      <c r="D413" s="66"/>
      <c r="G413" s="67"/>
      <c r="V413" s="67"/>
    </row>
    <row r="414">
      <c r="A414" s="66"/>
      <c r="B414" s="66"/>
      <c r="C414" s="66"/>
      <c r="D414" s="66"/>
      <c r="G414" s="67"/>
      <c r="V414" s="67"/>
    </row>
    <row r="415">
      <c r="A415" s="66"/>
      <c r="B415" s="66"/>
      <c r="C415" s="66"/>
      <c r="D415" s="66"/>
      <c r="G415" s="67"/>
      <c r="V415" s="67"/>
    </row>
    <row r="416">
      <c r="A416" s="66"/>
      <c r="B416" s="66"/>
      <c r="C416" s="66"/>
      <c r="D416" s="66"/>
      <c r="G416" s="67"/>
      <c r="V416" s="67"/>
    </row>
    <row r="417">
      <c r="A417" s="66"/>
      <c r="B417" s="66"/>
      <c r="C417" s="66"/>
      <c r="D417" s="66"/>
      <c r="G417" s="67"/>
      <c r="V417" s="67"/>
    </row>
    <row r="418">
      <c r="A418" s="66"/>
      <c r="B418" s="66"/>
      <c r="C418" s="66"/>
      <c r="D418" s="66"/>
      <c r="G418" s="67"/>
      <c r="V418" s="67"/>
    </row>
    <row r="419">
      <c r="A419" s="66"/>
      <c r="B419" s="66"/>
      <c r="C419" s="66"/>
      <c r="D419" s="66"/>
      <c r="G419" s="67"/>
      <c r="V419" s="67"/>
    </row>
    <row r="420">
      <c r="A420" s="66"/>
      <c r="B420" s="66"/>
      <c r="C420" s="66"/>
      <c r="D420" s="66"/>
      <c r="G420" s="67"/>
      <c r="V420" s="67"/>
    </row>
    <row r="421">
      <c r="A421" s="66"/>
      <c r="B421" s="66"/>
      <c r="C421" s="66"/>
      <c r="D421" s="66"/>
      <c r="G421" s="67"/>
      <c r="V421" s="67"/>
    </row>
    <row r="422">
      <c r="A422" s="66"/>
      <c r="B422" s="66"/>
      <c r="C422" s="66"/>
      <c r="D422" s="66"/>
      <c r="G422" s="67"/>
      <c r="V422" s="67"/>
    </row>
    <row r="423">
      <c r="A423" s="66"/>
      <c r="B423" s="66"/>
      <c r="C423" s="66"/>
      <c r="D423" s="66"/>
      <c r="G423" s="67"/>
      <c r="V423" s="67"/>
    </row>
    <row r="424">
      <c r="A424" s="66"/>
      <c r="B424" s="66"/>
      <c r="C424" s="66"/>
      <c r="D424" s="66"/>
      <c r="G424" s="67"/>
      <c r="V424" s="67"/>
    </row>
    <row r="425">
      <c r="A425" s="66"/>
      <c r="B425" s="66"/>
      <c r="C425" s="66"/>
      <c r="D425" s="66"/>
      <c r="G425" s="67"/>
      <c r="V425" s="67"/>
    </row>
    <row r="426">
      <c r="A426" s="66"/>
      <c r="B426" s="66"/>
      <c r="C426" s="66"/>
      <c r="D426" s="66"/>
      <c r="G426" s="67"/>
      <c r="V426" s="67"/>
    </row>
    <row r="427">
      <c r="A427" s="66"/>
      <c r="B427" s="66"/>
      <c r="C427" s="66"/>
      <c r="D427" s="66"/>
      <c r="G427" s="67"/>
      <c r="V427" s="67"/>
    </row>
    <row r="428">
      <c r="A428" s="66"/>
      <c r="B428" s="66"/>
      <c r="C428" s="66"/>
      <c r="D428" s="66"/>
      <c r="G428" s="67"/>
      <c r="V428" s="67"/>
    </row>
    <row r="429">
      <c r="A429" s="66"/>
      <c r="B429" s="66"/>
      <c r="C429" s="66"/>
      <c r="D429" s="66"/>
      <c r="G429" s="67"/>
      <c r="V429" s="67"/>
    </row>
    <row r="430">
      <c r="A430" s="66"/>
      <c r="B430" s="66"/>
      <c r="C430" s="66"/>
      <c r="D430" s="66"/>
      <c r="G430" s="67"/>
      <c r="V430" s="67"/>
    </row>
    <row r="431">
      <c r="A431" s="66"/>
      <c r="B431" s="66"/>
      <c r="C431" s="66"/>
      <c r="D431" s="66"/>
      <c r="G431" s="67"/>
      <c r="V431" s="67"/>
    </row>
    <row r="432">
      <c r="A432" s="66"/>
      <c r="B432" s="66"/>
      <c r="C432" s="66"/>
      <c r="D432" s="66"/>
      <c r="G432" s="67"/>
      <c r="V432" s="67"/>
    </row>
    <row r="433">
      <c r="A433" s="66"/>
      <c r="B433" s="66"/>
      <c r="C433" s="66"/>
      <c r="D433" s="66"/>
      <c r="G433" s="67"/>
      <c r="V433" s="67"/>
    </row>
    <row r="434">
      <c r="A434" s="66"/>
      <c r="B434" s="66"/>
      <c r="C434" s="66"/>
      <c r="D434" s="66"/>
      <c r="G434" s="67"/>
      <c r="V434" s="67"/>
    </row>
    <row r="435">
      <c r="A435" s="66"/>
      <c r="B435" s="66"/>
      <c r="C435" s="66"/>
      <c r="D435" s="66"/>
      <c r="G435" s="67"/>
      <c r="V435" s="67"/>
    </row>
    <row r="436">
      <c r="A436" s="66"/>
      <c r="B436" s="66"/>
      <c r="C436" s="66"/>
      <c r="D436" s="66"/>
      <c r="G436" s="67"/>
      <c r="V436" s="67"/>
    </row>
    <row r="437">
      <c r="A437" s="66"/>
      <c r="B437" s="66"/>
      <c r="C437" s="66"/>
      <c r="D437" s="66"/>
      <c r="G437" s="67"/>
      <c r="V437" s="67"/>
    </row>
    <row r="438">
      <c r="A438" s="66"/>
      <c r="B438" s="66"/>
      <c r="C438" s="66"/>
      <c r="D438" s="66"/>
      <c r="G438" s="67"/>
      <c r="V438" s="67"/>
    </row>
    <row r="439">
      <c r="A439" s="66"/>
      <c r="B439" s="66"/>
      <c r="C439" s="66"/>
      <c r="D439" s="66"/>
      <c r="G439" s="67"/>
      <c r="V439" s="67"/>
    </row>
    <row r="440">
      <c r="A440" s="66"/>
      <c r="B440" s="66"/>
      <c r="C440" s="66"/>
      <c r="D440" s="66"/>
      <c r="G440" s="67"/>
      <c r="V440" s="67"/>
    </row>
    <row r="441">
      <c r="A441" s="66"/>
      <c r="B441" s="66"/>
      <c r="C441" s="66"/>
      <c r="D441" s="66"/>
      <c r="G441" s="67"/>
      <c r="V441" s="67"/>
    </row>
    <row r="442">
      <c r="A442" s="66"/>
      <c r="B442" s="66"/>
      <c r="C442" s="66"/>
      <c r="D442" s="66"/>
      <c r="G442" s="67"/>
      <c r="V442" s="67"/>
    </row>
    <row r="443">
      <c r="A443" s="66"/>
      <c r="B443" s="66"/>
      <c r="C443" s="66"/>
      <c r="D443" s="66"/>
      <c r="G443" s="67"/>
      <c r="V443" s="67"/>
    </row>
    <row r="444">
      <c r="A444" s="66"/>
      <c r="B444" s="66"/>
      <c r="C444" s="66"/>
      <c r="D444" s="66"/>
      <c r="G444" s="67"/>
      <c r="V444" s="67"/>
    </row>
    <row r="445">
      <c r="A445" s="66"/>
      <c r="B445" s="66"/>
      <c r="C445" s="66"/>
      <c r="D445" s="66"/>
      <c r="G445" s="67"/>
      <c r="V445" s="67"/>
    </row>
    <row r="446">
      <c r="A446" s="66"/>
      <c r="B446" s="66"/>
      <c r="C446" s="66"/>
      <c r="D446" s="66"/>
      <c r="G446" s="67"/>
      <c r="V446" s="67"/>
    </row>
    <row r="447">
      <c r="A447" s="66"/>
      <c r="B447" s="66"/>
      <c r="C447" s="66"/>
      <c r="D447" s="66"/>
      <c r="G447" s="67"/>
      <c r="V447" s="67"/>
    </row>
    <row r="448">
      <c r="A448" s="66"/>
      <c r="B448" s="66"/>
      <c r="C448" s="66"/>
      <c r="D448" s="66"/>
      <c r="G448" s="67"/>
      <c r="V448" s="67"/>
    </row>
    <row r="449">
      <c r="A449" s="66"/>
      <c r="B449" s="66"/>
      <c r="C449" s="66"/>
      <c r="D449" s="66"/>
      <c r="G449" s="67"/>
      <c r="V449" s="67"/>
    </row>
    <row r="450">
      <c r="A450" s="66"/>
      <c r="B450" s="66"/>
      <c r="C450" s="66"/>
      <c r="D450" s="66"/>
      <c r="G450" s="67"/>
      <c r="V450" s="67"/>
    </row>
    <row r="451">
      <c r="A451" s="66"/>
      <c r="B451" s="66"/>
      <c r="C451" s="66"/>
      <c r="D451" s="66"/>
      <c r="G451" s="67"/>
      <c r="V451" s="67"/>
    </row>
    <row r="452">
      <c r="A452" s="66"/>
      <c r="B452" s="66"/>
      <c r="C452" s="66"/>
      <c r="D452" s="66"/>
      <c r="G452" s="67"/>
      <c r="V452" s="67"/>
    </row>
    <row r="453">
      <c r="A453" s="66"/>
      <c r="B453" s="66"/>
      <c r="C453" s="66"/>
      <c r="D453" s="66"/>
      <c r="G453" s="67"/>
      <c r="V453" s="67"/>
    </row>
    <row r="454">
      <c r="A454" s="66"/>
      <c r="B454" s="66"/>
      <c r="C454" s="66"/>
      <c r="D454" s="66"/>
      <c r="G454" s="67"/>
      <c r="V454" s="67"/>
    </row>
    <row r="455">
      <c r="A455" s="66"/>
      <c r="B455" s="66"/>
      <c r="C455" s="66"/>
      <c r="D455" s="66"/>
      <c r="G455" s="67"/>
      <c r="V455" s="67"/>
    </row>
    <row r="456">
      <c r="A456" s="66"/>
      <c r="B456" s="66"/>
      <c r="C456" s="66"/>
      <c r="D456" s="66"/>
      <c r="G456" s="67"/>
      <c r="V456" s="67"/>
    </row>
    <row r="457">
      <c r="A457" s="66"/>
      <c r="B457" s="66"/>
      <c r="C457" s="66"/>
      <c r="D457" s="66"/>
      <c r="G457" s="67"/>
      <c r="V457" s="67"/>
    </row>
    <row r="458">
      <c r="A458" s="66"/>
      <c r="B458" s="66"/>
      <c r="C458" s="66"/>
      <c r="D458" s="66"/>
      <c r="G458" s="67"/>
      <c r="V458" s="67"/>
    </row>
    <row r="459">
      <c r="A459" s="66"/>
      <c r="B459" s="66"/>
      <c r="C459" s="66"/>
      <c r="D459" s="66"/>
      <c r="G459" s="67"/>
      <c r="V459" s="67"/>
    </row>
    <row r="460">
      <c r="A460" s="66"/>
      <c r="B460" s="66"/>
      <c r="C460" s="66"/>
      <c r="D460" s="66"/>
      <c r="G460" s="67"/>
      <c r="V460" s="67"/>
    </row>
    <row r="461">
      <c r="A461" s="66"/>
      <c r="B461" s="66"/>
      <c r="C461" s="66"/>
      <c r="D461" s="66"/>
      <c r="G461" s="67"/>
      <c r="V461" s="67"/>
    </row>
    <row r="462">
      <c r="A462" s="66"/>
      <c r="B462" s="66"/>
      <c r="C462" s="66"/>
      <c r="D462" s="66"/>
      <c r="G462" s="67"/>
      <c r="V462" s="67"/>
    </row>
    <row r="463">
      <c r="A463" s="66"/>
      <c r="B463" s="66"/>
      <c r="C463" s="66"/>
      <c r="D463" s="66"/>
      <c r="G463" s="67"/>
      <c r="V463" s="67"/>
    </row>
    <row r="464">
      <c r="A464" s="66"/>
      <c r="B464" s="66"/>
      <c r="C464" s="66"/>
      <c r="D464" s="66"/>
      <c r="G464" s="67"/>
      <c r="V464" s="67"/>
    </row>
    <row r="465">
      <c r="A465" s="66"/>
      <c r="B465" s="66"/>
      <c r="C465" s="66"/>
      <c r="D465" s="66"/>
      <c r="G465" s="67"/>
      <c r="V465" s="67"/>
    </row>
    <row r="466">
      <c r="A466" s="66"/>
      <c r="B466" s="66"/>
      <c r="C466" s="66"/>
      <c r="D466" s="66"/>
      <c r="G466" s="67"/>
      <c r="V466" s="67"/>
    </row>
    <row r="467">
      <c r="A467" s="66"/>
      <c r="B467" s="66"/>
      <c r="C467" s="66"/>
      <c r="D467" s="66"/>
      <c r="G467" s="67"/>
      <c r="V467" s="67"/>
    </row>
    <row r="468">
      <c r="A468" s="66"/>
      <c r="B468" s="66"/>
      <c r="C468" s="66"/>
      <c r="D468" s="66"/>
      <c r="G468" s="67"/>
      <c r="V468" s="67"/>
    </row>
    <row r="469">
      <c r="A469" s="66"/>
      <c r="B469" s="66"/>
      <c r="C469" s="66"/>
      <c r="D469" s="66"/>
      <c r="G469" s="67"/>
      <c r="V469" s="67"/>
    </row>
    <row r="470">
      <c r="A470" s="66"/>
      <c r="B470" s="66"/>
      <c r="C470" s="66"/>
      <c r="D470" s="66"/>
      <c r="G470" s="67"/>
      <c r="V470" s="67"/>
    </row>
    <row r="471">
      <c r="A471" s="66"/>
      <c r="B471" s="66"/>
      <c r="C471" s="66"/>
      <c r="D471" s="66"/>
      <c r="G471" s="67"/>
      <c r="V471" s="67"/>
    </row>
    <row r="472">
      <c r="A472" s="66"/>
      <c r="B472" s="66"/>
      <c r="C472" s="66"/>
      <c r="D472" s="66"/>
      <c r="G472" s="67"/>
      <c r="V472" s="67"/>
    </row>
    <row r="473">
      <c r="A473" s="66"/>
      <c r="B473" s="66"/>
      <c r="C473" s="66"/>
      <c r="D473" s="66"/>
      <c r="G473" s="67"/>
      <c r="V473" s="67"/>
    </row>
    <row r="474">
      <c r="A474" s="66"/>
      <c r="B474" s="66"/>
      <c r="C474" s="66"/>
      <c r="D474" s="66"/>
      <c r="G474" s="67"/>
      <c r="V474" s="67"/>
    </row>
    <row r="475">
      <c r="A475" s="66"/>
      <c r="B475" s="66"/>
      <c r="C475" s="66"/>
      <c r="D475" s="66"/>
      <c r="G475" s="67"/>
      <c r="V475" s="67"/>
    </row>
    <row r="476">
      <c r="A476" s="66"/>
      <c r="B476" s="66"/>
      <c r="C476" s="66"/>
      <c r="D476" s="66"/>
      <c r="G476" s="67"/>
      <c r="V476" s="67"/>
    </row>
    <row r="477">
      <c r="A477" s="66"/>
      <c r="B477" s="66"/>
      <c r="C477" s="66"/>
      <c r="D477" s="66"/>
      <c r="G477" s="67"/>
      <c r="V477" s="67"/>
    </row>
    <row r="478">
      <c r="A478" s="66"/>
      <c r="B478" s="66"/>
      <c r="C478" s="66"/>
      <c r="D478" s="66"/>
      <c r="G478" s="67"/>
      <c r="V478" s="67"/>
    </row>
    <row r="479">
      <c r="A479" s="66"/>
      <c r="B479" s="66"/>
      <c r="C479" s="66"/>
      <c r="D479" s="66"/>
      <c r="G479" s="67"/>
      <c r="V479" s="67"/>
    </row>
    <row r="480">
      <c r="A480" s="66"/>
      <c r="B480" s="66"/>
      <c r="C480" s="66"/>
      <c r="D480" s="66"/>
      <c r="G480" s="67"/>
      <c r="V480" s="67"/>
    </row>
    <row r="481">
      <c r="A481" s="66"/>
      <c r="B481" s="66"/>
      <c r="C481" s="66"/>
      <c r="D481" s="66"/>
      <c r="G481" s="67"/>
      <c r="V481" s="67"/>
    </row>
    <row r="482">
      <c r="A482" s="66"/>
      <c r="B482" s="66"/>
      <c r="C482" s="66"/>
      <c r="D482" s="66"/>
      <c r="G482" s="67"/>
      <c r="V482" s="67"/>
    </row>
    <row r="483">
      <c r="A483" s="66"/>
      <c r="B483" s="66"/>
      <c r="C483" s="66"/>
      <c r="D483" s="66"/>
      <c r="G483" s="67"/>
      <c r="V483" s="67"/>
    </row>
    <row r="484">
      <c r="A484" s="66"/>
      <c r="B484" s="66"/>
      <c r="C484" s="66"/>
      <c r="D484" s="66"/>
      <c r="G484" s="67"/>
      <c r="V484" s="67"/>
    </row>
    <row r="485">
      <c r="A485" s="66"/>
      <c r="B485" s="66"/>
      <c r="C485" s="66"/>
      <c r="D485" s="66"/>
      <c r="G485" s="67"/>
      <c r="V485" s="67"/>
    </row>
    <row r="486">
      <c r="A486" s="66"/>
      <c r="B486" s="66"/>
      <c r="C486" s="66"/>
      <c r="D486" s="66"/>
      <c r="G486" s="67"/>
      <c r="V486" s="67"/>
    </row>
    <row r="487">
      <c r="A487" s="66"/>
      <c r="B487" s="66"/>
      <c r="C487" s="66"/>
      <c r="D487" s="66"/>
      <c r="G487" s="67"/>
      <c r="V487" s="67"/>
    </row>
    <row r="488">
      <c r="A488" s="66"/>
      <c r="B488" s="66"/>
      <c r="C488" s="66"/>
      <c r="D488" s="66"/>
      <c r="G488" s="67"/>
      <c r="V488" s="67"/>
    </row>
    <row r="489">
      <c r="A489" s="66"/>
      <c r="B489" s="66"/>
      <c r="C489" s="66"/>
      <c r="D489" s="66"/>
      <c r="G489" s="67"/>
      <c r="V489" s="67"/>
    </row>
    <row r="490">
      <c r="A490" s="66"/>
      <c r="B490" s="66"/>
      <c r="C490" s="66"/>
      <c r="D490" s="66"/>
      <c r="G490" s="67"/>
      <c r="V490" s="67"/>
    </row>
    <row r="491">
      <c r="A491" s="66"/>
      <c r="B491" s="66"/>
      <c r="C491" s="66"/>
      <c r="D491" s="66"/>
      <c r="G491" s="67"/>
      <c r="V491" s="67"/>
    </row>
    <row r="492">
      <c r="A492" s="66"/>
      <c r="B492" s="66"/>
      <c r="C492" s="66"/>
      <c r="D492" s="66"/>
      <c r="G492" s="67"/>
      <c r="V492" s="67"/>
    </row>
    <row r="493">
      <c r="A493" s="66"/>
      <c r="B493" s="66"/>
      <c r="C493" s="66"/>
      <c r="D493" s="66"/>
      <c r="G493" s="67"/>
      <c r="V493" s="67"/>
    </row>
    <row r="494">
      <c r="A494" s="66"/>
      <c r="B494" s="66"/>
      <c r="C494" s="66"/>
      <c r="D494" s="66"/>
      <c r="G494" s="67"/>
      <c r="V494" s="67"/>
    </row>
    <row r="495">
      <c r="A495" s="66"/>
      <c r="B495" s="66"/>
      <c r="C495" s="66"/>
      <c r="D495" s="66"/>
      <c r="G495" s="67"/>
      <c r="V495" s="67"/>
    </row>
    <row r="496">
      <c r="A496" s="66"/>
      <c r="B496" s="66"/>
      <c r="C496" s="66"/>
      <c r="D496" s="66"/>
      <c r="G496" s="67"/>
      <c r="V496" s="67"/>
    </row>
    <row r="497">
      <c r="A497" s="66"/>
      <c r="B497" s="66"/>
      <c r="C497" s="66"/>
      <c r="D497" s="66"/>
      <c r="G497" s="67"/>
      <c r="V497" s="67"/>
    </row>
    <row r="498">
      <c r="A498" s="66"/>
      <c r="B498" s="66"/>
      <c r="C498" s="66"/>
      <c r="D498" s="66"/>
      <c r="G498" s="67"/>
      <c r="V498" s="67"/>
    </row>
    <row r="499">
      <c r="A499" s="66"/>
      <c r="B499" s="66"/>
      <c r="C499" s="66"/>
      <c r="D499" s="66"/>
      <c r="G499" s="67"/>
      <c r="V499" s="67"/>
    </row>
    <row r="500">
      <c r="A500" s="66"/>
      <c r="B500" s="66"/>
      <c r="C500" s="66"/>
      <c r="D500" s="66"/>
      <c r="G500" s="67"/>
      <c r="V500" s="67"/>
    </row>
    <row r="501">
      <c r="A501" s="66"/>
      <c r="B501" s="66"/>
      <c r="C501" s="66"/>
      <c r="D501" s="66"/>
      <c r="G501" s="67"/>
      <c r="V501" s="67"/>
    </row>
    <row r="502">
      <c r="A502" s="66"/>
      <c r="B502" s="66"/>
      <c r="C502" s="66"/>
      <c r="D502" s="66"/>
      <c r="G502" s="67"/>
      <c r="V502" s="67"/>
    </row>
    <row r="503">
      <c r="A503" s="66"/>
      <c r="B503" s="66"/>
      <c r="C503" s="66"/>
      <c r="D503" s="66"/>
      <c r="G503" s="67"/>
      <c r="V503" s="67"/>
    </row>
    <row r="504">
      <c r="A504" s="66"/>
      <c r="B504" s="66"/>
      <c r="C504" s="66"/>
      <c r="D504" s="66"/>
      <c r="G504" s="67"/>
      <c r="V504" s="67"/>
    </row>
    <row r="505">
      <c r="A505" s="66"/>
      <c r="B505" s="66"/>
      <c r="C505" s="66"/>
      <c r="D505" s="66"/>
      <c r="G505" s="67"/>
      <c r="V505" s="67"/>
    </row>
    <row r="506">
      <c r="A506" s="66"/>
      <c r="B506" s="66"/>
      <c r="C506" s="66"/>
      <c r="D506" s="66"/>
      <c r="G506" s="67"/>
      <c r="V506" s="67"/>
    </row>
    <row r="507">
      <c r="A507" s="66"/>
      <c r="B507" s="66"/>
      <c r="C507" s="66"/>
      <c r="D507" s="66"/>
      <c r="G507" s="67"/>
      <c r="V507" s="67"/>
    </row>
    <row r="508">
      <c r="A508" s="66"/>
      <c r="B508" s="66"/>
      <c r="C508" s="66"/>
      <c r="D508" s="66"/>
      <c r="G508" s="67"/>
      <c r="V508" s="67"/>
    </row>
    <row r="509">
      <c r="A509" s="66"/>
      <c r="B509" s="66"/>
      <c r="C509" s="66"/>
      <c r="D509" s="66"/>
      <c r="G509" s="67"/>
      <c r="V509" s="67"/>
    </row>
    <row r="510">
      <c r="A510" s="66"/>
      <c r="B510" s="66"/>
      <c r="C510" s="66"/>
      <c r="D510" s="66"/>
      <c r="G510" s="67"/>
      <c r="V510" s="67"/>
    </row>
    <row r="511">
      <c r="A511" s="66"/>
      <c r="B511" s="66"/>
      <c r="C511" s="66"/>
      <c r="D511" s="66"/>
      <c r="G511" s="67"/>
      <c r="V511" s="67"/>
    </row>
    <row r="512">
      <c r="A512" s="66"/>
      <c r="B512" s="66"/>
      <c r="C512" s="66"/>
      <c r="D512" s="66"/>
      <c r="G512" s="67"/>
      <c r="V512" s="67"/>
    </row>
    <row r="513">
      <c r="A513" s="66"/>
      <c r="B513" s="66"/>
      <c r="C513" s="66"/>
      <c r="D513" s="66"/>
      <c r="G513" s="67"/>
      <c r="V513" s="67"/>
    </row>
    <row r="514">
      <c r="A514" s="66"/>
      <c r="B514" s="66"/>
      <c r="C514" s="66"/>
      <c r="D514" s="66"/>
      <c r="G514" s="67"/>
      <c r="V514" s="67"/>
    </row>
    <row r="515">
      <c r="A515" s="66"/>
      <c r="B515" s="66"/>
      <c r="C515" s="66"/>
      <c r="D515" s="66"/>
      <c r="G515" s="67"/>
      <c r="V515" s="67"/>
    </row>
    <row r="516">
      <c r="A516" s="66"/>
      <c r="B516" s="66"/>
      <c r="C516" s="66"/>
      <c r="D516" s="66"/>
      <c r="G516" s="67"/>
      <c r="V516" s="67"/>
    </row>
    <row r="517">
      <c r="A517" s="66"/>
      <c r="B517" s="66"/>
      <c r="C517" s="66"/>
      <c r="D517" s="66"/>
      <c r="G517" s="67"/>
      <c r="V517" s="67"/>
    </row>
    <row r="518">
      <c r="A518" s="66"/>
      <c r="B518" s="66"/>
      <c r="C518" s="66"/>
      <c r="D518" s="66"/>
      <c r="G518" s="67"/>
      <c r="V518" s="67"/>
    </row>
    <row r="519">
      <c r="A519" s="66"/>
      <c r="B519" s="66"/>
      <c r="C519" s="66"/>
      <c r="D519" s="66"/>
      <c r="G519" s="67"/>
      <c r="V519" s="67"/>
    </row>
    <row r="520">
      <c r="A520" s="66"/>
      <c r="B520" s="66"/>
      <c r="C520" s="66"/>
      <c r="D520" s="66"/>
      <c r="G520" s="67"/>
      <c r="V520" s="67"/>
    </row>
    <row r="521">
      <c r="A521" s="66"/>
      <c r="B521" s="66"/>
      <c r="C521" s="66"/>
      <c r="D521" s="66"/>
      <c r="G521" s="67"/>
      <c r="V521" s="67"/>
    </row>
    <row r="522">
      <c r="A522" s="66"/>
      <c r="B522" s="66"/>
      <c r="C522" s="66"/>
      <c r="D522" s="66"/>
      <c r="G522" s="67"/>
      <c r="V522" s="67"/>
    </row>
    <row r="523">
      <c r="A523" s="66"/>
      <c r="B523" s="66"/>
      <c r="C523" s="66"/>
      <c r="D523" s="66"/>
      <c r="G523" s="67"/>
      <c r="V523" s="67"/>
    </row>
    <row r="524">
      <c r="A524" s="66"/>
      <c r="B524" s="66"/>
      <c r="C524" s="66"/>
      <c r="D524" s="66"/>
      <c r="G524" s="67"/>
      <c r="V524" s="67"/>
    </row>
    <row r="525">
      <c r="A525" s="66"/>
      <c r="B525" s="66"/>
      <c r="C525" s="66"/>
      <c r="D525" s="66"/>
      <c r="G525" s="67"/>
      <c r="V525" s="67"/>
    </row>
    <row r="526">
      <c r="A526" s="66"/>
      <c r="B526" s="66"/>
      <c r="C526" s="66"/>
      <c r="D526" s="66"/>
      <c r="G526" s="67"/>
      <c r="V526" s="67"/>
    </row>
    <row r="527">
      <c r="A527" s="66"/>
      <c r="B527" s="66"/>
      <c r="C527" s="66"/>
      <c r="D527" s="66"/>
      <c r="G527" s="67"/>
      <c r="V527" s="67"/>
    </row>
    <row r="528">
      <c r="A528" s="66"/>
      <c r="B528" s="66"/>
      <c r="C528" s="66"/>
      <c r="D528" s="66"/>
      <c r="G528" s="67"/>
      <c r="V528" s="67"/>
    </row>
    <row r="529">
      <c r="A529" s="66"/>
      <c r="B529" s="66"/>
      <c r="C529" s="66"/>
      <c r="D529" s="66"/>
      <c r="G529" s="67"/>
      <c r="V529" s="67"/>
    </row>
    <row r="530">
      <c r="A530" s="66"/>
      <c r="B530" s="66"/>
      <c r="C530" s="66"/>
      <c r="D530" s="66"/>
      <c r="G530" s="67"/>
      <c r="V530" s="67"/>
    </row>
    <row r="531">
      <c r="A531" s="66"/>
      <c r="B531" s="66"/>
      <c r="C531" s="66"/>
      <c r="D531" s="66"/>
      <c r="G531" s="67"/>
      <c r="V531" s="67"/>
    </row>
    <row r="532">
      <c r="A532" s="66"/>
      <c r="B532" s="66"/>
      <c r="C532" s="66"/>
      <c r="D532" s="66"/>
      <c r="G532" s="67"/>
      <c r="V532" s="67"/>
    </row>
    <row r="533">
      <c r="A533" s="66"/>
      <c r="B533" s="66"/>
      <c r="C533" s="66"/>
      <c r="D533" s="66"/>
      <c r="G533" s="67"/>
      <c r="V533" s="67"/>
    </row>
    <row r="534">
      <c r="A534" s="66"/>
      <c r="B534" s="66"/>
      <c r="C534" s="66"/>
      <c r="D534" s="66"/>
      <c r="G534" s="67"/>
      <c r="V534" s="67"/>
    </row>
    <row r="535">
      <c r="A535" s="66"/>
      <c r="B535" s="66"/>
      <c r="C535" s="66"/>
      <c r="D535" s="66"/>
      <c r="G535" s="67"/>
      <c r="V535" s="67"/>
    </row>
    <row r="536">
      <c r="A536" s="66"/>
      <c r="B536" s="66"/>
      <c r="C536" s="66"/>
      <c r="D536" s="66"/>
      <c r="G536" s="67"/>
      <c r="V536" s="67"/>
    </row>
    <row r="537">
      <c r="A537" s="66"/>
      <c r="B537" s="66"/>
      <c r="C537" s="66"/>
      <c r="D537" s="66"/>
      <c r="G537" s="67"/>
      <c r="V537" s="67"/>
    </row>
    <row r="538">
      <c r="A538" s="66"/>
      <c r="B538" s="66"/>
      <c r="C538" s="66"/>
      <c r="D538" s="66"/>
      <c r="G538" s="67"/>
      <c r="V538" s="67"/>
    </row>
    <row r="539">
      <c r="A539" s="66"/>
      <c r="B539" s="66"/>
      <c r="C539" s="66"/>
      <c r="D539" s="66"/>
      <c r="G539" s="67"/>
      <c r="V539" s="67"/>
    </row>
    <row r="540">
      <c r="A540" s="66"/>
      <c r="B540" s="66"/>
      <c r="C540" s="66"/>
      <c r="D540" s="66"/>
      <c r="G540" s="67"/>
      <c r="V540" s="67"/>
    </row>
    <row r="541">
      <c r="A541" s="66"/>
      <c r="B541" s="66"/>
      <c r="C541" s="66"/>
      <c r="D541" s="66"/>
      <c r="G541" s="67"/>
      <c r="V541" s="67"/>
    </row>
    <row r="542">
      <c r="A542" s="66"/>
      <c r="B542" s="66"/>
      <c r="C542" s="66"/>
      <c r="D542" s="66"/>
      <c r="G542" s="67"/>
      <c r="V542" s="67"/>
    </row>
    <row r="543">
      <c r="A543" s="66"/>
      <c r="B543" s="66"/>
      <c r="C543" s="66"/>
      <c r="D543" s="66"/>
      <c r="G543" s="67"/>
      <c r="V543" s="67"/>
    </row>
    <row r="544">
      <c r="A544" s="66"/>
      <c r="B544" s="66"/>
      <c r="C544" s="66"/>
      <c r="D544" s="66"/>
      <c r="G544" s="67"/>
      <c r="V544" s="67"/>
    </row>
    <row r="545">
      <c r="A545" s="66"/>
      <c r="B545" s="66"/>
      <c r="C545" s="66"/>
      <c r="D545" s="66"/>
      <c r="G545" s="67"/>
      <c r="V545" s="67"/>
    </row>
    <row r="546">
      <c r="A546" s="66"/>
      <c r="B546" s="66"/>
      <c r="C546" s="66"/>
      <c r="D546" s="66"/>
      <c r="G546" s="67"/>
      <c r="V546" s="67"/>
    </row>
    <row r="547">
      <c r="A547" s="66"/>
      <c r="B547" s="66"/>
      <c r="C547" s="66"/>
      <c r="D547" s="66"/>
      <c r="G547" s="67"/>
      <c r="V547" s="67"/>
    </row>
    <row r="548">
      <c r="A548" s="66"/>
      <c r="B548" s="66"/>
      <c r="C548" s="66"/>
      <c r="D548" s="66"/>
      <c r="G548" s="67"/>
      <c r="V548" s="67"/>
    </row>
    <row r="549">
      <c r="A549" s="66"/>
      <c r="B549" s="66"/>
      <c r="C549" s="66"/>
      <c r="D549" s="66"/>
      <c r="G549" s="67"/>
      <c r="V549" s="67"/>
    </row>
    <row r="550">
      <c r="A550" s="66"/>
      <c r="B550" s="66"/>
      <c r="C550" s="66"/>
      <c r="D550" s="66"/>
      <c r="G550" s="67"/>
      <c r="V550" s="67"/>
    </row>
    <row r="551">
      <c r="A551" s="66"/>
      <c r="B551" s="66"/>
      <c r="C551" s="66"/>
      <c r="D551" s="66"/>
      <c r="G551" s="67"/>
      <c r="V551" s="67"/>
    </row>
    <row r="552">
      <c r="A552" s="66"/>
      <c r="B552" s="66"/>
      <c r="C552" s="66"/>
      <c r="D552" s="66"/>
      <c r="G552" s="67"/>
      <c r="V552" s="67"/>
    </row>
    <row r="553">
      <c r="A553" s="66"/>
      <c r="B553" s="66"/>
      <c r="C553" s="66"/>
      <c r="D553" s="66"/>
      <c r="G553" s="67"/>
      <c r="V553" s="67"/>
    </row>
    <row r="554">
      <c r="A554" s="66"/>
      <c r="B554" s="66"/>
      <c r="C554" s="66"/>
      <c r="D554" s="66"/>
      <c r="G554" s="67"/>
      <c r="V554" s="67"/>
    </row>
    <row r="555">
      <c r="A555" s="66"/>
      <c r="B555" s="66"/>
      <c r="C555" s="66"/>
      <c r="D555" s="66"/>
      <c r="G555" s="67"/>
      <c r="V555" s="67"/>
    </row>
    <row r="556">
      <c r="A556" s="66"/>
      <c r="B556" s="66"/>
      <c r="C556" s="66"/>
      <c r="D556" s="66"/>
      <c r="G556" s="67"/>
      <c r="V556" s="67"/>
    </row>
    <row r="557">
      <c r="A557" s="66"/>
      <c r="B557" s="66"/>
      <c r="C557" s="66"/>
      <c r="D557" s="66"/>
      <c r="G557" s="67"/>
      <c r="V557" s="67"/>
    </row>
    <row r="558">
      <c r="A558" s="66"/>
      <c r="B558" s="66"/>
      <c r="C558" s="66"/>
      <c r="D558" s="66"/>
      <c r="G558" s="67"/>
      <c r="V558" s="67"/>
    </row>
    <row r="559">
      <c r="A559" s="66"/>
      <c r="B559" s="66"/>
      <c r="C559" s="66"/>
      <c r="D559" s="66"/>
      <c r="G559" s="67"/>
      <c r="V559" s="67"/>
    </row>
    <row r="560">
      <c r="A560" s="66"/>
      <c r="B560" s="66"/>
      <c r="C560" s="66"/>
      <c r="D560" s="66"/>
      <c r="G560" s="67"/>
      <c r="V560" s="67"/>
    </row>
    <row r="561">
      <c r="A561" s="66"/>
      <c r="B561" s="66"/>
      <c r="C561" s="66"/>
      <c r="D561" s="66"/>
      <c r="G561" s="67"/>
      <c r="V561" s="67"/>
    </row>
    <row r="562">
      <c r="A562" s="66"/>
      <c r="B562" s="66"/>
      <c r="C562" s="66"/>
      <c r="D562" s="66"/>
      <c r="G562" s="67"/>
      <c r="V562" s="67"/>
    </row>
    <row r="563">
      <c r="A563" s="66"/>
      <c r="B563" s="66"/>
      <c r="C563" s="66"/>
      <c r="D563" s="66"/>
      <c r="G563" s="67"/>
      <c r="V563" s="67"/>
    </row>
    <row r="564">
      <c r="A564" s="66"/>
      <c r="B564" s="66"/>
      <c r="C564" s="66"/>
      <c r="D564" s="66"/>
      <c r="G564" s="67"/>
      <c r="V564" s="67"/>
    </row>
    <row r="565">
      <c r="A565" s="66"/>
      <c r="B565" s="66"/>
      <c r="C565" s="66"/>
      <c r="D565" s="66"/>
      <c r="G565" s="67"/>
      <c r="V565" s="67"/>
    </row>
    <row r="566">
      <c r="A566" s="66"/>
      <c r="B566" s="66"/>
      <c r="C566" s="66"/>
      <c r="D566" s="66"/>
      <c r="G566" s="67"/>
      <c r="V566" s="67"/>
    </row>
    <row r="567">
      <c r="A567" s="66"/>
      <c r="B567" s="66"/>
      <c r="C567" s="66"/>
      <c r="D567" s="66"/>
      <c r="G567" s="67"/>
      <c r="V567" s="67"/>
    </row>
    <row r="568">
      <c r="A568" s="66"/>
      <c r="B568" s="66"/>
      <c r="C568" s="66"/>
      <c r="D568" s="66"/>
      <c r="G568" s="67"/>
      <c r="V568" s="67"/>
    </row>
    <row r="569">
      <c r="A569" s="66"/>
      <c r="B569" s="66"/>
      <c r="C569" s="66"/>
      <c r="D569" s="66"/>
      <c r="G569" s="67"/>
      <c r="V569" s="67"/>
    </row>
    <row r="570">
      <c r="A570" s="66"/>
      <c r="B570" s="66"/>
      <c r="C570" s="66"/>
      <c r="D570" s="66"/>
      <c r="G570" s="67"/>
      <c r="V570" s="67"/>
    </row>
    <row r="571">
      <c r="A571" s="66"/>
      <c r="B571" s="66"/>
      <c r="C571" s="66"/>
      <c r="D571" s="66"/>
      <c r="G571" s="67"/>
      <c r="V571" s="67"/>
    </row>
    <row r="572">
      <c r="A572" s="66"/>
      <c r="B572" s="66"/>
      <c r="C572" s="66"/>
      <c r="D572" s="66"/>
      <c r="G572" s="67"/>
      <c r="V572" s="67"/>
    </row>
    <row r="573">
      <c r="A573" s="66"/>
      <c r="B573" s="66"/>
      <c r="C573" s="66"/>
      <c r="D573" s="66"/>
      <c r="G573" s="67"/>
      <c r="V573" s="67"/>
    </row>
    <row r="574">
      <c r="A574" s="66"/>
      <c r="B574" s="66"/>
      <c r="C574" s="66"/>
      <c r="D574" s="66"/>
      <c r="G574" s="67"/>
      <c r="V574" s="67"/>
    </row>
    <row r="575">
      <c r="A575" s="66"/>
      <c r="B575" s="66"/>
      <c r="C575" s="66"/>
      <c r="D575" s="66"/>
      <c r="G575" s="67"/>
      <c r="V575" s="67"/>
    </row>
    <row r="576">
      <c r="A576" s="66"/>
      <c r="B576" s="66"/>
      <c r="C576" s="66"/>
      <c r="D576" s="66"/>
      <c r="G576" s="67"/>
      <c r="V576" s="67"/>
    </row>
    <row r="577">
      <c r="A577" s="66"/>
      <c r="B577" s="66"/>
      <c r="C577" s="66"/>
      <c r="D577" s="66"/>
      <c r="G577" s="67"/>
      <c r="V577" s="67"/>
    </row>
    <row r="578">
      <c r="A578" s="66"/>
      <c r="B578" s="66"/>
      <c r="C578" s="66"/>
      <c r="D578" s="66"/>
      <c r="G578" s="67"/>
      <c r="V578" s="67"/>
    </row>
    <row r="579">
      <c r="A579" s="66"/>
      <c r="B579" s="66"/>
      <c r="C579" s="66"/>
      <c r="D579" s="66"/>
      <c r="G579" s="67"/>
      <c r="V579" s="67"/>
    </row>
    <row r="580">
      <c r="A580" s="66"/>
      <c r="B580" s="66"/>
      <c r="C580" s="66"/>
      <c r="D580" s="66"/>
      <c r="G580" s="67"/>
      <c r="V580" s="67"/>
    </row>
    <row r="581">
      <c r="A581" s="66"/>
      <c r="B581" s="66"/>
      <c r="C581" s="66"/>
      <c r="D581" s="66"/>
      <c r="G581" s="67"/>
      <c r="V581" s="67"/>
    </row>
    <row r="582">
      <c r="A582" s="66"/>
      <c r="B582" s="66"/>
      <c r="C582" s="66"/>
      <c r="D582" s="66"/>
      <c r="G582" s="67"/>
      <c r="V582" s="67"/>
    </row>
    <row r="583">
      <c r="A583" s="66"/>
      <c r="B583" s="66"/>
      <c r="C583" s="66"/>
      <c r="D583" s="66"/>
      <c r="G583" s="67"/>
      <c r="V583" s="67"/>
    </row>
    <row r="584">
      <c r="A584" s="66"/>
      <c r="B584" s="66"/>
      <c r="C584" s="66"/>
      <c r="D584" s="66"/>
      <c r="G584" s="67"/>
      <c r="V584" s="67"/>
    </row>
    <row r="585">
      <c r="A585" s="66"/>
      <c r="B585" s="66"/>
      <c r="C585" s="66"/>
      <c r="D585" s="66"/>
      <c r="G585" s="67"/>
      <c r="V585" s="67"/>
    </row>
    <row r="586">
      <c r="A586" s="66"/>
      <c r="B586" s="66"/>
      <c r="C586" s="66"/>
      <c r="D586" s="66"/>
      <c r="G586" s="67"/>
      <c r="V586" s="67"/>
    </row>
    <row r="587">
      <c r="A587" s="66"/>
      <c r="B587" s="66"/>
      <c r="C587" s="66"/>
      <c r="D587" s="66"/>
      <c r="G587" s="67"/>
      <c r="V587" s="67"/>
    </row>
    <row r="588">
      <c r="A588" s="66"/>
      <c r="B588" s="66"/>
      <c r="C588" s="66"/>
      <c r="D588" s="66"/>
      <c r="G588" s="67"/>
      <c r="V588" s="67"/>
    </row>
    <row r="589">
      <c r="A589" s="66"/>
      <c r="B589" s="66"/>
      <c r="C589" s="66"/>
      <c r="D589" s="66"/>
      <c r="G589" s="67"/>
      <c r="V589" s="67"/>
    </row>
    <row r="590">
      <c r="A590" s="66"/>
      <c r="B590" s="66"/>
      <c r="C590" s="66"/>
      <c r="D590" s="66"/>
      <c r="G590" s="67"/>
      <c r="V590" s="67"/>
    </row>
    <row r="591">
      <c r="A591" s="66"/>
      <c r="B591" s="66"/>
      <c r="C591" s="66"/>
      <c r="D591" s="66"/>
      <c r="G591" s="67"/>
      <c r="V591" s="67"/>
    </row>
    <row r="592">
      <c r="A592" s="66"/>
      <c r="B592" s="66"/>
      <c r="C592" s="66"/>
      <c r="D592" s="66"/>
      <c r="G592" s="67"/>
      <c r="V592" s="67"/>
    </row>
    <row r="593">
      <c r="A593" s="66"/>
      <c r="B593" s="66"/>
      <c r="C593" s="66"/>
      <c r="D593" s="66"/>
      <c r="G593" s="67"/>
      <c r="V593" s="67"/>
    </row>
    <row r="594">
      <c r="A594" s="66"/>
      <c r="B594" s="66"/>
      <c r="C594" s="66"/>
      <c r="D594" s="66"/>
      <c r="G594" s="67"/>
      <c r="V594" s="67"/>
    </row>
    <row r="595">
      <c r="A595" s="66"/>
      <c r="B595" s="66"/>
      <c r="C595" s="66"/>
      <c r="D595" s="66"/>
      <c r="G595" s="67"/>
      <c r="V595" s="67"/>
    </row>
    <row r="596">
      <c r="A596" s="66"/>
      <c r="B596" s="66"/>
      <c r="C596" s="66"/>
      <c r="D596" s="66"/>
      <c r="G596" s="67"/>
      <c r="V596" s="67"/>
    </row>
    <row r="597">
      <c r="A597" s="66"/>
      <c r="B597" s="66"/>
      <c r="C597" s="66"/>
      <c r="D597" s="66"/>
      <c r="G597" s="67"/>
      <c r="V597" s="67"/>
    </row>
    <row r="598">
      <c r="A598" s="66"/>
      <c r="B598" s="66"/>
      <c r="C598" s="66"/>
      <c r="D598" s="66"/>
      <c r="G598" s="67"/>
      <c r="V598" s="67"/>
    </row>
    <row r="599">
      <c r="A599" s="66"/>
      <c r="B599" s="66"/>
      <c r="C599" s="66"/>
      <c r="D599" s="66"/>
      <c r="G599" s="67"/>
      <c r="V599" s="67"/>
    </row>
    <row r="600">
      <c r="A600" s="66"/>
      <c r="B600" s="66"/>
      <c r="C600" s="66"/>
      <c r="D600" s="66"/>
      <c r="G600" s="67"/>
      <c r="V600" s="67"/>
    </row>
    <row r="601">
      <c r="A601" s="66"/>
      <c r="B601" s="66"/>
      <c r="C601" s="66"/>
      <c r="D601" s="66"/>
      <c r="G601" s="67"/>
      <c r="V601" s="67"/>
    </row>
    <row r="602">
      <c r="A602" s="66"/>
      <c r="B602" s="66"/>
      <c r="C602" s="66"/>
      <c r="D602" s="66"/>
      <c r="G602" s="67"/>
      <c r="V602" s="67"/>
    </row>
    <row r="603">
      <c r="A603" s="66"/>
      <c r="B603" s="66"/>
      <c r="C603" s="66"/>
      <c r="D603" s="66"/>
      <c r="G603" s="67"/>
      <c r="V603" s="67"/>
    </row>
    <row r="604">
      <c r="A604" s="66"/>
      <c r="B604" s="66"/>
      <c r="C604" s="66"/>
      <c r="D604" s="66"/>
      <c r="G604" s="67"/>
      <c r="V604" s="67"/>
    </row>
    <row r="605">
      <c r="A605" s="66"/>
      <c r="B605" s="66"/>
      <c r="C605" s="66"/>
      <c r="D605" s="66"/>
      <c r="G605" s="67"/>
      <c r="V605" s="67"/>
    </row>
    <row r="606">
      <c r="A606" s="66"/>
      <c r="B606" s="66"/>
      <c r="C606" s="66"/>
      <c r="D606" s="66"/>
      <c r="G606" s="67"/>
      <c r="V606" s="67"/>
    </row>
    <row r="607">
      <c r="A607" s="66"/>
      <c r="B607" s="66"/>
      <c r="C607" s="66"/>
      <c r="D607" s="66"/>
      <c r="G607" s="67"/>
      <c r="V607" s="67"/>
    </row>
    <row r="608">
      <c r="A608" s="66"/>
      <c r="B608" s="66"/>
      <c r="C608" s="66"/>
      <c r="D608" s="66"/>
      <c r="G608" s="67"/>
      <c r="V608" s="67"/>
    </row>
    <row r="609">
      <c r="A609" s="66"/>
      <c r="B609" s="66"/>
      <c r="C609" s="66"/>
      <c r="D609" s="66"/>
      <c r="G609" s="67"/>
      <c r="V609" s="67"/>
    </row>
    <row r="610">
      <c r="A610" s="66"/>
      <c r="B610" s="66"/>
      <c r="C610" s="66"/>
      <c r="D610" s="66"/>
      <c r="G610" s="67"/>
      <c r="V610" s="67"/>
    </row>
    <row r="611">
      <c r="A611" s="66"/>
      <c r="B611" s="66"/>
      <c r="C611" s="66"/>
      <c r="D611" s="66"/>
      <c r="G611" s="67"/>
      <c r="V611" s="67"/>
    </row>
    <row r="612">
      <c r="A612" s="66"/>
      <c r="B612" s="66"/>
      <c r="C612" s="66"/>
      <c r="D612" s="66"/>
      <c r="G612" s="67"/>
      <c r="V612" s="67"/>
    </row>
    <row r="613">
      <c r="A613" s="66"/>
      <c r="B613" s="66"/>
      <c r="C613" s="66"/>
      <c r="D613" s="66"/>
      <c r="G613" s="67"/>
      <c r="V613" s="67"/>
    </row>
    <row r="614">
      <c r="A614" s="66"/>
      <c r="B614" s="66"/>
      <c r="C614" s="66"/>
      <c r="D614" s="66"/>
      <c r="G614" s="67"/>
      <c r="V614" s="67"/>
    </row>
    <row r="615">
      <c r="A615" s="66"/>
      <c r="B615" s="66"/>
      <c r="C615" s="66"/>
      <c r="D615" s="66"/>
      <c r="G615" s="67"/>
      <c r="V615" s="67"/>
    </row>
    <row r="616">
      <c r="A616" s="66"/>
      <c r="B616" s="66"/>
      <c r="C616" s="66"/>
      <c r="D616" s="66"/>
      <c r="G616" s="67"/>
      <c r="V616" s="67"/>
    </row>
    <row r="617">
      <c r="A617" s="66"/>
      <c r="B617" s="66"/>
      <c r="C617" s="66"/>
      <c r="D617" s="66"/>
      <c r="G617" s="67"/>
      <c r="V617" s="67"/>
    </row>
    <row r="618">
      <c r="A618" s="66"/>
      <c r="B618" s="66"/>
      <c r="C618" s="66"/>
      <c r="D618" s="66"/>
      <c r="G618" s="67"/>
      <c r="V618" s="67"/>
    </row>
    <row r="619">
      <c r="A619" s="66"/>
      <c r="B619" s="66"/>
      <c r="C619" s="66"/>
      <c r="D619" s="66"/>
      <c r="G619" s="67"/>
      <c r="V619" s="67"/>
    </row>
    <row r="620">
      <c r="A620" s="66"/>
      <c r="B620" s="66"/>
      <c r="C620" s="66"/>
      <c r="D620" s="66"/>
      <c r="G620" s="67"/>
      <c r="V620" s="67"/>
    </row>
    <row r="621">
      <c r="A621" s="66"/>
      <c r="B621" s="66"/>
      <c r="C621" s="66"/>
      <c r="D621" s="66"/>
      <c r="G621" s="67"/>
      <c r="V621" s="67"/>
    </row>
    <row r="622">
      <c r="A622" s="66"/>
      <c r="B622" s="66"/>
      <c r="C622" s="66"/>
      <c r="D622" s="66"/>
      <c r="G622" s="67"/>
      <c r="V622" s="67"/>
    </row>
    <row r="623">
      <c r="A623" s="66"/>
      <c r="B623" s="66"/>
      <c r="C623" s="66"/>
      <c r="D623" s="66"/>
      <c r="G623" s="67"/>
      <c r="V623" s="67"/>
    </row>
    <row r="624">
      <c r="A624" s="66"/>
      <c r="B624" s="66"/>
      <c r="C624" s="66"/>
      <c r="D624" s="66"/>
      <c r="G624" s="67"/>
      <c r="V624" s="67"/>
    </row>
    <row r="625">
      <c r="A625" s="66"/>
      <c r="B625" s="66"/>
      <c r="C625" s="66"/>
      <c r="D625" s="66"/>
      <c r="G625" s="67"/>
      <c r="V625" s="67"/>
    </row>
    <row r="626">
      <c r="A626" s="66"/>
      <c r="B626" s="66"/>
      <c r="C626" s="66"/>
      <c r="D626" s="66"/>
      <c r="G626" s="67"/>
      <c r="V626" s="67"/>
    </row>
    <row r="627">
      <c r="A627" s="66"/>
      <c r="B627" s="66"/>
      <c r="C627" s="66"/>
      <c r="D627" s="66"/>
      <c r="G627" s="67"/>
      <c r="V627" s="67"/>
    </row>
    <row r="628">
      <c r="A628" s="66"/>
      <c r="B628" s="66"/>
      <c r="C628" s="66"/>
      <c r="D628" s="66"/>
      <c r="G628" s="67"/>
      <c r="V628" s="67"/>
    </row>
    <row r="629">
      <c r="A629" s="66"/>
      <c r="B629" s="66"/>
      <c r="C629" s="66"/>
      <c r="D629" s="66"/>
      <c r="G629" s="67"/>
      <c r="V629" s="67"/>
    </row>
    <row r="630">
      <c r="A630" s="66"/>
      <c r="B630" s="66"/>
      <c r="C630" s="66"/>
      <c r="D630" s="66"/>
      <c r="G630" s="67"/>
      <c r="V630" s="67"/>
    </row>
    <row r="631">
      <c r="A631" s="66"/>
      <c r="B631" s="66"/>
      <c r="C631" s="66"/>
      <c r="D631" s="66"/>
      <c r="G631" s="67"/>
      <c r="V631" s="67"/>
    </row>
    <row r="632">
      <c r="A632" s="66"/>
      <c r="B632" s="66"/>
      <c r="C632" s="66"/>
      <c r="D632" s="66"/>
      <c r="G632" s="67"/>
      <c r="V632" s="67"/>
    </row>
    <row r="633">
      <c r="A633" s="66"/>
      <c r="B633" s="66"/>
      <c r="C633" s="66"/>
      <c r="D633" s="66"/>
      <c r="G633" s="67"/>
      <c r="V633" s="67"/>
    </row>
    <row r="634">
      <c r="A634" s="66"/>
      <c r="B634" s="66"/>
      <c r="C634" s="66"/>
      <c r="D634" s="66"/>
      <c r="G634" s="67"/>
      <c r="V634" s="67"/>
    </row>
    <row r="635">
      <c r="A635" s="66"/>
      <c r="B635" s="66"/>
      <c r="C635" s="66"/>
      <c r="D635" s="66"/>
      <c r="G635" s="67"/>
      <c r="V635" s="67"/>
    </row>
    <row r="636">
      <c r="A636" s="66"/>
      <c r="B636" s="66"/>
      <c r="C636" s="66"/>
      <c r="D636" s="66"/>
      <c r="G636" s="67"/>
      <c r="V636" s="67"/>
    </row>
    <row r="637">
      <c r="A637" s="66"/>
      <c r="B637" s="66"/>
      <c r="C637" s="66"/>
      <c r="D637" s="66"/>
      <c r="G637" s="67"/>
      <c r="V637" s="67"/>
    </row>
    <row r="638">
      <c r="A638" s="66"/>
      <c r="B638" s="66"/>
      <c r="C638" s="66"/>
      <c r="D638" s="66"/>
      <c r="G638" s="67"/>
      <c r="V638" s="67"/>
    </row>
    <row r="639">
      <c r="A639" s="66"/>
      <c r="B639" s="66"/>
      <c r="C639" s="66"/>
      <c r="D639" s="66"/>
      <c r="G639" s="67"/>
      <c r="V639" s="67"/>
    </row>
    <row r="640">
      <c r="A640" s="66"/>
      <c r="B640" s="66"/>
      <c r="C640" s="66"/>
      <c r="D640" s="66"/>
      <c r="G640" s="67"/>
      <c r="V640" s="67"/>
    </row>
    <row r="641">
      <c r="A641" s="66"/>
      <c r="B641" s="66"/>
      <c r="C641" s="66"/>
      <c r="D641" s="66"/>
      <c r="G641" s="67"/>
      <c r="V641" s="67"/>
    </row>
    <row r="642">
      <c r="A642" s="66"/>
      <c r="B642" s="66"/>
      <c r="C642" s="66"/>
      <c r="D642" s="66"/>
      <c r="G642" s="67"/>
      <c r="V642" s="67"/>
    </row>
    <row r="643">
      <c r="A643" s="66"/>
      <c r="B643" s="66"/>
      <c r="C643" s="66"/>
      <c r="D643" s="66"/>
      <c r="G643" s="67"/>
      <c r="V643" s="67"/>
    </row>
    <row r="644">
      <c r="A644" s="66"/>
      <c r="B644" s="66"/>
      <c r="C644" s="66"/>
      <c r="D644" s="66"/>
      <c r="G644" s="67"/>
      <c r="V644" s="67"/>
    </row>
    <row r="645">
      <c r="A645" s="66"/>
      <c r="B645" s="66"/>
      <c r="C645" s="66"/>
      <c r="D645" s="66"/>
      <c r="G645" s="67"/>
      <c r="V645" s="67"/>
    </row>
    <row r="646">
      <c r="A646" s="66"/>
      <c r="B646" s="66"/>
      <c r="C646" s="66"/>
      <c r="D646" s="66"/>
      <c r="G646" s="67"/>
      <c r="V646" s="67"/>
    </row>
    <row r="647">
      <c r="A647" s="66"/>
      <c r="B647" s="66"/>
      <c r="C647" s="66"/>
      <c r="D647" s="66"/>
      <c r="G647" s="67"/>
      <c r="V647" s="67"/>
    </row>
    <row r="648">
      <c r="A648" s="66"/>
      <c r="B648" s="66"/>
      <c r="C648" s="66"/>
      <c r="D648" s="66"/>
      <c r="G648" s="67"/>
      <c r="V648" s="67"/>
    </row>
    <row r="649">
      <c r="A649" s="66"/>
      <c r="B649" s="66"/>
      <c r="C649" s="66"/>
      <c r="D649" s="66"/>
      <c r="G649" s="67"/>
      <c r="V649" s="67"/>
    </row>
    <row r="650">
      <c r="A650" s="66"/>
      <c r="B650" s="66"/>
      <c r="C650" s="66"/>
      <c r="D650" s="66"/>
      <c r="G650" s="67"/>
      <c r="V650" s="67"/>
    </row>
    <row r="651">
      <c r="A651" s="66"/>
      <c r="B651" s="66"/>
      <c r="C651" s="66"/>
      <c r="D651" s="66"/>
      <c r="G651" s="67"/>
      <c r="V651" s="67"/>
    </row>
    <row r="652">
      <c r="A652" s="66"/>
      <c r="B652" s="66"/>
      <c r="C652" s="66"/>
      <c r="D652" s="66"/>
      <c r="G652" s="67"/>
      <c r="V652" s="67"/>
    </row>
    <row r="653">
      <c r="A653" s="66"/>
      <c r="B653" s="66"/>
      <c r="C653" s="66"/>
      <c r="D653" s="66"/>
      <c r="G653" s="67"/>
      <c r="V653" s="67"/>
    </row>
    <row r="654">
      <c r="A654" s="66"/>
      <c r="B654" s="66"/>
      <c r="C654" s="66"/>
      <c r="D654" s="66"/>
      <c r="G654" s="67"/>
      <c r="V654" s="67"/>
    </row>
    <row r="655">
      <c r="A655" s="66"/>
      <c r="B655" s="66"/>
      <c r="C655" s="66"/>
      <c r="D655" s="66"/>
      <c r="G655" s="67"/>
      <c r="V655" s="67"/>
    </row>
    <row r="656">
      <c r="A656" s="66"/>
      <c r="B656" s="66"/>
      <c r="C656" s="66"/>
      <c r="D656" s="66"/>
      <c r="G656" s="67"/>
      <c r="V656" s="67"/>
    </row>
    <row r="657">
      <c r="A657" s="66"/>
      <c r="B657" s="66"/>
      <c r="C657" s="66"/>
      <c r="D657" s="66"/>
      <c r="G657" s="67"/>
      <c r="V657" s="67"/>
    </row>
    <row r="658">
      <c r="A658" s="66"/>
      <c r="B658" s="66"/>
      <c r="C658" s="66"/>
      <c r="D658" s="66"/>
      <c r="G658" s="67"/>
      <c r="V658" s="67"/>
    </row>
    <row r="659">
      <c r="A659" s="66"/>
      <c r="B659" s="66"/>
      <c r="C659" s="66"/>
      <c r="D659" s="66"/>
      <c r="G659" s="67"/>
      <c r="V659" s="67"/>
    </row>
    <row r="660">
      <c r="A660" s="66"/>
      <c r="B660" s="66"/>
      <c r="C660" s="66"/>
      <c r="D660" s="66"/>
      <c r="G660" s="67"/>
      <c r="V660" s="67"/>
    </row>
    <row r="661">
      <c r="A661" s="66"/>
      <c r="B661" s="66"/>
      <c r="C661" s="66"/>
      <c r="D661" s="66"/>
      <c r="G661" s="67"/>
      <c r="V661" s="67"/>
    </row>
    <row r="662">
      <c r="A662" s="66"/>
      <c r="B662" s="66"/>
      <c r="C662" s="66"/>
      <c r="D662" s="66"/>
      <c r="G662" s="67"/>
      <c r="V662" s="67"/>
    </row>
    <row r="663">
      <c r="A663" s="66"/>
      <c r="B663" s="66"/>
      <c r="C663" s="66"/>
      <c r="D663" s="66"/>
      <c r="G663" s="67"/>
      <c r="V663" s="67"/>
    </row>
    <row r="664">
      <c r="A664" s="66"/>
      <c r="B664" s="66"/>
      <c r="C664" s="66"/>
      <c r="D664" s="66"/>
      <c r="G664" s="67"/>
      <c r="V664" s="67"/>
    </row>
    <row r="665">
      <c r="A665" s="66"/>
      <c r="B665" s="66"/>
      <c r="C665" s="66"/>
      <c r="D665" s="66"/>
      <c r="G665" s="67"/>
      <c r="V665" s="67"/>
    </row>
    <row r="666">
      <c r="A666" s="66"/>
      <c r="B666" s="66"/>
      <c r="C666" s="66"/>
      <c r="D666" s="66"/>
      <c r="G666" s="67"/>
      <c r="V666" s="67"/>
    </row>
    <row r="667">
      <c r="A667" s="66"/>
      <c r="B667" s="66"/>
      <c r="C667" s="66"/>
      <c r="D667" s="66"/>
      <c r="G667" s="67"/>
      <c r="V667" s="67"/>
    </row>
    <row r="668">
      <c r="A668" s="66"/>
      <c r="B668" s="66"/>
      <c r="C668" s="66"/>
      <c r="D668" s="66"/>
      <c r="G668" s="67"/>
      <c r="V668" s="67"/>
    </row>
    <row r="669">
      <c r="A669" s="66"/>
      <c r="B669" s="66"/>
      <c r="C669" s="66"/>
      <c r="D669" s="66"/>
      <c r="G669" s="67"/>
      <c r="V669" s="67"/>
    </row>
    <row r="670">
      <c r="A670" s="66"/>
      <c r="B670" s="66"/>
      <c r="C670" s="66"/>
      <c r="D670" s="66"/>
      <c r="G670" s="67"/>
      <c r="V670" s="67"/>
    </row>
    <row r="671">
      <c r="A671" s="66"/>
      <c r="B671" s="66"/>
      <c r="C671" s="66"/>
      <c r="D671" s="66"/>
      <c r="G671" s="67"/>
      <c r="V671" s="67"/>
    </row>
    <row r="672">
      <c r="A672" s="66"/>
      <c r="B672" s="66"/>
      <c r="C672" s="66"/>
      <c r="D672" s="66"/>
      <c r="G672" s="67"/>
      <c r="V672" s="67"/>
    </row>
    <row r="673">
      <c r="A673" s="66"/>
      <c r="B673" s="66"/>
      <c r="C673" s="66"/>
      <c r="D673" s="66"/>
      <c r="G673" s="67"/>
      <c r="V673" s="67"/>
    </row>
    <row r="674">
      <c r="A674" s="66"/>
      <c r="B674" s="66"/>
      <c r="C674" s="66"/>
      <c r="D674" s="66"/>
      <c r="G674" s="67"/>
      <c r="V674" s="67"/>
    </row>
    <row r="675">
      <c r="A675" s="66"/>
      <c r="B675" s="66"/>
      <c r="C675" s="66"/>
      <c r="D675" s="66"/>
      <c r="G675" s="67"/>
      <c r="V675" s="67"/>
    </row>
    <row r="676">
      <c r="A676" s="66"/>
      <c r="B676" s="66"/>
      <c r="C676" s="66"/>
      <c r="D676" s="66"/>
      <c r="G676" s="67"/>
      <c r="V676" s="67"/>
    </row>
    <row r="677">
      <c r="A677" s="66"/>
      <c r="B677" s="66"/>
      <c r="C677" s="66"/>
      <c r="D677" s="66"/>
      <c r="G677" s="67"/>
      <c r="V677" s="67"/>
    </row>
    <row r="678">
      <c r="A678" s="66"/>
      <c r="B678" s="66"/>
      <c r="C678" s="66"/>
      <c r="D678" s="66"/>
      <c r="G678" s="67"/>
      <c r="V678" s="67"/>
    </row>
    <row r="679">
      <c r="A679" s="66"/>
      <c r="B679" s="66"/>
      <c r="C679" s="66"/>
      <c r="D679" s="66"/>
      <c r="G679" s="67"/>
      <c r="V679" s="67"/>
    </row>
    <row r="680">
      <c r="A680" s="66"/>
      <c r="B680" s="66"/>
      <c r="C680" s="66"/>
      <c r="D680" s="66"/>
      <c r="G680" s="67"/>
      <c r="V680" s="67"/>
    </row>
    <row r="681">
      <c r="A681" s="66"/>
      <c r="B681" s="66"/>
      <c r="C681" s="66"/>
      <c r="D681" s="66"/>
      <c r="G681" s="67"/>
      <c r="V681" s="67"/>
    </row>
    <row r="682">
      <c r="A682" s="66"/>
      <c r="B682" s="66"/>
      <c r="C682" s="66"/>
      <c r="D682" s="66"/>
      <c r="G682" s="67"/>
      <c r="V682" s="67"/>
    </row>
    <row r="683">
      <c r="A683" s="66"/>
      <c r="B683" s="66"/>
      <c r="C683" s="66"/>
      <c r="D683" s="66"/>
      <c r="G683" s="67"/>
      <c r="V683" s="67"/>
    </row>
    <row r="684">
      <c r="A684" s="66"/>
      <c r="B684" s="66"/>
      <c r="C684" s="66"/>
      <c r="D684" s="66"/>
      <c r="G684" s="67"/>
      <c r="V684" s="67"/>
    </row>
    <row r="685">
      <c r="A685" s="66"/>
      <c r="B685" s="66"/>
      <c r="C685" s="66"/>
      <c r="D685" s="66"/>
      <c r="G685" s="67"/>
      <c r="V685" s="67"/>
    </row>
    <row r="686">
      <c r="A686" s="66"/>
      <c r="B686" s="66"/>
      <c r="C686" s="66"/>
      <c r="D686" s="66"/>
      <c r="G686" s="67"/>
      <c r="V686" s="67"/>
    </row>
    <row r="687">
      <c r="A687" s="66"/>
      <c r="B687" s="66"/>
      <c r="C687" s="66"/>
      <c r="D687" s="66"/>
      <c r="G687" s="67"/>
      <c r="V687" s="67"/>
    </row>
    <row r="688">
      <c r="A688" s="66"/>
      <c r="B688" s="66"/>
      <c r="C688" s="66"/>
      <c r="D688" s="66"/>
      <c r="G688" s="67"/>
      <c r="V688" s="67"/>
    </row>
    <row r="689">
      <c r="A689" s="66"/>
      <c r="B689" s="66"/>
      <c r="C689" s="66"/>
      <c r="D689" s="66"/>
      <c r="G689" s="67"/>
      <c r="V689" s="67"/>
    </row>
    <row r="690">
      <c r="A690" s="66"/>
      <c r="B690" s="66"/>
      <c r="C690" s="66"/>
      <c r="D690" s="66"/>
      <c r="G690" s="67"/>
      <c r="V690" s="67"/>
    </row>
    <row r="691">
      <c r="A691" s="66"/>
      <c r="B691" s="66"/>
      <c r="C691" s="66"/>
      <c r="D691" s="66"/>
      <c r="G691" s="67"/>
      <c r="V691" s="67"/>
    </row>
    <row r="692">
      <c r="A692" s="66"/>
      <c r="B692" s="66"/>
      <c r="C692" s="66"/>
      <c r="D692" s="66"/>
      <c r="G692" s="67"/>
      <c r="V692" s="67"/>
    </row>
    <row r="693">
      <c r="A693" s="66"/>
      <c r="B693" s="66"/>
      <c r="C693" s="66"/>
      <c r="D693" s="66"/>
      <c r="G693" s="67"/>
      <c r="V693" s="67"/>
    </row>
    <row r="694">
      <c r="A694" s="66"/>
      <c r="B694" s="66"/>
      <c r="C694" s="66"/>
      <c r="D694" s="66"/>
      <c r="G694" s="67"/>
      <c r="V694" s="67"/>
    </row>
    <row r="695">
      <c r="A695" s="66"/>
      <c r="B695" s="66"/>
      <c r="C695" s="66"/>
      <c r="D695" s="66"/>
      <c r="G695" s="67"/>
      <c r="V695" s="67"/>
    </row>
    <row r="696">
      <c r="A696" s="66"/>
      <c r="B696" s="66"/>
      <c r="C696" s="66"/>
      <c r="D696" s="66"/>
      <c r="G696" s="67"/>
      <c r="V696" s="67"/>
    </row>
    <row r="697">
      <c r="A697" s="66"/>
      <c r="B697" s="66"/>
      <c r="C697" s="66"/>
      <c r="D697" s="66"/>
      <c r="G697" s="67"/>
      <c r="V697" s="67"/>
    </row>
    <row r="698">
      <c r="A698" s="66"/>
      <c r="B698" s="66"/>
      <c r="C698" s="66"/>
      <c r="D698" s="66"/>
      <c r="G698" s="67"/>
      <c r="V698" s="67"/>
    </row>
    <row r="699">
      <c r="A699" s="66"/>
      <c r="B699" s="66"/>
      <c r="C699" s="66"/>
      <c r="D699" s="66"/>
      <c r="G699" s="67"/>
      <c r="V699" s="67"/>
    </row>
    <row r="700">
      <c r="A700" s="66"/>
      <c r="B700" s="66"/>
      <c r="C700" s="66"/>
      <c r="D700" s="66"/>
      <c r="G700" s="67"/>
      <c r="V700" s="67"/>
    </row>
    <row r="701">
      <c r="A701" s="66"/>
      <c r="B701" s="66"/>
      <c r="C701" s="66"/>
      <c r="D701" s="66"/>
      <c r="G701" s="67"/>
      <c r="V701" s="67"/>
    </row>
    <row r="702">
      <c r="A702" s="66"/>
      <c r="B702" s="66"/>
      <c r="C702" s="66"/>
      <c r="D702" s="66"/>
      <c r="G702" s="67"/>
      <c r="V702" s="67"/>
    </row>
    <row r="703">
      <c r="A703" s="66"/>
      <c r="B703" s="66"/>
      <c r="C703" s="66"/>
      <c r="D703" s="66"/>
      <c r="G703" s="67"/>
      <c r="V703" s="67"/>
    </row>
    <row r="704">
      <c r="A704" s="66"/>
      <c r="B704" s="66"/>
      <c r="C704" s="66"/>
      <c r="D704" s="66"/>
      <c r="G704" s="67"/>
      <c r="V704" s="67"/>
    </row>
    <row r="705">
      <c r="A705" s="66"/>
      <c r="B705" s="66"/>
      <c r="C705" s="66"/>
      <c r="D705" s="66"/>
      <c r="G705" s="67"/>
      <c r="V705" s="67"/>
    </row>
    <row r="706">
      <c r="A706" s="66"/>
      <c r="B706" s="66"/>
      <c r="C706" s="66"/>
      <c r="D706" s="66"/>
      <c r="G706" s="67"/>
      <c r="V706" s="67"/>
    </row>
    <row r="707">
      <c r="A707" s="66"/>
      <c r="B707" s="66"/>
      <c r="C707" s="66"/>
      <c r="D707" s="66"/>
      <c r="G707" s="67"/>
      <c r="V707" s="67"/>
    </row>
    <row r="708">
      <c r="A708" s="66"/>
      <c r="B708" s="66"/>
      <c r="C708" s="66"/>
      <c r="D708" s="66"/>
      <c r="G708" s="67"/>
      <c r="V708" s="67"/>
    </row>
    <row r="709">
      <c r="A709" s="66"/>
      <c r="B709" s="66"/>
      <c r="C709" s="66"/>
      <c r="D709" s="66"/>
      <c r="G709" s="67"/>
      <c r="V709" s="67"/>
    </row>
    <row r="710">
      <c r="A710" s="66"/>
      <c r="B710" s="66"/>
      <c r="C710" s="66"/>
      <c r="D710" s="66"/>
      <c r="G710" s="67"/>
      <c r="V710" s="67"/>
    </row>
    <row r="711">
      <c r="A711" s="66"/>
      <c r="B711" s="66"/>
      <c r="C711" s="66"/>
      <c r="D711" s="66"/>
      <c r="G711" s="67"/>
      <c r="V711" s="67"/>
    </row>
    <row r="712">
      <c r="A712" s="66"/>
      <c r="B712" s="66"/>
      <c r="C712" s="66"/>
      <c r="D712" s="66"/>
      <c r="G712" s="67"/>
      <c r="V712" s="67"/>
    </row>
    <row r="713">
      <c r="A713" s="66"/>
      <c r="B713" s="66"/>
      <c r="C713" s="66"/>
      <c r="D713" s="66"/>
      <c r="G713" s="67"/>
      <c r="V713" s="67"/>
    </row>
    <row r="714">
      <c r="A714" s="66"/>
      <c r="B714" s="66"/>
      <c r="C714" s="66"/>
      <c r="D714" s="66"/>
      <c r="G714" s="67"/>
      <c r="V714" s="67"/>
    </row>
    <row r="715">
      <c r="A715" s="66"/>
      <c r="B715" s="66"/>
      <c r="C715" s="66"/>
      <c r="D715" s="66"/>
      <c r="G715" s="67"/>
      <c r="V715" s="67"/>
    </row>
    <row r="716">
      <c r="A716" s="66"/>
      <c r="B716" s="66"/>
      <c r="C716" s="66"/>
      <c r="D716" s="66"/>
      <c r="G716" s="67"/>
      <c r="V716" s="67"/>
    </row>
    <row r="717">
      <c r="A717" s="66"/>
      <c r="B717" s="66"/>
      <c r="C717" s="66"/>
      <c r="D717" s="66"/>
      <c r="G717" s="67"/>
      <c r="V717" s="67"/>
    </row>
    <row r="718">
      <c r="A718" s="66"/>
      <c r="B718" s="66"/>
      <c r="C718" s="66"/>
      <c r="D718" s="66"/>
      <c r="G718" s="67"/>
      <c r="V718" s="67"/>
    </row>
    <row r="719">
      <c r="A719" s="66"/>
      <c r="B719" s="66"/>
      <c r="C719" s="66"/>
      <c r="D719" s="66"/>
      <c r="G719" s="67"/>
      <c r="V719" s="67"/>
    </row>
    <row r="720">
      <c r="A720" s="66"/>
      <c r="B720" s="66"/>
      <c r="C720" s="66"/>
      <c r="D720" s="66"/>
      <c r="G720" s="67"/>
      <c r="V720" s="67"/>
    </row>
    <row r="721">
      <c r="A721" s="66"/>
      <c r="B721" s="66"/>
      <c r="C721" s="66"/>
      <c r="D721" s="66"/>
      <c r="G721" s="67"/>
      <c r="V721" s="67"/>
    </row>
    <row r="722">
      <c r="A722" s="66"/>
      <c r="B722" s="66"/>
      <c r="C722" s="66"/>
      <c r="D722" s="66"/>
      <c r="G722" s="67"/>
      <c r="V722" s="67"/>
    </row>
    <row r="723">
      <c r="A723" s="66"/>
      <c r="B723" s="66"/>
      <c r="C723" s="66"/>
      <c r="D723" s="66"/>
      <c r="G723" s="67"/>
      <c r="V723" s="67"/>
    </row>
    <row r="724">
      <c r="A724" s="66"/>
      <c r="B724" s="66"/>
      <c r="C724" s="66"/>
      <c r="D724" s="66"/>
      <c r="G724" s="67"/>
      <c r="V724" s="67"/>
    </row>
    <row r="725">
      <c r="A725" s="66"/>
      <c r="B725" s="66"/>
      <c r="C725" s="66"/>
      <c r="D725" s="66"/>
      <c r="G725" s="67"/>
      <c r="V725" s="67"/>
    </row>
    <row r="726">
      <c r="A726" s="66"/>
      <c r="B726" s="66"/>
      <c r="C726" s="66"/>
      <c r="D726" s="66"/>
      <c r="G726" s="67"/>
      <c r="V726" s="67"/>
    </row>
    <row r="727">
      <c r="A727" s="66"/>
      <c r="B727" s="66"/>
      <c r="C727" s="66"/>
      <c r="D727" s="66"/>
      <c r="G727" s="67"/>
      <c r="V727" s="67"/>
    </row>
    <row r="728">
      <c r="A728" s="66"/>
      <c r="B728" s="66"/>
      <c r="C728" s="66"/>
      <c r="D728" s="66"/>
      <c r="G728" s="67"/>
      <c r="V728" s="67"/>
    </row>
    <row r="729">
      <c r="A729" s="66"/>
      <c r="B729" s="66"/>
      <c r="C729" s="66"/>
      <c r="D729" s="66"/>
      <c r="G729" s="67"/>
      <c r="V729" s="67"/>
    </row>
    <row r="730">
      <c r="A730" s="66"/>
      <c r="B730" s="66"/>
      <c r="C730" s="66"/>
      <c r="D730" s="66"/>
      <c r="G730" s="67"/>
      <c r="V730" s="67"/>
    </row>
    <row r="731">
      <c r="A731" s="66"/>
      <c r="B731" s="66"/>
      <c r="C731" s="66"/>
      <c r="D731" s="66"/>
      <c r="G731" s="67"/>
      <c r="V731" s="67"/>
    </row>
    <row r="732">
      <c r="A732" s="66"/>
      <c r="B732" s="66"/>
      <c r="C732" s="66"/>
      <c r="D732" s="66"/>
      <c r="G732" s="67"/>
      <c r="V732" s="67"/>
    </row>
    <row r="733">
      <c r="A733" s="66"/>
      <c r="B733" s="66"/>
      <c r="C733" s="66"/>
      <c r="D733" s="66"/>
      <c r="G733" s="67"/>
      <c r="V733" s="67"/>
    </row>
    <row r="734">
      <c r="A734" s="66"/>
      <c r="B734" s="66"/>
      <c r="C734" s="66"/>
      <c r="D734" s="66"/>
      <c r="G734" s="67"/>
      <c r="V734" s="67"/>
    </row>
    <row r="735">
      <c r="A735" s="66"/>
      <c r="B735" s="66"/>
      <c r="C735" s="66"/>
      <c r="D735" s="66"/>
      <c r="G735" s="67"/>
      <c r="V735" s="67"/>
    </row>
    <row r="736">
      <c r="A736" s="66"/>
      <c r="B736" s="66"/>
      <c r="C736" s="66"/>
      <c r="D736" s="66"/>
      <c r="G736" s="67"/>
      <c r="V736" s="67"/>
    </row>
    <row r="737">
      <c r="A737" s="66"/>
      <c r="B737" s="66"/>
      <c r="C737" s="66"/>
      <c r="D737" s="66"/>
      <c r="G737" s="67"/>
      <c r="V737" s="67"/>
    </row>
    <row r="738">
      <c r="A738" s="66"/>
      <c r="B738" s="66"/>
      <c r="C738" s="66"/>
      <c r="D738" s="66"/>
      <c r="G738" s="67"/>
      <c r="V738" s="67"/>
    </row>
    <row r="739">
      <c r="A739" s="66"/>
      <c r="B739" s="66"/>
      <c r="C739" s="66"/>
      <c r="D739" s="66"/>
      <c r="G739" s="67"/>
      <c r="V739" s="67"/>
    </row>
    <row r="740">
      <c r="A740" s="66"/>
      <c r="B740" s="66"/>
      <c r="C740" s="66"/>
      <c r="D740" s="66"/>
      <c r="G740" s="67"/>
      <c r="V740" s="67"/>
    </row>
    <row r="741">
      <c r="A741" s="66"/>
      <c r="B741" s="66"/>
      <c r="C741" s="66"/>
      <c r="D741" s="66"/>
      <c r="G741" s="67"/>
      <c r="V741" s="67"/>
    </row>
    <row r="742">
      <c r="A742" s="66"/>
      <c r="B742" s="66"/>
      <c r="C742" s="66"/>
      <c r="D742" s="66"/>
      <c r="G742" s="67"/>
      <c r="V742" s="67"/>
    </row>
    <row r="743">
      <c r="A743" s="66"/>
      <c r="B743" s="66"/>
      <c r="C743" s="66"/>
      <c r="D743" s="66"/>
      <c r="G743" s="67"/>
      <c r="V743" s="67"/>
    </row>
    <row r="744">
      <c r="A744" s="66"/>
      <c r="B744" s="66"/>
      <c r="C744" s="66"/>
      <c r="D744" s="66"/>
      <c r="G744" s="67"/>
      <c r="V744" s="67"/>
    </row>
    <row r="745">
      <c r="A745" s="66"/>
      <c r="B745" s="66"/>
      <c r="C745" s="66"/>
      <c r="D745" s="66"/>
      <c r="G745" s="67"/>
      <c r="V745" s="67"/>
    </row>
    <row r="746">
      <c r="A746" s="66"/>
      <c r="B746" s="66"/>
      <c r="C746" s="66"/>
      <c r="D746" s="66"/>
      <c r="G746" s="67"/>
      <c r="V746" s="67"/>
    </row>
    <row r="747">
      <c r="A747" s="66"/>
      <c r="B747" s="66"/>
      <c r="C747" s="66"/>
      <c r="D747" s="66"/>
      <c r="G747" s="67"/>
      <c r="V747" s="67"/>
    </row>
    <row r="748">
      <c r="A748" s="66"/>
      <c r="B748" s="66"/>
      <c r="C748" s="66"/>
      <c r="D748" s="66"/>
      <c r="G748" s="67"/>
      <c r="V748" s="67"/>
    </row>
    <row r="749">
      <c r="A749" s="66"/>
      <c r="B749" s="66"/>
      <c r="C749" s="66"/>
      <c r="D749" s="66"/>
      <c r="G749" s="67"/>
      <c r="V749" s="67"/>
    </row>
    <row r="750">
      <c r="A750" s="66"/>
      <c r="B750" s="66"/>
      <c r="C750" s="66"/>
      <c r="D750" s="66"/>
      <c r="G750" s="67"/>
      <c r="V750" s="67"/>
    </row>
    <row r="751">
      <c r="A751" s="66"/>
      <c r="B751" s="66"/>
      <c r="C751" s="66"/>
      <c r="D751" s="66"/>
      <c r="G751" s="67"/>
      <c r="V751" s="67"/>
    </row>
    <row r="752">
      <c r="A752" s="66"/>
      <c r="B752" s="66"/>
      <c r="C752" s="66"/>
      <c r="D752" s="66"/>
      <c r="G752" s="67"/>
      <c r="V752" s="67"/>
    </row>
    <row r="753">
      <c r="A753" s="66"/>
      <c r="B753" s="66"/>
      <c r="C753" s="66"/>
      <c r="D753" s="66"/>
      <c r="G753" s="67"/>
      <c r="V753" s="67"/>
    </row>
    <row r="754">
      <c r="A754" s="66"/>
      <c r="B754" s="66"/>
      <c r="C754" s="66"/>
      <c r="D754" s="66"/>
      <c r="G754" s="67"/>
      <c r="V754" s="67"/>
    </row>
    <row r="755">
      <c r="A755" s="66"/>
      <c r="B755" s="66"/>
      <c r="C755" s="66"/>
      <c r="D755" s="66"/>
      <c r="G755" s="67"/>
      <c r="V755" s="67"/>
    </row>
    <row r="756">
      <c r="A756" s="66"/>
      <c r="B756" s="66"/>
      <c r="C756" s="66"/>
      <c r="D756" s="66"/>
      <c r="G756" s="67"/>
      <c r="V756" s="67"/>
    </row>
    <row r="757">
      <c r="A757" s="66"/>
      <c r="B757" s="66"/>
      <c r="C757" s="66"/>
      <c r="D757" s="66"/>
      <c r="G757" s="67"/>
      <c r="V757" s="67"/>
    </row>
    <row r="758">
      <c r="A758" s="66"/>
      <c r="B758" s="66"/>
      <c r="C758" s="66"/>
      <c r="D758" s="66"/>
      <c r="G758" s="67"/>
      <c r="V758" s="67"/>
    </row>
    <row r="759">
      <c r="A759" s="66"/>
      <c r="B759" s="66"/>
      <c r="C759" s="66"/>
      <c r="D759" s="66"/>
      <c r="G759" s="67"/>
      <c r="V759" s="67"/>
    </row>
    <row r="760">
      <c r="A760" s="66"/>
      <c r="B760" s="66"/>
      <c r="C760" s="66"/>
      <c r="D760" s="66"/>
      <c r="G760" s="67"/>
      <c r="V760" s="67"/>
    </row>
    <row r="761">
      <c r="A761" s="66"/>
      <c r="B761" s="66"/>
      <c r="C761" s="66"/>
      <c r="D761" s="66"/>
      <c r="G761" s="67"/>
      <c r="V761" s="67"/>
    </row>
    <row r="762">
      <c r="A762" s="66"/>
      <c r="B762" s="66"/>
      <c r="C762" s="66"/>
      <c r="D762" s="66"/>
      <c r="G762" s="67"/>
      <c r="V762" s="67"/>
    </row>
    <row r="763">
      <c r="A763" s="66"/>
      <c r="B763" s="66"/>
      <c r="C763" s="66"/>
      <c r="D763" s="66"/>
      <c r="G763" s="67"/>
      <c r="V763" s="67"/>
    </row>
    <row r="764">
      <c r="A764" s="66"/>
      <c r="B764" s="66"/>
      <c r="C764" s="66"/>
      <c r="D764" s="66"/>
      <c r="G764" s="67"/>
      <c r="V764" s="67"/>
    </row>
    <row r="765">
      <c r="A765" s="66"/>
      <c r="B765" s="66"/>
      <c r="C765" s="66"/>
      <c r="D765" s="66"/>
      <c r="G765" s="67"/>
      <c r="V765" s="67"/>
    </row>
    <row r="766">
      <c r="A766" s="66"/>
      <c r="B766" s="66"/>
      <c r="C766" s="66"/>
      <c r="D766" s="66"/>
      <c r="G766" s="67"/>
      <c r="V766" s="67"/>
    </row>
    <row r="767">
      <c r="A767" s="66"/>
      <c r="B767" s="66"/>
      <c r="C767" s="66"/>
      <c r="D767" s="66"/>
      <c r="G767" s="67"/>
      <c r="V767" s="67"/>
    </row>
    <row r="768">
      <c r="A768" s="66"/>
      <c r="B768" s="66"/>
      <c r="C768" s="66"/>
      <c r="D768" s="66"/>
      <c r="G768" s="67"/>
      <c r="V768" s="67"/>
    </row>
    <row r="769">
      <c r="A769" s="66"/>
      <c r="B769" s="66"/>
      <c r="C769" s="66"/>
      <c r="D769" s="66"/>
      <c r="G769" s="67"/>
      <c r="V769" s="67"/>
    </row>
    <row r="770">
      <c r="A770" s="66"/>
      <c r="B770" s="66"/>
      <c r="C770" s="66"/>
      <c r="D770" s="66"/>
      <c r="G770" s="67"/>
      <c r="V770" s="67"/>
    </row>
    <row r="771">
      <c r="A771" s="66"/>
      <c r="B771" s="66"/>
      <c r="C771" s="66"/>
      <c r="D771" s="66"/>
      <c r="G771" s="67"/>
      <c r="V771" s="67"/>
    </row>
    <row r="772">
      <c r="A772" s="66"/>
      <c r="B772" s="66"/>
      <c r="C772" s="66"/>
      <c r="D772" s="66"/>
      <c r="G772" s="67"/>
      <c r="V772" s="67"/>
    </row>
    <row r="773">
      <c r="A773" s="66"/>
      <c r="B773" s="66"/>
      <c r="C773" s="66"/>
      <c r="D773" s="66"/>
      <c r="G773" s="67"/>
      <c r="V773" s="67"/>
    </row>
    <row r="774">
      <c r="A774" s="66"/>
      <c r="B774" s="66"/>
      <c r="C774" s="66"/>
      <c r="D774" s="66"/>
      <c r="G774" s="67"/>
      <c r="V774" s="67"/>
    </row>
    <row r="775">
      <c r="A775" s="66"/>
      <c r="B775" s="66"/>
      <c r="C775" s="66"/>
      <c r="D775" s="66"/>
      <c r="G775" s="67"/>
      <c r="V775" s="67"/>
    </row>
    <row r="776">
      <c r="A776" s="66"/>
      <c r="B776" s="66"/>
      <c r="C776" s="66"/>
      <c r="D776" s="66"/>
      <c r="G776" s="67"/>
      <c r="V776" s="67"/>
    </row>
    <row r="777">
      <c r="A777" s="66"/>
      <c r="B777" s="66"/>
      <c r="C777" s="66"/>
      <c r="D777" s="66"/>
      <c r="G777" s="67"/>
      <c r="V777" s="67"/>
    </row>
    <row r="778">
      <c r="A778" s="66"/>
      <c r="B778" s="66"/>
      <c r="C778" s="66"/>
      <c r="D778" s="66"/>
      <c r="G778" s="67"/>
      <c r="V778" s="67"/>
    </row>
    <row r="779">
      <c r="A779" s="66"/>
      <c r="B779" s="66"/>
      <c r="C779" s="66"/>
      <c r="D779" s="66"/>
      <c r="G779" s="67"/>
      <c r="V779" s="67"/>
    </row>
    <row r="780">
      <c r="A780" s="66"/>
      <c r="B780" s="66"/>
      <c r="C780" s="66"/>
      <c r="D780" s="66"/>
      <c r="G780" s="67"/>
      <c r="V780" s="67"/>
    </row>
    <row r="781">
      <c r="A781" s="66"/>
      <c r="B781" s="66"/>
      <c r="C781" s="66"/>
      <c r="D781" s="66"/>
      <c r="G781" s="67"/>
      <c r="V781" s="67"/>
    </row>
    <row r="782">
      <c r="A782" s="66"/>
      <c r="B782" s="66"/>
      <c r="C782" s="66"/>
      <c r="D782" s="66"/>
      <c r="G782" s="67"/>
      <c r="V782" s="67"/>
    </row>
    <row r="783">
      <c r="A783" s="66"/>
      <c r="B783" s="66"/>
      <c r="C783" s="66"/>
      <c r="D783" s="66"/>
      <c r="G783" s="67"/>
      <c r="V783" s="67"/>
    </row>
    <row r="784">
      <c r="A784" s="66"/>
      <c r="B784" s="66"/>
      <c r="C784" s="66"/>
      <c r="D784" s="66"/>
      <c r="G784" s="67"/>
      <c r="V784" s="67"/>
    </row>
    <row r="785">
      <c r="A785" s="66"/>
      <c r="B785" s="66"/>
      <c r="C785" s="66"/>
      <c r="D785" s="66"/>
      <c r="G785" s="67"/>
      <c r="V785" s="67"/>
    </row>
    <row r="786">
      <c r="A786" s="66"/>
      <c r="B786" s="66"/>
      <c r="C786" s="66"/>
      <c r="D786" s="66"/>
      <c r="G786" s="67"/>
      <c r="V786" s="67"/>
    </row>
    <row r="787">
      <c r="A787" s="66"/>
      <c r="B787" s="66"/>
      <c r="C787" s="66"/>
      <c r="D787" s="66"/>
      <c r="G787" s="67"/>
      <c r="V787" s="67"/>
    </row>
    <row r="788">
      <c r="A788" s="66"/>
      <c r="B788" s="66"/>
      <c r="C788" s="66"/>
      <c r="D788" s="66"/>
      <c r="G788" s="67"/>
      <c r="V788" s="67"/>
    </row>
    <row r="789">
      <c r="A789" s="66"/>
      <c r="B789" s="66"/>
      <c r="C789" s="66"/>
      <c r="D789" s="66"/>
      <c r="G789" s="67"/>
      <c r="V789" s="67"/>
    </row>
    <row r="790">
      <c r="A790" s="66"/>
      <c r="B790" s="66"/>
      <c r="C790" s="66"/>
      <c r="D790" s="66"/>
      <c r="G790" s="67"/>
      <c r="V790" s="67"/>
    </row>
    <row r="791">
      <c r="A791" s="66"/>
      <c r="B791" s="66"/>
      <c r="C791" s="66"/>
      <c r="D791" s="66"/>
      <c r="G791" s="67"/>
      <c r="V791" s="67"/>
    </row>
    <row r="792">
      <c r="A792" s="66"/>
      <c r="B792" s="66"/>
      <c r="C792" s="66"/>
      <c r="D792" s="66"/>
      <c r="G792" s="67"/>
      <c r="V792" s="67"/>
    </row>
    <row r="793">
      <c r="A793" s="66"/>
      <c r="B793" s="66"/>
      <c r="C793" s="66"/>
      <c r="D793" s="66"/>
      <c r="G793" s="67"/>
      <c r="V793" s="67"/>
    </row>
    <row r="794">
      <c r="A794" s="66"/>
      <c r="B794" s="66"/>
      <c r="C794" s="66"/>
      <c r="D794" s="66"/>
      <c r="G794" s="67"/>
      <c r="V794" s="67"/>
    </row>
    <row r="795">
      <c r="A795" s="66"/>
      <c r="B795" s="66"/>
      <c r="C795" s="66"/>
      <c r="D795" s="66"/>
      <c r="G795" s="67"/>
      <c r="V795" s="67"/>
    </row>
    <row r="796">
      <c r="A796" s="66"/>
      <c r="B796" s="66"/>
      <c r="C796" s="66"/>
      <c r="D796" s="66"/>
      <c r="G796" s="67"/>
      <c r="V796" s="67"/>
    </row>
    <row r="797">
      <c r="A797" s="66"/>
      <c r="B797" s="66"/>
      <c r="C797" s="66"/>
      <c r="D797" s="66"/>
      <c r="G797" s="67"/>
      <c r="V797" s="67"/>
    </row>
    <row r="798">
      <c r="A798" s="66"/>
      <c r="B798" s="66"/>
      <c r="C798" s="66"/>
      <c r="D798" s="66"/>
      <c r="G798" s="67"/>
      <c r="V798" s="67"/>
    </row>
    <row r="799">
      <c r="A799" s="66"/>
      <c r="B799" s="66"/>
      <c r="C799" s="66"/>
      <c r="D799" s="66"/>
      <c r="G799" s="67"/>
      <c r="V799" s="67"/>
    </row>
    <row r="800">
      <c r="A800" s="66"/>
      <c r="B800" s="66"/>
      <c r="C800" s="66"/>
      <c r="D800" s="66"/>
      <c r="G800" s="67"/>
      <c r="V800" s="67"/>
    </row>
    <row r="801">
      <c r="A801" s="66"/>
      <c r="B801" s="66"/>
      <c r="C801" s="66"/>
      <c r="D801" s="66"/>
      <c r="G801" s="67"/>
      <c r="V801" s="67"/>
    </row>
    <row r="802">
      <c r="A802" s="66"/>
      <c r="B802" s="66"/>
      <c r="C802" s="66"/>
      <c r="D802" s="66"/>
      <c r="G802" s="67"/>
      <c r="V802" s="67"/>
    </row>
    <row r="803">
      <c r="A803" s="66"/>
      <c r="B803" s="66"/>
      <c r="C803" s="66"/>
      <c r="D803" s="66"/>
      <c r="G803" s="67"/>
      <c r="V803" s="67"/>
    </row>
    <row r="804">
      <c r="A804" s="66"/>
      <c r="B804" s="66"/>
      <c r="C804" s="66"/>
      <c r="D804" s="66"/>
      <c r="G804" s="67"/>
      <c r="V804" s="67"/>
    </row>
    <row r="805">
      <c r="A805" s="66"/>
      <c r="B805" s="66"/>
      <c r="C805" s="66"/>
      <c r="D805" s="66"/>
      <c r="G805" s="67"/>
      <c r="V805" s="67"/>
    </row>
    <row r="806">
      <c r="A806" s="66"/>
      <c r="B806" s="66"/>
      <c r="C806" s="66"/>
      <c r="D806" s="66"/>
      <c r="G806" s="67"/>
      <c r="V806" s="67"/>
    </row>
    <row r="807">
      <c r="A807" s="66"/>
      <c r="B807" s="66"/>
      <c r="C807" s="66"/>
      <c r="D807" s="66"/>
      <c r="G807" s="67"/>
      <c r="V807" s="67"/>
    </row>
    <row r="808">
      <c r="A808" s="66"/>
      <c r="B808" s="66"/>
      <c r="C808" s="66"/>
      <c r="D808" s="66"/>
      <c r="G808" s="67"/>
      <c r="V808" s="67"/>
    </row>
    <row r="809">
      <c r="A809" s="66"/>
      <c r="B809" s="66"/>
      <c r="C809" s="66"/>
      <c r="D809" s="66"/>
      <c r="G809" s="67"/>
      <c r="V809" s="67"/>
    </row>
    <row r="810">
      <c r="A810" s="66"/>
      <c r="B810" s="66"/>
      <c r="C810" s="66"/>
      <c r="D810" s="66"/>
      <c r="G810" s="67"/>
      <c r="V810" s="67"/>
    </row>
    <row r="811">
      <c r="A811" s="66"/>
      <c r="B811" s="66"/>
      <c r="C811" s="66"/>
      <c r="D811" s="66"/>
      <c r="G811" s="67"/>
      <c r="V811" s="67"/>
    </row>
    <row r="812">
      <c r="A812" s="66"/>
      <c r="B812" s="66"/>
      <c r="C812" s="66"/>
      <c r="D812" s="66"/>
      <c r="G812" s="67"/>
      <c r="V812" s="67"/>
    </row>
    <row r="813">
      <c r="A813" s="66"/>
      <c r="B813" s="66"/>
      <c r="C813" s="66"/>
      <c r="D813" s="66"/>
      <c r="G813" s="67"/>
      <c r="V813" s="67"/>
    </row>
    <row r="814">
      <c r="A814" s="66"/>
      <c r="B814" s="66"/>
      <c r="C814" s="66"/>
      <c r="D814" s="66"/>
      <c r="G814" s="67"/>
      <c r="V814" s="67"/>
    </row>
    <row r="815">
      <c r="A815" s="66"/>
      <c r="B815" s="66"/>
      <c r="C815" s="66"/>
      <c r="D815" s="66"/>
      <c r="G815" s="67"/>
      <c r="V815" s="67"/>
    </row>
    <row r="816">
      <c r="A816" s="66"/>
      <c r="B816" s="66"/>
      <c r="C816" s="66"/>
      <c r="D816" s="66"/>
      <c r="G816" s="67"/>
      <c r="V816" s="67"/>
    </row>
    <row r="817">
      <c r="A817" s="66"/>
      <c r="B817" s="66"/>
      <c r="C817" s="66"/>
      <c r="D817" s="66"/>
      <c r="G817" s="67"/>
      <c r="V817" s="67"/>
    </row>
    <row r="818">
      <c r="A818" s="66"/>
      <c r="B818" s="66"/>
      <c r="C818" s="66"/>
      <c r="D818" s="66"/>
      <c r="G818" s="67"/>
      <c r="V818" s="67"/>
    </row>
    <row r="819">
      <c r="A819" s="66"/>
      <c r="B819" s="66"/>
      <c r="C819" s="66"/>
      <c r="D819" s="66"/>
      <c r="G819" s="67"/>
      <c r="V819" s="67"/>
    </row>
    <row r="820">
      <c r="A820" s="66"/>
      <c r="B820" s="66"/>
      <c r="C820" s="66"/>
      <c r="D820" s="66"/>
      <c r="G820" s="67"/>
      <c r="V820" s="67"/>
    </row>
    <row r="821">
      <c r="A821" s="66"/>
      <c r="B821" s="66"/>
      <c r="C821" s="66"/>
      <c r="D821" s="66"/>
      <c r="G821" s="67"/>
      <c r="V821" s="67"/>
    </row>
    <row r="822">
      <c r="A822" s="66"/>
      <c r="B822" s="66"/>
      <c r="C822" s="66"/>
      <c r="D822" s="66"/>
      <c r="G822" s="67"/>
      <c r="V822" s="67"/>
    </row>
    <row r="823">
      <c r="A823" s="66"/>
      <c r="B823" s="66"/>
      <c r="C823" s="66"/>
      <c r="D823" s="66"/>
      <c r="G823" s="67"/>
      <c r="V823" s="67"/>
    </row>
    <row r="824">
      <c r="A824" s="66"/>
      <c r="B824" s="66"/>
      <c r="C824" s="66"/>
      <c r="D824" s="66"/>
      <c r="G824" s="67"/>
      <c r="V824" s="67"/>
    </row>
    <row r="825">
      <c r="A825" s="66"/>
      <c r="B825" s="66"/>
      <c r="C825" s="66"/>
      <c r="D825" s="66"/>
      <c r="G825" s="67"/>
      <c r="V825" s="67"/>
    </row>
    <row r="826">
      <c r="A826" s="66"/>
      <c r="B826" s="66"/>
      <c r="C826" s="66"/>
      <c r="D826" s="66"/>
      <c r="G826" s="67"/>
      <c r="V826" s="67"/>
    </row>
    <row r="827">
      <c r="A827" s="66"/>
      <c r="B827" s="66"/>
      <c r="C827" s="66"/>
      <c r="D827" s="66"/>
      <c r="G827" s="67"/>
      <c r="V827" s="67"/>
    </row>
    <row r="828">
      <c r="A828" s="66"/>
      <c r="B828" s="66"/>
      <c r="C828" s="66"/>
      <c r="D828" s="66"/>
      <c r="G828" s="67"/>
      <c r="V828" s="67"/>
    </row>
    <row r="829">
      <c r="A829" s="66"/>
      <c r="B829" s="66"/>
      <c r="C829" s="66"/>
      <c r="D829" s="66"/>
      <c r="G829" s="67"/>
      <c r="V829" s="67"/>
    </row>
    <row r="830">
      <c r="A830" s="66"/>
      <c r="B830" s="66"/>
      <c r="C830" s="66"/>
      <c r="D830" s="66"/>
      <c r="G830" s="67"/>
      <c r="V830" s="67"/>
    </row>
    <row r="831">
      <c r="A831" s="66"/>
      <c r="B831" s="66"/>
      <c r="C831" s="66"/>
      <c r="D831" s="66"/>
      <c r="G831" s="67"/>
      <c r="V831" s="67"/>
    </row>
    <row r="832">
      <c r="A832" s="66"/>
      <c r="B832" s="66"/>
      <c r="C832" s="66"/>
      <c r="D832" s="66"/>
      <c r="G832" s="67"/>
      <c r="V832" s="67"/>
    </row>
    <row r="833">
      <c r="A833" s="66"/>
      <c r="B833" s="66"/>
      <c r="C833" s="66"/>
      <c r="D833" s="66"/>
      <c r="G833" s="67"/>
      <c r="V833" s="67"/>
    </row>
    <row r="834">
      <c r="A834" s="66"/>
      <c r="B834" s="66"/>
      <c r="C834" s="66"/>
      <c r="D834" s="66"/>
      <c r="G834" s="67"/>
      <c r="V834" s="67"/>
    </row>
    <row r="835">
      <c r="A835" s="66"/>
      <c r="B835" s="66"/>
      <c r="C835" s="66"/>
      <c r="D835" s="66"/>
      <c r="G835" s="67"/>
      <c r="V835" s="67"/>
    </row>
    <row r="836">
      <c r="A836" s="66"/>
      <c r="B836" s="66"/>
      <c r="C836" s="66"/>
      <c r="D836" s="66"/>
      <c r="G836" s="67"/>
      <c r="V836" s="67"/>
    </row>
    <row r="837">
      <c r="A837" s="66"/>
      <c r="B837" s="66"/>
      <c r="C837" s="66"/>
      <c r="D837" s="66"/>
      <c r="G837" s="67"/>
      <c r="V837" s="67"/>
    </row>
    <row r="838">
      <c r="A838" s="66"/>
      <c r="B838" s="66"/>
      <c r="C838" s="66"/>
      <c r="D838" s="66"/>
      <c r="G838" s="67"/>
      <c r="V838" s="67"/>
    </row>
    <row r="839">
      <c r="A839" s="66"/>
      <c r="B839" s="66"/>
      <c r="C839" s="66"/>
      <c r="D839" s="66"/>
      <c r="G839" s="67"/>
      <c r="V839" s="67"/>
    </row>
    <row r="840">
      <c r="A840" s="66"/>
      <c r="B840" s="66"/>
      <c r="C840" s="66"/>
      <c r="D840" s="66"/>
      <c r="G840" s="67"/>
      <c r="V840" s="67"/>
    </row>
    <row r="841">
      <c r="A841" s="66"/>
      <c r="B841" s="66"/>
      <c r="C841" s="66"/>
      <c r="D841" s="66"/>
      <c r="G841" s="67"/>
      <c r="V841" s="67"/>
    </row>
    <row r="842">
      <c r="A842" s="66"/>
      <c r="B842" s="66"/>
      <c r="C842" s="66"/>
      <c r="D842" s="66"/>
      <c r="G842" s="67"/>
      <c r="V842" s="67"/>
    </row>
    <row r="843">
      <c r="A843" s="66"/>
      <c r="B843" s="66"/>
      <c r="C843" s="66"/>
      <c r="D843" s="66"/>
      <c r="G843" s="67"/>
      <c r="V843" s="67"/>
    </row>
    <row r="844">
      <c r="A844" s="66"/>
      <c r="B844" s="66"/>
      <c r="C844" s="66"/>
      <c r="D844" s="66"/>
      <c r="G844" s="67"/>
      <c r="V844" s="67"/>
    </row>
    <row r="845">
      <c r="A845" s="66"/>
      <c r="B845" s="66"/>
      <c r="C845" s="66"/>
      <c r="D845" s="66"/>
      <c r="G845" s="67"/>
      <c r="V845" s="67"/>
    </row>
    <row r="846">
      <c r="A846" s="66"/>
      <c r="B846" s="66"/>
      <c r="C846" s="66"/>
      <c r="D846" s="66"/>
      <c r="G846" s="67"/>
      <c r="V846" s="67"/>
    </row>
    <row r="847">
      <c r="A847" s="66"/>
      <c r="B847" s="66"/>
      <c r="C847" s="66"/>
      <c r="D847" s="66"/>
      <c r="G847" s="67"/>
      <c r="V847" s="67"/>
    </row>
    <row r="848">
      <c r="A848" s="66"/>
      <c r="B848" s="66"/>
      <c r="C848" s="66"/>
      <c r="D848" s="66"/>
      <c r="G848" s="67"/>
      <c r="V848" s="67"/>
    </row>
    <row r="849">
      <c r="A849" s="66"/>
      <c r="B849" s="66"/>
      <c r="C849" s="66"/>
      <c r="D849" s="66"/>
      <c r="G849" s="67"/>
      <c r="V849" s="67"/>
    </row>
    <row r="850">
      <c r="A850" s="66"/>
      <c r="B850" s="66"/>
      <c r="C850" s="66"/>
      <c r="D850" s="66"/>
      <c r="G850" s="67"/>
      <c r="V850" s="67"/>
    </row>
    <row r="851">
      <c r="A851" s="66"/>
      <c r="B851" s="66"/>
      <c r="C851" s="66"/>
      <c r="D851" s="66"/>
      <c r="G851" s="67"/>
      <c r="V851" s="67"/>
    </row>
    <row r="852">
      <c r="A852" s="66"/>
      <c r="B852" s="66"/>
      <c r="C852" s="66"/>
      <c r="D852" s="66"/>
      <c r="G852" s="67"/>
      <c r="V852" s="67"/>
    </row>
    <row r="853">
      <c r="A853" s="66"/>
      <c r="B853" s="66"/>
      <c r="C853" s="66"/>
      <c r="D853" s="66"/>
      <c r="G853" s="67"/>
      <c r="V853" s="67"/>
    </row>
    <row r="854">
      <c r="A854" s="66"/>
      <c r="B854" s="66"/>
      <c r="C854" s="66"/>
      <c r="D854" s="66"/>
      <c r="G854" s="67"/>
      <c r="V854" s="67"/>
    </row>
    <row r="855">
      <c r="A855" s="66"/>
      <c r="B855" s="66"/>
      <c r="C855" s="66"/>
      <c r="D855" s="66"/>
      <c r="G855" s="67"/>
      <c r="V855" s="67"/>
    </row>
    <row r="856">
      <c r="A856" s="66"/>
      <c r="B856" s="66"/>
      <c r="C856" s="66"/>
      <c r="D856" s="66"/>
      <c r="G856" s="67"/>
      <c r="V856" s="67"/>
    </row>
    <row r="857">
      <c r="A857" s="66"/>
      <c r="B857" s="66"/>
      <c r="C857" s="66"/>
      <c r="D857" s="66"/>
      <c r="G857" s="67"/>
      <c r="V857" s="67"/>
    </row>
    <row r="858">
      <c r="A858" s="66"/>
      <c r="B858" s="66"/>
      <c r="C858" s="66"/>
      <c r="D858" s="66"/>
      <c r="G858" s="67"/>
      <c r="V858" s="67"/>
    </row>
    <row r="859">
      <c r="A859" s="66"/>
      <c r="B859" s="66"/>
      <c r="C859" s="66"/>
      <c r="D859" s="66"/>
      <c r="G859" s="67"/>
      <c r="V859" s="67"/>
    </row>
    <row r="860">
      <c r="A860" s="66"/>
      <c r="B860" s="66"/>
      <c r="C860" s="66"/>
      <c r="D860" s="66"/>
      <c r="G860" s="67"/>
      <c r="V860" s="67"/>
    </row>
    <row r="861">
      <c r="A861" s="66"/>
      <c r="B861" s="66"/>
      <c r="C861" s="66"/>
      <c r="D861" s="66"/>
      <c r="G861" s="67"/>
      <c r="V861" s="67"/>
    </row>
    <row r="862">
      <c r="A862" s="66"/>
      <c r="B862" s="66"/>
      <c r="C862" s="66"/>
      <c r="D862" s="66"/>
      <c r="G862" s="67"/>
      <c r="V862" s="67"/>
    </row>
    <row r="863">
      <c r="A863" s="66"/>
      <c r="B863" s="66"/>
      <c r="C863" s="66"/>
      <c r="D863" s="66"/>
      <c r="G863" s="67"/>
      <c r="V863" s="67"/>
    </row>
    <row r="864">
      <c r="A864" s="66"/>
      <c r="B864" s="66"/>
      <c r="C864" s="66"/>
      <c r="D864" s="66"/>
      <c r="G864" s="67"/>
      <c r="V864" s="67"/>
    </row>
    <row r="865">
      <c r="A865" s="66"/>
      <c r="B865" s="66"/>
      <c r="C865" s="66"/>
      <c r="D865" s="66"/>
      <c r="G865" s="67"/>
      <c r="V865" s="67"/>
    </row>
    <row r="866">
      <c r="A866" s="66"/>
      <c r="B866" s="66"/>
      <c r="C866" s="66"/>
      <c r="D866" s="66"/>
      <c r="G866" s="67"/>
      <c r="V866" s="67"/>
    </row>
    <row r="867">
      <c r="A867" s="66"/>
      <c r="B867" s="66"/>
      <c r="C867" s="66"/>
      <c r="D867" s="66"/>
      <c r="G867" s="67"/>
      <c r="V867" s="67"/>
    </row>
    <row r="868">
      <c r="A868" s="66"/>
      <c r="B868" s="66"/>
      <c r="C868" s="66"/>
      <c r="D868" s="66"/>
      <c r="G868" s="67"/>
      <c r="V868" s="67"/>
    </row>
    <row r="869">
      <c r="A869" s="66"/>
      <c r="B869" s="66"/>
      <c r="C869" s="66"/>
      <c r="D869" s="66"/>
      <c r="G869" s="67"/>
      <c r="V869" s="67"/>
    </row>
    <row r="870">
      <c r="A870" s="66"/>
      <c r="B870" s="66"/>
      <c r="C870" s="66"/>
      <c r="D870" s="66"/>
      <c r="G870" s="67"/>
      <c r="V870" s="67"/>
    </row>
    <row r="871">
      <c r="A871" s="66"/>
      <c r="B871" s="66"/>
      <c r="C871" s="66"/>
      <c r="D871" s="66"/>
      <c r="G871" s="67"/>
      <c r="V871" s="67"/>
    </row>
    <row r="872">
      <c r="A872" s="66"/>
      <c r="B872" s="66"/>
      <c r="C872" s="66"/>
      <c r="D872" s="66"/>
      <c r="G872" s="67"/>
      <c r="V872" s="67"/>
    </row>
    <row r="873">
      <c r="A873" s="66"/>
      <c r="B873" s="66"/>
      <c r="C873" s="66"/>
      <c r="D873" s="66"/>
      <c r="G873" s="67"/>
      <c r="V873" s="67"/>
    </row>
    <row r="874">
      <c r="A874" s="66"/>
      <c r="B874" s="66"/>
      <c r="C874" s="66"/>
      <c r="D874" s="66"/>
      <c r="G874" s="67"/>
      <c r="V874" s="67"/>
    </row>
    <row r="875">
      <c r="A875" s="66"/>
      <c r="B875" s="66"/>
      <c r="C875" s="66"/>
      <c r="D875" s="66"/>
      <c r="G875" s="67"/>
      <c r="V875" s="67"/>
    </row>
    <row r="876">
      <c r="A876" s="66"/>
      <c r="B876" s="66"/>
      <c r="C876" s="66"/>
      <c r="D876" s="66"/>
      <c r="G876" s="67"/>
      <c r="V876" s="67"/>
    </row>
    <row r="877">
      <c r="A877" s="66"/>
      <c r="B877" s="66"/>
      <c r="C877" s="66"/>
      <c r="D877" s="66"/>
      <c r="G877" s="67"/>
      <c r="V877" s="67"/>
    </row>
    <row r="878">
      <c r="A878" s="66"/>
      <c r="B878" s="66"/>
      <c r="C878" s="66"/>
      <c r="D878" s="66"/>
      <c r="G878" s="67"/>
      <c r="V878" s="67"/>
    </row>
    <row r="879">
      <c r="A879" s="66"/>
      <c r="B879" s="66"/>
      <c r="C879" s="66"/>
      <c r="D879" s="66"/>
      <c r="G879" s="67"/>
      <c r="V879" s="67"/>
    </row>
    <row r="880">
      <c r="A880" s="66"/>
      <c r="B880" s="66"/>
      <c r="C880" s="66"/>
      <c r="D880" s="66"/>
      <c r="G880" s="67"/>
      <c r="V880" s="67"/>
    </row>
    <row r="881">
      <c r="A881" s="66"/>
      <c r="B881" s="66"/>
      <c r="C881" s="66"/>
      <c r="D881" s="66"/>
      <c r="G881" s="67"/>
      <c r="V881" s="67"/>
    </row>
    <row r="882">
      <c r="A882" s="66"/>
      <c r="B882" s="66"/>
      <c r="C882" s="66"/>
      <c r="D882" s="66"/>
      <c r="G882" s="67"/>
      <c r="V882" s="67"/>
    </row>
    <row r="883">
      <c r="A883" s="66"/>
      <c r="B883" s="66"/>
      <c r="C883" s="66"/>
      <c r="D883" s="66"/>
      <c r="G883" s="67"/>
      <c r="V883" s="67"/>
    </row>
    <row r="884">
      <c r="A884" s="66"/>
      <c r="B884" s="66"/>
      <c r="C884" s="66"/>
      <c r="D884" s="66"/>
      <c r="G884" s="67"/>
      <c r="V884" s="67"/>
    </row>
    <row r="885">
      <c r="A885" s="66"/>
      <c r="B885" s="66"/>
      <c r="C885" s="66"/>
      <c r="D885" s="66"/>
      <c r="G885" s="67"/>
      <c r="V885" s="67"/>
    </row>
    <row r="886">
      <c r="A886" s="66"/>
      <c r="B886" s="66"/>
      <c r="C886" s="66"/>
      <c r="D886" s="66"/>
      <c r="G886" s="67"/>
      <c r="V886" s="67"/>
    </row>
    <row r="887">
      <c r="A887" s="66"/>
      <c r="B887" s="66"/>
      <c r="C887" s="66"/>
      <c r="D887" s="66"/>
      <c r="G887" s="67"/>
      <c r="V887" s="67"/>
    </row>
    <row r="888">
      <c r="A888" s="66"/>
      <c r="B888" s="66"/>
      <c r="C888" s="66"/>
      <c r="D888" s="66"/>
      <c r="G888" s="67"/>
      <c r="V888" s="67"/>
    </row>
    <row r="889">
      <c r="A889" s="66"/>
      <c r="B889" s="66"/>
      <c r="C889" s="66"/>
      <c r="D889" s="66"/>
      <c r="G889" s="67"/>
      <c r="V889" s="67"/>
    </row>
    <row r="890">
      <c r="A890" s="66"/>
      <c r="B890" s="66"/>
      <c r="C890" s="66"/>
      <c r="D890" s="66"/>
      <c r="G890" s="67"/>
      <c r="V890" s="67"/>
    </row>
    <row r="891">
      <c r="A891" s="66"/>
      <c r="B891" s="66"/>
      <c r="C891" s="66"/>
      <c r="D891" s="66"/>
      <c r="G891" s="67"/>
      <c r="V891" s="67"/>
    </row>
    <row r="892">
      <c r="A892" s="66"/>
      <c r="B892" s="66"/>
      <c r="C892" s="66"/>
      <c r="D892" s="66"/>
      <c r="G892" s="67"/>
      <c r="V892" s="67"/>
    </row>
    <row r="893">
      <c r="A893" s="66"/>
      <c r="B893" s="66"/>
      <c r="C893" s="66"/>
      <c r="D893" s="66"/>
      <c r="G893" s="67"/>
      <c r="V893" s="67"/>
    </row>
    <row r="894">
      <c r="A894" s="66"/>
      <c r="B894" s="66"/>
      <c r="C894" s="66"/>
      <c r="D894" s="66"/>
      <c r="G894" s="67"/>
      <c r="V894" s="67"/>
    </row>
    <row r="895">
      <c r="A895" s="66"/>
      <c r="B895" s="66"/>
      <c r="C895" s="66"/>
      <c r="D895" s="66"/>
      <c r="G895" s="67"/>
      <c r="V895" s="67"/>
    </row>
    <row r="896">
      <c r="A896" s="66"/>
      <c r="B896" s="66"/>
      <c r="C896" s="66"/>
      <c r="D896" s="66"/>
      <c r="G896" s="67"/>
      <c r="V896" s="67"/>
    </row>
    <row r="897">
      <c r="A897" s="66"/>
      <c r="B897" s="66"/>
      <c r="C897" s="66"/>
      <c r="D897" s="66"/>
      <c r="G897" s="67"/>
      <c r="V897" s="67"/>
    </row>
    <row r="898">
      <c r="A898" s="66"/>
      <c r="B898" s="66"/>
      <c r="C898" s="66"/>
      <c r="D898" s="66"/>
      <c r="G898" s="67"/>
      <c r="V898" s="67"/>
    </row>
    <row r="899">
      <c r="A899" s="66"/>
      <c r="B899" s="66"/>
      <c r="C899" s="66"/>
      <c r="D899" s="66"/>
      <c r="G899" s="67"/>
      <c r="V899" s="67"/>
    </row>
    <row r="900">
      <c r="A900" s="66"/>
      <c r="B900" s="66"/>
      <c r="C900" s="66"/>
      <c r="D900" s="66"/>
      <c r="G900" s="67"/>
      <c r="V900" s="67"/>
    </row>
    <row r="901">
      <c r="A901" s="66"/>
      <c r="B901" s="66"/>
      <c r="C901" s="66"/>
      <c r="D901" s="66"/>
      <c r="G901" s="67"/>
      <c r="V901" s="67"/>
    </row>
    <row r="902">
      <c r="A902" s="66"/>
      <c r="B902" s="66"/>
      <c r="C902" s="66"/>
      <c r="D902" s="66"/>
      <c r="G902" s="67"/>
      <c r="V902" s="67"/>
    </row>
    <row r="903">
      <c r="A903" s="66"/>
      <c r="B903" s="66"/>
      <c r="C903" s="66"/>
      <c r="D903" s="66"/>
      <c r="G903" s="67"/>
      <c r="V903" s="67"/>
    </row>
    <row r="904">
      <c r="A904" s="66"/>
      <c r="B904" s="66"/>
      <c r="C904" s="66"/>
      <c r="D904" s="66"/>
      <c r="G904" s="67"/>
      <c r="V904" s="67"/>
    </row>
    <row r="905">
      <c r="A905" s="66"/>
      <c r="B905" s="66"/>
      <c r="C905" s="66"/>
      <c r="D905" s="66"/>
      <c r="G905" s="67"/>
      <c r="V905" s="67"/>
    </row>
    <row r="906">
      <c r="A906" s="66"/>
      <c r="B906" s="66"/>
      <c r="C906" s="66"/>
      <c r="D906" s="66"/>
      <c r="G906" s="67"/>
      <c r="V906" s="67"/>
    </row>
    <row r="907">
      <c r="A907" s="66"/>
      <c r="B907" s="66"/>
      <c r="C907" s="66"/>
      <c r="D907" s="66"/>
      <c r="G907" s="67"/>
      <c r="V907" s="67"/>
    </row>
    <row r="908">
      <c r="A908" s="66"/>
      <c r="B908" s="66"/>
      <c r="C908" s="66"/>
      <c r="D908" s="66"/>
      <c r="G908" s="67"/>
      <c r="V908" s="67"/>
    </row>
    <row r="909">
      <c r="A909" s="66"/>
      <c r="B909" s="66"/>
      <c r="C909" s="66"/>
      <c r="D909" s="66"/>
      <c r="G909" s="67"/>
      <c r="V909" s="67"/>
    </row>
    <row r="910">
      <c r="A910" s="66"/>
      <c r="B910" s="66"/>
      <c r="C910" s="66"/>
      <c r="D910" s="66"/>
      <c r="G910" s="67"/>
      <c r="V910" s="67"/>
    </row>
    <row r="911">
      <c r="A911" s="66"/>
      <c r="B911" s="66"/>
      <c r="C911" s="66"/>
      <c r="D911" s="66"/>
      <c r="G911" s="67"/>
      <c r="V911" s="67"/>
    </row>
    <row r="912">
      <c r="A912" s="66"/>
      <c r="B912" s="66"/>
      <c r="C912" s="66"/>
      <c r="D912" s="66"/>
      <c r="G912" s="67"/>
      <c r="V912" s="67"/>
    </row>
    <row r="913">
      <c r="A913" s="66"/>
      <c r="B913" s="66"/>
      <c r="C913" s="66"/>
      <c r="D913" s="66"/>
      <c r="G913" s="67"/>
      <c r="V913" s="67"/>
    </row>
    <row r="914">
      <c r="A914" s="66"/>
      <c r="B914" s="66"/>
      <c r="C914" s="66"/>
      <c r="D914" s="66"/>
      <c r="G914" s="67"/>
      <c r="V914" s="67"/>
    </row>
    <row r="915">
      <c r="A915" s="66"/>
      <c r="B915" s="66"/>
      <c r="C915" s="66"/>
      <c r="D915" s="66"/>
      <c r="G915" s="67"/>
      <c r="V915" s="67"/>
    </row>
    <row r="916">
      <c r="A916" s="66"/>
      <c r="B916" s="66"/>
      <c r="C916" s="66"/>
      <c r="D916" s="66"/>
      <c r="G916" s="67"/>
      <c r="V916" s="67"/>
    </row>
    <row r="917">
      <c r="A917" s="66"/>
      <c r="B917" s="66"/>
      <c r="C917" s="66"/>
      <c r="D917" s="66"/>
      <c r="G917" s="67"/>
      <c r="V917" s="67"/>
    </row>
    <row r="918">
      <c r="A918" s="66"/>
      <c r="B918" s="66"/>
      <c r="C918" s="66"/>
      <c r="D918" s="66"/>
      <c r="G918" s="67"/>
      <c r="V918" s="67"/>
    </row>
    <row r="919">
      <c r="A919" s="66"/>
      <c r="B919" s="66"/>
      <c r="C919" s="66"/>
      <c r="D919" s="66"/>
      <c r="G919" s="67"/>
      <c r="V919" s="67"/>
    </row>
    <row r="920">
      <c r="A920" s="66"/>
      <c r="B920" s="66"/>
      <c r="C920" s="66"/>
      <c r="D920" s="66"/>
      <c r="G920" s="67"/>
      <c r="V920" s="67"/>
    </row>
    <row r="921">
      <c r="A921" s="66"/>
      <c r="B921" s="66"/>
      <c r="C921" s="66"/>
      <c r="D921" s="66"/>
      <c r="G921" s="67"/>
      <c r="V921" s="67"/>
    </row>
    <row r="922">
      <c r="A922" s="66"/>
      <c r="B922" s="66"/>
      <c r="C922" s="66"/>
      <c r="D922" s="66"/>
      <c r="G922" s="67"/>
      <c r="V922" s="67"/>
    </row>
    <row r="923">
      <c r="A923" s="66"/>
      <c r="B923" s="66"/>
      <c r="C923" s="66"/>
      <c r="D923" s="66"/>
      <c r="G923" s="67"/>
      <c r="V923" s="67"/>
    </row>
    <row r="924">
      <c r="A924" s="66"/>
      <c r="B924" s="66"/>
      <c r="C924" s="66"/>
      <c r="D924" s="66"/>
      <c r="G924" s="67"/>
      <c r="V924" s="67"/>
    </row>
    <row r="925">
      <c r="A925" s="66"/>
      <c r="B925" s="66"/>
      <c r="C925" s="66"/>
      <c r="D925" s="66"/>
      <c r="G925" s="67"/>
      <c r="V925" s="67"/>
    </row>
    <row r="926">
      <c r="A926" s="66"/>
      <c r="B926" s="66"/>
      <c r="C926" s="66"/>
      <c r="D926" s="66"/>
      <c r="G926" s="67"/>
      <c r="V926" s="67"/>
    </row>
    <row r="927">
      <c r="A927" s="66"/>
      <c r="B927" s="66"/>
      <c r="C927" s="66"/>
      <c r="D927" s="66"/>
      <c r="G927" s="67"/>
      <c r="V927" s="67"/>
    </row>
    <row r="928">
      <c r="A928" s="66"/>
      <c r="B928" s="66"/>
      <c r="C928" s="66"/>
      <c r="D928" s="66"/>
      <c r="G928" s="67"/>
      <c r="V928" s="67"/>
    </row>
    <row r="929">
      <c r="A929" s="66"/>
      <c r="B929" s="66"/>
      <c r="C929" s="66"/>
      <c r="D929" s="66"/>
      <c r="G929" s="67"/>
      <c r="V929" s="67"/>
    </row>
    <row r="930">
      <c r="A930" s="66"/>
      <c r="B930" s="66"/>
      <c r="C930" s="66"/>
      <c r="D930" s="66"/>
      <c r="G930" s="67"/>
      <c r="V930" s="67"/>
    </row>
    <row r="931">
      <c r="A931" s="66"/>
      <c r="B931" s="66"/>
      <c r="C931" s="66"/>
      <c r="D931" s="66"/>
      <c r="G931" s="67"/>
      <c r="V931" s="67"/>
    </row>
    <row r="932">
      <c r="A932" s="66"/>
      <c r="B932" s="66"/>
      <c r="C932" s="66"/>
      <c r="D932" s="66"/>
      <c r="G932" s="67"/>
      <c r="V932" s="67"/>
    </row>
    <row r="933">
      <c r="A933" s="66"/>
      <c r="B933" s="66"/>
      <c r="C933" s="66"/>
      <c r="D933" s="66"/>
      <c r="G933" s="67"/>
      <c r="V933" s="67"/>
    </row>
    <row r="934">
      <c r="A934" s="66"/>
      <c r="B934" s="66"/>
      <c r="C934" s="66"/>
      <c r="D934" s="66"/>
      <c r="G934" s="67"/>
      <c r="V934" s="67"/>
    </row>
    <row r="935">
      <c r="A935" s="66"/>
      <c r="B935" s="66"/>
      <c r="C935" s="66"/>
      <c r="D935" s="66"/>
      <c r="G935" s="67"/>
      <c r="V935" s="67"/>
    </row>
    <row r="936">
      <c r="A936" s="66"/>
      <c r="B936" s="66"/>
      <c r="C936" s="66"/>
      <c r="D936" s="66"/>
      <c r="G936" s="67"/>
      <c r="V936" s="67"/>
    </row>
    <row r="937">
      <c r="A937" s="66"/>
      <c r="B937" s="66"/>
      <c r="C937" s="66"/>
      <c r="D937" s="66"/>
      <c r="G937" s="67"/>
      <c r="V937" s="67"/>
    </row>
    <row r="938">
      <c r="A938" s="66"/>
      <c r="B938" s="66"/>
      <c r="C938" s="66"/>
      <c r="D938" s="66"/>
      <c r="G938" s="67"/>
      <c r="V938" s="67"/>
    </row>
    <row r="939">
      <c r="A939" s="66"/>
      <c r="B939" s="66"/>
      <c r="C939" s="66"/>
      <c r="D939" s="66"/>
      <c r="G939" s="67"/>
      <c r="V939" s="67"/>
    </row>
    <row r="940">
      <c r="A940" s="66"/>
      <c r="B940" s="66"/>
      <c r="C940" s="66"/>
      <c r="D940" s="66"/>
      <c r="G940" s="67"/>
      <c r="V940" s="67"/>
    </row>
    <row r="941">
      <c r="A941" s="66"/>
      <c r="B941" s="66"/>
      <c r="C941" s="66"/>
      <c r="D941" s="66"/>
      <c r="G941" s="67"/>
      <c r="V941" s="67"/>
    </row>
    <row r="942">
      <c r="A942" s="66"/>
      <c r="B942" s="66"/>
      <c r="C942" s="66"/>
      <c r="D942" s="66"/>
      <c r="G942" s="67"/>
      <c r="V942" s="67"/>
    </row>
    <row r="943">
      <c r="A943" s="66"/>
      <c r="B943" s="66"/>
      <c r="C943" s="66"/>
      <c r="D943" s="66"/>
      <c r="G943" s="67"/>
      <c r="V943" s="67"/>
    </row>
    <row r="944">
      <c r="A944" s="66"/>
      <c r="B944" s="66"/>
      <c r="C944" s="66"/>
      <c r="D944" s="66"/>
      <c r="G944" s="67"/>
      <c r="V944" s="67"/>
    </row>
    <row r="945">
      <c r="A945" s="66"/>
      <c r="B945" s="66"/>
      <c r="C945" s="66"/>
      <c r="D945" s="66"/>
      <c r="G945" s="67"/>
      <c r="V945" s="67"/>
    </row>
    <row r="946">
      <c r="A946" s="66"/>
      <c r="B946" s="66"/>
      <c r="C946" s="66"/>
      <c r="D946" s="66"/>
      <c r="G946" s="67"/>
      <c r="V946" s="67"/>
    </row>
    <row r="947">
      <c r="A947" s="66"/>
      <c r="B947" s="66"/>
      <c r="C947" s="66"/>
      <c r="D947" s="66"/>
      <c r="G947" s="67"/>
      <c r="V947" s="67"/>
    </row>
    <row r="948">
      <c r="A948" s="66"/>
      <c r="B948" s="66"/>
      <c r="C948" s="66"/>
      <c r="D948" s="66"/>
      <c r="G948" s="67"/>
      <c r="V948" s="67"/>
    </row>
    <row r="949">
      <c r="A949" s="66"/>
      <c r="B949" s="66"/>
      <c r="C949" s="66"/>
      <c r="D949" s="66"/>
      <c r="G949" s="67"/>
      <c r="V949" s="67"/>
    </row>
    <row r="950">
      <c r="A950" s="66"/>
      <c r="B950" s="66"/>
      <c r="C950" s="66"/>
      <c r="D950" s="66"/>
      <c r="G950" s="67"/>
      <c r="V950" s="67"/>
    </row>
    <row r="951">
      <c r="A951" s="66"/>
      <c r="B951" s="66"/>
      <c r="C951" s="66"/>
      <c r="D951" s="66"/>
      <c r="G951" s="67"/>
      <c r="V951" s="67"/>
    </row>
    <row r="952">
      <c r="A952" s="66"/>
      <c r="B952" s="66"/>
      <c r="C952" s="66"/>
      <c r="D952" s="66"/>
      <c r="G952" s="67"/>
      <c r="V952" s="67"/>
    </row>
    <row r="953">
      <c r="A953" s="66"/>
      <c r="B953" s="66"/>
      <c r="C953" s="66"/>
      <c r="D953" s="66"/>
      <c r="G953" s="67"/>
      <c r="V953" s="67"/>
    </row>
    <row r="954">
      <c r="A954" s="66"/>
      <c r="B954" s="66"/>
      <c r="C954" s="66"/>
      <c r="D954" s="66"/>
      <c r="G954" s="67"/>
      <c r="V954" s="67"/>
    </row>
    <row r="955">
      <c r="A955" s="66"/>
      <c r="B955" s="66"/>
      <c r="C955" s="66"/>
      <c r="D955" s="66"/>
      <c r="G955" s="67"/>
      <c r="V955" s="67"/>
    </row>
    <row r="956">
      <c r="A956" s="66"/>
      <c r="B956" s="66"/>
      <c r="C956" s="66"/>
      <c r="D956" s="66"/>
      <c r="G956" s="67"/>
      <c r="V956" s="67"/>
    </row>
    <row r="957">
      <c r="A957" s="66"/>
      <c r="B957" s="66"/>
      <c r="C957" s="66"/>
      <c r="D957" s="66"/>
      <c r="G957" s="67"/>
      <c r="V957" s="67"/>
    </row>
    <row r="958">
      <c r="A958" s="66"/>
      <c r="B958" s="66"/>
      <c r="C958" s="66"/>
      <c r="D958" s="66"/>
      <c r="G958" s="67"/>
      <c r="V958" s="67"/>
    </row>
    <row r="959">
      <c r="A959" s="66"/>
      <c r="B959" s="66"/>
      <c r="C959" s="66"/>
      <c r="D959" s="66"/>
      <c r="G959" s="67"/>
      <c r="V959" s="67"/>
    </row>
    <row r="960">
      <c r="A960" s="66"/>
      <c r="B960" s="66"/>
      <c r="C960" s="66"/>
      <c r="D960" s="66"/>
      <c r="G960" s="67"/>
      <c r="V960" s="67"/>
    </row>
    <row r="961">
      <c r="A961" s="66"/>
      <c r="B961" s="66"/>
      <c r="C961" s="66"/>
      <c r="D961" s="66"/>
      <c r="G961" s="67"/>
      <c r="V961" s="67"/>
    </row>
    <row r="962">
      <c r="A962" s="66"/>
      <c r="B962" s="66"/>
      <c r="C962" s="66"/>
      <c r="D962" s="66"/>
      <c r="G962" s="67"/>
      <c r="V962" s="67"/>
    </row>
    <row r="963">
      <c r="A963" s="66"/>
      <c r="B963" s="66"/>
      <c r="C963" s="66"/>
      <c r="D963" s="66"/>
      <c r="G963" s="67"/>
      <c r="V963" s="67"/>
    </row>
    <row r="964">
      <c r="A964" s="66"/>
      <c r="B964" s="66"/>
      <c r="C964" s="66"/>
      <c r="D964" s="66"/>
      <c r="G964" s="67"/>
      <c r="V964" s="67"/>
    </row>
    <row r="965">
      <c r="A965" s="66"/>
      <c r="B965" s="66"/>
      <c r="C965" s="66"/>
      <c r="D965" s="66"/>
      <c r="G965" s="67"/>
      <c r="V965" s="67"/>
    </row>
    <row r="966">
      <c r="A966" s="66"/>
      <c r="B966" s="66"/>
      <c r="C966" s="66"/>
      <c r="D966" s="66"/>
      <c r="G966" s="67"/>
      <c r="V966" s="67"/>
    </row>
    <row r="967">
      <c r="A967" s="66"/>
      <c r="B967" s="66"/>
      <c r="C967" s="66"/>
      <c r="D967" s="66"/>
      <c r="G967" s="67"/>
      <c r="V967" s="67"/>
    </row>
    <row r="968">
      <c r="A968" s="66"/>
      <c r="B968" s="66"/>
      <c r="C968" s="66"/>
      <c r="D968" s="66"/>
      <c r="G968" s="67"/>
      <c r="V968" s="67"/>
    </row>
    <row r="969">
      <c r="A969" s="66"/>
      <c r="B969" s="66"/>
      <c r="C969" s="66"/>
      <c r="D969" s="66"/>
      <c r="G969" s="67"/>
      <c r="V969" s="67"/>
    </row>
    <row r="970">
      <c r="A970" s="66"/>
      <c r="B970" s="66"/>
      <c r="C970" s="66"/>
      <c r="D970" s="66"/>
      <c r="G970" s="67"/>
      <c r="V970" s="67"/>
    </row>
    <row r="971">
      <c r="A971" s="66"/>
      <c r="B971" s="66"/>
      <c r="C971" s="66"/>
      <c r="D971" s="66"/>
      <c r="G971" s="67"/>
      <c r="V971" s="67"/>
    </row>
    <row r="972">
      <c r="A972" s="66"/>
      <c r="B972" s="66"/>
      <c r="C972" s="66"/>
      <c r="D972" s="66"/>
      <c r="G972" s="67"/>
      <c r="V972" s="67"/>
    </row>
    <row r="973">
      <c r="A973" s="66"/>
      <c r="B973" s="66"/>
      <c r="C973" s="66"/>
      <c r="D973" s="66"/>
      <c r="G973" s="67"/>
      <c r="V973" s="67"/>
    </row>
    <row r="974">
      <c r="A974" s="66"/>
      <c r="B974" s="66"/>
      <c r="C974" s="66"/>
      <c r="D974" s="66"/>
      <c r="G974" s="67"/>
      <c r="V974" s="67"/>
    </row>
    <row r="975">
      <c r="A975" s="66"/>
      <c r="B975" s="66"/>
      <c r="C975" s="66"/>
      <c r="D975" s="66"/>
      <c r="G975" s="67"/>
      <c r="V975" s="67"/>
    </row>
    <row r="976">
      <c r="A976" s="66"/>
      <c r="B976" s="66"/>
      <c r="C976" s="66"/>
      <c r="D976" s="66"/>
      <c r="G976" s="67"/>
      <c r="V976" s="67"/>
    </row>
    <row r="977">
      <c r="A977" s="66"/>
      <c r="B977" s="66"/>
      <c r="C977" s="66"/>
      <c r="D977" s="66"/>
      <c r="G977" s="67"/>
      <c r="V977" s="67"/>
    </row>
    <row r="978">
      <c r="A978" s="66"/>
      <c r="B978" s="66"/>
      <c r="C978" s="66"/>
      <c r="D978" s="66"/>
      <c r="G978" s="67"/>
      <c r="V978" s="67"/>
    </row>
    <row r="979">
      <c r="A979" s="66"/>
      <c r="B979" s="66"/>
      <c r="C979" s="66"/>
      <c r="D979" s="66"/>
      <c r="G979" s="67"/>
      <c r="V979" s="67"/>
    </row>
    <row r="980">
      <c r="A980" s="66"/>
      <c r="B980" s="66"/>
      <c r="C980" s="66"/>
      <c r="D980" s="66"/>
      <c r="G980" s="67"/>
      <c r="V980" s="67"/>
    </row>
    <row r="981">
      <c r="A981" s="66"/>
      <c r="B981" s="66"/>
      <c r="C981" s="66"/>
      <c r="D981" s="66"/>
      <c r="G981" s="67"/>
      <c r="V981" s="67"/>
    </row>
    <row r="982">
      <c r="A982" s="66"/>
      <c r="B982" s="66"/>
      <c r="C982" s="66"/>
      <c r="D982" s="66"/>
      <c r="G982" s="67"/>
      <c r="V982" s="67"/>
    </row>
    <row r="983">
      <c r="A983" s="66"/>
      <c r="B983" s="66"/>
      <c r="C983" s="66"/>
      <c r="D983" s="66"/>
      <c r="G983" s="67"/>
      <c r="V983" s="67"/>
    </row>
    <row r="984">
      <c r="A984" s="66"/>
      <c r="B984" s="66"/>
      <c r="C984" s="66"/>
      <c r="D984" s="66"/>
      <c r="G984" s="67"/>
      <c r="V984" s="67"/>
    </row>
    <row r="985">
      <c r="A985" s="66"/>
      <c r="B985" s="66"/>
      <c r="C985" s="66"/>
      <c r="D985" s="66"/>
      <c r="G985" s="67"/>
      <c r="V985" s="67"/>
    </row>
    <row r="986">
      <c r="A986" s="66"/>
      <c r="B986" s="66"/>
      <c r="C986" s="66"/>
      <c r="D986" s="66"/>
      <c r="G986" s="67"/>
      <c r="V986" s="67"/>
    </row>
    <row r="987">
      <c r="A987" s="66"/>
      <c r="B987" s="66"/>
      <c r="C987" s="66"/>
      <c r="D987" s="66"/>
      <c r="G987" s="67"/>
      <c r="V987" s="67"/>
    </row>
    <row r="988">
      <c r="A988" s="66"/>
      <c r="B988" s="66"/>
      <c r="C988" s="66"/>
      <c r="D988" s="66"/>
      <c r="G988" s="67"/>
      <c r="V988" s="67"/>
    </row>
    <row r="989">
      <c r="A989" s="66"/>
      <c r="B989" s="66"/>
      <c r="C989" s="66"/>
      <c r="D989" s="66"/>
      <c r="G989" s="67"/>
      <c r="V989" s="67"/>
    </row>
    <row r="990">
      <c r="A990" s="66"/>
      <c r="B990" s="66"/>
      <c r="C990" s="66"/>
      <c r="D990" s="66"/>
      <c r="G990" s="67"/>
      <c r="V990" s="67"/>
    </row>
    <row r="991">
      <c r="A991" s="66"/>
      <c r="B991" s="66"/>
      <c r="C991" s="66"/>
      <c r="D991" s="66"/>
      <c r="G991" s="67"/>
      <c r="V991" s="67"/>
    </row>
    <row r="992">
      <c r="A992" s="66"/>
      <c r="B992" s="66"/>
      <c r="C992" s="66"/>
      <c r="D992" s="66"/>
      <c r="G992" s="67"/>
      <c r="V992" s="67"/>
    </row>
    <row r="993">
      <c r="A993" s="66"/>
      <c r="B993" s="66"/>
      <c r="C993" s="66"/>
      <c r="D993" s="66"/>
      <c r="G993" s="67"/>
      <c r="V993" s="67"/>
    </row>
    <row r="994">
      <c r="A994" s="66"/>
      <c r="B994" s="66"/>
      <c r="C994" s="66"/>
      <c r="D994" s="66"/>
      <c r="G994" s="67"/>
      <c r="V994" s="67"/>
    </row>
    <row r="995">
      <c r="A995" s="66"/>
      <c r="B995" s="66"/>
      <c r="C995" s="66"/>
      <c r="D995" s="66"/>
      <c r="G995" s="67"/>
      <c r="V995" s="67"/>
    </row>
    <row r="996">
      <c r="A996" s="66"/>
      <c r="B996" s="66"/>
      <c r="C996" s="66"/>
      <c r="D996" s="66"/>
      <c r="G996" s="67"/>
      <c r="V996" s="67"/>
    </row>
    <row r="997">
      <c r="A997" s="66"/>
      <c r="B997" s="66"/>
      <c r="C997" s="66"/>
      <c r="D997" s="66"/>
      <c r="G997" s="67"/>
      <c r="V997" s="67"/>
    </row>
    <row r="998">
      <c r="A998" s="66"/>
      <c r="B998" s="66"/>
      <c r="C998" s="66"/>
      <c r="D998" s="66"/>
      <c r="G998" s="67"/>
      <c r="V998" s="67"/>
    </row>
    <row r="999">
      <c r="A999" s="66"/>
      <c r="B999" s="66"/>
      <c r="C999" s="66"/>
      <c r="D999" s="66"/>
      <c r="G999" s="67"/>
      <c r="V999" s="67"/>
    </row>
    <row r="1000">
      <c r="A1000" s="66"/>
      <c r="B1000" s="66"/>
      <c r="C1000" s="66"/>
      <c r="D1000" s="66"/>
      <c r="G1000" s="67"/>
      <c r="V1000" s="67"/>
    </row>
    <row r="1001">
      <c r="A1001" s="66"/>
      <c r="B1001" s="66"/>
      <c r="C1001" s="66"/>
      <c r="D1001" s="66"/>
      <c r="G1001" s="67"/>
      <c r="V1001" s="67"/>
    </row>
  </sheetData>
  <mergeCells count="4">
    <mergeCell ref="A1:D1"/>
    <mergeCell ref="F1:M1"/>
    <mergeCell ref="O1:T1"/>
    <mergeCell ref="V1:AB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15.0"/>
    <col customWidth="1" min="3" max="3" width="15.38"/>
    <col customWidth="1" min="4" max="4" width="174.75"/>
    <col customWidth="1" min="6" max="6" width="5.0"/>
    <col customWidth="1" min="7" max="7" width="15.63"/>
    <col customWidth="1" min="8" max="8" width="44.13"/>
    <col customWidth="1" min="15" max="15" width="14.75"/>
    <col customWidth="1" min="16" max="16" width="21.38"/>
    <col customWidth="1" min="17" max="17" width="104.75"/>
    <col customWidth="1" min="18" max="18" width="43.38"/>
    <col customWidth="1" min="22" max="22" width="5.0"/>
    <col customWidth="1" min="23" max="23" width="26.38"/>
    <col customWidth="1" min="24" max="24" width="117.25"/>
    <col customWidth="1" min="25" max="25" width="74.63"/>
    <col customWidth="1" min="26" max="26" width="12.13"/>
    <col customWidth="1" min="27" max="27" width="11.13"/>
    <col customWidth="1" min="28" max="28" width="46.13"/>
  </cols>
  <sheetData>
    <row r="1">
      <c r="A1" s="1" t="s">
        <v>0</v>
      </c>
      <c r="B1" s="2"/>
      <c r="C1" s="2"/>
      <c r="D1" s="3"/>
      <c r="F1" s="4" t="s">
        <v>1</v>
      </c>
      <c r="G1" s="2"/>
      <c r="H1" s="2"/>
      <c r="I1" s="2"/>
      <c r="J1" s="2"/>
      <c r="K1" s="2"/>
      <c r="L1" s="2"/>
      <c r="M1" s="3"/>
      <c r="O1" s="5" t="s">
        <v>2</v>
      </c>
      <c r="P1" s="2"/>
      <c r="Q1" s="2"/>
      <c r="R1" s="2"/>
      <c r="S1" s="2"/>
      <c r="T1" s="3"/>
      <c r="V1" s="5" t="s">
        <v>3</v>
      </c>
      <c r="W1" s="2"/>
      <c r="X1" s="2"/>
      <c r="Y1" s="2"/>
      <c r="Z1" s="2"/>
      <c r="AA1" s="2"/>
      <c r="AB1" s="3"/>
    </row>
    <row r="2">
      <c r="A2" s="6" t="s">
        <v>4</v>
      </c>
      <c r="B2" s="6" t="s">
        <v>5</v>
      </c>
      <c r="C2" s="6" t="s">
        <v>6</v>
      </c>
      <c r="D2" s="6" t="s">
        <v>8</v>
      </c>
      <c r="F2" s="8" t="s">
        <v>4</v>
      </c>
      <c r="G2" s="9" t="s">
        <v>9</v>
      </c>
      <c r="H2" s="8" t="s">
        <v>11</v>
      </c>
      <c r="I2" s="8" t="s">
        <v>12</v>
      </c>
      <c r="J2" s="8" t="s">
        <v>13</v>
      </c>
      <c r="K2" s="8" t="s">
        <v>14</v>
      </c>
      <c r="L2" s="8" t="s">
        <v>15</v>
      </c>
      <c r="M2" s="8" t="s">
        <v>16</v>
      </c>
      <c r="O2" s="10" t="s">
        <v>17</v>
      </c>
      <c r="P2" s="10"/>
      <c r="Q2" s="10"/>
      <c r="R2" s="10"/>
      <c r="S2" s="12" t="s">
        <v>24</v>
      </c>
      <c r="T2" s="12" t="s">
        <v>25</v>
      </c>
      <c r="V2" s="10" t="s">
        <v>4</v>
      </c>
      <c r="W2" s="10" t="s">
        <v>26</v>
      </c>
      <c r="X2" s="10" t="s">
        <v>20</v>
      </c>
      <c r="Y2" s="10" t="s">
        <v>22</v>
      </c>
      <c r="Z2" s="12" t="s">
        <v>24</v>
      </c>
      <c r="AA2" s="12" t="s">
        <v>25</v>
      </c>
      <c r="AB2" s="12" t="s">
        <v>27</v>
      </c>
    </row>
    <row r="3">
      <c r="A3" s="13">
        <v>1.0</v>
      </c>
      <c r="B3" s="13">
        <v>1.0</v>
      </c>
      <c r="C3" s="13">
        <v>12.0</v>
      </c>
      <c r="D3" s="14" t="s">
        <v>938</v>
      </c>
      <c r="F3" s="15">
        <v>1.0</v>
      </c>
      <c r="G3" s="16">
        <v>2.0</v>
      </c>
      <c r="H3" s="15" t="s">
        <v>939</v>
      </c>
      <c r="I3" s="15">
        <v>2.0</v>
      </c>
      <c r="J3" s="15" t="s">
        <v>42</v>
      </c>
      <c r="K3" s="15" t="s">
        <v>42</v>
      </c>
      <c r="L3" s="15" t="s">
        <v>42</v>
      </c>
      <c r="M3" s="15" t="s">
        <v>42</v>
      </c>
      <c r="O3" s="17">
        <v>1.0</v>
      </c>
      <c r="P3" s="18" t="s">
        <v>940</v>
      </c>
      <c r="Q3" s="19" t="s">
        <v>941</v>
      </c>
      <c r="R3" s="20" t="s">
        <v>942</v>
      </c>
      <c r="S3" s="21">
        <v>12.0</v>
      </c>
      <c r="T3" s="21">
        <v>2.0</v>
      </c>
      <c r="V3" s="22">
        <v>1.0</v>
      </c>
      <c r="W3" s="24" t="s">
        <v>939</v>
      </c>
      <c r="X3" s="25" t="s">
        <v>943</v>
      </c>
      <c r="Y3" s="25" t="s">
        <v>944</v>
      </c>
      <c r="Z3" s="22">
        <v>6.0</v>
      </c>
      <c r="AA3" s="22">
        <v>1.0</v>
      </c>
      <c r="AB3" s="103" t="s">
        <v>945</v>
      </c>
    </row>
    <row r="4">
      <c r="A4" s="27">
        <v>2.0</v>
      </c>
      <c r="B4" s="28">
        <v>2.0</v>
      </c>
      <c r="C4" s="27">
        <v>24.0</v>
      </c>
      <c r="D4" s="28" t="s">
        <v>946</v>
      </c>
      <c r="F4" s="29">
        <v>2.0</v>
      </c>
      <c r="G4" s="30">
        <v>2.0</v>
      </c>
      <c r="H4" s="29" t="s">
        <v>947</v>
      </c>
      <c r="I4" s="29">
        <v>3.0</v>
      </c>
      <c r="J4" s="29" t="s">
        <v>42</v>
      </c>
      <c r="K4" s="29" t="s">
        <v>42</v>
      </c>
      <c r="L4" s="29" t="s">
        <v>42</v>
      </c>
      <c r="M4" s="29" t="s">
        <v>42</v>
      </c>
      <c r="O4" s="31"/>
      <c r="P4" s="32" t="s">
        <v>948</v>
      </c>
      <c r="Q4" s="33" t="s">
        <v>949</v>
      </c>
      <c r="R4" s="34" t="s">
        <v>372</v>
      </c>
      <c r="S4" s="35">
        <v>0.0</v>
      </c>
      <c r="T4" s="35">
        <v>0.0</v>
      </c>
      <c r="V4" s="36">
        <v>2.0</v>
      </c>
      <c r="W4" s="37" t="s">
        <v>947</v>
      </c>
      <c r="X4" s="38" t="s">
        <v>950</v>
      </c>
      <c r="Y4" s="38" t="s">
        <v>942</v>
      </c>
      <c r="Z4" s="36">
        <v>12.0</v>
      </c>
      <c r="AA4" s="36">
        <v>2.0</v>
      </c>
      <c r="AB4" s="103" t="s">
        <v>951</v>
      </c>
    </row>
    <row r="5">
      <c r="A5" s="13">
        <v>3.0</v>
      </c>
      <c r="B5" s="14">
        <v>3.0</v>
      </c>
      <c r="C5" s="13">
        <v>30.0</v>
      </c>
      <c r="D5" s="14" t="s">
        <v>952</v>
      </c>
      <c r="F5" s="15">
        <v>3.0</v>
      </c>
      <c r="G5" s="16">
        <v>2.0</v>
      </c>
      <c r="H5" s="15" t="s">
        <v>953</v>
      </c>
      <c r="I5" s="15">
        <v>4.0</v>
      </c>
      <c r="J5" s="15">
        <v>2.0</v>
      </c>
      <c r="K5" s="15" t="s">
        <v>42</v>
      </c>
      <c r="L5" s="15" t="s">
        <v>42</v>
      </c>
      <c r="M5" s="15" t="s">
        <v>42</v>
      </c>
      <c r="O5" s="31"/>
      <c r="P5" s="32" t="s">
        <v>66</v>
      </c>
      <c r="Q5" s="33" t="s">
        <v>954</v>
      </c>
      <c r="R5" s="34" t="s">
        <v>955</v>
      </c>
      <c r="S5" s="35">
        <v>8.0</v>
      </c>
      <c r="T5" s="35">
        <v>1.0</v>
      </c>
      <c r="V5" s="39">
        <v>3.0</v>
      </c>
      <c r="W5" s="40" t="s">
        <v>953</v>
      </c>
      <c r="X5" s="41" t="s">
        <v>956</v>
      </c>
      <c r="Y5" s="41" t="s">
        <v>957</v>
      </c>
      <c r="Z5" s="39">
        <v>6.0</v>
      </c>
      <c r="AA5" s="39">
        <v>1.0</v>
      </c>
      <c r="AB5" s="103" t="s">
        <v>958</v>
      </c>
    </row>
    <row r="6">
      <c r="A6" s="27">
        <v>4.0</v>
      </c>
      <c r="B6" s="28">
        <v>4.0</v>
      </c>
      <c r="C6" s="27">
        <v>46.0</v>
      </c>
      <c r="D6" s="28" t="s">
        <v>959</v>
      </c>
      <c r="F6" s="29">
        <v>4.0</v>
      </c>
      <c r="G6" s="30">
        <v>2.0</v>
      </c>
      <c r="H6" s="29" t="s">
        <v>76</v>
      </c>
      <c r="I6" s="29">
        <v>4.0</v>
      </c>
      <c r="J6" s="29">
        <v>2.0</v>
      </c>
      <c r="K6" s="29" t="s">
        <v>42</v>
      </c>
      <c r="L6" s="29" t="s">
        <v>42</v>
      </c>
      <c r="M6" s="29" t="s">
        <v>42</v>
      </c>
      <c r="O6" s="31"/>
      <c r="P6" s="32" t="s">
        <v>749</v>
      </c>
      <c r="Q6" s="33" t="s">
        <v>960</v>
      </c>
      <c r="R6" s="34" t="s">
        <v>961</v>
      </c>
      <c r="S6" s="35">
        <v>16.0</v>
      </c>
      <c r="T6" s="35">
        <v>2.0</v>
      </c>
      <c r="V6" s="39">
        <v>4.0</v>
      </c>
      <c r="W6" s="40" t="s">
        <v>76</v>
      </c>
      <c r="X6" s="41" t="s">
        <v>116</v>
      </c>
      <c r="Y6" s="41" t="s">
        <v>372</v>
      </c>
      <c r="Z6" s="39">
        <v>0.0</v>
      </c>
      <c r="AA6" s="39">
        <v>0.0</v>
      </c>
      <c r="AB6" s="103" t="s">
        <v>962</v>
      </c>
    </row>
    <row r="7">
      <c r="A7" s="13">
        <v>5.0</v>
      </c>
      <c r="B7" s="14">
        <v>3.0</v>
      </c>
      <c r="C7" s="13">
        <v>52.0</v>
      </c>
      <c r="D7" s="14" t="s">
        <v>963</v>
      </c>
      <c r="F7" s="15">
        <v>5.0</v>
      </c>
      <c r="G7" s="16">
        <v>3.0</v>
      </c>
      <c r="H7" s="15" t="s">
        <v>964</v>
      </c>
      <c r="I7" s="15">
        <v>4.0</v>
      </c>
      <c r="J7" s="15">
        <v>3.0</v>
      </c>
      <c r="K7" s="15" t="s">
        <v>42</v>
      </c>
      <c r="L7" s="15" t="s">
        <v>42</v>
      </c>
      <c r="M7" s="15" t="s">
        <v>42</v>
      </c>
      <c r="O7" s="31"/>
      <c r="P7" s="32" t="s">
        <v>965</v>
      </c>
      <c r="Q7" s="33" t="s">
        <v>966</v>
      </c>
      <c r="R7" s="34" t="s">
        <v>967</v>
      </c>
      <c r="S7" s="35">
        <v>10.0</v>
      </c>
      <c r="T7" s="35">
        <v>1.0</v>
      </c>
      <c r="V7" s="22">
        <v>5.0</v>
      </c>
      <c r="W7" s="24" t="s">
        <v>964</v>
      </c>
      <c r="X7" s="25" t="s">
        <v>968</v>
      </c>
      <c r="Y7" s="25" t="s">
        <v>969</v>
      </c>
      <c r="Z7" s="22">
        <v>18.0</v>
      </c>
      <c r="AA7" s="22">
        <v>3.0</v>
      </c>
      <c r="AB7" s="103" t="s">
        <v>970</v>
      </c>
    </row>
    <row r="8">
      <c r="A8" s="27">
        <v>6.0</v>
      </c>
      <c r="B8" s="28">
        <v>4.0</v>
      </c>
      <c r="C8" s="27">
        <v>58.0</v>
      </c>
      <c r="D8" s="28" t="s">
        <v>971</v>
      </c>
      <c r="F8" s="29">
        <v>6.0</v>
      </c>
      <c r="G8" s="30">
        <v>3.0</v>
      </c>
      <c r="H8" s="29" t="s">
        <v>972</v>
      </c>
      <c r="I8" s="29">
        <v>4.0</v>
      </c>
      <c r="J8" s="29">
        <v>3.0</v>
      </c>
      <c r="K8" s="29" t="s">
        <v>42</v>
      </c>
      <c r="L8" s="29" t="s">
        <v>42</v>
      </c>
      <c r="M8" s="29" t="s">
        <v>42</v>
      </c>
      <c r="O8" s="31"/>
      <c r="P8" s="32" t="s">
        <v>533</v>
      </c>
      <c r="Q8" s="33" t="s">
        <v>973</v>
      </c>
      <c r="R8" s="34" t="s">
        <v>974</v>
      </c>
      <c r="S8" s="35">
        <v>4.0</v>
      </c>
      <c r="T8" s="35">
        <v>1.0</v>
      </c>
      <c r="V8" s="36">
        <v>6.0</v>
      </c>
      <c r="W8" s="37" t="s">
        <v>972</v>
      </c>
      <c r="X8" s="38" t="s">
        <v>975</v>
      </c>
      <c r="Y8" s="38" t="s">
        <v>961</v>
      </c>
      <c r="Z8" s="36">
        <v>16.0</v>
      </c>
      <c r="AA8" s="36">
        <v>2.0</v>
      </c>
      <c r="AB8" s="103" t="s">
        <v>976</v>
      </c>
    </row>
    <row r="9">
      <c r="A9" s="13">
        <v>7.0</v>
      </c>
      <c r="B9" s="14">
        <v>4.0</v>
      </c>
      <c r="C9" s="13">
        <v>70.0</v>
      </c>
      <c r="D9" s="14" t="s">
        <v>977</v>
      </c>
      <c r="F9" s="15">
        <v>7.0</v>
      </c>
      <c r="G9" s="16">
        <v>3.0</v>
      </c>
      <c r="H9" s="15" t="s">
        <v>978</v>
      </c>
      <c r="I9" s="15">
        <v>4.0</v>
      </c>
      <c r="J9" s="15">
        <v>3.0</v>
      </c>
      <c r="K9" s="15">
        <v>2.0</v>
      </c>
      <c r="L9" s="15" t="s">
        <v>42</v>
      </c>
      <c r="M9" s="15" t="s">
        <v>42</v>
      </c>
      <c r="O9" s="50">
        <v>2.0</v>
      </c>
      <c r="P9" s="45" t="s">
        <v>764</v>
      </c>
      <c r="Q9" s="46" t="s">
        <v>979</v>
      </c>
      <c r="R9" s="47" t="s">
        <v>980</v>
      </c>
      <c r="S9" s="48">
        <f>3*8</f>
        <v>24</v>
      </c>
      <c r="T9" s="48">
        <v>3.0</v>
      </c>
      <c r="V9" s="39">
        <v>7.0</v>
      </c>
      <c r="W9" s="40" t="s">
        <v>978</v>
      </c>
      <c r="X9" s="41" t="s">
        <v>981</v>
      </c>
      <c r="Y9" s="41" t="s">
        <v>982</v>
      </c>
      <c r="Z9" s="39" t="s">
        <v>983</v>
      </c>
      <c r="AA9" s="39">
        <v>4.0</v>
      </c>
      <c r="AB9" s="103" t="s">
        <v>984</v>
      </c>
    </row>
    <row r="10">
      <c r="A10" s="27">
        <v>8.0</v>
      </c>
      <c r="B10" s="28">
        <v>4.0</v>
      </c>
      <c r="C10" s="27">
        <v>80.0</v>
      </c>
      <c r="D10" s="28" t="s">
        <v>985</v>
      </c>
      <c r="F10" s="29">
        <v>8.0</v>
      </c>
      <c r="G10" s="30">
        <v>3.0</v>
      </c>
      <c r="H10" s="29" t="s">
        <v>76</v>
      </c>
      <c r="I10" s="29">
        <v>4.0</v>
      </c>
      <c r="J10" s="29">
        <v>3.0</v>
      </c>
      <c r="K10" s="29">
        <v>2.0</v>
      </c>
      <c r="L10" s="29" t="s">
        <v>42</v>
      </c>
      <c r="M10" s="29" t="s">
        <v>42</v>
      </c>
      <c r="O10" s="31"/>
      <c r="P10" s="45" t="s">
        <v>986</v>
      </c>
      <c r="Q10" s="46" t="s">
        <v>987</v>
      </c>
      <c r="R10" s="47" t="s">
        <v>372</v>
      </c>
      <c r="S10" s="48">
        <v>0.0</v>
      </c>
      <c r="T10" s="48">
        <v>0.0</v>
      </c>
      <c r="V10" s="39">
        <v>8.0</v>
      </c>
      <c r="W10" s="40" t="s">
        <v>76</v>
      </c>
      <c r="X10" s="41" t="s">
        <v>116</v>
      </c>
      <c r="Y10" s="41" t="s">
        <v>372</v>
      </c>
      <c r="Z10" s="39">
        <v>0.0</v>
      </c>
      <c r="AA10" s="39">
        <v>0.0</v>
      </c>
      <c r="AB10" s="103" t="s">
        <v>962</v>
      </c>
    </row>
    <row r="11">
      <c r="A11" s="13">
        <v>9.0</v>
      </c>
      <c r="B11" s="14">
        <v>5.0</v>
      </c>
      <c r="C11" s="13">
        <v>106.0</v>
      </c>
      <c r="D11" s="14" t="s">
        <v>988</v>
      </c>
      <c r="F11" s="15">
        <v>9.0</v>
      </c>
      <c r="G11" s="16">
        <v>4.0</v>
      </c>
      <c r="H11" s="15" t="s">
        <v>989</v>
      </c>
      <c r="I11" s="15">
        <v>4.0</v>
      </c>
      <c r="J11" s="15">
        <v>3.0</v>
      </c>
      <c r="K11" s="15">
        <v>3.0</v>
      </c>
      <c r="L11" s="15" t="s">
        <v>42</v>
      </c>
      <c r="M11" s="15" t="s">
        <v>42</v>
      </c>
      <c r="O11" s="31"/>
      <c r="P11" s="45" t="s">
        <v>990</v>
      </c>
      <c r="Q11" s="46" t="s">
        <v>991</v>
      </c>
      <c r="R11" s="47" t="s">
        <v>678</v>
      </c>
      <c r="S11" s="48">
        <v>12.0</v>
      </c>
      <c r="T11" s="48">
        <v>0.0</v>
      </c>
      <c r="V11" s="22">
        <v>9.0</v>
      </c>
      <c r="W11" s="24" t="s">
        <v>989</v>
      </c>
      <c r="X11" s="25" t="s">
        <v>992</v>
      </c>
      <c r="Y11" s="25" t="s">
        <v>993</v>
      </c>
      <c r="Z11" s="22">
        <v>30.0</v>
      </c>
      <c r="AA11" s="22">
        <v>5.0</v>
      </c>
      <c r="AB11" s="103" t="s">
        <v>994</v>
      </c>
    </row>
    <row r="12">
      <c r="A12" s="27">
        <v>10.0</v>
      </c>
      <c r="B12" s="28">
        <v>6.0</v>
      </c>
      <c r="C12" s="27">
        <v>132.0</v>
      </c>
      <c r="D12" s="28" t="s">
        <v>995</v>
      </c>
      <c r="F12" s="29">
        <v>10.0</v>
      </c>
      <c r="G12" s="30">
        <v>4.0</v>
      </c>
      <c r="H12" s="29" t="s">
        <v>996</v>
      </c>
      <c r="I12" s="29">
        <v>4.0</v>
      </c>
      <c r="J12" s="29">
        <v>3.0</v>
      </c>
      <c r="K12" s="29">
        <v>3.0</v>
      </c>
      <c r="L12" s="29" t="s">
        <v>42</v>
      </c>
      <c r="M12" s="29" t="s">
        <v>42</v>
      </c>
      <c r="O12" s="31"/>
      <c r="P12" s="45" t="s">
        <v>997</v>
      </c>
      <c r="Q12" s="46" t="s">
        <v>998</v>
      </c>
      <c r="R12" s="47" t="s">
        <v>969</v>
      </c>
      <c r="S12" s="48">
        <f>3*6</f>
        <v>18</v>
      </c>
      <c r="T12" s="48">
        <v>3.0</v>
      </c>
      <c r="V12" s="36">
        <v>10.0</v>
      </c>
      <c r="W12" s="37" t="s">
        <v>996</v>
      </c>
      <c r="X12" s="38" t="s">
        <v>999</v>
      </c>
      <c r="Y12" s="38" t="s">
        <v>1000</v>
      </c>
      <c r="Z12" s="36">
        <v>12.0</v>
      </c>
      <c r="AA12" s="36">
        <v>2.0</v>
      </c>
      <c r="AB12" s="103" t="s">
        <v>1001</v>
      </c>
    </row>
    <row r="13">
      <c r="A13" s="13">
        <v>11.0</v>
      </c>
      <c r="B13" s="14">
        <v>6.0</v>
      </c>
      <c r="C13" s="13">
        <v>148.0</v>
      </c>
      <c r="D13" s="14" t="s">
        <v>1002</v>
      </c>
      <c r="F13" s="15">
        <v>11.0</v>
      </c>
      <c r="G13" s="16">
        <v>4.0</v>
      </c>
      <c r="H13" s="15" t="s">
        <v>1003</v>
      </c>
      <c r="I13" s="15">
        <v>4.0</v>
      </c>
      <c r="J13" s="15">
        <v>3.0</v>
      </c>
      <c r="K13" s="15">
        <v>3.0</v>
      </c>
      <c r="L13" s="15">
        <v>1.0</v>
      </c>
      <c r="M13" s="15" t="s">
        <v>42</v>
      </c>
      <c r="O13" s="31"/>
      <c r="P13" s="45" t="s">
        <v>1004</v>
      </c>
      <c r="Q13" s="46" t="s">
        <v>1005</v>
      </c>
      <c r="R13" s="47" t="s">
        <v>372</v>
      </c>
      <c r="S13" s="48">
        <v>0.0</v>
      </c>
      <c r="T13" s="48">
        <v>0.0</v>
      </c>
      <c r="V13" s="39">
        <v>11.0</v>
      </c>
      <c r="W13" s="40" t="s">
        <v>1003</v>
      </c>
      <c r="X13" s="41" t="s">
        <v>1006</v>
      </c>
      <c r="Y13" s="41" t="s">
        <v>1007</v>
      </c>
      <c r="Z13" s="39">
        <v>36.0</v>
      </c>
      <c r="AA13" s="39">
        <v>6.0</v>
      </c>
      <c r="AB13" s="103" t="s">
        <v>1008</v>
      </c>
    </row>
    <row r="14">
      <c r="A14" s="27">
        <v>12.0</v>
      </c>
      <c r="B14" s="28">
        <v>6.0</v>
      </c>
      <c r="C14" s="27">
        <v>148.0</v>
      </c>
      <c r="D14" s="28" t="s">
        <v>1002</v>
      </c>
      <c r="F14" s="29">
        <v>12.0</v>
      </c>
      <c r="G14" s="30">
        <v>4.0</v>
      </c>
      <c r="H14" s="29" t="s">
        <v>76</v>
      </c>
      <c r="I14" s="29">
        <v>4.0</v>
      </c>
      <c r="J14" s="29">
        <v>3.0</v>
      </c>
      <c r="K14" s="29">
        <v>3.0</v>
      </c>
      <c r="L14" s="29">
        <v>1.0</v>
      </c>
      <c r="M14" s="29" t="s">
        <v>42</v>
      </c>
      <c r="O14" s="53">
        <v>3.0</v>
      </c>
      <c r="P14" s="32" t="s">
        <v>1009</v>
      </c>
      <c r="Q14" s="33" t="s">
        <v>1010</v>
      </c>
      <c r="R14" s="34" t="s">
        <v>1011</v>
      </c>
      <c r="S14" s="35">
        <f>4*6</f>
        <v>24</v>
      </c>
      <c r="T14" s="35">
        <v>0.0</v>
      </c>
      <c r="V14" s="39">
        <v>12.0</v>
      </c>
      <c r="W14" s="40" t="s">
        <v>76</v>
      </c>
      <c r="X14" s="41" t="s">
        <v>116</v>
      </c>
      <c r="Y14" s="41" t="s">
        <v>372</v>
      </c>
      <c r="Z14" s="39">
        <v>0.0</v>
      </c>
      <c r="AA14" s="39">
        <v>0.0</v>
      </c>
      <c r="AB14" s="103" t="s">
        <v>962</v>
      </c>
    </row>
    <row r="15">
      <c r="A15" s="13">
        <v>13.0</v>
      </c>
      <c r="B15" s="14">
        <v>7.0</v>
      </c>
      <c r="C15" s="13">
        <v>180.0</v>
      </c>
      <c r="D15" s="14" t="s">
        <v>1012</v>
      </c>
      <c r="F15" s="15">
        <v>13.0</v>
      </c>
      <c r="G15" s="16">
        <v>5.0</v>
      </c>
      <c r="H15" s="15" t="s">
        <v>1013</v>
      </c>
      <c r="I15" s="15">
        <v>4.0</v>
      </c>
      <c r="J15" s="15">
        <v>3.0</v>
      </c>
      <c r="K15" s="15">
        <v>3.0</v>
      </c>
      <c r="L15" s="15">
        <v>1.0</v>
      </c>
      <c r="M15" s="15" t="s">
        <v>42</v>
      </c>
      <c r="O15" s="31"/>
      <c r="P15" s="32" t="s">
        <v>1014</v>
      </c>
      <c r="Q15" s="33" t="s">
        <v>1015</v>
      </c>
      <c r="R15" s="34" t="s">
        <v>372</v>
      </c>
      <c r="S15" s="35">
        <v>0.0</v>
      </c>
      <c r="T15" s="35">
        <v>0.0</v>
      </c>
      <c r="V15" s="22">
        <v>13.0</v>
      </c>
      <c r="W15" s="24" t="s">
        <v>1013</v>
      </c>
      <c r="X15" s="25" t="s">
        <v>1016</v>
      </c>
      <c r="Y15" s="25" t="s">
        <v>372</v>
      </c>
      <c r="Z15" s="22">
        <v>0.0</v>
      </c>
      <c r="AA15" s="22">
        <v>0.0</v>
      </c>
      <c r="AB15" s="103" t="s">
        <v>1017</v>
      </c>
    </row>
    <row r="16">
      <c r="A16" s="27">
        <v>14.0</v>
      </c>
      <c r="B16" s="28">
        <v>7.0</v>
      </c>
      <c r="C16" s="27">
        <v>204.0</v>
      </c>
      <c r="D16" s="28" t="s">
        <v>1018</v>
      </c>
      <c r="F16" s="29">
        <v>14.0</v>
      </c>
      <c r="G16" s="30">
        <v>5.0</v>
      </c>
      <c r="H16" s="29" t="s">
        <v>1019</v>
      </c>
      <c r="I16" s="29">
        <v>4.0</v>
      </c>
      <c r="J16" s="29">
        <v>3.0</v>
      </c>
      <c r="K16" s="29">
        <v>3.0</v>
      </c>
      <c r="L16" s="29">
        <v>2.0</v>
      </c>
      <c r="M16" s="29" t="s">
        <v>42</v>
      </c>
      <c r="O16" s="31"/>
      <c r="P16" s="32" t="s">
        <v>1020</v>
      </c>
      <c r="Q16" s="33" t="s">
        <v>1021</v>
      </c>
      <c r="R16" s="34" t="s">
        <v>1022</v>
      </c>
      <c r="S16" s="35">
        <f>3*8</f>
        <v>24</v>
      </c>
      <c r="T16" s="35">
        <v>0.0</v>
      </c>
      <c r="V16" s="36">
        <v>14.0</v>
      </c>
      <c r="W16" s="37" t="s">
        <v>1019</v>
      </c>
      <c r="X16" s="38" t="s">
        <v>1023</v>
      </c>
      <c r="Y16" s="38" t="s">
        <v>372</v>
      </c>
      <c r="Z16" s="36">
        <v>0.0</v>
      </c>
      <c r="AA16" s="36">
        <v>0.0</v>
      </c>
      <c r="AB16" s="103" t="s">
        <v>962</v>
      </c>
    </row>
    <row r="17">
      <c r="A17" s="13">
        <v>15.0</v>
      </c>
      <c r="B17" s="14">
        <v>8.0</v>
      </c>
      <c r="C17" s="13">
        <v>244.0</v>
      </c>
      <c r="D17" s="14" t="s">
        <v>1024</v>
      </c>
      <c r="F17" s="15">
        <v>15.0</v>
      </c>
      <c r="G17" s="16">
        <v>5.0</v>
      </c>
      <c r="H17" s="15" t="s">
        <v>1025</v>
      </c>
      <c r="I17" s="15">
        <v>4.0</v>
      </c>
      <c r="J17" s="15">
        <v>3.0</v>
      </c>
      <c r="K17" s="15">
        <v>3.0</v>
      </c>
      <c r="L17" s="15">
        <v>2.0</v>
      </c>
      <c r="M17" s="15">
        <v>1.0</v>
      </c>
      <c r="O17" s="31"/>
      <c r="P17" s="32" t="s">
        <v>1026</v>
      </c>
      <c r="Q17" s="33" t="s">
        <v>1027</v>
      </c>
      <c r="R17" s="34" t="s">
        <v>969</v>
      </c>
      <c r="S17" s="35">
        <f>3*6</f>
        <v>18</v>
      </c>
      <c r="T17" s="35">
        <v>0.0</v>
      </c>
      <c r="V17" s="39">
        <v>15.0</v>
      </c>
      <c r="W17" s="40" t="s">
        <v>1025</v>
      </c>
      <c r="X17" s="41" t="s">
        <v>1028</v>
      </c>
      <c r="Y17" s="41" t="s">
        <v>1029</v>
      </c>
      <c r="Z17" s="39">
        <v>48.0</v>
      </c>
      <c r="AA17" s="39">
        <v>8.0</v>
      </c>
      <c r="AB17" s="103" t="s">
        <v>1030</v>
      </c>
    </row>
    <row r="18">
      <c r="A18" s="27">
        <v>16.0</v>
      </c>
      <c r="B18" s="28">
        <v>8.0</v>
      </c>
      <c r="C18" s="27">
        <v>264.0</v>
      </c>
      <c r="D18" s="28" t="s">
        <v>1031</v>
      </c>
      <c r="F18" s="29">
        <v>16.0</v>
      </c>
      <c r="G18" s="30">
        <v>5.0</v>
      </c>
      <c r="H18" s="29" t="s">
        <v>76</v>
      </c>
      <c r="I18" s="29">
        <v>4.0</v>
      </c>
      <c r="J18" s="29">
        <v>3.0</v>
      </c>
      <c r="K18" s="29">
        <v>3.0</v>
      </c>
      <c r="L18" s="29">
        <v>2.0</v>
      </c>
      <c r="M18" s="29">
        <v>1.0</v>
      </c>
      <c r="O18" s="31"/>
      <c r="P18" s="32" t="s">
        <v>1032</v>
      </c>
      <c r="Q18" s="33" t="s">
        <v>1033</v>
      </c>
      <c r="R18" s="34" t="s">
        <v>372</v>
      </c>
      <c r="S18" s="35">
        <v>0.0</v>
      </c>
      <c r="T18" s="35">
        <v>0.0</v>
      </c>
      <c r="V18" s="39">
        <v>16.0</v>
      </c>
      <c r="W18" s="40" t="s">
        <v>76</v>
      </c>
      <c r="X18" s="41" t="s">
        <v>116</v>
      </c>
      <c r="Y18" s="41" t="s">
        <v>372</v>
      </c>
      <c r="Z18" s="39">
        <v>0.0</v>
      </c>
      <c r="AA18" s="39">
        <v>0.0</v>
      </c>
      <c r="AB18" s="103" t="s">
        <v>962</v>
      </c>
    </row>
    <row r="19">
      <c r="A19" s="13">
        <v>17.0</v>
      </c>
      <c r="B19" s="14">
        <v>8.0</v>
      </c>
      <c r="C19" s="13">
        <v>280.0</v>
      </c>
      <c r="D19" s="14" t="s">
        <v>1034</v>
      </c>
      <c r="F19" s="15">
        <v>17.0</v>
      </c>
      <c r="G19" s="16">
        <v>6.0</v>
      </c>
      <c r="H19" s="15" t="s">
        <v>1035</v>
      </c>
      <c r="I19" s="15">
        <v>4.0</v>
      </c>
      <c r="J19" s="15">
        <v>3.0</v>
      </c>
      <c r="K19" s="15">
        <v>3.0</v>
      </c>
      <c r="L19" s="15">
        <v>2.0</v>
      </c>
      <c r="M19" s="15">
        <v>1.0</v>
      </c>
      <c r="O19" s="50">
        <v>4.0</v>
      </c>
      <c r="P19" s="45" t="s">
        <v>1036</v>
      </c>
      <c r="Q19" s="46" t="s">
        <v>1037</v>
      </c>
      <c r="R19" s="47" t="s">
        <v>1038</v>
      </c>
      <c r="S19" s="48">
        <f>4*8</f>
        <v>32</v>
      </c>
      <c r="T19" s="48">
        <v>4.0</v>
      </c>
      <c r="V19" s="22">
        <v>17.0</v>
      </c>
      <c r="W19" s="24" t="s">
        <v>1035</v>
      </c>
      <c r="X19" s="25" t="s">
        <v>1039</v>
      </c>
      <c r="Y19" s="25" t="s">
        <v>1040</v>
      </c>
      <c r="Z19" s="22">
        <v>12.0</v>
      </c>
      <c r="AA19" s="22">
        <v>2.0</v>
      </c>
      <c r="AB19" s="103" t="s">
        <v>1041</v>
      </c>
    </row>
    <row r="20">
      <c r="A20" s="27">
        <v>18.0</v>
      </c>
      <c r="B20" s="28">
        <v>10.0</v>
      </c>
      <c r="C20" s="27">
        <v>340.0</v>
      </c>
      <c r="D20" s="28" t="s">
        <v>1042</v>
      </c>
      <c r="F20" s="29">
        <v>18.0</v>
      </c>
      <c r="G20" s="30">
        <v>6.0</v>
      </c>
      <c r="H20" s="29" t="s">
        <v>1043</v>
      </c>
      <c r="I20" s="29">
        <v>4.0</v>
      </c>
      <c r="J20" s="29">
        <v>3.0</v>
      </c>
      <c r="K20" s="29">
        <v>3.0</v>
      </c>
      <c r="L20" s="29">
        <v>3.0</v>
      </c>
      <c r="M20" s="29">
        <v>2.0</v>
      </c>
      <c r="O20" s="31"/>
      <c r="P20" s="45" t="s">
        <v>1044</v>
      </c>
      <c r="Q20" s="46" t="s">
        <v>1045</v>
      </c>
      <c r="R20" s="47" t="s">
        <v>700</v>
      </c>
      <c r="S20" s="48">
        <f t="shared" ref="S20:S21" si="1">5*6</f>
        <v>30</v>
      </c>
      <c r="T20" s="48">
        <v>5.0</v>
      </c>
      <c r="V20" s="36">
        <v>18.0</v>
      </c>
      <c r="W20" s="37" t="s">
        <v>1043</v>
      </c>
      <c r="X20" s="38" t="s">
        <v>1046</v>
      </c>
      <c r="Y20" s="38" t="s">
        <v>1047</v>
      </c>
      <c r="Z20" s="36">
        <v>60.0</v>
      </c>
      <c r="AA20" s="36">
        <v>10.0</v>
      </c>
      <c r="AB20" s="103" t="s">
        <v>1048</v>
      </c>
    </row>
    <row r="21">
      <c r="A21" s="13">
        <v>19.0</v>
      </c>
      <c r="B21" s="14">
        <v>10.0</v>
      </c>
      <c r="C21" s="13">
        <v>340.0</v>
      </c>
      <c r="D21" s="14" t="s">
        <v>1042</v>
      </c>
      <c r="F21" s="15">
        <v>19.0</v>
      </c>
      <c r="G21" s="16">
        <v>6.0</v>
      </c>
      <c r="H21" s="15" t="s">
        <v>76</v>
      </c>
      <c r="I21" s="15">
        <v>4.0</v>
      </c>
      <c r="J21" s="15">
        <v>3.0</v>
      </c>
      <c r="K21" s="15">
        <v>3.0</v>
      </c>
      <c r="L21" s="15">
        <v>3.0</v>
      </c>
      <c r="M21" s="15">
        <v>2.0</v>
      </c>
      <c r="O21" s="31"/>
      <c r="P21" s="45" t="s">
        <v>1049</v>
      </c>
      <c r="Q21" s="46" t="s">
        <v>1050</v>
      </c>
      <c r="R21" s="47" t="s">
        <v>993</v>
      </c>
      <c r="S21" s="48">
        <f t="shared" si="1"/>
        <v>30</v>
      </c>
      <c r="T21" s="48">
        <v>5.0</v>
      </c>
      <c r="V21" s="39">
        <v>19.0</v>
      </c>
      <c r="W21" s="40" t="s">
        <v>76</v>
      </c>
      <c r="X21" s="41" t="s">
        <v>116</v>
      </c>
      <c r="Y21" s="41" t="s">
        <v>372</v>
      </c>
      <c r="Z21" s="39">
        <v>0.0</v>
      </c>
      <c r="AA21" s="39">
        <v>0.0</v>
      </c>
      <c r="AB21" s="103" t="s">
        <v>962</v>
      </c>
    </row>
    <row r="22">
      <c r="A22" s="60">
        <v>20.0</v>
      </c>
      <c r="B22" s="60">
        <v>24.0</v>
      </c>
      <c r="C22" s="60">
        <v>412.0</v>
      </c>
      <c r="D22" s="60" t="s">
        <v>1051</v>
      </c>
      <c r="F22" s="62">
        <v>20.0</v>
      </c>
      <c r="G22" s="63">
        <v>6.0</v>
      </c>
      <c r="H22" s="62" t="s">
        <v>1052</v>
      </c>
      <c r="I22" s="62">
        <v>4.0</v>
      </c>
      <c r="J22" s="62">
        <v>3.0</v>
      </c>
      <c r="K22" s="62">
        <v>3.0</v>
      </c>
      <c r="L22" s="62">
        <v>3.0</v>
      </c>
      <c r="M22" s="62">
        <v>2.0</v>
      </c>
      <c r="O22" s="31"/>
      <c r="P22" s="45" t="s">
        <v>1053</v>
      </c>
      <c r="Q22" s="46" t="s">
        <v>1054</v>
      </c>
      <c r="R22" s="47" t="s">
        <v>372</v>
      </c>
      <c r="S22" s="48">
        <v>0.0</v>
      </c>
      <c r="T22" s="48">
        <v>0.0</v>
      </c>
      <c r="V22" s="39">
        <v>20.0</v>
      </c>
      <c r="W22" s="40" t="s">
        <v>1052</v>
      </c>
      <c r="X22" s="41" t="s">
        <v>1055</v>
      </c>
      <c r="Y22" s="41" t="s">
        <v>1056</v>
      </c>
      <c r="Z22" s="39">
        <v>24.0</v>
      </c>
      <c r="AA22" s="39">
        <v>4.0</v>
      </c>
      <c r="AB22" s="103" t="s">
        <v>1057</v>
      </c>
    </row>
    <row r="23">
      <c r="A23" s="66"/>
      <c r="B23" s="66"/>
      <c r="C23" s="66"/>
      <c r="D23" s="66"/>
      <c r="G23" s="67"/>
      <c r="O23" s="31"/>
      <c r="P23" s="45" t="s">
        <v>1058</v>
      </c>
      <c r="Q23" s="46" t="s">
        <v>1059</v>
      </c>
      <c r="R23" s="47" t="s">
        <v>572</v>
      </c>
      <c r="S23" s="48">
        <f>4*6</f>
        <v>24</v>
      </c>
      <c r="T23" s="48">
        <v>4.0</v>
      </c>
      <c r="V23" s="22">
        <v>11.0</v>
      </c>
      <c r="W23" s="24"/>
      <c r="X23" s="25"/>
      <c r="Y23" s="25"/>
      <c r="Z23" s="22"/>
      <c r="AA23" s="22"/>
    </row>
    <row r="24">
      <c r="A24" s="66"/>
      <c r="B24" s="66"/>
      <c r="C24" s="66"/>
      <c r="D24" s="66"/>
      <c r="G24" s="67"/>
      <c r="O24" s="53">
        <v>5.0</v>
      </c>
      <c r="P24" s="32" t="s">
        <v>1060</v>
      </c>
      <c r="Q24" s="33" t="s">
        <v>1061</v>
      </c>
      <c r="R24" s="34" t="s">
        <v>1062</v>
      </c>
      <c r="S24" s="35">
        <f>6*8</f>
        <v>48</v>
      </c>
      <c r="T24" s="35">
        <v>6.0</v>
      </c>
      <c r="V24" s="36"/>
      <c r="W24" s="37"/>
      <c r="X24" s="38"/>
      <c r="Y24" s="38"/>
      <c r="Z24" s="36"/>
      <c r="AA24" s="36"/>
    </row>
    <row r="25">
      <c r="A25" s="66"/>
      <c r="B25" s="66"/>
      <c r="C25" s="66"/>
      <c r="D25" s="66"/>
      <c r="G25" s="67"/>
      <c r="O25" s="31"/>
      <c r="P25" s="32" t="s">
        <v>1063</v>
      </c>
      <c r="Q25" s="33" t="s">
        <v>1064</v>
      </c>
      <c r="R25" s="34" t="s">
        <v>1029</v>
      </c>
      <c r="S25" s="35">
        <f t="shared" ref="S25:S26" si="2">8*6</f>
        <v>48</v>
      </c>
      <c r="T25" s="35">
        <v>8.0</v>
      </c>
      <c r="V25" s="39">
        <v>12.0</v>
      </c>
      <c r="W25" s="40"/>
      <c r="X25" s="41"/>
      <c r="Y25" s="41"/>
      <c r="Z25" s="39"/>
      <c r="AA25" s="39"/>
    </row>
    <row r="26">
      <c r="A26" s="66"/>
      <c r="B26" s="66"/>
      <c r="C26" s="66"/>
      <c r="D26" s="66"/>
      <c r="G26" s="67"/>
      <c r="O26" s="31"/>
      <c r="P26" s="32" t="s">
        <v>1065</v>
      </c>
      <c r="Q26" s="33" t="s">
        <v>1066</v>
      </c>
      <c r="R26" s="34" t="s">
        <v>1029</v>
      </c>
      <c r="S26" s="35">
        <f t="shared" si="2"/>
        <v>48</v>
      </c>
      <c r="T26" s="35">
        <v>8.0</v>
      </c>
      <c r="V26" s="39"/>
      <c r="W26" s="40"/>
      <c r="X26" s="41"/>
      <c r="Y26" s="41"/>
      <c r="Z26" s="39"/>
      <c r="AA26" s="39"/>
    </row>
    <row r="27">
      <c r="A27" s="66"/>
      <c r="B27" s="66"/>
      <c r="C27" s="66"/>
      <c r="D27" s="66"/>
      <c r="G27" s="67"/>
      <c r="O27" s="31"/>
      <c r="P27" s="32" t="s">
        <v>704</v>
      </c>
      <c r="Q27" s="33" t="s">
        <v>1067</v>
      </c>
      <c r="R27" s="34" t="s">
        <v>1068</v>
      </c>
      <c r="S27" s="35">
        <f>16*6+40</f>
        <v>136</v>
      </c>
      <c r="T27" s="35">
        <f>10*1+40</f>
        <v>50</v>
      </c>
      <c r="V27" s="22">
        <v>13.0</v>
      </c>
      <c r="W27" s="24"/>
      <c r="X27" s="25"/>
      <c r="Y27" s="25"/>
      <c r="Z27" s="22"/>
      <c r="AA27" s="22"/>
    </row>
    <row r="28">
      <c r="A28" s="66"/>
      <c r="B28" s="66"/>
      <c r="C28" s="66"/>
      <c r="D28" s="66"/>
      <c r="G28" s="67"/>
      <c r="O28" s="93"/>
      <c r="P28" s="32" t="s">
        <v>1069</v>
      </c>
      <c r="Q28" s="33" t="s">
        <v>1070</v>
      </c>
      <c r="R28" s="34" t="s">
        <v>710</v>
      </c>
      <c r="S28" s="35">
        <f>6*6</f>
        <v>36</v>
      </c>
      <c r="T28" s="35">
        <v>6.0</v>
      </c>
      <c r="V28" s="36"/>
      <c r="W28" s="37"/>
      <c r="X28" s="38"/>
      <c r="Y28" s="38"/>
      <c r="Z28" s="36"/>
      <c r="AA28" s="36"/>
    </row>
    <row r="29">
      <c r="A29" s="66"/>
      <c r="B29" s="66"/>
      <c r="C29" s="66"/>
      <c r="D29" s="66"/>
      <c r="G29" s="67"/>
      <c r="P29" s="77"/>
      <c r="V29" s="39">
        <v>14.0</v>
      </c>
      <c r="W29" s="40"/>
      <c r="X29" s="41"/>
      <c r="Y29" s="41"/>
      <c r="Z29" s="39"/>
      <c r="AA29" s="39"/>
    </row>
    <row r="30">
      <c r="B30" s="66"/>
      <c r="C30" s="66"/>
      <c r="D30" s="66"/>
      <c r="G30" s="67"/>
      <c r="P30" s="76"/>
      <c r="V30" s="39"/>
      <c r="W30" s="40"/>
      <c r="X30" s="41"/>
      <c r="Y30" s="41"/>
      <c r="Z30" s="39"/>
      <c r="AA30" s="39"/>
    </row>
    <row r="31">
      <c r="A31" s="66"/>
      <c r="B31" s="66"/>
      <c r="C31" s="66"/>
      <c r="D31" s="66"/>
      <c r="G31" s="67"/>
      <c r="P31" s="77"/>
      <c r="V31" s="22">
        <v>15.0</v>
      </c>
      <c r="W31" s="24"/>
      <c r="X31" s="25"/>
      <c r="Y31" s="25"/>
      <c r="Z31" s="22"/>
      <c r="AA31" s="22"/>
    </row>
    <row r="32">
      <c r="A32" s="66"/>
      <c r="B32" s="66"/>
      <c r="C32" s="66"/>
      <c r="D32" s="66"/>
      <c r="G32" s="67"/>
      <c r="P32" s="76"/>
      <c r="V32" s="36"/>
      <c r="W32" s="37"/>
      <c r="X32" s="38"/>
      <c r="Y32" s="38"/>
      <c r="Z32" s="36"/>
      <c r="AA32" s="36"/>
    </row>
    <row r="33">
      <c r="A33" s="66"/>
      <c r="B33" s="66"/>
      <c r="C33" s="66"/>
      <c r="D33" s="81"/>
      <c r="G33" s="67"/>
      <c r="P33" s="76"/>
      <c r="R33" s="82"/>
      <c r="V33" s="39">
        <v>16.0</v>
      </c>
      <c r="W33" s="40"/>
      <c r="X33" s="41"/>
      <c r="Y33" s="41"/>
      <c r="Z33" s="39"/>
      <c r="AA33" s="39"/>
    </row>
    <row r="34">
      <c r="A34" s="66"/>
      <c r="B34" s="66"/>
      <c r="C34" s="66"/>
      <c r="D34" s="81"/>
      <c r="G34" s="67"/>
      <c r="P34" s="76"/>
      <c r="R34" s="82"/>
      <c r="V34" s="39"/>
      <c r="W34" s="40"/>
      <c r="X34" s="41"/>
      <c r="Y34" s="41"/>
      <c r="Z34" s="39"/>
      <c r="AA34" s="39"/>
    </row>
    <row r="35">
      <c r="A35" s="66"/>
      <c r="B35" s="66"/>
      <c r="C35" s="66"/>
      <c r="D35" s="66"/>
      <c r="G35" s="67"/>
      <c r="P35" s="76"/>
      <c r="R35" s="82"/>
      <c r="V35" s="22">
        <v>17.0</v>
      </c>
      <c r="W35" s="24"/>
      <c r="X35" s="25"/>
      <c r="Y35" s="25"/>
      <c r="Z35" s="22"/>
      <c r="AA35" s="22"/>
    </row>
    <row r="36">
      <c r="A36" s="66"/>
      <c r="B36" s="66"/>
      <c r="C36" s="66"/>
      <c r="D36" s="66"/>
      <c r="G36" s="67"/>
      <c r="P36" s="77"/>
      <c r="R36" s="82"/>
      <c r="V36" s="36"/>
      <c r="W36" s="37"/>
      <c r="X36" s="38"/>
      <c r="Y36" s="38"/>
      <c r="Z36" s="36"/>
      <c r="AA36" s="36"/>
    </row>
    <row r="37">
      <c r="A37" s="66"/>
      <c r="B37" s="66"/>
      <c r="C37" s="66"/>
      <c r="D37" s="66"/>
      <c r="G37" s="67"/>
      <c r="P37" s="76"/>
      <c r="R37" s="82"/>
      <c r="V37" s="39">
        <v>18.0</v>
      </c>
      <c r="W37" s="40"/>
      <c r="X37" s="41"/>
      <c r="Y37" s="41"/>
      <c r="Z37" s="39"/>
      <c r="AA37" s="39"/>
    </row>
    <row r="38">
      <c r="A38" s="66"/>
      <c r="B38" s="66"/>
      <c r="C38" s="66"/>
      <c r="D38" s="66"/>
      <c r="G38" s="67"/>
      <c r="P38" s="77"/>
      <c r="R38" s="82"/>
      <c r="V38" s="39"/>
      <c r="W38" s="40"/>
      <c r="X38" s="41"/>
      <c r="Y38" s="41"/>
      <c r="Z38" s="39"/>
      <c r="AA38" s="39"/>
    </row>
    <row r="39">
      <c r="A39" s="66"/>
      <c r="C39" s="66"/>
      <c r="D39" s="66"/>
      <c r="G39" s="67"/>
      <c r="R39" s="82"/>
      <c r="V39" s="22">
        <v>19.0</v>
      </c>
      <c r="W39" s="24"/>
      <c r="X39" s="25"/>
      <c r="Y39" s="25"/>
      <c r="Z39" s="22"/>
      <c r="AA39" s="22"/>
    </row>
    <row r="40">
      <c r="A40" s="66"/>
      <c r="B40" s="66"/>
      <c r="C40" s="66"/>
      <c r="D40" s="66"/>
      <c r="G40" s="67"/>
      <c r="P40" s="76"/>
      <c r="R40" s="82"/>
      <c r="V40" s="36"/>
      <c r="W40" s="37"/>
      <c r="X40" s="38"/>
      <c r="Y40" s="38"/>
      <c r="Z40" s="36"/>
      <c r="AA40" s="36"/>
    </row>
    <row r="41">
      <c r="A41" s="66"/>
      <c r="B41" s="66"/>
      <c r="C41" s="66"/>
      <c r="D41" s="66"/>
      <c r="G41" s="67"/>
      <c r="P41" s="76"/>
      <c r="R41" s="82"/>
      <c r="V41" s="39">
        <v>20.0</v>
      </c>
      <c r="W41" s="40"/>
      <c r="X41" s="41"/>
      <c r="Y41" s="41"/>
      <c r="Z41" s="39"/>
      <c r="AA41" s="39"/>
    </row>
    <row r="42">
      <c r="A42" s="66"/>
      <c r="B42" s="66"/>
      <c r="C42" s="66"/>
      <c r="D42" s="66"/>
      <c r="G42" s="67"/>
      <c r="P42" s="76"/>
      <c r="V42" s="39"/>
      <c r="W42" s="40"/>
      <c r="X42" s="41"/>
      <c r="Y42" s="41"/>
      <c r="Z42" s="39"/>
      <c r="AA42" s="39"/>
    </row>
    <row r="43">
      <c r="A43" s="66"/>
      <c r="B43" s="66"/>
      <c r="C43" s="66"/>
      <c r="D43" s="66"/>
      <c r="G43" s="67"/>
      <c r="P43" s="77"/>
    </row>
    <row r="44">
      <c r="A44" s="66"/>
      <c r="B44" s="66"/>
      <c r="C44" s="66"/>
      <c r="D44" s="66"/>
      <c r="G44" s="67"/>
      <c r="P44" s="76"/>
    </row>
    <row r="45">
      <c r="A45" s="66"/>
      <c r="C45" s="66"/>
      <c r="D45" s="66"/>
      <c r="G45" s="67"/>
      <c r="P45" s="77"/>
    </row>
    <row r="46">
      <c r="A46" s="66"/>
      <c r="B46" s="66"/>
      <c r="C46" s="66"/>
      <c r="D46" s="66"/>
      <c r="G46" s="67"/>
    </row>
    <row r="47">
      <c r="A47" s="66"/>
      <c r="B47" s="66"/>
      <c r="C47" s="66"/>
      <c r="D47" s="66"/>
      <c r="G47" s="67"/>
      <c r="P47" s="76"/>
    </row>
    <row r="48">
      <c r="A48" s="66"/>
      <c r="B48" s="66"/>
      <c r="C48" s="66"/>
      <c r="D48" s="66"/>
      <c r="G48" s="67"/>
      <c r="P48" s="76"/>
      <c r="V48" s="67"/>
    </row>
    <row r="49">
      <c r="A49" s="66"/>
      <c r="B49" s="66"/>
      <c r="C49" s="66"/>
      <c r="D49" s="66"/>
      <c r="G49" s="67"/>
      <c r="P49" s="76"/>
      <c r="V49" s="67"/>
    </row>
    <row r="50">
      <c r="A50" s="66"/>
      <c r="B50" s="66"/>
      <c r="C50" s="66"/>
      <c r="D50" s="66"/>
      <c r="G50" s="67"/>
      <c r="P50" s="77"/>
      <c r="V50" s="67"/>
    </row>
    <row r="51">
      <c r="A51" s="66"/>
      <c r="B51" s="66"/>
      <c r="C51" s="66"/>
      <c r="D51" s="66"/>
      <c r="G51" s="67"/>
      <c r="P51" s="76"/>
      <c r="V51" s="67"/>
    </row>
    <row r="52">
      <c r="A52" s="66"/>
      <c r="B52" s="66"/>
      <c r="C52" s="66"/>
      <c r="D52" s="66"/>
      <c r="G52" s="67"/>
      <c r="P52" s="77"/>
      <c r="V52" s="67"/>
    </row>
    <row r="53">
      <c r="A53" s="66"/>
      <c r="B53" s="66"/>
      <c r="C53" s="66"/>
      <c r="D53" s="66"/>
      <c r="G53" s="67"/>
      <c r="V53" s="67"/>
    </row>
    <row r="54">
      <c r="A54" s="66"/>
      <c r="B54" s="66"/>
      <c r="C54" s="66"/>
      <c r="D54" s="66"/>
      <c r="G54" s="67"/>
      <c r="P54" s="76"/>
      <c r="V54" s="67"/>
    </row>
    <row r="55">
      <c r="A55" s="66"/>
      <c r="B55" s="66"/>
      <c r="C55" s="66"/>
      <c r="D55" s="66"/>
      <c r="G55" s="67"/>
      <c r="P55" s="76"/>
      <c r="V55" s="67"/>
    </row>
    <row r="56">
      <c r="A56" s="66"/>
      <c r="B56" s="66"/>
      <c r="C56" s="66"/>
      <c r="D56" s="66"/>
      <c r="G56" s="67"/>
      <c r="P56" s="76"/>
      <c r="V56" s="67"/>
    </row>
    <row r="57">
      <c r="A57" s="66"/>
      <c r="B57" s="66"/>
      <c r="C57" s="66"/>
      <c r="D57" s="66"/>
      <c r="G57" s="67"/>
      <c r="P57" s="77"/>
      <c r="V57" s="67"/>
    </row>
    <row r="58">
      <c r="A58" s="66"/>
      <c r="B58" s="66"/>
      <c r="C58" s="66"/>
      <c r="D58" s="66"/>
      <c r="G58" s="67"/>
      <c r="P58" s="76"/>
      <c r="V58" s="67"/>
    </row>
    <row r="59">
      <c r="A59" s="66"/>
      <c r="B59" s="66"/>
      <c r="C59" s="66"/>
      <c r="D59" s="66"/>
      <c r="G59" s="67"/>
      <c r="P59" s="77"/>
      <c r="V59" s="67"/>
    </row>
    <row r="60">
      <c r="A60" s="66"/>
      <c r="B60" s="66"/>
      <c r="C60" s="66"/>
      <c r="D60" s="66"/>
      <c r="G60" s="67"/>
      <c r="V60" s="67"/>
    </row>
    <row r="61">
      <c r="A61" s="66"/>
      <c r="B61" s="66"/>
      <c r="C61" s="66"/>
      <c r="D61" s="66"/>
      <c r="G61" s="67"/>
      <c r="P61" s="76"/>
      <c r="V61" s="67"/>
    </row>
    <row r="62">
      <c r="A62" s="66"/>
      <c r="B62" s="66"/>
      <c r="C62" s="66"/>
      <c r="D62" s="66"/>
      <c r="G62" s="67"/>
      <c r="P62" s="76"/>
      <c r="V62" s="67"/>
    </row>
    <row r="63">
      <c r="A63" s="66"/>
      <c r="B63" s="66"/>
      <c r="C63" s="66"/>
      <c r="D63" s="66"/>
      <c r="G63" s="67"/>
      <c r="P63" s="76"/>
      <c r="V63" s="67"/>
    </row>
    <row r="64">
      <c r="A64" s="66"/>
      <c r="B64" s="66"/>
      <c r="C64" s="66"/>
      <c r="D64" s="66"/>
      <c r="G64" s="67"/>
      <c r="V64" s="67"/>
    </row>
    <row r="65">
      <c r="A65" s="66"/>
      <c r="B65" s="66"/>
      <c r="C65" s="66"/>
      <c r="D65" s="66"/>
      <c r="G65" s="67"/>
      <c r="V65" s="67"/>
    </row>
    <row r="66">
      <c r="A66" s="66"/>
      <c r="B66" s="66"/>
      <c r="C66" s="66"/>
      <c r="D66" s="66"/>
      <c r="G66" s="67"/>
      <c r="V66" s="67"/>
    </row>
    <row r="67">
      <c r="A67" s="66"/>
      <c r="B67" s="66"/>
      <c r="C67" s="66"/>
      <c r="D67" s="66"/>
      <c r="G67" s="67"/>
      <c r="V67" s="67"/>
    </row>
    <row r="68">
      <c r="A68" s="66"/>
      <c r="B68" s="66"/>
      <c r="C68" s="66"/>
      <c r="D68" s="66"/>
      <c r="G68" s="67"/>
      <c r="V68" s="67"/>
    </row>
    <row r="69">
      <c r="A69" s="66"/>
      <c r="B69" s="66"/>
      <c r="C69" s="66"/>
      <c r="D69" s="66"/>
      <c r="G69" s="67"/>
      <c r="V69" s="67"/>
    </row>
    <row r="70">
      <c r="A70" s="66"/>
      <c r="B70" s="66"/>
      <c r="C70" s="66"/>
      <c r="D70" s="66"/>
      <c r="G70" s="67"/>
      <c r="V70" s="67"/>
    </row>
    <row r="71">
      <c r="A71" s="66"/>
      <c r="B71" s="66"/>
      <c r="C71" s="66"/>
      <c r="D71" s="66"/>
      <c r="G71" s="67"/>
      <c r="V71" s="67"/>
    </row>
    <row r="72">
      <c r="A72" s="66"/>
      <c r="B72" s="66"/>
      <c r="C72" s="66"/>
      <c r="D72" s="66"/>
      <c r="G72" s="67"/>
      <c r="V72" s="67"/>
    </row>
    <row r="73">
      <c r="A73" s="66"/>
      <c r="B73" s="66"/>
      <c r="C73" s="66"/>
      <c r="D73" s="66"/>
      <c r="G73" s="67"/>
      <c r="V73" s="67"/>
    </row>
    <row r="74">
      <c r="A74" s="66"/>
      <c r="B74" s="66"/>
      <c r="C74" s="66"/>
      <c r="D74" s="66"/>
      <c r="G74" s="67"/>
      <c r="V74" s="67"/>
    </row>
    <row r="75">
      <c r="A75" s="66"/>
      <c r="B75" s="66"/>
      <c r="C75" s="66"/>
      <c r="D75" s="66"/>
      <c r="G75" s="67"/>
      <c r="V75" s="67"/>
    </row>
    <row r="76">
      <c r="A76" s="66"/>
      <c r="B76" s="66"/>
      <c r="C76" s="66"/>
      <c r="D76" s="66"/>
      <c r="G76" s="67"/>
      <c r="V76" s="67"/>
    </row>
    <row r="77">
      <c r="A77" s="66"/>
      <c r="B77" s="66"/>
      <c r="C77" s="66"/>
      <c r="D77" s="66"/>
      <c r="G77" s="67"/>
      <c r="V77" s="67"/>
    </row>
    <row r="78">
      <c r="A78" s="66"/>
      <c r="B78" s="66"/>
      <c r="C78" s="66"/>
      <c r="D78" s="66"/>
      <c r="G78" s="67"/>
      <c r="V78" s="67"/>
    </row>
    <row r="79">
      <c r="A79" s="66"/>
      <c r="B79" s="66"/>
      <c r="C79" s="66"/>
      <c r="D79" s="66"/>
      <c r="G79" s="67"/>
      <c r="V79" s="67"/>
    </row>
    <row r="80">
      <c r="A80" s="66"/>
      <c r="B80" s="66"/>
      <c r="C80" s="66"/>
      <c r="D80" s="66"/>
      <c r="G80" s="67"/>
      <c r="V80" s="67"/>
    </row>
    <row r="81">
      <c r="A81" s="66"/>
      <c r="B81" s="66"/>
      <c r="C81" s="66"/>
      <c r="D81" s="66"/>
      <c r="G81" s="67"/>
      <c r="V81" s="67"/>
    </row>
    <row r="82">
      <c r="A82" s="66"/>
      <c r="B82" s="66"/>
      <c r="C82" s="66"/>
      <c r="D82" s="66"/>
      <c r="G82" s="67"/>
      <c r="V82" s="67"/>
    </row>
    <row r="83">
      <c r="A83" s="66"/>
      <c r="B83" s="66"/>
      <c r="C83" s="66"/>
      <c r="D83" s="66"/>
      <c r="G83" s="67"/>
      <c r="V83" s="67"/>
    </row>
    <row r="84">
      <c r="A84" s="66"/>
      <c r="B84" s="66"/>
      <c r="C84" s="66"/>
      <c r="D84" s="66"/>
      <c r="G84" s="67"/>
      <c r="V84" s="67"/>
    </row>
    <row r="85">
      <c r="A85" s="66"/>
      <c r="B85" s="66"/>
      <c r="C85" s="66"/>
      <c r="D85" s="66"/>
      <c r="G85" s="67"/>
      <c r="V85" s="67"/>
    </row>
    <row r="86">
      <c r="A86" s="66"/>
      <c r="B86" s="66"/>
      <c r="C86" s="66"/>
      <c r="D86" s="66"/>
      <c r="G86" s="67"/>
      <c r="V86" s="67"/>
    </row>
    <row r="87">
      <c r="A87" s="66"/>
      <c r="B87" s="66"/>
      <c r="C87" s="66"/>
      <c r="D87" s="66"/>
      <c r="G87" s="67"/>
      <c r="V87" s="67"/>
    </row>
    <row r="88">
      <c r="A88" s="66"/>
      <c r="B88" s="66"/>
      <c r="C88" s="66"/>
      <c r="D88" s="66"/>
      <c r="G88" s="67"/>
      <c r="V88" s="67"/>
    </row>
    <row r="89">
      <c r="A89" s="66"/>
      <c r="B89" s="66"/>
      <c r="C89" s="66"/>
      <c r="D89" s="66"/>
      <c r="G89" s="67"/>
      <c r="V89" s="67"/>
    </row>
    <row r="90">
      <c r="A90" s="66"/>
      <c r="B90" s="66"/>
      <c r="C90" s="66"/>
      <c r="D90" s="66"/>
      <c r="G90" s="67"/>
      <c r="V90" s="67"/>
    </row>
    <row r="91">
      <c r="A91" s="66"/>
      <c r="B91" s="66"/>
      <c r="C91" s="66"/>
      <c r="D91" s="66"/>
      <c r="G91" s="67"/>
      <c r="V91" s="67"/>
    </row>
    <row r="92">
      <c r="A92" s="66"/>
      <c r="B92" s="66"/>
      <c r="C92" s="66"/>
      <c r="D92" s="66"/>
      <c r="G92" s="67"/>
      <c r="V92" s="67"/>
    </row>
    <row r="93">
      <c r="A93" s="66"/>
      <c r="B93" s="66"/>
      <c r="C93" s="66"/>
      <c r="D93" s="66"/>
      <c r="G93" s="67"/>
      <c r="V93" s="67"/>
    </row>
    <row r="94">
      <c r="A94" s="66"/>
      <c r="B94" s="66"/>
      <c r="C94" s="66"/>
      <c r="D94" s="66"/>
      <c r="G94" s="67"/>
      <c r="V94" s="67"/>
    </row>
    <row r="95">
      <c r="A95" s="66"/>
      <c r="B95" s="66"/>
      <c r="C95" s="66"/>
      <c r="D95" s="66"/>
      <c r="G95" s="67"/>
      <c r="V95" s="67"/>
    </row>
    <row r="96">
      <c r="A96" s="66"/>
      <c r="B96" s="66"/>
      <c r="C96" s="66"/>
      <c r="D96" s="66"/>
      <c r="G96" s="67"/>
      <c r="V96" s="67"/>
    </row>
    <row r="97">
      <c r="A97" s="66"/>
      <c r="B97" s="66"/>
      <c r="C97" s="66"/>
      <c r="D97" s="66"/>
      <c r="G97" s="67"/>
      <c r="V97" s="67"/>
    </row>
    <row r="98">
      <c r="A98" s="66"/>
      <c r="B98" s="66"/>
      <c r="C98" s="66"/>
      <c r="D98" s="66"/>
      <c r="G98" s="67"/>
      <c r="V98" s="67"/>
    </row>
    <row r="99">
      <c r="A99" s="66"/>
      <c r="B99" s="66"/>
      <c r="C99" s="66"/>
      <c r="D99" s="66"/>
      <c r="G99" s="67"/>
      <c r="V99" s="67"/>
    </row>
    <row r="100">
      <c r="A100" s="66"/>
      <c r="B100" s="66"/>
      <c r="C100" s="66"/>
      <c r="D100" s="66"/>
      <c r="G100" s="67"/>
      <c r="V100" s="67"/>
    </row>
    <row r="101">
      <c r="A101" s="66"/>
      <c r="B101" s="66"/>
      <c r="C101" s="66"/>
      <c r="D101" s="66"/>
      <c r="G101" s="67"/>
      <c r="V101" s="67"/>
    </row>
    <row r="102">
      <c r="A102" s="66"/>
      <c r="B102" s="66"/>
      <c r="C102" s="66"/>
      <c r="D102" s="66"/>
      <c r="G102" s="67"/>
      <c r="V102" s="67"/>
    </row>
    <row r="103">
      <c r="A103" s="66"/>
      <c r="B103" s="66"/>
      <c r="C103" s="66"/>
      <c r="D103" s="66"/>
      <c r="G103" s="67"/>
      <c r="V103" s="67"/>
    </row>
    <row r="104">
      <c r="A104" s="66"/>
      <c r="B104" s="66"/>
      <c r="C104" s="66"/>
      <c r="D104" s="66"/>
      <c r="G104" s="67"/>
      <c r="V104" s="67"/>
    </row>
    <row r="105">
      <c r="A105" s="66"/>
      <c r="B105" s="66"/>
      <c r="C105" s="66"/>
      <c r="D105" s="66"/>
      <c r="G105" s="67"/>
      <c r="V105" s="67"/>
    </row>
    <row r="106">
      <c r="A106" s="66"/>
      <c r="B106" s="66"/>
      <c r="C106" s="66"/>
      <c r="D106" s="66"/>
      <c r="G106" s="67"/>
      <c r="V106" s="67"/>
    </row>
    <row r="107">
      <c r="A107" s="66"/>
      <c r="B107" s="66"/>
      <c r="C107" s="66"/>
      <c r="D107" s="66"/>
      <c r="G107" s="67"/>
      <c r="V107" s="67"/>
    </row>
    <row r="108">
      <c r="A108" s="66"/>
      <c r="B108" s="66"/>
      <c r="C108" s="66"/>
      <c r="D108" s="66"/>
      <c r="G108" s="67"/>
      <c r="V108" s="67"/>
    </row>
    <row r="109">
      <c r="A109" s="66"/>
      <c r="B109" s="66"/>
      <c r="C109" s="66"/>
      <c r="D109" s="66"/>
      <c r="G109" s="67"/>
      <c r="V109" s="67"/>
    </row>
    <row r="110">
      <c r="A110" s="66"/>
      <c r="B110" s="66"/>
      <c r="C110" s="66"/>
      <c r="D110" s="66"/>
      <c r="G110" s="67"/>
      <c r="V110" s="67"/>
    </row>
    <row r="111">
      <c r="A111" s="66"/>
      <c r="B111" s="66"/>
      <c r="C111" s="66"/>
      <c r="D111" s="66"/>
      <c r="G111" s="67"/>
      <c r="V111" s="67"/>
    </row>
    <row r="112">
      <c r="A112" s="66"/>
      <c r="B112" s="66"/>
      <c r="C112" s="66"/>
      <c r="D112" s="66"/>
      <c r="G112" s="67"/>
      <c r="V112" s="67"/>
    </row>
    <row r="113">
      <c r="A113" s="66"/>
      <c r="B113" s="66"/>
      <c r="C113" s="66"/>
      <c r="D113" s="66"/>
      <c r="G113" s="67"/>
      <c r="V113" s="67"/>
    </row>
    <row r="114">
      <c r="A114" s="66"/>
      <c r="B114" s="66"/>
      <c r="C114" s="66"/>
      <c r="D114" s="66"/>
      <c r="G114" s="67"/>
      <c r="V114" s="67"/>
    </row>
    <row r="115">
      <c r="A115" s="66"/>
      <c r="B115" s="66"/>
      <c r="C115" s="66"/>
      <c r="D115" s="66"/>
      <c r="G115" s="67"/>
      <c r="V115" s="67"/>
    </row>
    <row r="116">
      <c r="A116" s="66"/>
      <c r="B116" s="66"/>
      <c r="C116" s="66"/>
      <c r="D116" s="66"/>
      <c r="G116" s="67"/>
      <c r="V116" s="67"/>
    </row>
    <row r="117">
      <c r="A117" s="66"/>
      <c r="B117" s="66"/>
      <c r="C117" s="66"/>
      <c r="D117" s="66"/>
      <c r="G117" s="67"/>
      <c r="V117" s="67"/>
    </row>
    <row r="118">
      <c r="A118" s="66"/>
      <c r="B118" s="66"/>
      <c r="C118" s="66"/>
      <c r="D118" s="66"/>
      <c r="G118" s="67"/>
      <c r="V118" s="67"/>
    </row>
    <row r="119">
      <c r="A119" s="66"/>
      <c r="B119" s="66"/>
      <c r="C119" s="66"/>
      <c r="D119" s="66"/>
      <c r="G119" s="67"/>
      <c r="V119" s="67"/>
    </row>
    <row r="120">
      <c r="A120" s="66"/>
      <c r="B120" s="66"/>
      <c r="C120" s="66"/>
      <c r="D120" s="66"/>
      <c r="G120" s="67"/>
      <c r="V120" s="67"/>
    </row>
    <row r="121">
      <c r="A121" s="66"/>
      <c r="B121" s="66"/>
      <c r="C121" s="66"/>
      <c r="D121" s="66"/>
      <c r="G121" s="67"/>
      <c r="V121" s="67"/>
    </row>
    <row r="122">
      <c r="A122" s="66"/>
      <c r="B122" s="66"/>
      <c r="C122" s="66"/>
      <c r="D122" s="66"/>
      <c r="G122" s="67"/>
      <c r="V122" s="67"/>
    </row>
    <row r="123">
      <c r="A123" s="66"/>
      <c r="B123" s="66"/>
      <c r="C123" s="66"/>
      <c r="D123" s="66"/>
      <c r="G123" s="67"/>
      <c r="V123" s="67"/>
    </row>
    <row r="124">
      <c r="A124" s="66"/>
      <c r="B124" s="66"/>
      <c r="C124" s="66"/>
      <c r="D124" s="66"/>
      <c r="G124" s="67"/>
      <c r="V124" s="67"/>
    </row>
    <row r="125">
      <c r="A125" s="66"/>
      <c r="B125" s="66"/>
      <c r="C125" s="66"/>
      <c r="D125" s="66"/>
      <c r="G125" s="67"/>
      <c r="V125" s="67"/>
    </row>
    <row r="126">
      <c r="A126" s="66"/>
      <c r="B126" s="66"/>
      <c r="C126" s="66"/>
      <c r="D126" s="66"/>
      <c r="G126" s="67"/>
      <c r="V126" s="67"/>
    </row>
    <row r="127">
      <c r="A127" s="66"/>
      <c r="B127" s="66"/>
      <c r="C127" s="66"/>
      <c r="D127" s="66"/>
      <c r="G127" s="67"/>
      <c r="V127" s="67"/>
    </row>
    <row r="128">
      <c r="A128" s="66"/>
      <c r="B128" s="66"/>
      <c r="C128" s="66"/>
      <c r="D128" s="66"/>
      <c r="G128" s="67"/>
      <c r="V128" s="67"/>
    </row>
    <row r="129">
      <c r="A129" s="66"/>
      <c r="B129" s="66"/>
      <c r="C129" s="66"/>
      <c r="D129" s="66"/>
      <c r="G129" s="67"/>
      <c r="V129" s="67"/>
    </row>
    <row r="130">
      <c r="A130" s="66"/>
      <c r="B130" s="66"/>
      <c r="C130" s="66"/>
      <c r="D130" s="66"/>
      <c r="G130" s="67"/>
      <c r="V130" s="67"/>
    </row>
    <row r="131">
      <c r="A131" s="66"/>
      <c r="B131" s="66"/>
      <c r="C131" s="66"/>
      <c r="D131" s="66"/>
      <c r="G131" s="67"/>
      <c r="V131" s="67"/>
    </row>
    <row r="132">
      <c r="A132" s="66"/>
      <c r="B132" s="66"/>
      <c r="C132" s="66"/>
      <c r="D132" s="66"/>
      <c r="G132" s="67"/>
      <c r="V132" s="67"/>
    </row>
    <row r="133">
      <c r="A133" s="66"/>
      <c r="B133" s="66"/>
      <c r="C133" s="66"/>
      <c r="D133" s="66"/>
      <c r="G133" s="67"/>
      <c r="V133" s="67"/>
    </row>
    <row r="134">
      <c r="A134" s="66"/>
      <c r="B134" s="66"/>
      <c r="C134" s="66"/>
      <c r="D134" s="66"/>
      <c r="G134" s="67"/>
      <c r="V134" s="67"/>
    </row>
    <row r="135">
      <c r="A135" s="66"/>
      <c r="B135" s="66"/>
      <c r="C135" s="66"/>
      <c r="D135" s="66"/>
      <c r="G135" s="67"/>
      <c r="V135" s="67"/>
    </row>
    <row r="136">
      <c r="A136" s="66"/>
      <c r="B136" s="66"/>
      <c r="C136" s="66"/>
      <c r="D136" s="66"/>
      <c r="G136" s="67"/>
      <c r="V136" s="67"/>
    </row>
    <row r="137">
      <c r="A137" s="66"/>
      <c r="B137" s="66"/>
      <c r="C137" s="66"/>
      <c r="D137" s="66"/>
      <c r="G137" s="67"/>
      <c r="V137" s="67"/>
    </row>
    <row r="138">
      <c r="A138" s="66"/>
      <c r="B138" s="66"/>
      <c r="C138" s="66"/>
      <c r="D138" s="66"/>
      <c r="G138" s="67"/>
      <c r="V138" s="67"/>
    </row>
    <row r="139">
      <c r="A139" s="66"/>
      <c r="B139" s="66"/>
      <c r="C139" s="66"/>
      <c r="D139" s="66"/>
      <c r="G139" s="67"/>
      <c r="V139" s="67"/>
    </row>
    <row r="140">
      <c r="A140" s="66"/>
      <c r="B140" s="66"/>
      <c r="C140" s="66"/>
      <c r="D140" s="66"/>
      <c r="G140" s="67"/>
      <c r="V140" s="67"/>
    </row>
    <row r="141">
      <c r="A141" s="66"/>
      <c r="B141" s="66"/>
      <c r="C141" s="66"/>
      <c r="D141" s="66"/>
      <c r="G141" s="67"/>
      <c r="V141" s="67"/>
    </row>
    <row r="142">
      <c r="A142" s="66"/>
      <c r="B142" s="66"/>
      <c r="C142" s="66"/>
      <c r="D142" s="66"/>
      <c r="G142" s="67"/>
      <c r="V142" s="67"/>
    </row>
    <row r="143">
      <c r="A143" s="66"/>
      <c r="B143" s="66"/>
      <c r="C143" s="66"/>
      <c r="D143" s="66"/>
      <c r="G143" s="67"/>
      <c r="V143" s="67"/>
    </row>
    <row r="144">
      <c r="A144" s="66"/>
      <c r="B144" s="66"/>
      <c r="C144" s="66"/>
      <c r="D144" s="66"/>
      <c r="G144" s="67"/>
      <c r="V144" s="67"/>
    </row>
    <row r="145">
      <c r="A145" s="66"/>
      <c r="B145" s="66"/>
      <c r="C145" s="66"/>
      <c r="D145" s="66"/>
      <c r="G145" s="67"/>
      <c r="V145" s="67"/>
    </row>
    <row r="146">
      <c r="A146" s="66"/>
      <c r="B146" s="66"/>
      <c r="C146" s="66"/>
      <c r="D146" s="66"/>
      <c r="G146" s="67"/>
      <c r="V146" s="67"/>
    </row>
    <row r="147">
      <c r="A147" s="66"/>
      <c r="B147" s="66"/>
      <c r="C147" s="66"/>
      <c r="D147" s="66"/>
      <c r="G147" s="67"/>
      <c r="V147" s="67"/>
    </row>
    <row r="148">
      <c r="A148" s="66"/>
      <c r="B148" s="66"/>
      <c r="C148" s="66"/>
      <c r="D148" s="66"/>
      <c r="G148" s="67"/>
      <c r="V148" s="67"/>
    </row>
    <row r="149">
      <c r="A149" s="66"/>
      <c r="B149" s="66"/>
      <c r="C149" s="66"/>
      <c r="D149" s="66"/>
      <c r="G149" s="67"/>
      <c r="V149" s="67"/>
    </row>
    <row r="150">
      <c r="A150" s="66"/>
      <c r="B150" s="66"/>
      <c r="C150" s="66"/>
      <c r="D150" s="66"/>
      <c r="G150" s="67"/>
      <c r="V150" s="67"/>
    </row>
    <row r="151">
      <c r="A151" s="66"/>
      <c r="B151" s="66"/>
      <c r="C151" s="66"/>
      <c r="D151" s="66"/>
      <c r="G151" s="67"/>
      <c r="V151" s="67"/>
    </row>
    <row r="152">
      <c r="A152" s="66"/>
      <c r="B152" s="66"/>
      <c r="C152" s="66"/>
      <c r="D152" s="66"/>
      <c r="G152" s="67"/>
      <c r="V152" s="67"/>
    </row>
    <row r="153">
      <c r="A153" s="66"/>
      <c r="B153" s="66"/>
      <c r="C153" s="66"/>
      <c r="D153" s="66"/>
      <c r="G153" s="67"/>
      <c r="V153" s="67"/>
    </row>
    <row r="154">
      <c r="A154" s="66"/>
      <c r="B154" s="66"/>
      <c r="C154" s="66"/>
      <c r="D154" s="66"/>
      <c r="G154" s="67"/>
      <c r="V154" s="67"/>
    </row>
    <row r="155">
      <c r="A155" s="66"/>
      <c r="B155" s="66"/>
      <c r="C155" s="66"/>
      <c r="D155" s="66"/>
      <c r="G155" s="67"/>
      <c r="V155" s="67"/>
    </row>
    <row r="156">
      <c r="A156" s="66"/>
      <c r="B156" s="66"/>
      <c r="C156" s="66"/>
      <c r="D156" s="66"/>
      <c r="G156" s="67"/>
      <c r="V156" s="67"/>
    </row>
    <row r="157">
      <c r="A157" s="66"/>
      <c r="B157" s="66"/>
      <c r="C157" s="66"/>
      <c r="D157" s="66"/>
      <c r="G157" s="67"/>
      <c r="V157" s="67"/>
    </row>
    <row r="158">
      <c r="A158" s="66"/>
      <c r="B158" s="66"/>
      <c r="C158" s="66"/>
      <c r="D158" s="66"/>
      <c r="G158" s="67"/>
      <c r="V158" s="67"/>
    </row>
    <row r="159">
      <c r="A159" s="66"/>
      <c r="B159" s="66"/>
      <c r="C159" s="66"/>
      <c r="D159" s="66"/>
      <c r="G159" s="67"/>
      <c r="V159" s="67"/>
    </row>
    <row r="160">
      <c r="A160" s="66"/>
      <c r="B160" s="66"/>
      <c r="C160" s="66"/>
      <c r="D160" s="66"/>
      <c r="G160" s="67"/>
      <c r="V160" s="67"/>
    </row>
    <row r="161">
      <c r="A161" s="66"/>
      <c r="B161" s="66"/>
      <c r="C161" s="66"/>
      <c r="D161" s="66"/>
      <c r="G161" s="67"/>
      <c r="V161" s="67"/>
    </row>
    <row r="162">
      <c r="A162" s="66"/>
      <c r="B162" s="66"/>
      <c r="C162" s="66"/>
      <c r="D162" s="66"/>
      <c r="G162" s="67"/>
      <c r="V162" s="67"/>
    </row>
    <row r="163">
      <c r="A163" s="66"/>
      <c r="B163" s="66"/>
      <c r="C163" s="66"/>
      <c r="D163" s="66"/>
      <c r="G163" s="67"/>
      <c r="V163" s="67"/>
    </row>
    <row r="164">
      <c r="A164" s="66"/>
      <c r="B164" s="66"/>
      <c r="C164" s="66"/>
      <c r="D164" s="66"/>
      <c r="G164" s="67"/>
      <c r="V164" s="67"/>
    </row>
    <row r="165">
      <c r="A165" s="66"/>
      <c r="B165" s="66"/>
      <c r="C165" s="66"/>
      <c r="D165" s="66"/>
      <c r="G165" s="67"/>
      <c r="V165" s="67"/>
    </row>
    <row r="166">
      <c r="A166" s="66"/>
      <c r="B166" s="66"/>
      <c r="C166" s="66"/>
      <c r="D166" s="66"/>
      <c r="G166" s="67"/>
      <c r="V166" s="67"/>
    </row>
    <row r="167">
      <c r="A167" s="66"/>
      <c r="B167" s="66"/>
      <c r="C167" s="66"/>
      <c r="D167" s="66"/>
      <c r="G167" s="67"/>
      <c r="V167" s="67"/>
    </row>
    <row r="168">
      <c r="A168" s="66"/>
      <c r="B168" s="66"/>
      <c r="C168" s="66"/>
      <c r="D168" s="66"/>
      <c r="G168" s="67"/>
      <c r="V168" s="67"/>
    </row>
    <row r="169">
      <c r="A169" s="66"/>
      <c r="B169" s="66"/>
      <c r="C169" s="66"/>
      <c r="D169" s="66"/>
      <c r="G169" s="67"/>
      <c r="V169" s="67"/>
    </row>
    <row r="170">
      <c r="A170" s="66"/>
      <c r="B170" s="66"/>
      <c r="C170" s="66"/>
      <c r="D170" s="66"/>
      <c r="G170" s="67"/>
      <c r="V170" s="67"/>
    </row>
    <row r="171">
      <c r="A171" s="66"/>
      <c r="B171" s="66"/>
      <c r="C171" s="66"/>
      <c r="D171" s="66"/>
      <c r="G171" s="67"/>
      <c r="V171" s="67"/>
    </row>
    <row r="172">
      <c r="A172" s="66"/>
      <c r="B172" s="66"/>
      <c r="C172" s="66"/>
      <c r="D172" s="66"/>
      <c r="G172" s="67"/>
      <c r="V172" s="67"/>
    </row>
    <row r="173">
      <c r="A173" s="66"/>
      <c r="B173" s="66"/>
      <c r="C173" s="66"/>
      <c r="D173" s="66"/>
      <c r="G173" s="67"/>
      <c r="V173" s="67"/>
    </row>
    <row r="174">
      <c r="A174" s="66"/>
      <c r="B174" s="66"/>
      <c r="C174" s="66"/>
      <c r="D174" s="66"/>
      <c r="G174" s="67"/>
      <c r="V174" s="67"/>
    </row>
    <row r="175">
      <c r="A175" s="66"/>
      <c r="B175" s="66"/>
      <c r="C175" s="66"/>
      <c r="D175" s="66"/>
      <c r="G175" s="67"/>
      <c r="V175" s="67"/>
    </row>
    <row r="176">
      <c r="A176" s="66"/>
      <c r="B176" s="66"/>
      <c r="C176" s="66"/>
      <c r="D176" s="66"/>
      <c r="G176" s="67"/>
      <c r="V176" s="67"/>
    </row>
    <row r="177">
      <c r="A177" s="66"/>
      <c r="B177" s="66"/>
      <c r="C177" s="66"/>
      <c r="D177" s="66"/>
      <c r="G177" s="67"/>
      <c r="V177" s="67"/>
    </row>
    <row r="178">
      <c r="A178" s="66"/>
      <c r="B178" s="66"/>
      <c r="C178" s="66"/>
      <c r="D178" s="66"/>
      <c r="G178" s="67"/>
      <c r="V178" s="67"/>
    </row>
    <row r="179">
      <c r="A179" s="66"/>
      <c r="B179" s="66"/>
      <c r="C179" s="66"/>
      <c r="D179" s="66"/>
      <c r="G179" s="67"/>
      <c r="V179" s="67"/>
    </row>
    <row r="180">
      <c r="A180" s="66"/>
      <c r="B180" s="66"/>
      <c r="C180" s="66"/>
      <c r="D180" s="66"/>
      <c r="G180" s="67"/>
      <c r="V180" s="67"/>
    </row>
    <row r="181">
      <c r="A181" s="66"/>
      <c r="B181" s="66"/>
      <c r="C181" s="66"/>
      <c r="D181" s="66"/>
      <c r="G181" s="67"/>
      <c r="V181" s="67"/>
    </row>
    <row r="182">
      <c r="A182" s="66"/>
      <c r="B182" s="66"/>
      <c r="C182" s="66"/>
      <c r="D182" s="66"/>
      <c r="G182" s="67"/>
      <c r="V182" s="67"/>
    </row>
    <row r="183">
      <c r="A183" s="66"/>
      <c r="B183" s="66"/>
      <c r="C183" s="66"/>
      <c r="D183" s="66"/>
      <c r="G183" s="67"/>
      <c r="V183" s="67"/>
    </row>
    <row r="184">
      <c r="A184" s="66"/>
      <c r="B184" s="66"/>
      <c r="C184" s="66"/>
      <c r="D184" s="66"/>
      <c r="G184" s="67"/>
      <c r="V184" s="67"/>
    </row>
    <row r="185">
      <c r="A185" s="66"/>
      <c r="B185" s="66"/>
      <c r="C185" s="66"/>
      <c r="D185" s="66"/>
      <c r="G185" s="67"/>
      <c r="V185" s="67"/>
    </row>
    <row r="186">
      <c r="A186" s="66"/>
      <c r="B186" s="66"/>
      <c r="C186" s="66"/>
      <c r="D186" s="66"/>
      <c r="G186" s="67"/>
      <c r="V186" s="67"/>
    </row>
    <row r="187">
      <c r="A187" s="66"/>
      <c r="B187" s="66"/>
      <c r="C187" s="66"/>
      <c r="D187" s="66"/>
      <c r="G187" s="67"/>
      <c r="V187" s="67"/>
    </row>
    <row r="188">
      <c r="A188" s="66"/>
      <c r="B188" s="66"/>
      <c r="C188" s="66"/>
      <c r="D188" s="66"/>
      <c r="G188" s="67"/>
      <c r="V188" s="67"/>
    </row>
    <row r="189">
      <c r="A189" s="66"/>
      <c r="B189" s="66"/>
      <c r="C189" s="66"/>
      <c r="D189" s="66"/>
      <c r="G189" s="67"/>
      <c r="V189" s="67"/>
    </row>
    <row r="190">
      <c r="A190" s="66"/>
      <c r="B190" s="66"/>
      <c r="C190" s="66"/>
      <c r="D190" s="66"/>
      <c r="G190" s="67"/>
      <c r="V190" s="67"/>
    </row>
    <row r="191">
      <c r="A191" s="66"/>
      <c r="B191" s="66"/>
      <c r="C191" s="66"/>
      <c r="D191" s="66"/>
      <c r="G191" s="67"/>
      <c r="V191" s="67"/>
    </row>
    <row r="192">
      <c r="A192" s="66"/>
      <c r="B192" s="66"/>
      <c r="C192" s="66"/>
      <c r="D192" s="66"/>
      <c r="G192" s="67"/>
      <c r="V192" s="67"/>
    </row>
    <row r="193">
      <c r="A193" s="66"/>
      <c r="B193" s="66"/>
      <c r="C193" s="66"/>
      <c r="D193" s="66"/>
      <c r="G193" s="67"/>
      <c r="V193" s="67"/>
    </row>
    <row r="194">
      <c r="A194" s="66"/>
      <c r="B194" s="66"/>
      <c r="C194" s="66"/>
      <c r="D194" s="66"/>
      <c r="G194" s="67"/>
      <c r="V194" s="67"/>
    </row>
    <row r="195">
      <c r="A195" s="66"/>
      <c r="B195" s="66"/>
      <c r="C195" s="66"/>
      <c r="D195" s="66"/>
      <c r="G195" s="67"/>
      <c r="V195" s="67"/>
    </row>
    <row r="196">
      <c r="A196" s="66"/>
      <c r="B196" s="66"/>
      <c r="C196" s="66"/>
      <c r="D196" s="66"/>
      <c r="G196" s="67"/>
      <c r="V196" s="67"/>
    </row>
    <row r="197">
      <c r="A197" s="66"/>
      <c r="B197" s="66"/>
      <c r="C197" s="66"/>
      <c r="D197" s="66"/>
      <c r="G197" s="67"/>
      <c r="V197" s="67"/>
    </row>
    <row r="198">
      <c r="A198" s="66"/>
      <c r="B198" s="66"/>
      <c r="C198" s="66"/>
      <c r="D198" s="66"/>
      <c r="G198" s="67"/>
      <c r="V198" s="67"/>
    </row>
    <row r="199">
      <c r="A199" s="66"/>
      <c r="B199" s="66"/>
      <c r="C199" s="66"/>
      <c r="D199" s="66"/>
      <c r="G199" s="67"/>
      <c r="V199" s="67"/>
    </row>
    <row r="200">
      <c r="A200" s="66"/>
      <c r="B200" s="66"/>
      <c r="C200" s="66"/>
      <c r="D200" s="66"/>
      <c r="G200" s="67"/>
      <c r="V200" s="67"/>
    </row>
    <row r="201">
      <c r="A201" s="66"/>
      <c r="B201" s="66"/>
      <c r="C201" s="66"/>
      <c r="D201" s="66"/>
      <c r="G201" s="67"/>
      <c r="V201" s="67"/>
    </row>
    <row r="202">
      <c r="A202" s="66"/>
      <c r="B202" s="66"/>
      <c r="C202" s="66"/>
      <c r="D202" s="66"/>
      <c r="G202" s="67"/>
      <c r="V202" s="67"/>
    </row>
    <row r="203">
      <c r="A203" s="66"/>
      <c r="B203" s="66"/>
      <c r="C203" s="66"/>
      <c r="D203" s="66"/>
      <c r="G203" s="67"/>
      <c r="V203" s="67"/>
    </row>
    <row r="204">
      <c r="A204" s="66"/>
      <c r="B204" s="66"/>
      <c r="C204" s="66"/>
      <c r="D204" s="66"/>
      <c r="G204" s="67"/>
      <c r="V204" s="67"/>
    </row>
    <row r="205">
      <c r="A205" s="66"/>
      <c r="B205" s="66"/>
      <c r="C205" s="66"/>
      <c r="D205" s="66"/>
      <c r="G205" s="67"/>
      <c r="V205" s="67"/>
    </row>
    <row r="206">
      <c r="A206" s="66"/>
      <c r="B206" s="66"/>
      <c r="C206" s="66"/>
      <c r="D206" s="66"/>
      <c r="G206" s="67"/>
      <c r="V206" s="67"/>
    </row>
    <row r="207">
      <c r="A207" s="66"/>
      <c r="B207" s="66"/>
      <c r="C207" s="66"/>
      <c r="D207" s="66"/>
      <c r="G207" s="67"/>
      <c r="V207" s="67"/>
    </row>
    <row r="208">
      <c r="A208" s="66"/>
      <c r="B208" s="66"/>
      <c r="C208" s="66"/>
      <c r="D208" s="66"/>
      <c r="G208" s="67"/>
      <c r="V208" s="67"/>
    </row>
    <row r="209">
      <c r="A209" s="66"/>
      <c r="B209" s="66"/>
      <c r="C209" s="66"/>
      <c r="D209" s="66"/>
      <c r="G209" s="67"/>
      <c r="V209" s="67"/>
    </row>
    <row r="210">
      <c r="A210" s="66"/>
      <c r="B210" s="66"/>
      <c r="C210" s="66"/>
      <c r="D210" s="66"/>
      <c r="G210" s="67"/>
      <c r="V210" s="67"/>
    </row>
    <row r="211">
      <c r="A211" s="66"/>
      <c r="B211" s="66"/>
      <c r="C211" s="66"/>
      <c r="D211" s="66"/>
      <c r="G211" s="67"/>
      <c r="V211" s="67"/>
    </row>
    <row r="212">
      <c r="A212" s="66"/>
      <c r="B212" s="66"/>
      <c r="C212" s="66"/>
      <c r="D212" s="66"/>
      <c r="G212" s="67"/>
      <c r="V212" s="67"/>
    </row>
    <row r="213">
      <c r="A213" s="66"/>
      <c r="B213" s="66"/>
      <c r="C213" s="66"/>
      <c r="D213" s="66"/>
      <c r="G213" s="67"/>
      <c r="V213" s="67"/>
    </row>
    <row r="214">
      <c r="A214" s="66"/>
      <c r="B214" s="66"/>
      <c r="C214" s="66"/>
      <c r="D214" s="66"/>
      <c r="G214" s="67"/>
      <c r="V214" s="67"/>
    </row>
    <row r="215">
      <c r="A215" s="66"/>
      <c r="B215" s="66"/>
      <c r="C215" s="66"/>
      <c r="D215" s="66"/>
      <c r="G215" s="67"/>
      <c r="V215" s="67"/>
    </row>
    <row r="216">
      <c r="A216" s="66"/>
      <c r="B216" s="66"/>
      <c r="C216" s="66"/>
      <c r="D216" s="66"/>
      <c r="G216" s="67"/>
      <c r="V216" s="67"/>
    </row>
    <row r="217">
      <c r="A217" s="66"/>
      <c r="B217" s="66"/>
      <c r="C217" s="66"/>
      <c r="D217" s="66"/>
      <c r="G217" s="67"/>
      <c r="V217" s="67"/>
    </row>
    <row r="218">
      <c r="A218" s="66"/>
      <c r="B218" s="66"/>
      <c r="C218" s="66"/>
      <c r="D218" s="66"/>
      <c r="G218" s="67"/>
      <c r="V218" s="67"/>
    </row>
    <row r="219">
      <c r="A219" s="66"/>
      <c r="B219" s="66"/>
      <c r="C219" s="66"/>
      <c r="D219" s="66"/>
      <c r="G219" s="67"/>
      <c r="V219" s="67"/>
    </row>
    <row r="220">
      <c r="A220" s="66"/>
      <c r="B220" s="66"/>
      <c r="C220" s="66"/>
      <c r="D220" s="66"/>
      <c r="G220" s="67"/>
      <c r="V220" s="67"/>
    </row>
    <row r="221">
      <c r="A221" s="66"/>
      <c r="B221" s="66"/>
      <c r="C221" s="66"/>
      <c r="D221" s="66"/>
      <c r="G221" s="67"/>
      <c r="V221" s="67"/>
    </row>
    <row r="222">
      <c r="A222" s="66"/>
      <c r="B222" s="66"/>
      <c r="C222" s="66"/>
      <c r="D222" s="66"/>
      <c r="G222" s="67"/>
      <c r="V222" s="67"/>
    </row>
    <row r="223">
      <c r="A223" s="66"/>
      <c r="B223" s="66"/>
      <c r="C223" s="66"/>
      <c r="D223" s="66"/>
      <c r="G223" s="67"/>
      <c r="V223" s="67"/>
    </row>
    <row r="224">
      <c r="A224" s="66"/>
      <c r="B224" s="66"/>
      <c r="C224" s="66"/>
      <c r="D224" s="66"/>
      <c r="G224" s="67"/>
      <c r="V224" s="67"/>
    </row>
    <row r="225">
      <c r="A225" s="66"/>
      <c r="B225" s="66"/>
      <c r="C225" s="66"/>
      <c r="D225" s="66"/>
      <c r="G225" s="67"/>
      <c r="V225" s="67"/>
    </row>
    <row r="226">
      <c r="A226" s="66"/>
      <c r="B226" s="66"/>
      <c r="C226" s="66"/>
      <c r="D226" s="66"/>
      <c r="G226" s="67"/>
      <c r="V226" s="67"/>
    </row>
    <row r="227">
      <c r="A227" s="66"/>
      <c r="B227" s="66"/>
      <c r="C227" s="66"/>
      <c r="D227" s="66"/>
      <c r="G227" s="67"/>
      <c r="V227" s="67"/>
    </row>
    <row r="228">
      <c r="A228" s="66"/>
      <c r="B228" s="66"/>
      <c r="C228" s="66"/>
      <c r="D228" s="66"/>
      <c r="G228" s="67"/>
      <c r="V228" s="67"/>
    </row>
    <row r="229">
      <c r="A229" s="66"/>
      <c r="B229" s="66"/>
      <c r="C229" s="66"/>
      <c r="D229" s="66"/>
      <c r="G229" s="67"/>
      <c r="V229" s="67"/>
    </row>
    <row r="230">
      <c r="A230" s="66"/>
      <c r="B230" s="66"/>
      <c r="C230" s="66"/>
      <c r="D230" s="66"/>
      <c r="G230" s="67"/>
      <c r="V230" s="67"/>
    </row>
    <row r="231">
      <c r="A231" s="66"/>
      <c r="B231" s="66"/>
      <c r="C231" s="66"/>
      <c r="D231" s="66"/>
      <c r="G231" s="67"/>
      <c r="V231" s="67"/>
    </row>
    <row r="232">
      <c r="A232" s="66"/>
      <c r="B232" s="66"/>
      <c r="C232" s="66"/>
      <c r="D232" s="66"/>
      <c r="G232" s="67"/>
      <c r="V232" s="67"/>
    </row>
    <row r="233">
      <c r="A233" s="66"/>
      <c r="B233" s="66"/>
      <c r="C233" s="66"/>
      <c r="D233" s="66"/>
      <c r="G233" s="67"/>
      <c r="V233" s="67"/>
    </row>
    <row r="234">
      <c r="A234" s="66"/>
      <c r="B234" s="66"/>
      <c r="C234" s="66"/>
      <c r="D234" s="66"/>
      <c r="G234" s="67"/>
      <c r="V234" s="67"/>
    </row>
    <row r="235">
      <c r="A235" s="66"/>
      <c r="B235" s="66"/>
      <c r="C235" s="66"/>
      <c r="D235" s="66"/>
      <c r="G235" s="67"/>
      <c r="V235" s="67"/>
    </row>
    <row r="236">
      <c r="A236" s="66"/>
      <c r="B236" s="66"/>
      <c r="C236" s="66"/>
      <c r="D236" s="66"/>
      <c r="G236" s="67"/>
      <c r="V236" s="67"/>
    </row>
    <row r="237">
      <c r="A237" s="66"/>
      <c r="B237" s="66"/>
      <c r="C237" s="66"/>
      <c r="D237" s="66"/>
      <c r="G237" s="67"/>
      <c r="V237" s="67"/>
    </row>
    <row r="238">
      <c r="A238" s="66"/>
      <c r="B238" s="66"/>
      <c r="C238" s="66"/>
      <c r="D238" s="66"/>
      <c r="G238" s="67"/>
      <c r="V238" s="67"/>
    </row>
    <row r="239">
      <c r="A239" s="66"/>
      <c r="B239" s="66"/>
      <c r="C239" s="66"/>
      <c r="D239" s="66"/>
      <c r="G239" s="67"/>
      <c r="V239" s="67"/>
    </row>
    <row r="240">
      <c r="A240" s="66"/>
      <c r="B240" s="66"/>
      <c r="C240" s="66"/>
      <c r="D240" s="66"/>
      <c r="G240" s="67"/>
      <c r="V240" s="67"/>
    </row>
    <row r="241">
      <c r="A241" s="66"/>
      <c r="B241" s="66"/>
      <c r="C241" s="66"/>
      <c r="D241" s="66"/>
      <c r="G241" s="67"/>
      <c r="V241" s="67"/>
    </row>
    <row r="242">
      <c r="A242" s="66"/>
      <c r="B242" s="66"/>
      <c r="C242" s="66"/>
      <c r="D242" s="66"/>
      <c r="G242" s="67"/>
      <c r="V242" s="67"/>
    </row>
    <row r="243">
      <c r="A243" s="66"/>
      <c r="B243" s="66"/>
      <c r="C243" s="66"/>
      <c r="D243" s="66"/>
      <c r="G243" s="67"/>
      <c r="V243" s="67"/>
    </row>
    <row r="244">
      <c r="A244" s="66"/>
      <c r="B244" s="66"/>
      <c r="C244" s="66"/>
      <c r="D244" s="66"/>
      <c r="G244" s="67"/>
      <c r="V244" s="67"/>
    </row>
    <row r="245">
      <c r="A245" s="66"/>
      <c r="B245" s="66"/>
      <c r="C245" s="66"/>
      <c r="D245" s="66"/>
      <c r="G245" s="67"/>
      <c r="V245" s="67"/>
    </row>
    <row r="246">
      <c r="A246" s="66"/>
      <c r="B246" s="66"/>
      <c r="C246" s="66"/>
      <c r="D246" s="66"/>
      <c r="G246" s="67"/>
      <c r="V246" s="67"/>
    </row>
    <row r="247">
      <c r="A247" s="66"/>
      <c r="B247" s="66"/>
      <c r="C247" s="66"/>
      <c r="D247" s="66"/>
      <c r="G247" s="67"/>
      <c r="V247" s="67"/>
    </row>
    <row r="248">
      <c r="A248" s="66"/>
      <c r="B248" s="66"/>
      <c r="C248" s="66"/>
      <c r="D248" s="66"/>
      <c r="G248" s="67"/>
      <c r="V248" s="67"/>
    </row>
    <row r="249">
      <c r="A249" s="66"/>
      <c r="B249" s="66"/>
      <c r="C249" s="66"/>
      <c r="D249" s="66"/>
      <c r="G249" s="67"/>
      <c r="V249" s="67"/>
    </row>
    <row r="250">
      <c r="A250" s="66"/>
      <c r="B250" s="66"/>
      <c r="C250" s="66"/>
      <c r="D250" s="66"/>
      <c r="G250" s="67"/>
      <c r="V250" s="67"/>
    </row>
    <row r="251">
      <c r="A251" s="66"/>
      <c r="B251" s="66"/>
      <c r="C251" s="66"/>
      <c r="D251" s="66"/>
      <c r="G251" s="67"/>
      <c r="V251" s="67"/>
    </row>
    <row r="252">
      <c r="A252" s="66"/>
      <c r="B252" s="66"/>
      <c r="C252" s="66"/>
      <c r="D252" s="66"/>
      <c r="G252" s="67"/>
      <c r="V252" s="67"/>
    </row>
    <row r="253">
      <c r="A253" s="66"/>
      <c r="B253" s="66"/>
      <c r="C253" s="66"/>
      <c r="D253" s="66"/>
      <c r="G253" s="67"/>
      <c r="V253" s="67"/>
    </row>
    <row r="254">
      <c r="A254" s="66"/>
      <c r="B254" s="66"/>
      <c r="C254" s="66"/>
      <c r="D254" s="66"/>
      <c r="G254" s="67"/>
      <c r="V254" s="67"/>
    </row>
    <row r="255">
      <c r="A255" s="66"/>
      <c r="B255" s="66"/>
      <c r="C255" s="66"/>
      <c r="D255" s="66"/>
      <c r="G255" s="67"/>
      <c r="V255" s="67"/>
    </row>
    <row r="256">
      <c r="A256" s="66"/>
      <c r="B256" s="66"/>
      <c r="C256" s="66"/>
      <c r="D256" s="66"/>
      <c r="G256" s="67"/>
      <c r="V256" s="67"/>
    </row>
    <row r="257">
      <c r="A257" s="66"/>
      <c r="B257" s="66"/>
      <c r="C257" s="66"/>
      <c r="D257" s="66"/>
      <c r="G257" s="67"/>
      <c r="V257" s="67"/>
    </row>
    <row r="258">
      <c r="A258" s="66"/>
      <c r="B258" s="66"/>
      <c r="C258" s="66"/>
      <c r="D258" s="66"/>
      <c r="G258" s="67"/>
      <c r="V258" s="67"/>
    </row>
    <row r="259">
      <c r="A259" s="66"/>
      <c r="B259" s="66"/>
      <c r="C259" s="66"/>
      <c r="D259" s="66"/>
      <c r="G259" s="67"/>
      <c r="V259" s="67"/>
    </row>
    <row r="260">
      <c r="A260" s="66"/>
      <c r="B260" s="66"/>
      <c r="C260" s="66"/>
      <c r="D260" s="66"/>
      <c r="G260" s="67"/>
      <c r="V260" s="67"/>
    </row>
    <row r="261">
      <c r="A261" s="66"/>
      <c r="B261" s="66"/>
      <c r="C261" s="66"/>
      <c r="D261" s="66"/>
      <c r="G261" s="67"/>
      <c r="V261" s="67"/>
    </row>
    <row r="262">
      <c r="A262" s="66"/>
      <c r="B262" s="66"/>
      <c r="C262" s="66"/>
      <c r="D262" s="66"/>
      <c r="G262" s="67"/>
      <c r="V262" s="67"/>
    </row>
    <row r="263">
      <c r="A263" s="66"/>
      <c r="B263" s="66"/>
      <c r="C263" s="66"/>
      <c r="D263" s="66"/>
      <c r="G263" s="67"/>
      <c r="V263" s="67"/>
    </row>
    <row r="264">
      <c r="A264" s="66"/>
      <c r="B264" s="66"/>
      <c r="C264" s="66"/>
      <c r="D264" s="66"/>
      <c r="G264" s="67"/>
      <c r="V264" s="67"/>
    </row>
    <row r="265">
      <c r="A265" s="66"/>
      <c r="B265" s="66"/>
      <c r="C265" s="66"/>
      <c r="D265" s="66"/>
      <c r="G265" s="67"/>
      <c r="V265" s="67"/>
    </row>
    <row r="266">
      <c r="A266" s="66"/>
      <c r="B266" s="66"/>
      <c r="C266" s="66"/>
      <c r="D266" s="66"/>
      <c r="G266" s="67"/>
      <c r="V266" s="67"/>
    </row>
    <row r="267">
      <c r="A267" s="66"/>
      <c r="B267" s="66"/>
      <c r="C267" s="66"/>
      <c r="D267" s="66"/>
      <c r="G267" s="67"/>
      <c r="V267" s="67"/>
    </row>
    <row r="268">
      <c r="A268" s="66"/>
      <c r="B268" s="66"/>
      <c r="C268" s="66"/>
      <c r="D268" s="66"/>
      <c r="G268" s="67"/>
      <c r="V268" s="67"/>
    </row>
    <row r="269">
      <c r="A269" s="66"/>
      <c r="B269" s="66"/>
      <c r="C269" s="66"/>
      <c r="D269" s="66"/>
      <c r="G269" s="67"/>
      <c r="V269" s="67"/>
    </row>
    <row r="270">
      <c r="A270" s="66"/>
      <c r="B270" s="66"/>
      <c r="C270" s="66"/>
      <c r="D270" s="66"/>
      <c r="G270" s="67"/>
      <c r="V270" s="67"/>
    </row>
    <row r="271">
      <c r="A271" s="66"/>
      <c r="B271" s="66"/>
      <c r="C271" s="66"/>
      <c r="D271" s="66"/>
      <c r="G271" s="67"/>
      <c r="V271" s="67"/>
    </row>
    <row r="272">
      <c r="A272" s="66"/>
      <c r="B272" s="66"/>
      <c r="C272" s="66"/>
      <c r="D272" s="66"/>
      <c r="G272" s="67"/>
      <c r="V272" s="67"/>
    </row>
    <row r="273">
      <c r="A273" s="66"/>
      <c r="B273" s="66"/>
      <c r="C273" s="66"/>
      <c r="D273" s="66"/>
      <c r="G273" s="67"/>
      <c r="V273" s="67"/>
    </row>
    <row r="274">
      <c r="A274" s="66"/>
      <c r="B274" s="66"/>
      <c r="C274" s="66"/>
      <c r="D274" s="66"/>
      <c r="G274" s="67"/>
      <c r="V274" s="67"/>
    </row>
    <row r="275">
      <c r="A275" s="66"/>
      <c r="B275" s="66"/>
      <c r="C275" s="66"/>
      <c r="D275" s="66"/>
      <c r="G275" s="67"/>
      <c r="V275" s="67"/>
    </row>
    <row r="276">
      <c r="A276" s="66"/>
      <c r="B276" s="66"/>
      <c r="C276" s="66"/>
      <c r="D276" s="66"/>
      <c r="G276" s="67"/>
      <c r="V276" s="67"/>
    </row>
    <row r="277">
      <c r="A277" s="66"/>
      <c r="B277" s="66"/>
      <c r="C277" s="66"/>
      <c r="D277" s="66"/>
      <c r="G277" s="67"/>
      <c r="V277" s="67"/>
    </row>
    <row r="278">
      <c r="A278" s="66"/>
      <c r="B278" s="66"/>
      <c r="C278" s="66"/>
      <c r="D278" s="66"/>
      <c r="G278" s="67"/>
      <c r="V278" s="67"/>
    </row>
    <row r="279">
      <c r="A279" s="66"/>
      <c r="B279" s="66"/>
      <c r="C279" s="66"/>
      <c r="D279" s="66"/>
      <c r="G279" s="67"/>
      <c r="V279" s="67"/>
    </row>
    <row r="280">
      <c r="A280" s="66"/>
      <c r="B280" s="66"/>
      <c r="C280" s="66"/>
      <c r="D280" s="66"/>
      <c r="G280" s="67"/>
      <c r="V280" s="67"/>
    </row>
    <row r="281">
      <c r="A281" s="66"/>
      <c r="B281" s="66"/>
      <c r="C281" s="66"/>
      <c r="D281" s="66"/>
      <c r="G281" s="67"/>
      <c r="V281" s="67"/>
    </row>
    <row r="282">
      <c r="A282" s="66"/>
      <c r="B282" s="66"/>
      <c r="C282" s="66"/>
      <c r="D282" s="66"/>
      <c r="G282" s="67"/>
      <c r="V282" s="67"/>
    </row>
    <row r="283">
      <c r="A283" s="66"/>
      <c r="B283" s="66"/>
      <c r="C283" s="66"/>
      <c r="D283" s="66"/>
      <c r="G283" s="67"/>
      <c r="V283" s="67"/>
    </row>
    <row r="284">
      <c r="A284" s="66"/>
      <c r="B284" s="66"/>
      <c r="C284" s="66"/>
      <c r="D284" s="66"/>
      <c r="G284" s="67"/>
      <c r="V284" s="67"/>
    </row>
    <row r="285">
      <c r="A285" s="66"/>
      <c r="B285" s="66"/>
      <c r="C285" s="66"/>
      <c r="D285" s="66"/>
      <c r="G285" s="67"/>
      <c r="V285" s="67"/>
    </row>
    <row r="286">
      <c r="A286" s="66"/>
      <c r="B286" s="66"/>
      <c r="C286" s="66"/>
      <c r="D286" s="66"/>
      <c r="G286" s="67"/>
      <c r="V286" s="67"/>
    </row>
    <row r="287">
      <c r="A287" s="66"/>
      <c r="B287" s="66"/>
      <c r="C287" s="66"/>
      <c r="D287" s="66"/>
      <c r="G287" s="67"/>
      <c r="V287" s="67"/>
    </row>
    <row r="288">
      <c r="A288" s="66"/>
      <c r="B288" s="66"/>
      <c r="C288" s="66"/>
      <c r="D288" s="66"/>
      <c r="G288" s="67"/>
      <c r="V288" s="67"/>
    </row>
    <row r="289">
      <c r="A289" s="66"/>
      <c r="B289" s="66"/>
      <c r="C289" s="66"/>
      <c r="D289" s="66"/>
      <c r="G289" s="67"/>
      <c r="V289" s="67"/>
    </row>
    <row r="290">
      <c r="A290" s="66"/>
      <c r="B290" s="66"/>
      <c r="C290" s="66"/>
      <c r="D290" s="66"/>
      <c r="G290" s="67"/>
      <c r="V290" s="67"/>
    </row>
    <row r="291">
      <c r="A291" s="66"/>
      <c r="B291" s="66"/>
      <c r="C291" s="66"/>
      <c r="D291" s="66"/>
      <c r="G291" s="67"/>
      <c r="V291" s="67"/>
    </row>
    <row r="292">
      <c r="A292" s="66"/>
      <c r="B292" s="66"/>
      <c r="C292" s="66"/>
      <c r="D292" s="66"/>
      <c r="G292" s="67"/>
      <c r="V292" s="67"/>
    </row>
    <row r="293">
      <c r="A293" s="66"/>
      <c r="B293" s="66"/>
      <c r="C293" s="66"/>
      <c r="D293" s="66"/>
      <c r="G293" s="67"/>
      <c r="V293" s="67"/>
    </row>
    <row r="294">
      <c r="A294" s="66"/>
      <c r="B294" s="66"/>
      <c r="C294" s="66"/>
      <c r="D294" s="66"/>
      <c r="G294" s="67"/>
      <c r="V294" s="67"/>
    </row>
    <row r="295">
      <c r="A295" s="66"/>
      <c r="B295" s="66"/>
      <c r="C295" s="66"/>
      <c r="D295" s="66"/>
      <c r="G295" s="67"/>
      <c r="V295" s="67"/>
    </row>
    <row r="296">
      <c r="A296" s="66"/>
      <c r="B296" s="66"/>
      <c r="C296" s="66"/>
      <c r="D296" s="66"/>
      <c r="G296" s="67"/>
      <c r="V296" s="67"/>
    </row>
    <row r="297">
      <c r="A297" s="66"/>
      <c r="B297" s="66"/>
      <c r="C297" s="66"/>
      <c r="D297" s="66"/>
      <c r="G297" s="67"/>
      <c r="V297" s="67"/>
    </row>
    <row r="298">
      <c r="A298" s="66"/>
      <c r="B298" s="66"/>
      <c r="C298" s="66"/>
      <c r="D298" s="66"/>
      <c r="G298" s="67"/>
      <c r="V298" s="67"/>
    </row>
    <row r="299">
      <c r="A299" s="66"/>
      <c r="B299" s="66"/>
      <c r="C299" s="66"/>
      <c r="D299" s="66"/>
      <c r="G299" s="67"/>
      <c r="V299" s="67"/>
    </row>
    <row r="300">
      <c r="A300" s="66"/>
      <c r="B300" s="66"/>
      <c r="C300" s="66"/>
      <c r="D300" s="66"/>
      <c r="G300" s="67"/>
      <c r="V300" s="67"/>
    </row>
    <row r="301">
      <c r="A301" s="66"/>
      <c r="B301" s="66"/>
      <c r="C301" s="66"/>
      <c r="D301" s="66"/>
      <c r="G301" s="67"/>
      <c r="V301" s="67"/>
    </row>
    <row r="302">
      <c r="A302" s="66"/>
      <c r="B302" s="66"/>
      <c r="C302" s="66"/>
      <c r="D302" s="66"/>
      <c r="G302" s="67"/>
      <c r="V302" s="67"/>
    </row>
    <row r="303">
      <c r="A303" s="66"/>
      <c r="B303" s="66"/>
      <c r="C303" s="66"/>
      <c r="D303" s="66"/>
      <c r="G303" s="67"/>
      <c r="V303" s="67"/>
    </row>
    <row r="304">
      <c r="A304" s="66"/>
      <c r="B304" s="66"/>
      <c r="C304" s="66"/>
      <c r="D304" s="66"/>
      <c r="G304" s="67"/>
      <c r="V304" s="67"/>
    </row>
    <row r="305">
      <c r="A305" s="66"/>
      <c r="B305" s="66"/>
      <c r="C305" s="66"/>
      <c r="D305" s="66"/>
      <c r="G305" s="67"/>
      <c r="V305" s="67"/>
    </row>
    <row r="306">
      <c r="A306" s="66"/>
      <c r="B306" s="66"/>
      <c r="C306" s="66"/>
      <c r="D306" s="66"/>
      <c r="G306" s="67"/>
      <c r="V306" s="67"/>
    </row>
    <row r="307">
      <c r="A307" s="66"/>
      <c r="B307" s="66"/>
      <c r="C307" s="66"/>
      <c r="D307" s="66"/>
      <c r="G307" s="67"/>
      <c r="V307" s="67"/>
    </row>
    <row r="308">
      <c r="A308" s="66"/>
      <c r="B308" s="66"/>
      <c r="C308" s="66"/>
      <c r="D308" s="66"/>
      <c r="G308" s="67"/>
      <c r="V308" s="67"/>
    </row>
    <row r="309">
      <c r="A309" s="66"/>
      <c r="B309" s="66"/>
      <c r="C309" s="66"/>
      <c r="D309" s="66"/>
      <c r="G309" s="67"/>
      <c r="V309" s="67"/>
    </row>
    <row r="310">
      <c r="A310" s="66"/>
      <c r="B310" s="66"/>
      <c r="C310" s="66"/>
      <c r="D310" s="66"/>
      <c r="G310" s="67"/>
      <c r="V310" s="67"/>
    </row>
    <row r="311">
      <c r="A311" s="66"/>
      <c r="B311" s="66"/>
      <c r="C311" s="66"/>
      <c r="D311" s="66"/>
      <c r="G311" s="67"/>
      <c r="V311" s="67"/>
    </row>
    <row r="312">
      <c r="A312" s="66"/>
      <c r="B312" s="66"/>
      <c r="C312" s="66"/>
      <c r="D312" s="66"/>
      <c r="G312" s="67"/>
      <c r="V312" s="67"/>
    </row>
    <row r="313">
      <c r="A313" s="66"/>
      <c r="B313" s="66"/>
      <c r="C313" s="66"/>
      <c r="D313" s="66"/>
      <c r="G313" s="67"/>
      <c r="V313" s="67"/>
    </row>
    <row r="314">
      <c r="A314" s="66"/>
      <c r="B314" s="66"/>
      <c r="C314" s="66"/>
      <c r="D314" s="66"/>
      <c r="G314" s="67"/>
      <c r="V314" s="67"/>
    </row>
    <row r="315">
      <c r="A315" s="66"/>
      <c r="B315" s="66"/>
      <c r="C315" s="66"/>
      <c r="D315" s="66"/>
      <c r="G315" s="67"/>
      <c r="V315" s="67"/>
    </row>
    <row r="316">
      <c r="A316" s="66"/>
      <c r="B316" s="66"/>
      <c r="C316" s="66"/>
      <c r="D316" s="66"/>
      <c r="G316" s="67"/>
      <c r="V316" s="67"/>
    </row>
    <row r="317">
      <c r="A317" s="66"/>
      <c r="B317" s="66"/>
      <c r="C317" s="66"/>
      <c r="D317" s="66"/>
      <c r="G317" s="67"/>
      <c r="V317" s="67"/>
    </row>
    <row r="318">
      <c r="A318" s="66"/>
      <c r="B318" s="66"/>
      <c r="C318" s="66"/>
      <c r="D318" s="66"/>
      <c r="G318" s="67"/>
      <c r="V318" s="67"/>
    </row>
    <row r="319">
      <c r="A319" s="66"/>
      <c r="B319" s="66"/>
      <c r="C319" s="66"/>
      <c r="D319" s="66"/>
      <c r="G319" s="67"/>
      <c r="V319" s="67"/>
    </row>
    <row r="320">
      <c r="A320" s="66"/>
      <c r="B320" s="66"/>
      <c r="C320" s="66"/>
      <c r="D320" s="66"/>
      <c r="G320" s="67"/>
      <c r="V320" s="67"/>
    </row>
    <row r="321">
      <c r="A321" s="66"/>
      <c r="B321" s="66"/>
      <c r="C321" s="66"/>
      <c r="D321" s="66"/>
      <c r="G321" s="67"/>
      <c r="V321" s="67"/>
    </row>
    <row r="322">
      <c r="A322" s="66"/>
      <c r="B322" s="66"/>
      <c r="C322" s="66"/>
      <c r="D322" s="66"/>
      <c r="G322" s="67"/>
      <c r="V322" s="67"/>
    </row>
    <row r="323">
      <c r="A323" s="66"/>
      <c r="B323" s="66"/>
      <c r="C323" s="66"/>
      <c r="D323" s="66"/>
      <c r="G323" s="67"/>
      <c r="V323" s="67"/>
    </row>
    <row r="324">
      <c r="A324" s="66"/>
      <c r="B324" s="66"/>
      <c r="C324" s="66"/>
      <c r="D324" s="66"/>
      <c r="G324" s="67"/>
      <c r="V324" s="67"/>
    </row>
    <row r="325">
      <c r="A325" s="66"/>
      <c r="B325" s="66"/>
      <c r="C325" s="66"/>
      <c r="D325" s="66"/>
      <c r="G325" s="67"/>
      <c r="V325" s="67"/>
    </row>
    <row r="326">
      <c r="A326" s="66"/>
      <c r="B326" s="66"/>
      <c r="C326" s="66"/>
      <c r="D326" s="66"/>
      <c r="G326" s="67"/>
      <c r="V326" s="67"/>
    </row>
    <row r="327">
      <c r="A327" s="66"/>
      <c r="B327" s="66"/>
      <c r="C327" s="66"/>
      <c r="D327" s="66"/>
      <c r="G327" s="67"/>
      <c r="V327" s="67"/>
    </row>
    <row r="328">
      <c r="A328" s="66"/>
      <c r="B328" s="66"/>
      <c r="C328" s="66"/>
      <c r="D328" s="66"/>
      <c r="G328" s="67"/>
      <c r="V328" s="67"/>
    </row>
    <row r="329">
      <c r="A329" s="66"/>
      <c r="B329" s="66"/>
      <c r="C329" s="66"/>
      <c r="D329" s="66"/>
      <c r="G329" s="67"/>
      <c r="V329" s="67"/>
    </row>
    <row r="330">
      <c r="A330" s="66"/>
      <c r="B330" s="66"/>
      <c r="C330" s="66"/>
      <c r="D330" s="66"/>
      <c r="G330" s="67"/>
      <c r="V330" s="67"/>
    </row>
    <row r="331">
      <c r="A331" s="66"/>
      <c r="B331" s="66"/>
      <c r="C331" s="66"/>
      <c r="D331" s="66"/>
      <c r="G331" s="67"/>
      <c r="V331" s="67"/>
    </row>
    <row r="332">
      <c r="A332" s="66"/>
      <c r="B332" s="66"/>
      <c r="C332" s="66"/>
      <c r="D332" s="66"/>
      <c r="G332" s="67"/>
      <c r="V332" s="67"/>
    </row>
    <row r="333">
      <c r="A333" s="66"/>
      <c r="B333" s="66"/>
      <c r="C333" s="66"/>
      <c r="D333" s="66"/>
      <c r="G333" s="67"/>
      <c r="V333" s="67"/>
    </row>
    <row r="334">
      <c r="A334" s="66"/>
      <c r="B334" s="66"/>
      <c r="C334" s="66"/>
      <c r="D334" s="66"/>
      <c r="G334" s="67"/>
      <c r="V334" s="67"/>
    </row>
    <row r="335">
      <c r="A335" s="66"/>
      <c r="B335" s="66"/>
      <c r="C335" s="66"/>
      <c r="D335" s="66"/>
      <c r="G335" s="67"/>
      <c r="V335" s="67"/>
    </row>
    <row r="336">
      <c r="A336" s="66"/>
      <c r="B336" s="66"/>
      <c r="C336" s="66"/>
      <c r="D336" s="66"/>
      <c r="G336" s="67"/>
      <c r="V336" s="67"/>
    </row>
    <row r="337">
      <c r="A337" s="66"/>
      <c r="B337" s="66"/>
      <c r="C337" s="66"/>
      <c r="D337" s="66"/>
      <c r="G337" s="67"/>
      <c r="V337" s="67"/>
    </row>
    <row r="338">
      <c r="A338" s="66"/>
      <c r="B338" s="66"/>
      <c r="C338" s="66"/>
      <c r="D338" s="66"/>
      <c r="G338" s="67"/>
      <c r="V338" s="67"/>
    </row>
    <row r="339">
      <c r="A339" s="66"/>
      <c r="B339" s="66"/>
      <c r="C339" s="66"/>
      <c r="D339" s="66"/>
      <c r="G339" s="67"/>
      <c r="V339" s="67"/>
    </row>
    <row r="340">
      <c r="A340" s="66"/>
      <c r="B340" s="66"/>
      <c r="C340" s="66"/>
      <c r="D340" s="66"/>
      <c r="G340" s="67"/>
      <c r="V340" s="67"/>
    </row>
    <row r="341">
      <c r="A341" s="66"/>
      <c r="B341" s="66"/>
      <c r="C341" s="66"/>
      <c r="D341" s="66"/>
      <c r="G341" s="67"/>
      <c r="V341" s="67"/>
    </row>
    <row r="342">
      <c r="A342" s="66"/>
      <c r="B342" s="66"/>
      <c r="C342" s="66"/>
      <c r="D342" s="66"/>
      <c r="G342" s="67"/>
      <c r="V342" s="67"/>
    </row>
    <row r="343">
      <c r="A343" s="66"/>
      <c r="B343" s="66"/>
      <c r="C343" s="66"/>
      <c r="D343" s="66"/>
      <c r="G343" s="67"/>
      <c r="V343" s="67"/>
    </row>
    <row r="344">
      <c r="A344" s="66"/>
      <c r="B344" s="66"/>
      <c r="C344" s="66"/>
      <c r="D344" s="66"/>
      <c r="G344" s="67"/>
      <c r="V344" s="67"/>
    </row>
    <row r="345">
      <c r="A345" s="66"/>
      <c r="B345" s="66"/>
      <c r="C345" s="66"/>
      <c r="D345" s="66"/>
      <c r="G345" s="67"/>
      <c r="V345" s="67"/>
    </row>
    <row r="346">
      <c r="A346" s="66"/>
      <c r="B346" s="66"/>
      <c r="C346" s="66"/>
      <c r="D346" s="66"/>
      <c r="G346" s="67"/>
      <c r="V346" s="67"/>
    </row>
    <row r="347">
      <c r="A347" s="66"/>
      <c r="B347" s="66"/>
      <c r="C347" s="66"/>
      <c r="D347" s="66"/>
      <c r="G347" s="67"/>
      <c r="V347" s="67"/>
    </row>
    <row r="348">
      <c r="A348" s="66"/>
      <c r="B348" s="66"/>
      <c r="C348" s="66"/>
      <c r="D348" s="66"/>
      <c r="G348" s="67"/>
      <c r="V348" s="67"/>
    </row>
    <row r="349">
      <c r="A349" s="66"/>
      <c r="B349" s="66"/>
      <c r="C349" s="66"/>
      <c r="D349" s="66"/>
      <c r="G349" s="67"/>
      <c r="V349" s="67"/>
    </row>
    <row r="350">
      <c r="A350" s="66"/>
      <c r="B350" s="66"/>
      <c r="C350" s="66"/>
      <c r="D350" s="66"/>
      <c r="G350" s="67"/>
      <c r="V350" s="67"/>
    </row>
    <row r="351">
      <c r="A351" s="66"/>
      <c r="B351" s="66"/>
      <c r="C351" s="66"/>
      <c r="D351" s="66"/>
      <c r="G351" s="67"/>
      <c r="V351" s="67"/>
    </row>
    <row r="352">
      <c r="A352" s="66"/>
      <c r="B352" s="66"/>
      <c r="C352" s="66"/>
      <c r="D352" s="66"/>
      <c r="G352" s="67"/>
      <c r="V352" s="67"/>
    </row>
    <row r="353">
      <c r="A353" s="66"/>
      <c r="B353" s="66"/>
      <c r="C353" s="66"/>
      <c r="D353" s="66"/>
      <c r="G353" s="67"/>
      <c r="V353" s="67"/>
    </row>
    <row r="354">
      <c r="A354" s="66"/>
      <c r="B354" s="66"/>
      <c r="C354" s="66"/>
      <c r="D354" s="66"/>
      <c r="G354" s="67"/>
      <c r="V354" s="67"/>
    </row>
    <row r="355">
      <c r="A355" s="66"/>
      <c r="B355" s="66"/>
      <c r="C355" s="66"/>
      <c r="D355" s="66"/>
      <c r="G355" s="67"/>
      <c r="V355" s="67"/>
    </row>
    <row r="356">
      <c r="A356" s="66"/>
      <c r="B356" s="66"/>
      <c r="C356" s="66"/>
      <c r="D356" s="66"/>
      <c r="G356" s="67"/>
      <c r="V356" s="67"/>
    </row>
    <row r="357">
      <c r="A357" s="66"/>
      <c r="B357" s="66"/>
      <c r="C357" s="66"/>
      <c r="D357" s="66"/>
      <c r="G357" s="67"/>
      <c r="V357" s="67"/>
    </row>
    <row r="358">
      <c r="A358" s="66"/>
      <c r="B358" s="66"/>
      <c r="C358" s="66"/>
      <c r="D358" s="66"/>
      <c r="G358" s="67"/>
      <c r="V358" s="67"/>
    </row>
    <row r="359">
      <c r="A359" s="66"/>
      <c r="B359" s="66"/>
      <c r="C359" s="66"/>
      <c r="D359" s="66"/>
      <c r="G359" s="67"/>
      <c r="V359" s="67"/>
    </row>
    <row r="360">
      <c r="A360" s="66"/>
      <c r="B360" s="66"/>
      <c r="C360" s="66"/>
      <c r="D360" s="66"/>
      <c r="G360" s="67"/>
      <c r="V360" s="67"/>
    </row>
    <row r="361">
      <c r="A361" s="66"/>
      <c r="B361" s="66"/>
      <c r="C361" s="66"/>
      <c r="D361" s="66"/>
      <c r="G361" s="67"/>
      <c r="V361" s="67"/>
    </row>
    <row r="362">
      <c r="A362" s="66"/>
      <c r="B362" s="66"/>
      <c r="C362" s="66"/>
      <c r="D362" s="66"/>
      <c r="G362" s="67"/>
      <c r="V362" s="67"/>
    </row>
    <row r="363">
      <c r="A363" s="66"/>
      <c r="B363" s="66"/>
      <c r="C363" s="66"/>
      <c r="D363" s="66"/>
      <c r="G363" s="67"/>
      <c r="V363" s="67"/>
    </row>
    <row r="364">
      <c r="A364" s="66"/>
      <c r="B364" s="66"/>
      <c r="C364" s="66"/>
      <c r="D364" s="66"/>
      <c r="G364" s="67"/>
      <c r="V364" s="67"/>
    </row>
    <row r="365">
      <c r="A365" s="66"/>
      <c r="B365" s="66"/>
      <c r="C365" s="66"/>
      <c r="D365" s="66"/>
      <c r="G365" s="67"/>
      <c r="V365" s="67"/>
    </row>
    <row r="366">
      <c r="A366" s="66"/>
      <c r="B366" s="66"/>
      <c r="C366" s="66"/>
      <c r="D366" s="66"/>
      <c r="G366" s="67"/>
      <c r="V366" s="67"/>
    </row>
    <row r="367">
      <c r="A367" s="66"/>
      <c r="B367" s="66"/>
      <c r="C367" s="66"/>
      <c r="D367" s="66"/>
      <c r="G367" s="67"/>
      <c r="V367" s="67"/>
    </row>
    <row r="368">
      <c r="A368" s="66"/>
      <c r="B368" s="66"/>
      <c r="C368" s="66"/>
      <c r="D368" s="66"/>
      <c r="G368" s="67"/>
      <c r="V368" s="67"/>
    </row>
    <row r="369">
      <c r="A369" s="66"/>
      <c r="B369" s="66"/>
      <c r="C369" s="66"/>
      <c r="D369" s="66"/>
      <c r="G369" s="67"/>
      <c r="V369" s="67"/>
    </row>
    <row r="370">
      <c r="A370" s="66"/>
      <c r="B370" s="66"/>
      <c r="C370" s="66"/>
      <c r="D370" s="66"/>
      <c r="G370" s="67"/>
      <c r="V370" s="67"/>
    </row>
    <row r="371">
      <c r="A371" s="66"/>
      <c r="B371" s="66"/>
      <c r="C371" s="66"/>
      <c r="D371" s="66"/>
      <c r="G371" s="67"/>
      <c r="V371" s="67"/>
    </row>
    <row r="372">
      <c r="A372" s="66"/>
      <c r="B372" s="66"/>
      <c r="C372" s="66"/>
      <c r="D372" s="66"/>
      <c r="G372" s="67"/>
      <c r="V372" s="67"/>
    </row>
    <row r="373">
      <c r="A373" s="66"/>
      <c r="B373" s="66"/>
      <c r="C373" s="66"/>
      <c r="D373" s="66"/>
      <c r="G373" s="67"/>
      <c r="V373" s="67"/>
    </row>
    <row r="374">
      <c r="A374" s="66"/>
      <c r="B374" s="66"/>
      <c r="C374" s="66"/>
      <c r="D374" s="66"/>
      <c r="G374" s="67"/>
      <c r="V374" s="67"/>
    </row>
    <row r="375">
      <c r="A375" s="66"/>
      <c r="B375" s="66"/>
      <c r="C375" s="66"/>
      <c r="D375" s="66"/>
      <c r="G375" s="67"/>
      <c r="V375" s="67"/>
    </row>
    <row r="376">
      <c r="A376" s="66"/>
      <c r="B376" s="66"/>
      <c r="C376" s="66"/>
      <c r="D376" s="66"/>
      <c r="G376" s="67"/>
      <c r="V376" s="67"/>
    </row>
    <row r="377">
      <c r="A377" s="66"/>
      <c r="B377" s="66"/>
      <c r="C377" s="66"/>
      <c r="D377" s="66"/>
      <c r="G377" s="67"/>
      <c r="V377" s="67"/>
    </row>
    <row r="378">
      <c r="A378" s="66"/>
      <c r="B378" s="66"/>
      <c r="C378" s="66"/>
      <c r="D378" s="66"/>
      <c r="G378" s="67"/>
      <c r="V378" s="67"/>
    </row>
    <row r="379">
      <c r="A379" s="66"/>
      <c r="B379" s="66"/>
      <c r="C379" s="66"/>
      <c r="D379" s="66"/>
      <c r="G379" s="67"/>
      <c r="V379" s="67"/>
    </row>
    <row r="380">
      <c r="A380" s="66"/>
      <c r="B380" s="66"/>
      <c r="C380" s="66"/>
      <c r="D380" s="66"/>
      <c r="G380" s="67"/>
      <c r="V380" s="67"/>
    </row>
    <row r="381">
      <c r="A381" s="66"/>
      <c r="B381" s="66"/>
      <c r="C381" s="66"/>
      <c r="D381" s="66"/>
      <c r="G381" s="67"/>
      <c r="V381" s="67"/>
    </row>
    <row r="382">
      <c r="A382" s="66"/>
      <c r="B382" s="66"/>
      <c r="C382" s="66"/>
      <c r="D382" s="66"/>
      <c r="G382" s="67"/>
      <c r="V382" s="67"/>
    </row>
    <row r="383">
      <c r="A383" s="66"/>
      <c r="B383" s="66"/>
      <c r="C383" s="66"/>
      <c r="D383" s="66"/>
      <c r="G383" s="67"/>
      <c r="V383" s="67"/>
    </row>
    <row r="384">
      <c r="A384" s="66"/>
      <c r="B384" s="66"/>
      <c r="C384" s="66"/>
      <c r="D384" s="66"/>
      <c r="G384" s="67"/>
      <c r="V384" s="67"/>
    </row>
    <row r="385">
      <c r="A385" s="66"/>
      <c r="B385" s="66"/>
      <c r="C385" s="66"/>
      <c r="D385" s="66"/>
      <c r="G385" s="67"/>
      <c r="V385" s="67"/>
    </row>
    <row r="386">
      <c r="A386" s="66"/>
      <c r="B386" s="66"/>
      <c r="C386" s="66"/>
      <c r="D386" s="66"/>
      <c r="G386" s="67"/>
      <c r="V386" s="67"/>
    </row>
    <row r="387">
      <c r="A387" s="66"/>
      <c r="B387" s="66"/>
      <c r="C387" s="66"/>
      <c r="D387" s="66"/>
      <c r="G387" s="67"/>
      <c r="V387" s="67"/>
    </row>
    <row r="388">
      <c r="A388" s="66"/>
      <c r="B388" s="66"/>
      <c r="C388" s="66"/>
      <c r="D388" s="66"/>
      <c r="G388" s="67"/>
      <c r="V388" s="67"/>
    </row>
    <row r="389">
      <c r="A389" s="66"/>
      <c r="B389" s="66"/>
      <c r="C389" s="66"/>
      <c r="D389" s="66"/>
      <c r="G389" s="67"/>
      <c r="V389" s="67"/>
    </row>
    <row r="390">
      <c r="A390" s="66"/>
      <c r="B390" s="66"/>
      <c r="C390" s="66"/>
      <c r="D390" s="66"/>
      <c r="G390" s="67"/>
      <c r="V390" s="67"/>
    </row>
    <row r="391">
      <c r="A391" s="66"/>
      <c r="B391" s="66"/>
      <c r="C391" s="66"/>
      <c r="D391" s="66"/>
      <c r="G391" s="67"/>
      <c r="V391" s="67"/>
    </row>
    <row r="392">
      <c r="A392" s="66"/>
      <c r="B392" s="66"/>
      <c r="C392" s="66"/>
      <c r="D392" s="66"/>
      <c r="G392" s="67"/>
      <c r="V392" s="67"/>
    </row>
    <row r="393">
      <c r="A393" s="66"/>
      <c r="B393" s="66"/>
      <c r="C393" s="66"/>
      <c r="D393" s="66"/>
      <c r="G393" s="67"/>
      <c r="V393" s="67"/>
    </row>
    <row r="394">
      <c r="A394" s="66"/>
      <c r="B394" s="66"/>
      <c r="C394" s="66"/>
      <c r="D394" s="66"/>
      <c r="G394" s="67"/>
      <c r="V394" s="67"/>
    </row>
    <row r="395">
      <c r="A395" s="66"/>
      <c r="B395" s="66"/>
      <c r="C395" s="66"/>
      <c r="D395" s="66"/>
      <c r="G395" s="67"/>
      <c r="V395" s="67"/>
    </row>
    <row r="396">
      <c r="A396" s="66"/>
      <c r="B396" s="66"/>
      <c r="C396" s="66"/>
      <c r="D396" s="66"/>
      <c r="G396" s="67"/>
      <c r="V396" s="67"/>
    </row>
    <row r="397">
      <c r="A397" s="66"/>
      <c r="B397" s="66"/>
      <c r="C397" s="66"/>
      <c r="D397" s="66"/>
      <c r="G397" s="67"/>
      <c r="V397" s="67"/>
    </row>
    <row r="398">
      <c r="A398" s="66"/>
      <c r="B398" s="66"/>
      <c r="C398" s="66"/>
      <c r="D398" s="66"/>
      <c r="G398" s="67"/>
      <c r="V398" s="67"/>
    </row>
    <row r="399">
      <c r="A399" s="66"/>
      <c r="B399" s="66"/>
      <c r="C399" s="66"/>
      <c r="D399" s="66"/>
      <c r="G399" s="67"/>
      <c r="V399" s="67"/>
    </row>
    <row r="400">
      <c r="A400" s="66"/>
      <c r="B400" s="66"/>
      <c r="C400" s="66"/>
      <c r="D400" s="66"/>
      <c r="G400" s="67"/>
      <c r="V400" s="67"/>
    </row>
    <row r="401">
      <c r="A401" s="66"/>
      <c r="B401" s="66"/>
      <c r="C401" s="66"/>
      <c r="D401" s="66"/>
      <c r="G401" s="67"/>
      <c r="V401" s="67"/>
    </row>
    <row r="402">
      <c r="A402" s="66"/>
      <c r="B402" s="66"/>
      <c r="C402" s="66"/>
      <c r="D402" s="66"/>
      <c r="G402" s="67"/>
      <c r="V402" s="67"/>
    </row>
    <row r="403">
      <c r="A403" s="66"/>
      <c r="B403" s="66"/>
      <c r="C403" s="66"/>
      <c r="D403" s="66"/>
      <c r="G403" s="67"/>
      <c r="V403" s="67"/>
    </row>
    <row r="404">
      <c r="A404" s="66"/>
      <c r="B404" s="66"/>
      <c r="C404" s="66"/>
      <c r="D404" s="66"/>
      <c r="G404" s="67"/>
      <c r="V404" s="67"/>
    </row>
    <row r="405">
      <c r="A405" s="66"/>
      <c r="B405" s="66"/>
      <c r="C405" s="66"/>
      <c r="D405" s="66"/>
      <c r="G405" s="67"/>
      <c r="V405" s="67"/>
    </row>
    <row r="406">
      <c r="A406" s="66"/>
      <c r="B406" s="66"/>
      <c r="C406" s="66"/>
      <c r="D406" s="66"/>
      <c r="G406" s="67"/>
      <c r="V406" s="67"/>
    </row>
    <row r="407">
      <c r="A407" s="66"/>
      <c r="B407" s="66"/>
      <c r="C407" s="66"/>
      <c r="D407" s="66"/>
      <c r="G407" s="67"/>
      <c r="V407" s="67"/>
    </row>
    <row r="408">
      <c r="A408" s="66"/>
      <c r="B408" s="66"/>
      <c r="C408" s="66"/>
      <c r="D408" s="66"/>
      <c r="G408" s="67"/>
      <c r="V408" s="67"/>
    </row>
    <row r="409">
      <c r="A409" s="66"/>
      <c r="B409" s="66"/>
      <c r="C409" s="66"/>
      <c r="D409" s="66"/>
      <c r="G409" s="67"/>
      <c r="V409" s="67"/>
    </row>
    <row r="410">
      <c r="A410" s="66"/>
      <c r="B410" s="66"/>
      <c r="C410" s="66"/>
      <c r="D410" s="66"/>
      <c r="G410" s="67"/>
      <c r="V410" s="67"/>
    </row>
    <row r="411">
      <c r="A411" s="66"/>
      <c r="B411" s="66"/>
      <c r="C411" s="66"/>
      <c r="D411" s="66"/>
      <c r="G411" s="67"/>
      <c r="V411" s="67"/>
    </row>
    <row r="412">
      <c r="A412" s="66"/>
      <c r="B412" s="66"/>
      <c r="C412" s="66"/>
      <c r="D412" s="66"/>
      <c r="G412" s="67"/>
      <c r="V412" s="67"/>
    </row>
    <row r="413">
      <c r="A413" s="66"/>
      <c r="B413" s="66"/>
      <c r="C413" s="66"/>
      <c r="D413" s="66"/>
      <c r="G413" s="67"/>
      <c r="V413" s="67"/>
    </row>
    <row r="414">
      <c r="A414" s="66"/>
      <c r="B414" s="66"/>
      <c r="C414" s="66"/>
      <c r="D414" s="66"/>
      <c r="G414" s="67"/>
      <c r="V414" s="67"/>
    </row>
    <row r="415">
      <c r="A415" s="66"/>
      <c r="B415" s="66"/>
      <c r="C415" s="66"/>
      <c r="D415" s="66"/>
      <c r="G415" s="67"/>
      <c r="V415" s="67"/>
    </row>
    <row r="416">
      <c r="A416" s="66"/>
      <c r="B416" s="66"/>
      <c r="C416" s="66"/>
      <c r="D416" s="66"/>
      <c r="G416" s="67"/>
      <c r="V416" s="67"/>
    </row>
    <row r="417">
      <c r="A417" s="66"/>
      <c r="B417" s="66"/>
      <c r="C417" s="66"/>
      <c r="D417" s="66"/>
      <c r="G417" s="67"/>
      <c r="V417" s="67"/>
    </row>
    <row r="418">
      <c r="A418" s="66"/>
      <c r="B418" s="66"/>
      <c r="C418" s="66"/>
      <c r="D418" s="66"/>
      <c r="G418" s="67"/>
      <c r="V418" s="67"/>
    </row>
    <row r="419">
      <c r="A419" s="66"/>
      <c r="B419" s="66"/>
      <c r="C419" s="66"/>
      <c r="D419" s="66"/>
      <c r="G419" s="67"/>
      <c r="V419" s="67"/>
    </row>
    <row r="420">
      <c r="A420" s="66"/>
      <c r="B420" s="66"/>
      <c r="C420" s="66"/>
      <c r="D420" s="66"/>
      <c r="G420" s="67"/>
      <c r="V420" s="67"/>
    </row>
    <row r="421">
      <c r="A421" s="66"/>
      <c r="B421" s="66"/>
      <c r="C421" s="66"/>
      <c r="D421" s="66"/>
      <c r="G421" s="67"/>
      <c r="V421" s="67"/>
    </row>
    <row r="422">
      <c r="A422" s="66"/>
      <c r="B422" s="66"/>
      <c r="C422" s="66"/>
      <c r="D422" s="66"/>
      <c r="G422" s="67"/>
      <c r="V422" s="67"/>
    </row>
    <row r="423">
      <c r="A423" s="66"/>
      <c r="B423" s="66"/>
      <c r="C423" s="66"/>
      <c r="D423" s="66"/>
      <c r="G423" s="67"/>
      <c r="V423" s="67"/>
    </row>
    <row r="424">
      <c r="A424" s="66"/>
      <c r="B424" s="66"/>
      <c r="C424" s="66"/>
      <c r="D424" s="66"/>
      <c r="G424" s="67"/>
      <c r="V424" s="67"/>
    </row>
    <row r="425">
      <c r="A425" s="66"/>
      <c r="B425" s="66"/>
      <c r="C425" s="66"/>
      <c r="D425" s="66"/>
      <c r="G425" s="67"/>
      <c r="V425" s="67"/>
    </row>
    <row r="426">
      <c r="A426" s="66"/>
      <c r="B426" s="66"/>
      <c r="C426" s="66"/>
      <c r="D426" s="66"/>
      <c r="G426" s="67"/>
      <c r="V426" s="67"/>
    </row>
    <row r="427">
      <c r="A427" s="66"/>
      <c r="B427" s="66"/>
      <c r="C427" s="66"/>
      <c r="D427" s="66"/>
      <c r="G427" s="67"/>
      <c r="V427" s="67"/>
    </row>
    <row r="428">
      <c r="A428" s="66"/>
      <c r="B428" s="66"/>
      <c r="C428" s="66"/>
      <c r="D428" s="66"/>
      <c r="G428" s="67"/>
      <c r="V428" s="67"/>
    </row>
    <row r="429">
      <c r="A429" s="66"/>
      <c r="B429" s="66"/>
      <c r="C429" s="66"/>
      <c r="D429" s="66"/>
      <c r="G429" s="67"/>
      <c r="V429" s="67"/>
    </row>
    <row r="430">
      <c r="A430" s="66"/>
      <c r="B430" s="66"/>
      <c r="C430" s="66"/>
      <c r="D430" s="66"/>
      <c r="G430" s="67"/>
      <c r="V430" s="67"/>
    </row>
    <row r="431">
      <c r="A431" s="66"/>
      <c r="B431" s="66"/>
      <c r="C431" s="66"/>
      <c r="D431" s="66"/>
      <c r="G431" s="67"/>
      <c r="V431" s="67"/>
    </row>
    <row r="432">
      <c r="A432" s="66"/>
      <c r="B432" s="66"/>
      <c r="C432" s="66"/>
      <c r="D432" s="66"/>
      <c r="G432" s="67"/>
      <c r="V432" s="67"/>
    </row>
    <row r="433">
      <c r="A433" s="66"/>
      <c r="B433" s="66"/>
      <c r="C433" s="66"/>
      <c r="D433" s="66"/>
      <c r="G433" s="67"/>
      <c r="V433" s="67"/>
    </row>
    <row r="434">
      <c r="A434" s="66"/>
      <c r="B434" s="66"/>
      <c r="C434" s="66"/>
      <c r="D434" s="66"/>
      <c r="G434" s="67"/>
      <c r="V434" s="67"/>
    </row>
    <row r="435">
      <c r="A435" s="66"/>
      <c r="B435" s="66"/>
      <c r="C435" s="66"/>
      <c r="D435" s="66"/>
      <c r="G435" s="67"/>
      <c r="V435" s="67"/>
    </row>
    <row r="436">
      <c r="A436" s="66"/>
      <c r="B436" s="66"/>
      <c r="C436" s="66"/>
      <c r="D436" s="66"/>
      <c r="G436" s="67"/>
      <c r="V436" s="67"/>
    </row>
    <row r="437">
      <c r="A437" s="66"/>
      <c r="B437" s="66"/>
      <c r="C437" s="66"/>
      <c r="D437" s="66"/>
      <c r="G437" s="67"/>
      <c r="V437" s="67"/>
    </row>
    <row r="438">
      <c r="A438" s="66"/>
      <c r="B438" s="66"/>
      <c r="C438" s="66"/>
      <c r="D438" s="66"/>
      <c r="G438" s="67"/>
      <c r="V438" s="67"/>
    </row>
    <row r="439">
      <c r="A439" s="66"/>
      <c r="B439" s="66"/>
      <c r="C439" s="66"/>
      <c r="D439" s="66"/>
      <c r="G439" s="67"/>
      <c r="V439" s="67"/>
    </row>
    <row r="440">
      <c r="A440" s="66"/>
      <c r="B440" s="66"/>
      <c r="C440" s="66"/>
      <c r="D440" s="66"/>
      <c r="G440" s="67"/>
      <c r="V440" s="67"/>
    </row>
    <row r="441">
      <c r="A441" s="66"/>
      <c r="B441" s="66"/>
      <c r="C441" s="66"/>
      <c r="D441" s="66"/>
      <c r="G441" s="67"/>
      <c r="V441" s="67"/>
    </row>
    <row r="442">
      <c r="A442" s="66"/>
      <c r="B442" s="66"/>
      <c r="C442" s="66"/>
      <c r="D442" s="66"/>
      <c r="G442" s="67"/>
      <c r="V442" s="67"/>
    </row>
    <row r="443">
      <c r="A443" s="66"/>
      <c r="B443" s="66"/>
      <c r="C443" s="66"/>
      <c r="D443" s="66"/>
      <c r="G443" s="67"/>
      <c r="V443" s="67"/>
    </row>
    <row r="444">
      <c r="A444" s="66"/>
      <c r="B444" s="66"/>
      <c r="C444" s="66"/>
      <c r="D444" s="66"/>
      <c r="G444" s="67"/>
      <c r="V444" s="67"/>
    </row>
    <row r="445">
      <c r="A445" s="66"/>
      <c r="B445" s="66"/>
      <c r="C445" s="66"/>
      <c r="D445" s="66"/>
      <c r="G445" s="67"/>
      <c r="V445" s="67"/>
    </row>
    <row r="446">
      <c r="A446" s="66"/>
      <c r="B446" s="66"/>
      <c r="C446" s="66"/>
      <c r="D446" s="66"/>
      <c r="G446" s="67"/>
      <c r="V446" s="67"/>
    </row>
    <row r="447">
      <c r="A447" s="66"/>
      <c r="B447" s="66"/>
      <c r="C447" s="66"/>
      <c r="D447" s="66"/>
      <c r="G447" s="67"/>
      <c r="V447" s="67"/>
    </row>
    <row r="448">
      <c r="A448" s="66"/>
      <c r="B448" s="66"/>
      <c r="C448" s="66"/>
      <c r="D448" s="66"/>
      <c r="G448" s="67"/>
      <c r="V448" s="67"/>
    </row>
    <row r="449">
      <c r="A449" s="66"/>
      <c r="B449" s="66"/>
      <c r="C449" s="66"/>
      <c r="D449" s="66"/>
      <c r="G449" s="67"/>
      <c r="V449" s="67"/>
    </row>
    <row r="450">
      <c r="A450" s="66"/>
      <c r="B450" s="66"/>
      <c r="C450" s="66"/>
      <c r="D450" s="66"/>
      <c r="G450" s="67"/>
      <c r="V450" s="67"/>
    </row>
    <row r="451">
      <c r="A451" s="66"/>
      <c r="B451" s="66"/>
      <c r="C451" s="66"/>
      <c r="D451" s="66"/>
      <c r="G451" s="67"/>
      <c r="V451" s="67"/>
    </row>
    <row r="452">
      <c r="A452" s="66"/>
      <c r="B452" s="66"/>
      <c r="C452" s="66"/>
      <c r="D452" s="66"/>
      <c r="G452" s="67"/>
      <c r="V452" s="67"/>
    </row>
    <row r="453">
      <c r="A453" s="66"/>
      <c r="B453" s="66"/>
      <c r="C453" s="66"/>
      <c r="D453" s="66"/>
      <c r="G453" s="67"/>
      <c r="V453" s="67"/>
    </row>
    <row r="454">
      <c r="A454" s="66"/>
      <c r="B454" s="66"/>
      <c r="C454" s="66"/>
      <c r="D454" s="66"/>
      <c r="G454" s="67"/>
      <c r="V454" s="67"/>
    </row>
    <row r="455">
      <c r="A455" s="66"/>
      <c r="B455" s="66"/>
      <c r="C455" s="66"/>
      <c r="D455" s="66"/>
      <c r="G455" s="67"/>
      <c r="V455" s="67"/>
    </row>
    <row r="456">
      <c r="A456" s="66"/>
      <c r="B456" s="66"/>
      <c r="C456" s="66"/>
      <c r="D456" s="66"/>
      <c r="G456" s="67"/>
      <c r="V456" s="67"/>
    </row>
    <row r="457">
      <c r="A457" s="66"/>
      <c r="B457" s="66"/>
      <c r="C457" s="66"/>
      <c r="D457" s="66"/>
      <c r="G457" s="67"/>
      <c r="V457" s="67"/>
    </row>
    <row r="458">
      <c r="A458" s="66"/>
      <c r="B458" s="66"/>
      <c r="C458" s="66"/>
      <c r="D458" s="66"/>
      <c r="G458" s="67"/>
      <c r="V458" s="67"/>
    </row>
    <row r="459">
      <c r="A459" s="66"/>
      <c r="B459" s="66"/>
      <c r="C459" s="66"/>
      <c r="D459" s="66"/>
      <c r="G459" s="67"/>
      <c r="V459" s="67"/>
    </row>
    <row r="460">
      <c r="A460" s="66"/>
      <c r="B460" s="66"/>
      <c r="C460" s="66"/>
      <c r="D460" s="66"/>
      <c r="G460" s="67"/>
      <c r="V460" s="67"/>
    </row>
    <row r="461">
      <c r="A461" s="66"/>
      <c r="B461" s="66"/>
      <c r="C461" s="66"/>
      <c r="D461" s="66"/>
      <c r="G461" s="67"/>
      <c r="V461" s="67"/>
    </row>
    <row r="462">
      <c r="A462" s="66"/>
      <c r="B462" s="66"/>
      <c r="C462" s="66"/>
      <c r="D462" s="66"/>
      <c r="G462" s="67"/>
      <c r="V462" s="67"/>
    </row>
    <row r="463">
      <c r="A463" s="66"/>
      <c r="B463" s="66"/>
      <c r="C463" s="66"/>
      <c r="D463" s="66"/>
      <c r="G463" s="67"/>
      <c r="V463" s="67"/>
    </row>
    <row r="464">
      <c r="A464" s="66"/>
      <c r="B464" s="66"/>
      <c r="C464" s="66"/>
      <c r="D464" s="66"/>
      <c r="G464" s="67"/>
      <c r="V464" s="67"/>
    </row>
    <row r="465">
      <c r="A465" s="66"/>
      <c r="B465" s="66"/>
      <c r="C465" s="66"/>
      <c r="D465" s="66"/>
      <c r="G465" s="67"/>
      <c r="V465" s="67"/>
    </row>
    <row r="466">
      <c r="A466" s="66"/>
      <c r="B466" s="66"/>
      <c r="C466" s="66"/>
      <c r="D466" s="66"/>
      <c r="G466" s="67"/>
      <c r="V466" s="67"/>
    </row>
    <row r="467">
      <c r="A467" s="66"/>
      <c r="B467" s="66"/>
      <c r="C467" s="66"/>
      <c r="D467" s="66"/>
      <c r="G467" s="67"/>
      <c r="V467" s="67"/>
    </row>
    <row r="468">
      <c r="A468" s="66"/>
      <c r="B468" s="66"/>
      <c r="C468" s="66"/>
      <c r="D468" s="66"/>
      <c r="G468" s="67"/>
      <c r="V468" s="67"/>
    </row>
    <row r="469">
      <c r="A469" s="66"/>
      <c r="B469" s="66"/>
      <c r="C469" s="66"/>
      <c r="D469" s="66"/>
      <c r="G469" s="67"/>
      <c r="V469" s="67"/>
    </row>
    <row r="470">
      <c r="A470" s="66"/>
      <c r="B470" s="66"/>
      <c r="C470" s="66"/>
      <c r="D470" s="66"/>
      <c r="G470" s="67"/>
      <c r="V470" s="67"/>
    </row>
    <row r="471">
      <c r="A471" s="66"/>
      <c r="B471" s="66"/>
      <c r="C471" s="66"/>
      <c r="D471" s="66"/>
      <c r="G471" s="67"/>
      <c r="V471" s="67"/>
    </row>
    <row r="472">
      <c r="A472" s="66"/>
      <c r="B472" s="66"/>
      <c r="C472" s="66"/>
      <c r="D472" s="66"/>
      <c r="G472" s="67"/>
      <c r="V472" s="67"/>
    </row>
    <row r="473">
      <c r="A473" s="66"/>
      <c r="B473" s="66"/>
      <c r="C473" s="66"/>
      <c r="D473" s="66"/>
      <c r="G473" s="67"/>
      <c r="V473" s="67"/>
    </row>
    <row r="474">
      <c r="A474" s="66"/>
      <c r="B474" s="66"/>
      <c r="C474" s="66"/>
      <c r="D474" s="66"/>
      <c r="G474" s="67"/>
      <c r="V474" s="67"/>
    </row>
    <row r="475">
      <c r="A475" s="66"/>
      <c r="B475" s="66"/>
      <c r="C475" s="66"/>
      <c r="D475" s="66"/>
      <c r="G475" s="67"/>
      <c r="V475" s="67"/>
    </row>
    <row r="476">
      <c r="A476" s="66"/>
      <c r="B476" s="66"/>
      <c r="C476" s="66"/>
      <c r="D476" s="66"/>
      <c r="G476" s="67"/>
      <c r="V476" s="67"/>
    </row>
    <row r="477">
      <c r="A477" s="66"/>
      <c r="B477" s="66"/>
      <c r="C477" s="66"/>
      <c r="D477" s="66"/>
      <c r="G477" s="67"/>
      <c r="V477" s="67"/>
    </row>
    <row r="478">
      <c r="A478" s="66"/>
      <c r="B478" s="66"/>
      <c r="C478" s="66"/>
      <c r="D478" s="66"/>
      <c r="G478" s="67"/>
      <c r="V478" s="67"/>
    </row>
    <row r="479">
      <c r="A479" s="66"/>
      <c r="B479" s="66"/>
      <c r="C479" s="66"/>
      <c r="D479" s="66"/>
      <c r="G479" s="67"/>
      <c r="V479" s="67"/>
    </row>
    <row r="480">
      <c r="A480" s="66"/>
      <c r="B480" s="66"/>
      <c r="C480" s="66"/>
      <c r="D480" s="66"/>
      <c r="G480" s="67"/>
      <c r="V480" s="67"/>
    </row>
    <row r="481">
      <c r="A481" s="66"/>
      <c r="B481" s="66"/>
      <c r="C481" s="66"/>
      <c r="D481" s="66"/>
      <c r="G481" s="67"/>
      <c r="V481" s="67"/>
    </row>
    <row r="482">
      <c r="A482" s="66"/>
      <c r="B482" s="66"/>
      <c r="C482" s="66"/>
      <c r="D482" s="66"/>
      <c r="G482" s="67"/>
      <c r="V482" s="67"/>
    </row>
    <row r="483">
      <c r="A483" s="66"/>
      <c r="B483" s="66"/>
      <c r="C483" s="66"/>
      <c r="D483" s="66"/>
      <c r="G483" s="67"/>
      <c r="V483" s="67"/>
    </row>
    <row r="484">
      <c r="A484" s="66"/>
      <c r="B484" s="66"/>
      <c r="C484" s="66"/>
      <c r="D484" s="66"/>
      <c r="G484" s="67"/>
      <c r="V484" s="67"/>
    </row>
    <row r="485">
      <c r="A485" s="66"/>
      <c r="B485" s="66"/>
      <c r="C485" s="66"/>
      <c r="D485" s="66"/>
      <c r="G485" s="67"/>
      <c r="V485" s="67"/>
    </row>
    <row r="486">
      <c r="A486" s="66"/>
      <c r="B486" s="66"/>
      <c r="C486" s="66"/>
      <c r="D486" s="66"/>
      <c r="G486" s="67"/>
      <c r="V486" s="67"/>
    </row>
    <row r="487">
      <c r="A487" s="66"/>
      <c r="B487" s="66"/>
      <c r="C487" s="66"/>
      <c r="D487" s="66"/>
      <c r="G487" s="67"/>
      <c r="V487" s="67"/>
    </row>
    <row r="488">
      <c r="A488" s="66"/>
      <c r="B488" s="66"/>
      <c r="C488" s="66"/>
      <c r="D488" s="66"/>
      <c r="G488" s="67"/>
      <c r="V488" s="67"/>
    </row>
    <row r="489">
      <c r="A489" s="66"/>
      <c r="B489" s="66"/>
      <c r="C489" s="66"/>
      <c r="D489" s="66"/>
      <c r="G489" s="67"/>
      <c r="V489" s="67"/>
    </row>
    <row r="490">
      <c r="A490" s="66"/>
      <c r="B490" s="66"/>
      <c r="C490" s="66"/>
      <c r="D490" s="66"/>
      <c r="G490" s="67"/>
      <c r="V490" s="67"/>
    </row>
    <row r="491">
      <c r="A491" s="66"/>
      <c r="B491" s="66"/>
      <c r="C491" s="66"/>
      <c r="D491" s="66"/>
      <c r="G491" s="67"/>
      <c r="V491" s="67"/>
    </row>
    <row r="492">
      <c r="A492" s="66"/>
      <c r="B492" s="66"/>
      <c r="C492" s="66"/>
      <c r="D492" s="66"/>
      <c r="G492" s="67"/>
      <c r="V492" s="67"/>
    </row>
    <row r="493">
      <c r="A493" s="66"/>
      <c r="B493" s="66"/>
      <c r="C493" s="66"/>
      <c r="D493" s="66"/>
      <c r="G493" s="67"/>
      <c r="V493" s="67"/>
    </row>
    <row r="494">
      <c r="A494" s="66"/>
      <c r="B494" s="66"/>
      <c r="C494" s="66"/>
      <c r="D494" s="66"/>
      <c r="G494" s="67"/>
      <c r="V494" s="67"/>
    </row>
    <row r="495">
      <c r="A495" s="66"/>
      <c r="B495" s="66"/>
      <c r="C495" s="66"/>
      <c r="D495" s="66"/>
      <c r="G495" s="67"/>
      <c r="V495" s="67"/>
    </row>
    <row r="496">
      <c r="A496" s="66"/>
      <c r="B496" s="66"/>
      <c r="C496" s="66"/>
      <c r="D496" s="66"/>
      <c r="G496" s="67"/>
      <c r="V496" s="67"/>
    </row>
    <row r="497">
      <c r="A497" s="66"/>
      <c r="B497" s="66"/>
      <c r="C497" s="66"/>
      <c r="D497" s="66"/>
      <c r="G497" s="67"/>
      <c r="V497" s="67"/>
    </row>
    <row r="498">
      <c r="A498" s="66"/>
      <c r="B498" s="66"/>
      <c r="C498" s="66"/>
      <c r="D498" s="66"/>
      <c r="G498" s="67"/>
      <c r="V498" s="67"/>
    </row>
    <row r="499">
      <c r="A499" s="66"/>
      <c r="B499" s="66"/>
      <c r="C499" s="66"/>
      <c r="D499" s="66"/>
      <c r="G499" s="67"/>
      <c r="V499" s="67"/>
    </row>
    <row r="500">
      <c r="A500" s="66"/>
      <c r="B500" s="66"/>
      <c r="C500" s="66"/>
      <c r="D500" s="66"/>
      <c r="G500" s="67"/>
      <c r="V500" s="67"/>
    </row>
    <row r="501">
      <c r="A501" s="66"/>
      <c r="B501" s="66"/>
      <c r="C501" s="66"/>
      <c r="D501" s="66"/>
      <c r="G501" s="67"/>
      <c r="V501" s="67"/>
    </row>
    <row r="502">
      <c r="A502" s="66"/>
      <c r="B502" s="66"/>
      <c r="C502" s="66"/>
      <c r="D502" s="66"/>
      <c r="G502" s="67"/>
      <c r="V502" s="67"/>
    </row>
    <row r="503">
      <c r="A503" s="66"/>
      <c r="B503" s="66"/>
      <c r="C503" s="66"/>
      <c r="D503" s="66"/>
      <c r="G503" s="67"/>
      <c r="V503" s="67"/>
    </row>
    <row r="504">
      <c r="A504" s="66"/>
      <c r="B504" s="66"/>
      <c r="C504" s="66"/>
      <c r="D504" s="66"/>
      <c r="G504" s="67"/>
      <c r="V504" s="67"/>
    </row>
    <row r="505">
      <c r="A505" s="66"/>
      <c r="B505" s="66"/>
      <c r="C505" s="66"/>
      <c r="D505" s="66"/>
      <c r="G505" s="67"/>
      <c r="V505" s="67"/>
    </row>
    <row r="506">
      <c r="A506" s="66"/>
      <c r="B506" s="66"/>
      <c r="C506" s="66"/>
      <c r="D506" s="66"/>
      <c r="G506" s="67"/>
      <c r="V506" s="67"/>
    </row>
    <row r="507">
      <c r="A507" s="66"/>
      <c r="B507" s="66"/>
      <c r="C507" s="66"/>
      <c r="D507" s="66"/>
      <c r="G507" s="67"/>
      <c r="V507" s="67"/>
    </row>
    <row r="508">
      <c r="A508" s="66"/>
      <c r="B508" s="66"/>
      <c r="C508" s="66"/>
      <c r="D508" s="66"/>
      <c r="G508" s="67"/>
      <c r="V508" s="67"/>
    </row>
    <row r="509">
      <c r="A509" s="66"/>
      <c r="B509" s="66"/>
      <c r="C509" s="66"/>
      <c r="D509" s="66"/>
      <c r="G509" s="67"/>
      <c r="V509" s="67"/>
    </row>
    <row r="510">
      <c r="A510" s="66"/>
      <c r="B510" s="66"/>
      <c r="C510" s="66"/>
      <c r="D510" s="66"/>
      <c r="G510" s="67"/>
      <c r="V510" s="67"/>
    </row>
    <row r="511">
      <c r="A511" s="66"/>
      <c r="B511" s="66"/>
      <c r="C511" s="66"/>
      <c r="D511" s="66"/>
      <c r="G511" s="67"/>
      <c r="V511" s="67"/>
    </row>
    <row r="512">
      <c r="A512" s="66"/>
      <c r="B512" s="66"/>
      <c r="C512" s="66"/>
      <c r="D512" s="66"/>
      <c r="G512" s="67"/>
      <c r="V512" s="67"/>
    </row>
    <row r="513">
      <c r="A513" s="66"/>
      <c r="B513" s="66"/>
      <c r="C513" s="66"/>
      <c r="D513" s="66"/>
      <c r="G513" s="67"/>
      <c r="V513" s="67"/>
    </row>
    <row r="514">
      <c r="A514" s="66"/>
      <c r="B514" s="66"/>
      <c r="C514" s="66"/>
      <c r="D514" s="66"/>
      <c r="G514" s="67"/>
      <c r="V514" s="67"/>
    </row>
    <row r="515">
      <c r="A515" s="66"/>
      <c r="B515" s="66"/>
      <c r="C515" s="66"/>
      <c r="D515" s="66"/>
      <c r="G515" s="67"/>
      <c r="V515" s="67"/>
    </row>
    <row r="516">
      <c r="A516" s="66"/>
      <c r="B516" s="66"/>
      <c r="C516" s="66"/>
      <c r="D516" s="66"/>
      <c r="G516" s="67"/>
      <c r="V516" s="67"/>
    </row>
    <row r="517">
      <c r="A517" s="66"/>
      <c r="B517" s="66"/>
      <c r="C517" s="66"/>
      <c r="D517" s="66"/>
      <c r="G517" s="67"/>
      <c r="V517" s="67"/>
    </row>
    <row r="518">
      <c r="A518" s="66"/>
      <c r="B518" s="66"/>
      <c r="C518" s="66"/>
      <c r="D518" s="66"/>
      <c r="G518" s="67"/>
      <c r="V518" s="67"/>
    </row>
    <row r="519">
      <c r="A519" s="66"/>
      <c r="B519" s="66"/>
      <c r="C519" s="66"/>
      <c r="D519" s="66"/>
      <c r="G519" s="67"/>
      <c r="V519" s="67"/>
    </row>
    <row r="520">
      <c r="A520" s="66"/>
      <c r="B520" s="66"/>
      <c r="C520" s="66"/>
      <c r="D520" s="66"/>
      <c r="G520" s="67"/>
      <c r="V520" s="67"/>
    </row>
    <row r="521">
      <c r="A521" s="66"/>
      <c r="B521" s="66"/>
      <c r="C521" s="66"/>
      <c r="D521" s="66"/>
      <c r="G521" s="67"/>
      <c r="V521" s="67"/>
    </row>
    <row r="522">
      <c r="A522" s="66"/>
      <c r="B522" s="66"/>
      <c r="C522" s="66"/>
      <c r="D522" s="66"/>
      <c r="G522" s="67"/>
      <c r="V522" s="67"/>
    </row>
    <row r="523">
      <c r="A523" s="66"/>
      <c r="B523" s="66"/>
      <c r="C523" s="66"/>
      <c r="D523" s="66"/>
      <c r="G523" s="67"/>
      <c r="V523" s="67"/>
    </row>
    <row r="524">
      <c r="A524" s="66"/>
      <c r="B524" s="66"/>
      <c r="C524" s="66"/>
      <c r="D524" s="66"/>
      <c r="G524" s="67"/>
      <c r="V524" s="67"/>
    </row>
    <row r="525">
      <c r="A525" s="66"/>
      <c r="B525" s="66"/>
      <c r="C525" s="66"/>
      <c r="D525" s="66"/>
      <c r="G525" s="67"/>
      <c r="V525" s="67"/>
    </row>
    <row r="526">
      <c r="A526" s="66"/>
      <c r="B526" s="66"/>
      <c r="C526" s="66"/>
      <c r="D526" s="66"/>
      <c r="G526" s="67"/>
      <c r="V526" s="67"/>
    </row>
    <row r="527">
      <c r="A527" s="66"/>
      <c r="B527" s="66"/>
      <c r="C527" s="66"/>
      <c r="D527" s="66"/>
      <c r="G527" s="67"/>
      <c r="V527" s="67"/>
    </row>
    <row r="528">
      <c r="A528" s="66"/>
      <c r="B528" s="66"/>
      <c r="C528" s="66"/>
      <c r="D528" s="66"/>
      <c r="G528" s="67"/>
      <c r="V528" s="67"/>
    </row>
    <row r="529">
      <c r="A529" s="66"/>
      <c r="B529" s="66"/>
      <c r="C529" s="66"/>
      <c r="D529" s="66"/>
      <c r="G529" s="67"/>
      <c r="V529" s="67"/>
    </row>
    <row r="530">
      <c r="A530" s="66"/>
      <c r="B530" s="66"/>
      <c r="C530" s="66"/>
      <c r="D530" s="66"/>
      <c r="G530" s="67"/>
      <c r="V530" s="67"/>
    </row>
    <row r="531">
      <c r="A531" s="66"/>
      <c r="B531" s="66"/>
      <c r="C531" s="66"/>
      <c r="D531" s="66"/>
      <c r="G531" s="67"/>
      <c r="V531" s="67"/>
    </row>
    <row r="532">
      <c r="A532" s="66"/>
      <c r="B532" s="66"/>
      <c r="C532" s="66"/>
      <c r="D532" s="66"/>
      <c r="G532" s="67"/>
      <c r="V532" s="67"/>
    </row>
    <row r="533">
      <c r="A533" s="66"/>
      <c r="B533" s="66"/>
      <c r="C533" s="66"/>
      <c r="D533" s="66"/>
      <c r="G533" s="67"/>
      <c r="V533" s="67"/>
    </row>
    <row r="534">
      <c r="A534" s="66"/>
      <c r="B534" s="66"/>
      <c r="C534" s="66"/>
      <c r="D534" s="66"/>
      <c r="G534" s="67"/>
      <c r="V534" s="67"/>
    </row>
    <row r="535">
      <c r="A535" s="66"/>
      <c r="B535" s="66"/>
      <c r="C535" s="66"/>
      <c r="D535" s="66"/>
      <c r="G535" s="67"/>
      <c r="V535" s="67"/>
    </row>
    <row r="536">
      <c r="A536" s="66"/>
      <c r="B536" s="66"/>
      <c r="C536" s="66"/>
      <c r="D536" s="66"/>
      <c r="G536" s="67"/>
      <c r="V536" s="67"/>
    </row>
    <row r="537">
      <c r="A537" s="66"/>
      <c r="B537" s="66"/>
      <c r="C537" s="66"/>
      <c r="D537" s="66"/>
      <c r="G537" s="67"/>
      <c r="V537" s="67"/>
    </row>
    <row r="538">
      <c r="A538" s="66"/>
      <c r="B538" s="66"/>
      <c r="C538" s="66"/>
      <c r="D538" s="66"/>
      <c r="G538" s="67"/>
      <c r="V538" s="67"/>
    </row>
    <row r="539">
      <c r="A539" s="66"/>
      <c r="B539" s="66"/>
      <c r="C539" s="66"/>
      <c r="D539" s="66"/>
      <c r="G539" s="67"/>
      <c r="V539" s="67"/>
    </row>
    <row r="540">
      <c r="A540" s="66"/>
      <c r="B540" s="66"/>
      <c r="C540" s="66"/>
      <c r="D540" s="66"/>
      <c r="G540" s="67"/>
      <c r="V540" s="67"/>
    </row>
    <row r="541">
      <c r="A541" s="66"/>
      <c r="B541" s="66"/>
      <c r="C541" s="66"/>
      <c r="D541" s="66"/>
      <c r="G541" s="67"/>
      <c r="V541" s="67"/>
    </row>
    <row r="542">
      <c r="A542" s="66"/>
      <c r="B542" s="66"/>
      <c r="C542" s="66"/>
      <c r="D542" s="66"/>
      <c r="G542" s="67"/>
      <c r="V542" s="67"/>
    </row>
    <row r="543">
      <c r="A543" s="66"/>
      <c r="B543" s="66"/>
      <c r="C543" s="66"/>
      <c r="D543" s="66"/>
      <c r="G543" s="67"/>
      <c r="V543" s="67"/>
    </row>
    <row r="544">
      <c r="A544" s="66"/>
      <c r="B544" s="66"/>
      <c r="C544" s="66"/>
      <c r="D544" s="66"/>
      <c r="G544" s="67"/>
      <c r="V544" s="67"/>
    </row>
    <row r="545">
      <c r="A545" s="66"/>
      <c r="B545" s="66"/>
      <c r="C545" s="66"/>
      <c r="D545" s="66"/>
      <c r="G545" s="67"/>
      <c r="V545" s="67"/>
    </row>
    <row r="546">
      <c r="A546" s="66"/>
      <c r="B546" s="66"/>
      <c r="C546" s="66"/>
      <c r="D546" s="66"/>
      <c r="G546" s="67"/>
      <c r="V546" s="67"/>
    </row>
    <row r="547">
      <c r="A547" s="66"/>
      <c r="B547" s="66"/>
      <c r="C547" s="66"/>
      <c r="D547" s="66"/>
      <c r="G547" s="67"/>
      <c r="V547" s="67"/>
    </row>
    <row r="548">
      <c r="A548" s="66"/>
      <c r="B548" s="66"/>
      <c r="C548" s="66"/>
      <c r="D548" s="66"/>
      <c r="G548" s="67"/>
      <c r="V548" s="67"/>
    </row>
    <row r="549">
      <c r="A549" s="66"/>
      <c r="B549" s="66"/>
      <c r="C549" s="66"/>
      <c r="D549" s="66"/>
      <c r="G549" s="67"/>
      <c r="V549" s="67"/>
    </row>
    <row r="550">
      <c r="A550" s="66"/>
      <c r="B550" s="66"/>
      <c r="C550" s="66"/>
      <c r="D550" s="66"/>
      <c r="G550" s="67"/>
      <c r="V550" s="67"/>
    </row>
    <row r="551">
      <c r="A551" s="66"/>
      <c r="B551" s="66"/>
      <c r="C551" s="66"/>
      <c r="D551" s="66"/>
      <c r="G551" s="67"/>
      <c r="V551" s="67"/>
    </row>
    <row r="552">
      <c r="A552" s="66"/>
      <c r="B552" s="66"/>
      <c r="C552" s="66"/>
      <c r="D552" s="66"/>
      <c r="G552" s="67"/>
      <c r="V552" s="67"/>
    </row>
    <row r="553">
      <c r="A553" s="66"/>
      <c r="B553" s="66"/>
      <c r="C553" s="66"/>
      <c r="D553" s="66"/>
      <c r="G553" s="67"/>
      <c r="V553" s="67"/>
    </row>
    <row r="554">
      <c r="A554" s="66"/>
      <c r="B554" s="66"/>
      <c r="C554" s="66"/>
      <c r="D554" s="66"/>
      <c r="G554" s="67"/>
      <c r="V554" s="67"/>
    </row>
    <row r="555">
      <c r="A555" s="66"/>
      <c r="B555" s="66"/>
      <c r="C555" s="66"/>
      <c r="D555" s="66"/>
      <c r="G555" s="67"/>
      <c r="V555" s="67"/>
    </row>
    <row r="556">
      <c r="A556" s="66"/>
      <c r="B556" s="66"/>
      <c r="C556" s="66"/>
      <c r="D556" s="66"/>
      <c r="G556" s="67"/>
      <c r="V556" s="67"/>
    </row>
    <row r="557">
      <c r="A557" s="66"/>
      <c r="B557" s="66"/>
      <c r="C557" s="66"/>
      <c r="D557" s="66"/>
      <c r="G557" s="67"/>
      <c r="V557" s="67"/>
    </row>
    <row r="558">
      <c r="A558" s="66"/>
      <c r="B558" s="66"/>
      <c r="C558" s="66"/>
      <c r="D558" s="66"/>
      <c r="G558" s="67"/>
      <c r="V558" s="67"/>
    </row>
    <row r="559">
      <c r="A559" s="66"/>
      <c r="B559" s="66"/>
      <c r="C559" s="66"/>
      <c r="D559" s="66"/>
      <c r="G559" s="67"/>
      <c r="V559" s="67"/>
    </row>
    <row r="560">
      <c r="A560" s="66"/>
      <c r="B560" s="66"/>
      <c r="C560" s="66"/>
      <c r="D560" s="66"/>
      <c r="G560" s="67"/>
      <c r="V560" s="67"/>
    </row>
    <row r="561">
      <c r="A561" s="66"/>
      <c r="B561" s="66"/>
      <c r="C561" s="66"/>
      <c r="D561" s="66"/>
      <c r="G561" s="67"/>
      <c r="V561" s="67"/>
    </row>
    <row r="562">
      <c r="A562" s="66"/>
      <c r="B562" s="66"/>
      <c r="C562" s="66"/>
      <c r="D562" s="66"/>
      <c r="G562" s="67"/>
      <c r="V562" s="67"/>
    </row>
    <row r="563">
      <c r="A563" s="66"/>
      <c r="B563" s="66"/>
      <c r="C563" s="66"/>
      <c r="D563" s="66"/>
      <c r="G563" s="67"/>
      <c r="V563" s="67"/>
    </row>
    <row r="564">
      <c r="A564" s="66"/>
      <c r="B564" s="66"/>
      <c r="C564" s="66"/>
      <c r="D564" s="66"/>
      <c r="G564" s="67"/>
      <c r="V564" s="67"/>
    </row>
    <row r="565">
      <c r="A565" s="66"/>
      <c r="B565" s="66"/>
      <c r="C565" s="66"/>
      <c r="D565" s="66"/>
      <c r="G565" s="67"/>
      <c r="V565" s="67"/>
    </row>
    <row r="566">
      <c r="A566" s="66"/>
      <c r="B566" s="66"/>
      <c r="C566" s="66"/>
      <c r="D566" s="66"/>
      <c r="G566" s="67"/>
      <c r="V566" s="67"/>
    </row>
    <row r="567">
      <c r="A567" s="66"/>
      <c r="B567" s="66"/>
      <c r="C567" s="66"/>
      <c r="D567" s="66"/>
      <c r="G567" s="67"/>
      <c r="V567" s="67"/>
    </row>
    <row r="568">
      <c r="A568" s="66"/>
      <c r="B568" s="66"/>
      <c r="C568" s="66"/>
      <c r="D568" s="66"/>
      <c r="G568" s="67"/>
      <c r="V568" s="67"/>
    </row>
    <row r="569">
      <c r="A569" s="66"/>
      <c r="B569" s="66"/>
      <c r="C569" s="66"/>
      <c r="D569" s="66"/>
      <c r="G569" s="67"/>
      <c r="V569" s="67"/>
    </row>
    <row r="570">
      <c r="A570" s="66"/>
      <c r="B570" s="66"/>
      <c r="C570" s="66"/>
      <c r="D570" s="66"/>
      <c r="G570" s="67"/>
      <c r="V570" s="67"/>
    </row>
    <row r="571">
      <c r="A571" s="66"/>
      <c r="B571" s="66"/>
      <c r="C571" s="66"/>
      <c r="D571" s="66"/>
      <c r="G571" s="67"/>
      <c r="V571" s="67"/>
    </row>
    <row r="572">
      <c r="A572" s="66"/>
      <c r="B572" s="66"/>
      <c r="C572" s="66"/>
      <c r="D572" s="66"/>
      <c r="G572" s="67"/>
      <c r="V572" s="67"/>
    </row>
    <row r="573">
      <c r="A573" s="66"/>
      <c r="B573" s="66"/>
      <c r="C573" s="66"/>
      <c r="D573" s="66"/>
      <c r="G573" s="67"/>
      <c r="V573" s="67"/>
    </row>
    <row r="574">
      <c r="A574" s="66"/>
      <c r="B574" s="66"/>
      <c r="C574" s="66"/>
      <c r="D574" s="66"/>
      <c r="G574" s="67"/>
      <c r="V574" s="67"/>
    </row>
    <row r="575">
      <c r="A575" s="66"/>
      <c r="B575" s="66"/>
      <c r="C575" s="66"/>
      <c r="D575" s="66"/>
      <c r="G575" s="67"/>
      <c r="V575" s="67"/>
    </row>
    <row r="576">
      <c r="A576" s="66"/>
      <c r="B576" s="66"/>
      <c r="C576" s="66"/>
      <c r="D576" s="66"/>
      <c r="G576" s="67"/>
      <c r="V576" s="67"/>
    </row>
    <row r="577">
      <c r="A577" s="66"/>
      <c r="B577" s="66"/>
      <c r="C577" s="66"/>
      <c r="D577" s="66"/>
      <c r="G577" s="67"/>
      <c r="V577" s="67"/>
    </row>
    <row r="578">
      <c r="A578" s="66"/>
      <c r="B578" s="66"/>
      <c r="C578" s="66"/>
      <c r="D578" s="66"/>
      <c r="G578" s="67"/>
      <c r="V578" s="67"/>
    </row>
    <row r="579">
      <c r="A579" s="66"/>
      <c r="B579" s="66"/>
      <c r="C579" s="66"/>
      <c r="D579" s="66"/>
      <c r="G579" s="67"/>
      <c r="V579" s="67"/>
    </row>
    <row r="580">
      <c r="A580" s="66"/>
      <c r="B580" s="66"/>
      <c r="C580" s="66"/>
      <c r="D580" s="66"/>
      <c r="G580" s="67"/>
      <c r="V580" s="67"/>
    </row>
    <row r="581">
      <c r="A581" s="66"/>
      <c r="B581" s="66"/>
      <c r="C581" s="66"/>
      <c r="D581" s="66"/>
      <c r="G581" s="67"/>
      <c r="V581" s="67"/>
    </row>
    <row r="582">
      <c r="A582" s="66"/>
      <c r="B582" s="66"/>
      <c r="C582" s="66"/>
      <c r="D582" s="66"/>
      <c r="G582" s="67"/>
      <c r="V582" s="67"/>
    </row>
    <row r="583">
      <c r="A583" s="66"/>
      <c r="B583" s="66"/>
      <c r="C583" s="66"/>
      <c r="D583" s="66"/>
      <c r="G583" s="67"/>
      <c r="V583" s="67"/>
    </row>
    <row r="584">
      <c r="A584" s="66"/>
      <c r="B584" s="66"/>
      <c r="C584" s="66"/>
      <c r="D584" s="66"/>
      <c r="G584" s="67"/>
      <c r="V584" s="67"/>
    </row>
    <row r="585">
      <c r="A585" s="66"/>
      <c r="B585" s="66"/>
      <c r="C585" s="66"/>
      <c r="D585" s="66"/>
      <c r="G585" s="67"/>
      <c r="V585" s="67"/>
    </row>
    <row r="586">
      <c r="A586" s="66"/>
      <c r="B586" s="66"/>
      <c r="C586" s="66"/>
      <c r="D586" s="66"/>
      <c r="G586" s="67"/>
      <c r="V586" s="67"/>
    </row>
    <row r="587">
      <c r="A587" s="66"/>
      <c r="B587" s="66"/>
      <c r="C587" s="66"/>
      <c r="D587" s="66"/>
      <c r="G587" s="67"/>
      <c r="V587" s="67"/>
    </row>
    <row r="588">
      <c r="A588" s="66"/>
      <c r="B588" s="66"/>
      <c r="C588" s="66"/>
      <c r="D588" s="66"/>
      <c r="G588" s="67"/>
      <c r="V588" s="67"/>
    </row>
    <row r="589">
      <c r="A589" s="66"/>
      <c r="B589" s="66"/>
      <c r="C589" s="66"/>
      <c r="D589" s="66"/>
      <c r="G589" s="67"/>
      <c r="V589" s="67"/>
    </row>
    <row r="590">
      <c r="A590" s="66"/>
      <c r="B590" s="66"/>
      <c r="C590" s="66"/>
      <c r="D590" s="66"/>
      <c r="G590" s="67"/>
      <c r="V590" s="67"/>
    </row>
    <row r="591">
      <c r="A591" s="66"/>
      <c r="B591" s="66"/>
      <c r="C591" s="66"/>
      <c r="D591" s="66"/>
      <c r="G591" s="67"/>
      <c r="V591" s="67"/>
    </row>
    <row r="592">
      <c r="A592" s="66"/>
      <c r="B592" s="66"/>
      <c r="C592" s="66"/>
      <c r="D592" s="66"/>
      <c r="G592" s="67"/>
      <c r="V592" s="67"/>
    </row>
    <row r="593">
      <c r="A593" s="66"/>
      <c r="B593" s="66"/>
      <c r="C593" s="66"/>
      <c r="D593" s="66"/>
      <c r="G593" s="67"/>
      <c r="V593" s="67"/>
    </row>
    <row r="594">
      <c r="A594" s="66"/>
      <c r="B594" s="66"/>
      <c r="C594" s="66"/>
      <c r="D594" s="66"/>
      <c r="G594" s="67"/>
      <c r="V594" s="67"/>
    </row>
    <row r="595">
      <c r="A595" s="66"/>
      <c r="B595" s="66"/>
      <c r="C595" s="66"/>
      <c r="D595" s="66"/>
      <c r="G595" s="67"/>
      <c r="V595" s="67"/>
    </row>
    <row r="596">
      <c r="A596" s="66"/>
      <c r="B596" s="66"/>
      <c r="C596" s="66"/>
      <c r="D596" s="66"/>
      <c r="G596" s="67"/>
      <c r="V596" s="67"/>
    </row>
    <row r="597">
      <c r="A597" s="66"/>
      <c r="B597" s="66"/>
      <c r="C597" s="66"/>
      <c r="D597" s="66"/>
      <c r="G597" s="67"/>
      <c r="V597" s="67"/>
    </row>
    <row r="598">
      <c r="A598" s="66"/>
      <c r="B598" s="66"/>
      <c r="C598" s="66"/>
      <c r="D598" s="66"/>
      <c r="G598" s="67"/>
      <c r="V598" s="67"/>
    </row>
    <row r="599">
      <c r="A599" s="66"/>
      <c r="B599" s="66"/>
      <c r="C599" s="66"/>
      <c r="D599" s="66"/>
      <c r="G599" s="67"/>
      <c r="V599" s="67"/>
    </row>
    <row r="600">
      <c r="A600" s="66"/>
      <c r="B600" s="66"/>
      <c r="C600" s="66"/>
      <c r="D600" s="66"/>
      <c r="G600" s="67"/>
      <c r="V600" s="67"/>
    </row>
    <row r="601">
      <c r="A601" s="66"/>
      <c r="B601" s="66"/>
      <c r="C601" s="66"/>
      <c r="D601" s="66"/>
      <c r="G601" s="67"/>
      <c r="V601" s="67"/>
    </row>
    <row r="602">
      <c r="A602" s="66"/>
      <c r="B602" s="66"/>
      <c r="C602" s="66"/>
      <c r="D602" s="66"/>
      <c r="G602" s="67"/>
      <c r="V602" s="67"/>
    </row>
    <row r="603">
      <c r="A603" s="66"/>
      <c r="B603" s="66"/>
      <c r="C603" s="66"/>
      <c r="D603" s="66"/>
      <c r="G603" s="67"/>
      <c r="V603" s="67"/>
    </row>
    <row r="604">
      <c r="A604" s="66"/>
      <c r="B604" s="66"/>
      <c r="C604" s="66"/>
      <c r="D604" s="66"/>
      <c r="G604" s="67"/>
      <c r="V604" s="67"/>
    </row>
    <row r="605">
      <c r="A605" s="66"/>
      <c r="B605" s="66"/>
      <c r="C605" s="66"/>
      <c r="D605" s="66"/>
      <c r="G605" s="67"/>
      <c r="V605" s="67"/>
    </row>
    <row r="606">
      <c r="A606" s="66"/>
      <c r="B606" s="66"/>
      <c r="C606" s="66"/>
      <c r="D606" s="66"/>
      <c r="G606" s="67"/>
      <c r="V606" s="67"/>
    </row>
    <row r="607">
      <c r="A607" s="66"/>
      <c r="B607" s="66"/>
      <c r="C607" s="66"/>
      <c r="D607" s="66"/>
      <c r="G607" s="67"/>
      <c r="V607" s="67"/>
    </row>
    <row r="608">
      <c r="A608" s="66"/>
      <c r="B608" s="66"/>
      <c r="C608" s="66"/>
      <c r="D608" s="66"/>
      <c r="G608" s="67"/>
      <c r="V608" s="67"/>
    </row>
    <row r="609">
      <c r="A609" s="66"/>
      <c r="B609" s="66"/>
      <c r="C609" s="66"/>
      <c r="D609" s="66"/>
      <c r="G609" s="67"/>
      <c r="V609" s="67"/>
    </row>
    <row r="610">
      <c r="A610" s="66"/>
      <c r="B610" s="66"/>
      <c r="C610" s="66"/>
      <c r="D610" s="66"/>
      <c r="G610" s="67"/>
      <c r="V610" s="67"/>
    </row>
    <row r="611">
      <c r="A611" s="66"/>
      <c r="B611" s="66"/>
      <c r="C611" s="66"/>
      <c r="D611" s="66"/>
      <c r="G611" s="67"/>
      <c r="V611" s="67"/>
    </row>
    <row r="612">
      <c r="A612" s="66"/>
      <c r="B612" s="66"/>
      <c r="C612" s="66"/>
      <c r="D612" s="66"/>
      <c r="G612" s="67"/>
      <c r="V612" s="67"/>
    </row>
    <row r="613">
      <c r="A613" s="66"/>
      <c r="B613" s="66"/>
      <c r="C613" s="66"/>
      <c r="D613" s="66"/>
      <c r="G613" s="67"/>
      <c r="V613" s="67"/>
    </row>
    <row r="614">
      <c r="A614" s="66"/>
      <c r="B614" s="66"/>
      <c r="C614" s="66"/>
      <c r="D614" s="66"/>
      <c r="G614" s="67"/>
      <c r="V614" s="67"/>
    </row>
    <row r="615">
      <c r="A615" s="66"/>
      <c r="B615" s="66"/>
      <c r="C615" s="66"/>
      <c r="D615" s="66"/>
      <c r="G615" s="67"/>
      <c r="V615" s="67"/>
    </row>
    <row r="616">
      <c r="A616" s="66"/>
      <c r="B616" s="66"/>
      <c r="C616" s="66"/>
      <c r="D616" s="66"/>
      <c r="G616" s="67"/>
      <c r="V616" s="67"/>
    </row>
    <row r="617">
      <c r="A617" s="66"/>
      <c r="B617" s="66"/>
      <c r="C617" s="66"/>
      <c r="D617" s="66"/>
      <c r="G617" s="67"/>
      <c r="V617" s="67"/>
    </row>
    <row r="618">
      <c r="A618" s="66"/>
      <c r="B618" s="66"/>
      <c r="C618" s="66"/>
      <c r="D618" s="66"/>
      <c r="G618" s="67"/>
      <c r="V618" s="67"/>
    </row>
    <row r="619">
      <c r="A619" s="66"/>
      <c r="B619" s="66"/>
      <c r="C619" s="66"/>
      <c r="D619" s="66"/>
      <c r="G619" s="67"/>
      <c r="V619" s="67"/>
    </row>
    <row r="620">
      <c r="A620" s="66"/>
      <c r="B620" s="66"/>
      <c r="C620" s="66"/>
      <c r="D620" s="66"/>
      <c r="G620" s="67"/>
      <c r="V620" s="67"/>
    </row>
    <row r="621">
      <c r="A621" s="66"/>
      <c r="B621" s="66"/>
      <c r="C621" s="66"/>
      <c r="D621" s="66"/>
      <c r="G621" s="67"/>
      <c r="V621" s="67"/>
    </row>
    <row r="622">
      <c r="A622" s="66"/>
      <c r="B622" s="66"/>
      <c r="C622" s="66"/>
      <c r="D622" s="66"/>
      <c r="G622" s="67"/>
      <c r="V622" s="67"/>
    </row>
    <row r="623">
      <c r="A623" s="66"/>
      <c r="B623" s="66"/>
      <c r="C623" s="66"/>
      <c r="D623" s="66"/>
      <c r="G623" s="67"/>
      <c r="V623" s="67"/>
    </row>
    <row r="624">
      <c r="A624" s="66"/>
      <c r="B624" s="66"/>
      <c r="C624" s="66"/>
      <c r="D624" s="66"/>
      <c r="G624" s="67"/>
      <c r="V624" s="67"/>
    </row>
    <row r="625">
      <c r="A625" s="66"/>
      <c r="B625" s="66"/>
      <c r="C625" s="66"/>
      <c r="D625" s="66"/>
      <c r="G625" s="67"/>
      <c r="V625" s="67"/>
    </row>
    <row r="626">
      <c r="A626" s="66"/>
      <c r="B626" s="66"/>
      <c r="C626" s="66"/>
      <c r="D626" s="66"/>
      <c r="G626" s="67"/>
      <c r="V626" s="67"/>
    </row>
    <row r="627">
      <c r="A627" s="66"/>
      <c r="B627" s="66"/>
      <c r="C627" s="66"/>
      <c r="D627" s="66"/>
      <c r="G627" s="67"/>
      <c r="V627" s="67"/>
    </row>
    <row r="628">
      <c r="A628" s="66"/>
      <c r="B628" s="66"/>
      <c r="C628" s="66"/>
      <c r="D628" s="66"/>
      <c r="G628" s="67"/>
      <c r="V628" s="67"/>
    </row>
    <row r="629">
      <c r="A629" s="66"/>
      <c r="B629" s="66"/>
      <c r="C629" s="66"/>
      <c r="D629" s="66"/>
      <c r="G629" s="67"/>
      <c r="V629" s="67"/>
    </row>
    <row r="630">
      <c r="A630" s="66"/>
      <c r="B630" s="66"/>
      <c r="C630" s="66"/>
      <c r="D630" s="66"/>
      <c r="G630" s="67"/>
      <c r="V630" s="67"/>
    </row>
    <row r="631">
      <c r="A631" s="66"/>
      <c r="B631" s="66"/>
      <c r="C631" s="66"/>
      <c r="D631" s="66"/>
      <c r="G631" s="67"/>
      <c r="V631" s="67"/>
    </row>
    <row r="632">
      <c r="A632" s="66"/>
      <c r="B632" s="66"/>
      <c r="C632" s="66"/>
      <c r="D632" s="66"/>
      <c r="G632" s="67"/>
      <c r="V632" s="67"/>
    </row>
    <row r="633">
      <c r="A633" s="66"/>
      <c r="B633" s="66"/>
      <c r="C633" s="66"/>
      <c r="D633" s="66"/>
      <c r="G633" s="67"/>
      <c r="V633" s="67"/>
    </row>
    <row r="634">
      <c r="A634" s="66"/>
      <c r="B634" s="66"/>
      <c r="C634" s="66"/>
      <c r="D634" s="66"/>
      <c r="G634" s="67"/>
      <c r="V634" s="67"/>
    </row>
    <row r="635">
      <c r="A635" s="66"/>
      <c r="B635" s="66"/>
      <c r="C635" s="66"/>
      <c r="D635" s="66"/>
      <c r="G635" s="67"/>
      <c r="V635" s="67"/>
    </row>
    <row r="636">
      <c r="A636" s="66"/>
      <c r="B636" s="66"/>
      <c r="C636" s="66"/>
      <c r="D636" s="66"/>
      <c r="G636" s="67"/>
      <c r="V636" s="67"/>
    </row>
    <row r="637">
      <c r="A637" s="66"/>
      <c r="B637" s="66"/>
      <c r="C637" s="66"/>
      <c r="D637" s="66"/>
      <c r="G637" s="67"/>
      <c r="V637" s="67"/>
    </row>
    <row r="638">
      <c r="A638" s="66"/>
      <c r="B638" s="66"/>
      <c r="C638" s="66"/>
      <c r="D638" s="66"/>
      <c r="G638" s="67"/>
      <c r="V638" s="67"/>
    </row>
    <row r="639">
      <c r="A639" s="66"/>
      <c r="B639" s="66"/>
      <c r="C639" s="66"/>
      <c r="D639" s="66"/>
      <c r="G639" s="67"/>
      <c r="V639" s="67"/>
    </row>
    <row r="640">
      <c r="A640" s="66"/>
      <c r="B640" s="66"/>
      <c r="C640" s="66"/>
      <c r="D640" s="66"/>
      <c r="G640" s="67"/>
      <c r="V640" s="67"/>
    </row>
    <row r="641">
      <c r="A641" s="66"/>
      <c r="B641" s="66"/>
      <c r="C641" s="66"/>
      <c r="D641" s="66"/>
      <c r="G641" s="67"/>
      <c r="V641" s="67"/>
    </row>
    <row r="642">
      <c r="A642" s="66"/>
      <c r="B642" s="66"/>
      <c r="C642" s="66"/>
      <c r="D642" s="66"/>
      <c r="G642" s="67"/>
      <c r="V642" s="67"/>
    </row>
    <row r="643">
      <c r="A643" s="66"/>
      <c r="B643" s="66"/>
      <c r="C643" s="66"/>
      <c r="D643" s="66"/>
      <c r="G643" s="67"/>
      <c r="V643" s="67"/>
    </row>
    <row r="644">
      <c r="A644" s="66"/>
      <c r="B644" s="66"/>
      <c r="C644" s="66"/>
      <c r="D644" s="66"/>
      <c r="G644" s="67"/>
      <c r="V644" s="67"/>
    </row>
    <row r="645">
      <c r="A645" s="66"/>
      <c r="B645" s="66"/>
      <c r="C645" s="66"/>
      <c r="D645" s="66"/>
      <c r="G645" s="67"/>
      <c r="V645" s="67"/>
    </row>
    <row r="646">
      <c r="A646" s="66"/>
      <c r="B646" s="66"/>
      <c r="C646" s="66"/>
      <c r="D646" s="66"/>
      <c r="G646" s="67"/>
      <c r="V646" s="67"/>
    </row>
    <row r="647">
      <c r="A647" s="66"/>
      <c r="B647" s="66"/>
      <c r="C647" s="66"/>
      <c r="D647" s="66"/>
      <c r="G647" s="67"/>
      <c r="V647" s="67"/>
    </row>
    <row r="648">
      <c r="A648" s="66"/>
      <c r="B648" s="66"/>
      <c r="C648" s="66"/>
      <c r="D648" s="66"/>
      <c r="G648" s="67"/>
      <c r="V648" s="67"/>
    </row>
    <row r="649">
      <c r="A649" s="66"/>
      <c r="B649" s="66"/>
      <c r="C649" s="66"/>
      <c r="D649" s="66"/>
      <c r="G649" s="67"/>
      <c r="V649" s="67"/>
    </row>
    <row r="650">
      <c r="A650" s="66"/>
      <c r="B650" s="66"/>
      <c r="C650" s="66"/>
      <c r="D650" s="66"/>
      <c r="G650" s="67"/>
      <c r="V650" s="67"/>
    </row>
    <row r="651">
      <c r="A651" s="66"/>
      <c r="B651" s="66"/>
      <c r="C651" s="66"/>
      <c r="D651" s="66"/>
      <c r="G651" s="67"/>
      <c r="V651" s="67"/>
    </row>
    <row r="652">
      <c r="A652" s="66"/>
      <c r="B652" s="66"/>
      <c r="C652" s="66"/>
      <c r="D652" s="66"/>
      <c r="G652" s="67"/>
      <c r="V652" s="67"/>
    </row>
    <row r="653">
      <c r="A653" s="66"/>
      <c r="B653" s="66"/>
      <c r="C653" s="66"/>
      <c r="D653" s="66"/>
      <c r="G653" s="67"/>
      <c r="V653" s="67"/>
    </row>
    <row r="654">
      <c r="A654" s="66"/>
      <c r="B654" s="66"/>
      <c r="C654" s="66"/>
      <c r="D654" s="66"/>
      <c r="G654" s="67"/>
      <c r="V654" s="67"/>
    </row>
    <row r="655">
      <c r="A655" s="66"/>
      <c r="B655" s="66"/>
      <c r="C655" s="66"/>
      <c r="D655" s="66"/>
      <c r="G655" s="67"/>
      <c r="V655" s="67"/>
    </row>
    <row r="656">
      <c r="A656" s="66"/>
      <c r="B656" s="66"/>
      <c r="C656" s="66"/>
      <c r="D656" s="66"/>
      <c r="G656" s="67"/>
      <c r="V656" s="67"/>
    </row>
    <row r="657">
      <c r="A657" s="66"/>
      <c r="B657" s="66"/>
      <c r="C657" s="66"/>
      <c r="D657" s="66"/>
      <c r="G657" s="67"/>
      <c r="V657" s="67"/>
    </row>
    <row r="658">
      <c r="A658" s="66"/>
      <c r="B658" s="66"/>
      <c r="C658" s="66"/>
      <c r="D658" s="66"/>
      <c r="G658" s="67"/>
      <c r="V658" s="67"/>
    </row>
    <row r="659">
      <c r="A659" s="66"/>
      <c r="B659" s="66"/>
      <c r="C659" s="66"/>
      <c r="D659" s="66"/>
      <c r="G659" s="67"/>
      <c r="V659" s="67"/>
    </row>
    <row r="660">
      <c r="A660" s="66"/>
      <c r="B660" s="66"/>
      <c r="C660" s="66"/>
      <c r="D660" s="66"/>
      <c r="G660" s="67"/>
      <c r="V660" s="67"/>
    </row>
    <row r="661">
      <c r="A661" s="66"/>
      <c r="B661" s="66"/>
      <c r="C661" s="66"/>
      <c r="D661" s="66"/>
      <c r="G661" s="67"/>
      <c r="V661" s="67"/>
    </row>
    <row r="662">
      <c r="A662" s="66"/>
      <c r="B662" s="66"/>
      <c r="C662" s="66"/>
      <c r="D662" s="66"/>
      <c r="G662" s="67"/>
      <c r="V662" s="67"/>
    </row>
    <row r="663">
      <c r="A663" s="66"/>
      <c r="B663" s="66"/>
      <c r="C663" s="66"/>
      <c r="D663" s="66"/>
      <c r="G663" s="67"/>
      <c r="V663" s="67"/>
    </row>
    <row r="664">
      <c r="A664" s="66"/>
      <c r="B664" s="66"/>
      <c r="C664" s="66"/>
      <c r="D664" s="66"/>
      <c r="G664" s="67"/>
      <c r="V664" s="67"/>
    </row>
    <row r="665">
      <c r="A665" s="66"/>
      <c r="B665" s="66"/>
      <c r="C665" s="66"/>
      <c r="D665" s="66"/>
      <c r="G665" s="67"/>
      <c r="V665" s="67"/>
    </row>
    <row r="666">
      <c r="A666" s="66"/>
      <c r="B666" s="66"/>
      <c r="C666" s="66"/>
      <c r="D666" s="66"/>
      <c r="G666" s="67"/>
      <c r="V666" s="67"/>
    </row>
    <row r="667">
      <c r="A667" s="66"/>
      <c r="B667" s="66"/>
      <c r="C667" s="66"/>
      <c r="D667" s="66"/>
      <c r="G667" s="67"/>
      <c r="V667" s="67"/>
    </row>
    <row r="668">
      <c r="A668" s="66"/>
      <c r="B668" s="66"/>
      <c r="C668" s="66"/>
      <c r="D668" s="66"/>
      <c r="G668" s="67"/>
      <c r="V668" s="67"/>
    </row>
    <row r="669">
      <c r="A669" s="66"/>
      <c r="B669" s="66"/>
      <c r="C669" s="66"/>
      <c r="D669" s="66"/>
      <c r="G669" s="67"/>
      <c r="V669" s="67"/>
    </row>
    <row r="670">
      <c r="A670" s="66"/>
      <c r="B670" s="66"/>
      <c r="C670" s="66"/>
      <c r="D670" s="66"/>
      <c r="G670" s="67"/>
      <c r="V670" s="67"/>
    </row>
    <row r="671">
      <c r="A671" s="66"/>
      <c r="B671" s="66"/>
      <c r="C671" s="66"/>
      <c r="D671" s="66"/>
      <c r="G671" s="67"/>
      <c r="V671" s="67"/>
    </row>
    <row r="672">
      <c r="A672" s="66"/>
      <c r="B672" s="66"/>
      <c r="C672" s="66"/>
      <c r="D672" s="66"/>
      <c r="G672" s="67"/>
      <c r="V672" s="67"/>
    </row>
    <row r="673">
      <c r="A673" s="66"/>
      <c r="B673" s="66"/>
      <c r="C673" s="66"/>
      <c r="D673" s="66"/>
      <c r="G673" s="67"/>
      <c r="V673" s="67"/>
    </row>
    <row r="674">
      <c r="A674" s="66"/>
      <c r="B674" s="66"/>
      <c r="C674" s="66"/>
      <c r="D674" s="66"/>
      <c r="G674" s="67"/>
      <c r="V674" s="67"/>
    </row>
    <row r="675">
      <c r="A675" s="66"/>
      <c r="B675" s="66"/>
      <c r="C675" s="66"/>
      <c r="D675" s="66"/>
      <c r="G675" s="67"/>
      <c r="V675" s="67"/>
    </row>
    <row r="676">
      <c r="A676" s="66"/>
      <c r="B676" s="66"/>
      <c r="C676" s="66"/>
      <c r="D676" s="66"/>
      <c r="G676" s="67"/>
      <c r="V676" s="67"/>
    </row>
    <row r="677">
      <c r="A677" s="66"/>
      <c r="B677" s="66"/>
      <c r="C677" s="66"/>
      <c r="D677" s="66"/>
      <c r="G677" s="67"/>
      <c r="V677" s="67"/>
    </row>
    <row r="678">
      <c r="A678" s="66"/>
      <c r="B678" s="66"/>
      <c r="C678" s="66"/>
      <c r="D678" s="66"/>
      <c r="G678" s="67"/>
      <c r="V678" s="67"/>
    </row>
    <row r="679">
      <c r="A679" s="66"/>
      <c r="B679" s="66"/>
      <c r="C679" s="66"/>
      <c r="D679" s="66"/>
      <c r="G679" s="67"/>
      <c r="V679" s="67"/>
    </row>
    <row r="680">
      <c r="A680" s="66"/>
      <c r="B680" s="66"/>
      <c r="C680" s="66"/>
      <c r="D680" s="66"/>
      <c r="G680" s="67"/>
      <c r="V680" s="67"/>
    </row>
    <row r="681">
      <c r="A681" s="66"/>
      <c r="B681" s="66"/>
      <c r="C681" s="66"/>
      <c r="D681" s="66"/>
      <c r="G681" s="67"/>
      <c r="V681" s="67"/>
    </row>
    <row r="682">
      <c r="A682" s="66"/>
      <c r="B682" s="66"/>
      <c r="C682" s="66"/>
      <c r="D682" s="66"/>
      <c r="G682" s="67"/>
      <c r="V682" s="67"/>
    </row>
    <row r="683">
      <c r="A683" s="66"/>
      <c r="B683" s="66"/>
      <c r="C683" s="66"/>
      <c r="D683" s="66"/>
      <c r="G683" s="67"/>
      <c r="V683" s="67"/>
    </row>
    <row r="684">
      <c r="A684" s="66"/>
      <c r="B684" s="66"/>
      <c r="C684" s="66"/>
      <c r="D684" s="66"/>
      <c r="G684" s="67"/>
      <c r="V684" s="67"/>
    </row>
    <row r="685">
      <c r="A685" s="66"/>
      <c r="B685" s="66"/>
      <c r="C685" s="66"/>
      <c r="D685" s="66"/>
      <c r="G685" s="67"/>
      <c r="V685" s="67"/>
    </row>
    <row r="686">
      <c r="A686" s="66"/>
      <c r="B686" s="66"/>
      <c r="C686" s="66"/>
      <c r="D686" s="66"/>
      <c r="G686" s="67"/>
      <c r="V686" s="67"/>
    </row>
    <row r="687">
      <c r="A687" s="66"/>
      <c r="B687" s="66"/>
      <c r="C687" s="66"/>
      <c r="D687" s="66"/>
      <c r="G687" s="67"/>
      <c r="V687" s="67"/>
    </row>
    <row r="688">
      <c r="A688" s="66"/>
      <c r="B688" s="66"/>
      <c r="C688" s="66"/>
      <c r="D688" s="66"/>
      <c r="G688" s="67"/>
      <c r="V688" s="67"/>
    </row>
    <row r="689">
      <c r="A689" s="66"/>
      <c r="B689" s="66"/>
      <c r="C689" s="66"/>
      <c r="D689" s="66"/>
      <c r="G689" s="67"/>
      <c r="V689" s="67"/>
    </row>
    <row r="690">
      <c r="A690" s="66"/>
      <c r="B690" s="66"/>
      <c r="C690" s="66"/>
      <c r="D690" s="66"/>
      <c r="G690" s="67"/>
      <c r="V690" s="67"/>
    </row>
    <row r="691">
      <c r="A691" s="66"/>
      <c r="B691" s="66"/>
      <c r="C691" s="66"/>
      <c r="D691" s="66"/>
      <c r="G691" s="67"/>
      <c r="V691" s="67"/>
    </row>
    <row r="692">
      <c r="A692" s="66"/>
      <c r="B692" s="66"/>
      <c r="C692" s="66"/>
      <c r="D692" s="66"/>
      <c r="G692" s="67"/>
      <c r="V692" s="67"/>
    </row>
    <row r="693">
      <c r="A693" s="66"/>
      <c r="B693" s="66"/>
      <c r="C693" s="66"/>
      <c r="D693" s="66"/>
      <c r="G693" s="67"/>
      <c r="V693" s="67"/>
    </row>
    <row r="694">
      <c r="A694" s="66"/>
      <c r="B694" s="66"/>
      <c r="C694" s="66"/>
      <c r="D694" s="66"/>
      <c r="G694" s="67"/>
      <c r="V694" s="67"/>
    </row>
    <row r="695">
      <c r="A695" s="66"/>
      <c r="B695" s="66"/>
      <c r="C695" s="66"/>
      <c r="D695" s="66"/>
      <c r="G695" s="67"/>
      <c r="V695" s="67"/>
    </row>
    <row r="696">
      <c r="A696" s="66"/>
      <c r="B696" s="66"/>
      <c r="C696" s="66"/>
      <c r="D696" s="66"/>
      <c r="G696" s="67"/>
      <c r="V696" s="67"/>
    </row>
    <row r="697">
      <c r="A697" s="66"/>
      <c r="B697" s="66"/>
      <c r="C697" s="66"/>
      <c r="D697" s="66"/>
      <c r="G697" s="67"/>
      <c r="V697" s="67"/>
    </row>
    <row r="698">
      <c r="A698" s="66"/>
      <c r="B698" s="66"/>
      <c r="C698" s="66"/>
      <c r="D698" s="66"/>
      <c r="G698" s="67"/>
      <c r="V698" s="67"/>
    </row>
    <row r="699">
      <c r="A699" s="66"/>
      <c r="B699" s="66"/>
      <c r="C699" s="66"/>
      <c r="D699" s="66"/>
      <c r="G699" s="67"/>
      <c r="V699" s="67"/>
    </row>
    <row r="700">
      <c r="A700" s="66"/>
      <c r="B700" s="66"/>
      <c r="C700" s="66"/>
      <c r="D700" s="66"/>
      <c r="G700" s="67"/>
      <c r="V700" s="67"/>
    </row>
    <row r="701">
      <c r="A701" s="66"/>
      <c r="B701" s="66"/>
      <c r="C701" s="66"/>
      <c r="D701" s="66"/>
      <c r="G701" s="67"/>
      <c r="V701" s="67"/>
    </row>
    <row r="702">
      <c r="A702" s="66"/>
      <c r="B702" s="66"/>
      <c r="C702" s="66"/>
      <c r="D702" s="66"/>
      <c r="G702" s="67"/>
      <c r="V702" s="67"/>
    </row>
    <row r="703">
      <c r="A703" s="66"/>
      <c r="B703" s="66"/>
      <c r="C703" s="66"/>
      <c r="D703" s="66"/>
      <c r="G703" s="67"/>
      <c r="V703" s="67"/>
    </row>
    <row r="704">
      <c r="A704" s="66"/>
      <c r="B704" s="66"/>
      <c r="C704" s="66"/>
      <c r="D704" s="66"/>
      <c r="G704" s="67"/>
      <c r="V704" s="67"/>
    </row>
    <row r="705">
      <c r="A705" s="66"/>
      <c r="B705" s="66"/>
      <c r="C705" s="66"/>
      <c r="D705" s="66"/>
      <c r="G705" s="67"/>
      <c r="V705" s="67"/>
    </row>
    <row r="706">
      <c r="A706" s="66"/>
      <c r="B706" s="66"/>
      <c r="C706" s="66"/>
      <c r="D706" s="66"/>
      <c r="G706" s="67"/>
      <c r="V706" s="67"/>
    </row>
    <row r="707">
      <c r="A707" s="66"/>
      <c r="B707" s="66"/>
      <c r="C707" s="66"/>
      <c r="D707" s="66"/>
      <c r="G707" s="67"/>
      <c r="V707" s="67"/>
    </row>
    <row r="708">
      <c r="A708" s="66"/>
      <c r="B708" s="66"/>
      <c r="C708" s="66"/>
      <c r="D708" s="66"/>
      <c r="G708" s="67"/>
      <c r="V708" s="67"/>
    </row>
    <row r="709">
      <c r="A709" s="66"/>
      <c r="B709" s="66"/>
      <c r="C709" s="66"/>
      <c r="D709" s="66"/>
      <c r="G709" s="67"/>
      <c r="V709" s="67"/>
    </row>
    <row r="710">
      <c r="A710" s="66"/>
      <c r="B710" s="66"/>
      <c r="C710" s="66"/>
      <c r="D710" s="66"/>
      <c r="G710" s="67"/>
      <c r="V710" s="67"/>
    </row>
    <row r="711">
      <c r="A711" s="66"/>
      <c r="B711" s="66"/>
      <c r="C711" s="66"/>
      <c r="D711" s="66"/>
      <c r="G711" s="67"/>
      <c r="V711" s="67"/>
    </row>
    <row r="712">
      <c r="A712" s="66"/>
      <c r="B712" s="66"/>
      <c r="C712" s="66"/>
      <c r="D712" s="66"/>
      <c r="G712" s="67"/>
      <c r="V712" s="67"/>
    </row>
    <row r="713">
      <c r="A713" s="66"/>
      <c r="B713" s="66"/>
      <c r="C713" s="66"/>
      <c r="D713" s="66"/>
      <c r="G713" s="67"/>
      <c r="V713" s="67"/>
    </row>
    <row r="714">
      <c r="A714" s="66"/>
      <c r="B714" s="66"/>
      <c r="C714" s="66"/>
      <c r="D714" s="66"/>
      <c r="G714" s="67"/>
      <c r="V714" s="67"/>
    </row>
    <row r="715">
      <c r="A715" s="66"/>
      <c r="B715" s="66"/>
      <c r="C715" s="66"/>
      <c r="D715" s="66"/>
      <c r="G715" s="67"/>
      <c r="V715" s="67"/>
    </row>
    <row r="716">
      <c r="A716" s="66"/>
      <c r="B716" s="66"/>
      <c r="C716" s="66"/>
      <c r="D716" s="66"/>
      <c r="G716" s="67"/>
      <c r="V716" s="67"/>
    </row>
    <row r="717">
      <c r="A717" s="66"/>
      <c r="B717" s="66"/>
      <c r="C717" s="66"/>
      <c r="D717" s="66"/>
      <c r="G717" s="67"/>
      <c r="V717" s="67"/>
    </row>
    <row r="718">
      <c r="A718" s="66"/>
      <c r="B718" s="66"/>
      <c r="C718" s="66"/>
      <c r="D718" s="66"/>
      <c r="G718" s="67"/>
      <c r="V718" s="67"/>
    </row>
    <row r="719">
      <c r="A719" s="66"/>
      <c r="B719" s="66"/>
      <c r="C719" s="66"/>
      <c r="D719" s="66"/>
      <c r="G719" s="67"/>
      <c r="V719" s="67"/>
    </row>
    <row r="720">
      <c r="A720" s="66"/>
      <c r="B720" s="66"/>
      <c r="C720" s="66"/>
      <c r="D720" s="66"/>
      <c r="G720" s="67"/>
      <c r="V720" s="67"/>
    </row>
    <row r="721">
      <c r="A721" s="66"/>
      <c r="B721" s="66"/>
      <c r="C721" s="66"/>
      <c r="D721" s="66"/>
      <c r="G721" s="67"/>
      <c r="V721" s="67"/>
    </row>
    <row r="722">
      <c r="A722" s="66"/>
      <c r="B722" s="66"/>
      <c r="C722" s="66"/>
      <c r="D722" s="66"/>
      <c r="G722" s="67"/>
      <c r="V722" s="67"/>
    </row>
    <row r="723">
      <c r="A723" s="66"/>
      <c r="B723" s="66"/>
      <c r="C723" s="66"/>
      <c r="D723" s="66"/>
      <c r="G723" s="67"/>
      <c r="V723" s="67"/>
    </row>
    <row r="724">
      <c r="A724" s="66"/>
      <c r="B724" s="66"/>
      <c r="C724" s="66"/>
      <c r="D724" s="66"/>
      <c r="G724" s="67"/>
      <c r="V724" s="67"/>
    </row>
    <row r="725">
      <c r="A725" s="66"/>
      <c r="B725" s="66"/>
      <c r="C725" s="66"/>
      <c r="D725" s="66"/>
      <c r="G725" s="67"/>
      <c r="V725" s="67"/>
    </row>
    <row r="726">
      <c r="A726" s="66"/>
      <c r="B726" s="66"/>
      <c r="C726" s="66"/>
      <c r="D726" s="66"/>
      <c r="G726" s="67"/>
      <c r="V726" s="67"/>
    </row>
    <row r="727">
      <c r="A727" s="66"/>
      <c r="B727" s="66"/>
      <c r="C727" s="66"/>
      <c r="D727" s="66"/>
      <c r="G727" s="67"/>
      <c r="V727" s="67"/>
    </row>
    <row r="728">
      <c r="A728" s="66"/>
      <c r="B728" s="66"/>
      <c r="C728" s="66"/>
      <c r="D728" s="66"/>
      <c r="G728" s="67"/>
      <c r="V728" s="67"/>
    </row>
    <row r="729">
      <c r="A729" s="66"/>
      <c r="B729" s="66"/>
      <c r="C729" s="66"/>
      <c r="D729" s="66"/>
      <c r="G729" s="67"/>
      <c r="V729" s="67"/>
    </row>
    <row r="730">
      <c r="A730" s="66"/>
      <c r="B730" s="66"/>
      <c r="C730" s="66"/>
      <c r="D730" s="66"/>
      <c r="G730" s="67"/>
      <c r="V730" s="67"/>
    </row>
    <row r="731">
      <c r="A731" s="66"/>
      <c r="B731" s="66"/>
      <c r="C731" s="66"/>
      <c r="D731" s="66"/>
      <c r="G731" s="67"/>
      <c r="V731" s="67"/>
    </row>
    <row r="732">
      <c r="A732" s="66"/>
      <c r="B732" s="66"/>
      <c r="C732" s="66"/>
      <c r="D732" s="66"/>
      <c r="G732" s="67"/>
      <c r="V732" s="67"/>
    </row>
    <row r="733">
      <c r="A733" s="66"/>
      <c r="B733" s="66"/>
      <c r="C733" s="66"/>
      <c r="D733" s="66"/>
      <c r="G733" s="67"/>
      <c r="V733" s="67"/>
    </row>
    <row r="734">
      <c r="A734" s="66"/>
      <c r="B734" s="66"/>
      <c r="C734" s="66"/>
      <c r="D734" s="66"/>
      <c r="G734" s="67"/>
      <c r="V734" s="67"/>
    </row>
    <row r="735">
      <c r="A735" s="66"/>
      <c r="B735" s="66"/>
      <c r="C735" s="66"/>
      <c r="D735" s="66"/>
      <c r="G735" s="67"/>
      <c r="V735" s="67"/>
    </row>
    <row r="736">
      <c r="A736" s="66"/>
      <c r="B736" s="66"/>
      <c r="C736" s="66"/>
      <c r="D736" s="66"/>
      <c r="G736" s="67"/>
      <c r="V736" s="67"/>
    </row>
    <row r="737">
      <c r="A737" s="66"/>
      <c r="B737" s="66"/>
      <c r="C737" s="66"/>
      <c r="D737" s="66"/>
      <c r="G737" s="67"/>
      <c r="V737" s="67"/>
    </row>
    <row r="738">
      <c r="A738" s="66"/>
      <c r="B738" s="66"/>
      <c r="C738" s="66"/>
      <c r="D738" s="66"/>
      <c r="G738" s="67"/>
      <c r="V738" s="67"/>
    </row>
    <row r="739">
      <c r="A739" s="66"/>
      <c r="B739" s="66"/>
      <c r="C739" s="66"/>
      <c r="D739" s="66"/>
      <c r="G739" s="67"/>
      <c r="V739" s="67"/>
    </row>
    <row r="740">
      <c r="A740" s="66"/>
      <c r="B740" s="66"/>
      <c r="C740" s="66"/>
      <c r="D740" s="66"/>
      <c r="G740" s="67"/>
      <c r="V740" s="67"/>
    </row>
    <row r="741">
      <c r="A741" s="66"/>
      <c r="B741" s="66"/>
      <c r="C741" s="66"/>
      <c r="D741" s="66"/>
      <c r="G741" s="67"/>
      <c r="V741" s="67"/>
    </row>
    <row r="742">
      <c r="A742" s="66"/>
      <c r="B742" s="66"/>
      <c r="C742" s="66"/>
      <c r="D742" s="66"/>
      <c r="G742" s="67"/>
      <c r="V742" s="67"/>
    </row>
    <row r="743">
      <c r="A743" s="66"/>
      <c r="B743" s="66"/>
      <c r="C743" s="66"/>
      <c r="D743" s="66"/>
      <c r="G743" s="67"/>
      <c r="V743" s="67"/>
    </row>
    <row r="744">
      <c r="A744" s="66"/>
      <c r="B744" s="66"/>
      <c r="C744" s="66"/>
      <c r="D744" s="66"/>
      <c r="G744" s="67"/>
      <c r="V744" s="67"/>
    </row>
    <row r="745">
      <c r="A745" s="66"/>
      <c r="B745" s="66"/>
      <c r="C745" s="66"/>
      <c r="D745" s="66"/>
      <c r="G745" s="67"/>
      <c r="V745" s="67"/>
    </row>
    <row r="746">
      <c r="A746" s="66"/>
      <c r="B746" s="66"/>
      <c r="C746" s="66"/>
      <c r="D746" s="66"/>
      <c r="G746" s="67"/>
      <c r="V746" s="67"/>
    </row>
    <row r="747">
      <c r="A747" s="66"/>
      <c r="B747" s="66"/>
      <c r="C747" s="66"/>
      <c r="D747" s="66"/>
      <c r="G747" s="67"/>
      <c r="V747" s="67"/>
    </row>
    <row r="748">
      <c r="A748" s="66"/>
      <c r="B748" s="66"/>
      <c r="C748" s="66"/>
      <c r="D748" s="66"/>
      <c r="G748" s="67"/>
      <c r="V748" s="67"/>
    </row>
    <row r="749">
      <c r="A749" s="66"/>
      <c r="B749" s="66"/>
      <c r="C749" s="66"/>
      <c r="D749" s="66"/>
      <c r="G749" s="67"/>
      <c r="V749" s="67"/>
    </row>
    <row r="750">
      <c r="A750" s="66"/>
      <c r="B750" s="66"/>
      <c r="C750" s="66"/>
      <c r="D750" s="66"/>
      <c r="G750" s="67"/>
      <c r="V750" s="67"/>
    </row>
    <row r="751">
      <c r="A751" s="66"/>
      <c r="B751" s="66"/>
      <c r="C751" s="66"/>
      <c r="D751" s="66"/>
      <c r="G751" s="67"/>
      <c r="V751" s="67"/>
    </row>
    <row r="752">
      <c r="A752" s="66"/>
      <c r="B752" s="66"/>
      <c r="C752" s="66"/>
      <c r="D752" s="66"/>
      <c r="G752" s="67"/>
      <c r="V752" s="67"/>
    </row>
    <row r="753">
      <c r="A753" s="66"/>
      <c r="B753" s="66"/>
      <c r="C753" s="66"/>
      <c r="D753" s="66"/>
      <c r="G753" s="67"/>
      <c r="V753" s="67"/>
    </row>
    <row r="754">
      <c r="A754" s="66"/>
      <c r="B754" s="66"/>
      <c r="C754" s="66"/>
      <c r="D754" s="66"/>
      <c r="G754" s="67"/>
      <c r="V754" s="67"/>
    </row>
    <row r="755">
      <c r="A755" s="66"/>
      <c r="B755" s="66"/>
      <c r="C755" s="66"/>
      <c r="D755" s="66"/>
      <c r="G755" s="67"/>
      <c r="V755" s="67"/>
    </row>
    <row r="756">
      <c r="A756" s="66"/>
      <c r="B756" s="66"/>
      <c r="C756" s="66"/>
      <c r="D756" s="66"/>
      <c r="G756" s="67"/>
      <c r="V756" s="67"/>
    </row>
    <row r="757">
      <c r="A757" s="66"/>
      <c r="B757" s="66"/>
      <c r="C757" s="66"/>
      <c r="D757" s="66"/>
      <c r="G757" s="67"/>
      <c r="V757" s="67"/>
    </row>
    <row r="758">
      <c r="A758" s="66"/>
      <c r="B758" s="66"/>
      <c r="C758" s="66"/>
      <c r="D758" s="66"/>
      <c r="G758" s="67"/>
      <c r="V758" s="67"/>
    </row>
    <row r="759">
      <c r="A759" s="66"/>
      <c r="B759" s="66"/>
      <c r="C759" s="66"/>
      <c r="D759" s="66"/>
      <c r="G759" s="67"/>
      <c r="V759" s="67"/>
    </row>
    <row r="760">
      <c r="A760" s="66"/>
      <c r="B760" s="66"/>
      <c r="C760" s="66"/>
      <c r="D760" s="66"/>
      <c r="G760" s="67"/>
      <c r="V760" s="67"/>
    </row>
    <row r="761">
      <c r="A761" s="66"/>
      <c r="B761" s="66"/>
      <c r="C761" s="66"/>
      <c r="D761" s="66"/>
      <c r="G761" s="67"/>
      <c r="V761" s="67"/>
    </row>
    <row r="762">
      <c r="A762" s="66"/>
      <c r="B762" s="66"/>
      <c r="C762" s="66"/>
      <c r="D762" s="66"/>
      <c r="G762" s="67"/>
      <c r="V762" s="67"/>
    </row>
    <row r="763">
      <c r="A763" s="66"/>
      <c r="B763" s="66"/>
      <c r="C763" s="66"/>
      <c r="D763" s="66"/>
      <c r="G763" s="67"/>
      <c r="V763" s="67"/>
    </row>
    <row r="764">
      <c r="A764" s="66"/>
      <c r="B764" s="66"/>
      <c r="C764" s="66"/>
      <c r="D764" s="66"/>
      <c r="G764" s="67"/>
      <c r="V764" s="67"/>
    </row>
    <row r="765">
      <c r="A765" s="66"/>
      <c r="B765" s="66"/>
      <c r="C765" s="66"/>
      <c r="D765" s="66"/>
      <c r="G765" s="67"/>
      <c r="V765" s="67"/>
    </row>
    <row r="766">
      <c r="A766" s="66"/>
      <c r="B766" s="66"/>
      <c r="C766" s="66"/>
      <c r="D766" s="66"/>
      <c r="G766" s="67"/>
      <c r="V766" s="67"/>
    </row>
    <row r="767">
      <c r="A767" s="66"/>
      <c r="B767" s="66"/>
      <c r="C767" s="66"/>
      <c r="D767" s="66"/>
      <c r="G767" s="67"/>
      <c r="V767" s="67"/>
    </row>
    <row r="768">
      <c r="A768" s="66"/>
      <c r="B768" s="66"/>
      <c r="C768" s="66"/>
      <c r="D768" s="66"/>
      <c r="G768" s="67"/>
      <c r="V768" s="67"/>
    </row>
    <row r="769">
      <c r="A769" s="66"/>
      <c r="B769" s="66"/>
      <c r="C769" s="66"/>
      <c r="D769" s="66"/>
      <c r="G769" s="67"/>
      <c r="V769" s="67"/>
    </row>
    <row r="770">
      <c r="A770" s="66"/>
      <c r="B770" s="66"/>
      <c r="C770" s="66"/>
      <c r="D770" s="66"/>
      <c r="G770" s="67"/>
      <c r="V770" s="67"/>
    </row>
    <row r="771">
      <c r="A771" s="66"/>
      <c r="B771" s="66"/>
      <c r="C771" s="66"/>
      <c r="D771" s="66"/>
      <c r="G771" s="67"/>
      <c r="V771" s="67"/>
    </row>
    <row r="772">
      <c r="A772" s="66"/>
      <c r="B772" s="66"/>
      <c r="C772" s="66"/>
      <c r="D772" s="66"/>
      <c r="G772" s="67"/>
      <c r="V772" s="67"/>
    </row>
    <row r="773">
      <c r="A773" s="66"/>
      <c r="B773" s="66"/>
      <c r="C773" s="66"/>
      <c r="D773" s="66"/>
      <c r="G773" s="67"/>
      <c r="V773" s="67"/>
    </row>
    <row r="774">
      <c r="A774" s="66"/>
      <c r="B774" s="66"/>
      <c r="C774" s="66"/>
      <c r="D774" s="66"/>
      <c r="G774" s="67"/>
      <c r="V774" s="67"/>
    </row>
    <row r="775">
      <c r="A775" s="66"/>
      <c r="B775" s="66"/>
      <c r="C775" s="66"/>
      <c r="D775" s="66"/>
      <c r="G775" s="67"/>
      <c r="V775" s="67"/>
    </row>
    <row r="776">
      <c r="A776" s="66"/>
      <c r="B776" s="66"/>
      <c r="C776" s="66"/>
      <c r="D776" s="66"/>
      <c r="G776" s="67"/>
      <c r="V776" s="67"/>
    </row>
    <row r="777">
      <c r="A777" s="66"/>
      <c r="B777" s="66"/>
      <c r="C777" s="66"/>
      <c r="D777" s="66"/>
      <c r="G777" s="67"/>
      <c r="V777" s="67"/>
    </row>
    <row r="778">
      <c r="A778" s="66"/>
      <c r="B778" s="66"/>
      <c r="C778" s="66"/>
      <c r="D778" s="66"/>
      <c r="G778" s="67"/>
      <c r="V778" s="67"/>
    </row>
    <row r="779">
      <c r="A779" s="66"/>
      <c r="B779" s="66"/>
      <c r="C779" s="66"/>
      <c r="D779" s="66"/>
      <c r="G779" s="67"/>
      <c r="V779" s="67"/>
    </row>
    <row r="780">
      <c r="A780" s="66"/>
      <c r="B780" s="66"/>
      <c r="C780" s="66"/>
      <c r="D780" s="66"/>
      <c r="G780" s="67"/>
      <c r="V780" s="67"/>
    </row>
    <row r="781">
      <c r="A781" s="66"/>
      <c r="B781" s="66"/>
      <c r="C781" s="66"/>
      <c r="D781" s="66"/>
      <c r="G781" s="67"/>
      <c r="V781" s="67"/>
    </row>
    <row r="782">
      <c r="A782" s="66"/>
      <c r="B782" s="66"/>
      <c r="C782" s="66"/>
      <c r="D782" s="66"/>
      <c r="G782" s="67"/>
      <c r="V782" s="67"/>
    </row>
    <row r="783">
      <c r="A783" s="66"/>
      <c r="B783" s="66"/>
      <c r="C783" s="66"/>
      <c r="D783" s="66"/>
      <c r="G783" s="67"/>
      <c r="V783" s="67"/>
    </row>
    <row r="784">
      <c r="A784" s="66"/>
      <c r="B784" s="66"/>
      <c r="C784" s="66"/>
      <c r="D784" s="66"/>
      <c r="G784" s="67"/>
      <c r="V784" s="67"/>
    </row>
    <row r="785">
      <c r="A785" s="66"/>
      <c r="B785" s="66"/>
      <c r="C785" s="66"/>
      <c r="D785" s="66"/>
      <c r="G785" s="67"/>
      <c r="V785" s="67"/>
    </row>
    <row r="786">
      <c r="A786" s="66"/>
      <c r="B786" s="66"/>
      <c r="C786" s="66"/>
      <c r="D786" s="66"/>
      <c r="G786" s="67"/>
      <c r="V786" s="67"/>
    </row>
    <row r="787">
      <c r="A787" s="66"/>
      <c r="B787" s="66"/>
      <c r="C787" s="66"/>
      <c r="D787" s="66"/>
      <c r="G787" s="67"/>
      <c r="V787" s="67"/>
    </row>
    <row r="788">
      <c r="A788" s="66"/>
      <c r="B788" s="66"/>
      <c r="C788" s="66"/>
      <c r="D788" s="66"/>
      <c r="G788" s="67"/>
      <c r="V788" s="67"/>
    </row>
    <row r="789">
      <c r="A789" s="66"/>
      <c r="B789" s="66"/>
      <c r="C789" s="66"/>
      <c r="D789" s="66"/>
      <c r="G789" s="67"/>
      <c r="V789" s="67"/>
    </row>
    <row r="790">
      <c r="A790" s="66"/>
      <c r="B790" s="66"/>
      <c r="C790" s="66"/>
      <c r="D790" s="66"/>
      <c r="G790" s="67"/>
      <c r="V790" s="67"/>
    </row>
    <row r="791">
      <c r="A791" s="66"/>
      <c r="B791" s="66"/>
      <c r="C791" s="66"/>
      <c r="D791" s="66"/>
      <c r="G791" s="67"/>
      <c r="V791" s="67"/>
    </row>
    <row r="792">
      <c r="A792" s="66"/>
      <c r="B792" s="66"/>
      <c r="C792" s="66"/>
      <c r="D792" s="66"/>
      <c r="G792" s="67"/>
      <c r="V792" s="67"/>
    </row>
    <row r="793">
      <c r="A793" s="66"/>
      <c r="B793" s="66"/>
      <c r="C793" s="66"/>
      <c r="D793" s="66"/>
      <c r="G793" s="67"/>
      <c r="V793" s="67"/>
    </row>
    <row r="794">
      <c r="A794" s="66"/>
      <c r="B794" s="66"/>
      <c r="C794" s="66"/>
      <c r="D794" s="66"/>
      <c r="G794" s="67"/>
      <c r="V794" s="67"/>
    </row>
    <row r="795">
      <c r="A795" s="66"/>
      <c r="B795" s="66"/>
      <c r="C795" s="66"/>
      <c r="D795" s="66"/>
      <c r="G795" s="67"/>
      <c r="V795" s="67"/>
    </row>
    <row r="796">
      <c r="A796" s="66"/>
      <c r="B796" s="66"/>
      <c r="C796" s="66"/>
      <c r="D796" s="66"/>
      <c r="G796" s="67"/>
      <c r="V796" s="67"/>
    </row>
    <row r="797">
      <c r="A797" s="66"/>
      <c r="B797" s="66"/>
      <c r="C797" s="66"/>
      <c r="D797" s="66"/>
      <c r="G797" s="67"/>
      <c r="V797" s="67"/>
    </row>
    <row r="798">
      <c r="A798" s="66"/>
      <c r="B798" s="66"/>
      <c r="C798" s="66"/>
      <c r="D798" s="66"/>
      <c r="G798" s="67"/>
      <c r="V798" s="67"/>
    </row>
    <row r="799">
      <c r="A799" s="66"/>
      <c r="B799" s="66"/>
      <c r="C799" s="66"/>
      <c r="D799" s="66"/>
      <c r="G799" s="67"/>
      <c r="V799" s="67"/>
    </row>
    <row r="800">
      <c r="A800" s="66"/>
      <c r="B800" s="66"/>
      <c r="C800" s="66"/>
      <c r="D800" s="66"/>
      <c r="G800" s="67"/>
      <c r="V800" s="67"/>
    </row>
    <row r="801">
      <c r="A801" s="66"/>
      <c r="B801" s="66"/>
      <c r="C801" s="66"/>
      <c r="D801" s="66"/>
      <c r="G801" s="67"/>
      <c r="V801" s="67"/>
    </row>
    <row r="802">
      <c r="A802" s="66"/>
      <c r="B802" s="66"/>
      <c r="C802" s="66"/>
      <c r="D802" s="66"/>
      <c r="G802" s="67"/>
      <c r="V802" s="67"/>
    </row>
    <row r="803">
      <c r="A803" s="66"/>
      <c r="B803" s="66"/>
      <c r="C803" s="66"/>
      <c r="D803" s="66"/>
      <c r="G803" s="67"/>
      <c r="V803" s="67"/>
    </row>
    <row r="804">
      <c r="A804" s="66"/>
      <c r="B804" s="66"/>
      <c r="C804" s="66"/>
      <c r="D804" s="66"/>
      <c r="G804" s="67"/>
      <c r="V804" s="67"/>
    </row>
    <row r="805">
      <c r="A805" s="66"/>
      <c r="B805" s="66"/>
      <c r="C805" s="66"/>
      <c r="D805" s="66"/>
      <c r="G805" s="67"/>
      <c r="V805" s="67"/>
    </row>
    <row r="806">
      <c r="A806" s="66"/>
      <c r="B806" s="66"/>
      <c r="C806" s="66"/>
      <c r="D806" s="66"/>
      <c r="G806" s="67"/>
      <c r="V806" s="67"/>
    </row>
    <row r="807">
      <c r="A807" s="66"/>
      <c r="B807" s="66"/>
      <c r="C807" s="66"/>
      <c r="D807" s="66"/>
      <c r="G807" s="67"/>
      <c r="V807" s="67"/>
    </row>
    <row r="808">
      <c r="A808" s="66"/>
      <c r="B808" s="66"/>
      <c r="C808" s="66"/>
      <c r="D808" s="66"/>
      <c r="G808" s="67"/>
      <c r="V808" s="67"/>
    </row>
    <row r="809">
      <c r="A809" s="66"/>
      <c r="B809" s="66"/>
      <c r="C809" s="66"/>
      <c r="D809" s="66"/>
      <c r="G809" s="67"/>
      <c r="V809" s="67"/>
    </row>
    <row r="810">
      <c r="A810" s="66"/>
      <c r="B810" s="66"/>
      <c r="C810" s="66"/>
      <c r="D810" s="66"/>
      <c r="G810" s="67"/>
      <c r="V810" s="67"/>
    </row>
    <row r="811">
      <c r="A811" s="66"/>
      <c r="B811" s="66"/>
      <c r="C811" s="66"/>
      <c r="D811" s="66"/>
      <c r="G811" s="67"/>
      <c r="V811" s="67"/>
    </row>
    <row r="812">
      <c r="A812" s="66"/>
      <c r="B812" s="66"/>
      <c r="C812" s="66"/>
      <c r="D812" s="66"/>
      <c r="G812" s="67"/>
      <c r="V812" s="67"/>
    </row>
    <row r="813">
      <c r="A813" s="66"/>
      <c r="B813" s="66"/>
      <c r="C813" s="66"/>
      <c r="D813" s="66"/>
      <c r="G813" s="67"/>
      <c r="V813" s="67"/>
    </row>
    <row r="814">
      <c r="A814" s="66"/>
      <c r="B814" s="66"/>
      <c r="C814" s="66"/>
      <c r="D814" s="66"/>
      <c r="G814" s="67"/>
      <c r="V814" s="67"/>
    </row>
    <row r="815">
      <c r="A815" s="66"/>
      <c r="B815" s="66"/>
      <c r="C815" s="66"/>
      <c r="D815" s="66"/>
      <c r="G815" s="67"/>
      <c r="V815" s="67"/>
    </row>
    <row r="816">
      <c r="A816" s="66"/>
      <c r="B816" s="66"/>
      <c r="C816" s="66"/>
      <c r="D816" s="66"/>
      <c r="G816" s="67"/>
      <c r="V816" s="67"/>
    </row>
    <row r="817">
      <c r="A817" s="66"/>
      <c r="B817" s="66"/>
      <c r="C817" s="66"/>
      <c r="D817" s="66"/>
      <c r="G817" s="67"/>
      <c r="V817" s="67"/>
    </row>
    <row r="818">
      <c r="A818" s="66"/>
      <c r="B818" s="66"/>
      <c r="C818" s="66"/>
      <c r="D818" s="66"/>
      <c r="G818" s="67"/>
      <c r="V818" s="67"/>
    </row>
    <row r="819">
      <c r="A819" s="66"/>
      <c r="B819" s="66"/>
      <c r="C819" s="66"/>
      <c r="D819" s="66"/>
      <c r="G819" s="67"/>
      <c r="V819" s="67"/>
    </row>
    <row r="820">
      <c r="A820" s="66"/>
      <c r="B820" s="66"/>
      <c r="C820" s="66"/>
      <c r="D820" s="66"/>
      <c r="G820" s="67"/>
      <c r="V820" s="67"/>
    </row>
    <row r="821">
      <c r="A821" s="66"/>
      <c r="B821" s="66"/>
      <c r="C821" s="66"/>
      <c r="D821" s="66"/>
      <c r="G821" s="67"/>
      <c r="V821" s="67"/>
    </row>
    <row r="822">
      <c r="A822" s="66"/>
      <c r="B822" s="66"/>
      <c r="C822" s="66"/>
      <c r="D822" s="66"/>
      <c r="G822" s="67"/>
      <c r="V822" s="67"/>
    </row>
    <row r="823">
      <c r="A823" s="66"/>
      <c r="B823" s="66"/>
      <c r="C823" s="66"/>
      <c r="D823" s="66"/>
      <c r="G823" s="67"/>
      <c r="V823" s="67"/>
    </row>
    <row r="824">
      <c r="A824" s="66"/>
      <c r="B824" s="66"/>
      <c r="C824" s="66"/>
      <c r="D824" s="66"/>
      <c r="G824" s="67"/>
      <c r="V824" s="67"/>
    </row>
    <row r="825">
      <c r="A825" s="66"/>
      <c r="B825" s="66"/>
      <c r="C825" s="66"/>
      <c r="D825" s="66"/>
      <c r="G825" s="67"/>
      <c r="V825" s="67"/>
    </row>
    <row r="826">
      <c r="A826" s="66"/>
      <c r="B826" s="66"/>
      <c r="C826" s="66"/>
      <c r="D826" s="66"/>
      <c r="G826" s="67"/>
      <c r="V826" s="67"/>
    </row>
    <row r="827">
      <c r="A827" s="66"/>
      <c r="B827" s="66"/>
      <c r="C827" s="66"/>
      <c r="D827" s="66"/>
      <c r="G827" s="67"/>
      <c r="V827" s="67"/>
    </row>
    <row r="828">
      <c r="A828" s="66"/>
      <c r="B828" s="66"/>
      <c r="C828" s="66"/>
      <c r="D828" s="66"/>
      <c r="G828" s="67"/>
      <c r="V828" s="67"/>
    </row>
    <row r="829">
      <c r="A829" s="66"/>
      <c r="B829" s="66"/>
      <c r="C829" s="66"/>
      <c r="D829" s="66"/>
      <c r="G829" s="67"/>
      <c r="V829" s="67"/>
    </row>
    <row r="830">
      <c r="A830" s="66"/>
      <c r="B830" s="66"/>
      <c r="C830" s="66"/>
      <c r="D830" s="66"/>
      <c r="G830" s="67"/>
      <c r="V830" s="67"/>
    </row>
    <row r="831">
      <c r="A831" s="66"/>
      <c r="B831" s="66"/>
      <c r="C831" s="66"/>
      <c r="D831" s="66"/>
      <c r="G831" s="67"/>
      <c r="V831" s="67"/>
    </row>
    <row r="832">
      <c r="A832" s="66"/>
      <c r="B832" s="66"/>
      <c r="C832" s="66"/>
      <c r="D832" s="66"/>
      <c r="G832" s="67"/>
      <c r="V832" s="67"/>
    </row>
    <row r="833">
      <c r="A833" s="66"/>
      <c r="B833" s="66"/>
      <c r="C833" s="66"/>
      <c r="D833" s="66"/>
      <c r="G833" s="67"/>
      <c r="V833" s="67"/>
    </row>
    <row r="834">
      <c r="A834" s="66"/>
      <c r="B834" s="66"/>
      <c r="C834" s="66"/>
      <c r="D834" s="66"/>
      <c r="G834" s="67"/>
      <c r="V834" s="67"/>
    </row>
    <row r="835">
      <c r="A835" s="66"/>
      <c r="B835" s="66"/>
      <c r="C835" s="66"/>
      <c r="D835" s="66"/>
      <c r="G835" s="67"/>
      <c r="V835" s="67"/>
    </row>
    <row r="836">
      <c r="A836" s="66"/>
      <c r="B836" s="66"/>
      <c r="C836" s="66"/>
      <c r="D836" s="66"/>
      <c r="G836" s="67"/>
      <c r="V836" s="67"/>
    </row>
    <row r="837">
      <c r="A837" s="66"/>
      <c r="B837" s="66"/>
      <c r="C837" s="66"/>
      <c r="D837" s="66"/>
      <c r="G837" s="67"/>
      <c r="V837" s="67"/>
    </row>
    <row r="838">
      <c r="A838" s="66"/>
      <c r="B838" s="66"/>
      <c r="C838" s="66"/>
      <c r="D838" s="66"/>
      <c r="G838" s="67"/>
      <c r="V838" s="67"/>
    </row>
    <row r="839">
      <c r="A839" s="66"/>
      <c r="B839" s="66"/>
      <c r="C839" s="66"/>
      <c r="D839" s="66"/>
      <c r="G839" s="67"/>
      <c r="V839" s="67"/>
    </row>
    <row r="840">
      <c r="A840" s="66"/>
      <c r="B840" s="66"/>
      <c r="C840" s="66"/>
      <c r="D840" s="66"/>
      <c r="G840" s="67"/>
      <c r="V840" s="67"/>
    </row>
    <row r="841">
      <c r="A841" s="66"/>
      <c r="B841" s="66"/>
      <c r="C841" s="66"/>
      <c r="D841" s="66"/>
      <c r="G841" s="67"/>
      <c r="V841" s="67"/>
    </row>
    <row r="842">
      <c r="A842" s="66"/>
      <c r="B842" s="66"/>
      <c r="C842" s="66"/>
      <c r="D842" s="66"/>
      <c r="G842" s="67"/>
      <c r="V842" s="67"/>
    </row>
    <row r="843">
      <c r="A843" s="66"/>
      <c r="B843" s="66"/>
      <c r="C843" s="66"/>
      <c r="D843" s="66"/>
      <c r="G843" s="67"/>
      <c r="V843" s="67"/>
    </row>
    <row r="844">
      <c r="A844" s="66"/>
      <c r="B844" s="66"/>
      <c r="C844" s="66"/>
      <c r="D844" s="66"/>
      <c r="G844" s="67"/>
      <c r="V844" s="67"/>
    </row>
    <row r="845">
      <c r="A845" s="66"/>
      <c r="B845" s="66"/>
      <c r="C845" s="66"/>
      <c r="D845" s="66"/>
      <c r="G845" s="67"/>
      <c r="V845" s="67"/>
    </row>
    <row r="846">
      <c r="A846" s="66"/>
      <c r="B846" s="66"/>
      <c r="C846" s="66"/>
      <c r="D846" s="66"/>
      <c r="G846" s="67"/>
      <c r="V846" s="67"/>
    </row>
    <row r="847">
      <c r="A847" s="66"/>
      <c r="B847" s="66"/>
      <c r="C847" s="66"/>
      <c r="D847" s="66"/>
      <c r="G847" s="67"/>
      <c r="V847" s="67"/>
    </row>
    <row r="848">
      <c r="A848" s="66"/>
      <c r="B848" s="66"/>
      <c r="C848" s="66"/>
      <c r="D848" s="66"/>
      <c r="G848" s="67"/>
      <c r="V848" s="67"/>
    </row>
    <row r="849">
      <c r="A849" s="66"/>
      <c r="B849" s="66"/>
      <c r="C849" s="66"/>
      <c r="D849" s="66"/>
      <c r="G849" s="67"/>
      <c r="V849" s="67"/>
    </row>
    <row r="850">
      <c r="A850" s="66"/>
      <c r="B850" s="66"/>
      <c r="C850" s="66"/>
      <c r="D850" s="66"/>
      <c r="G850" s="67"/>
      <c r="V850" s="67"/>
    </row>
    <row r="851">
      <c r="A851" s="66"/>
      <c r="B851" s="66"/>
      <c r="C851" s="66"/>
      <c r="D851" s="66"/>
      <c r="G851" s="67"/>
      <c r="V851" s="67"/>
    </row>
    <row r="852">
      <c r="A852" s="66"/>
      <c r="B852" s="66"/>
      <c r="C852" s="66"/>
      <c r="D852" s="66"/>
      <c r="G852" s="67"/>
      <c r="V852" s="67"/>
    </row>
    <row r="853">
      <c r="A853" s="66"/>
      <c r="B853" s="66"/>
      <c r="C853" s="66"/>
      <c r="D853" s="66"/>
      <c r="G853" s="67"/>
      <c r="V853" s="67"/>
    </row>
    <row r="854">
      <c r="A854" s="66"/>
      <c r="B854" s="66"/>
      <c r="C854" s="66"/>
      <c r="D854" s="66"/>
      <c r="G854" s="67"/>
      <c r="V854" s="67"/>
    </row>
    <row r="855">
      <c r="A855" s="66"/>
      <c r="B855" s="66"/>
      <c r="C855" s="66"/>
      <c r="D855" s="66"/>
      <c r="G855" s="67"/>
      <c r="V855" s="67"/>
    </row>
    <row r="856">
      <c r="A856" s="66"/>
      <c r="B856" s="66"/>
      <c r="C856" s="66"/>
      <c r="D856" s="66"/>
      <c r="G856" s="67"/>
      <c r="V856" s="67"/>
    </row>
    <row r="857">
      <c r="A857" s="66"/>
      <c r="B857" s="66"/>
      <c r="C857" s="66"/>
      <c r="D857" s="66"/>
      <c r="G857" s="67"/>
      <c r="V857" s="67"/>
    </row>
    <row r="858">
      <c r="A858" s="66"/>
      <c r="B858" s="66"/>
      <c r="C858" s="66"/>
      <c r="D858" s="66"/>
      <c r="G858" s="67"/>
      <c r="V858" s="67"/>
    </row>
    <row r="859">
      <c r="A859" s="66"/>
      <c r="B859" s="66"/>
      <c r="C859" s="66"/>
      <c r="D859" s="66"/>
      <c r="G859" s="67"/>
      <c r="V859" s="67"/>
    </row>
    <row r="860">
      <c r="A860" s="66"/>
      <c r="B860" s="66"/>
      <c r="C860" s="66"/>
      <c r="D860" s="66"/>
      <c r="G860" s="67"/>
      <c r="V860" s="67"/>
    </row>
    <row r="861">
      <c r="A861" s="66"/>
      <c r="B861" s="66"/>
      <c r="C861" s="66"/>
      <c r="D861" s="66"/>
      <c r="G861" s="67"/>
      <c r="V861" s="67"/>
    </row>
    <row r="862">
      <c r="A862" s="66"/>
      <c r="B862" s="66"/>
      <c r="C862" s="66"/>
      <c r="D862" s="66"/>
      <c r="G862" s="67"/>
      <c r="V862" s="67"/>
    </row>
    <row r="863">
      <c r="A863" s="66"/>
      <c r="B863" s="66"/>
      <c r="C863" s="66"/>
      <c r="D863" s="66"/>
      <c r="G863" s="67"/>
      <c r="V863" s="67"/>
    </row>
    <row r="864">
      <c r="A864" s="66"/>
      <c r="B864" s="66"/>
      <c r="C864" s="66"/>
      <c r="D864" s="66"/>
      <c r="G864" s="67"/>
      <c r="V864" s="67"/>
    </row>
    <row r="865">
      <c r="A865" s="66"/>
      <c r="B865" s="66"/>
      <c r="C865" s="66"/>
      <c r="D865" s="66"/>
      <c r="G865" s="67"/>
      <c r="V865" s="67"/>
    </row>
    <row r="866">
      <c r="A866" s="66"/>
      <c r="B866" s="66"/>
      <c r="C866" s="66"/>
      <c r="D866" s="66"/>
      <c r="G866" s="67"/>
      <c r="V866" s="67"/>
    </row>
    <row r="867">
      <c r="A867" s="66"/>
      <c r="B867" s="66"/>
      <c r="C867" s="66"/>
      <c r="D867" s="66"/>
      <c r="G867" s="67"/>
      <c r="V867" s="67"/>
    </row>
    <row r="868">
      <c r="A868" s="66"/>
      <c r="B868" s="66"/>
      <c r="C868" s="66"/>
      <c r="D868" s="66"/>
      <c r="G868" s="67"/>
      <c r="V868" s="67"/>
    </row>
    <row r="869">
      <c r="A869" s="66"/>
      <c r="B869" s="66"/>
      <c r="C869" s="66"/>
      <c r="D869" s="66"/>
      <c r="G869" s="67"/>
      <c r="V869" s="67"/>
    </row>
    <row r="870">
      <c r="A870" s="66"/>
      <c r="B870" s="66"/>
      <c r="C870" s="66"/>
      <c r="D870" s="66"/>
      <c r="G870" s="67"/>
      <c r="V870" s="67"/>
    </row>
    <row r="871">
      <c r="A871" s="66"/>
      <c r="B871" s="66"/>
      <c r="C871" s="66"/>
      <c r="D871" s="66"/>
      <c r="G871" s="67"/>
      <c r="V871" s="67"/>
    </row>
    <row r="872">
      <c r="A872" s="66"/>
      <c r="B872" s="66"/>
      <c r="C872" s="66"/>
      <c r="D872" s="66"/>
      <c r="G872" s="67"/>
      <c r="V872" s="67"/>
    </row>
    <row r="873">
      <c r="A873" s="66"/>
      <c r="B873" s="66"/>
      <c r="C873" s="66"/>
      <c r="D873" s="66"/>
      <c r="G873" s="67"/>
      <c r="V873" s="67"/>
    </row>
    <row r="874">
      <c r="A874" s="66"/>
      <c r="B874" s="66"/>
      <c r="C874" s="66"/>
      <c r="D874" s="66"/>
      <c r="G874" s="67"/>
      <c r="V874" s="67"/>
    </row>
    <row r="875">
      <c r="A875" s="66"/>
      <c r="B875" s="66"/>
      <c r="C875" s="66"/>
      <c r="D875" s="66"/>
      <c r="G875" s="67"/>
      <c r="V875" s="67"/>
    </row>
    <row r="876">
      <c r="A876" s="66"/>
      <c r="B876" s="66"/>
      <c r="C876" s="66"/>
      <c r="D876" s="66"/>
      <c r="G876" s="67"/>
      <c r="V876" s="67"/>
    </row>
    <row r="877">
      <c r="A877" s="66"/>
      <c r="B877" s="66"/>
      <c r="C877" s="66"/>
      <c r="D877" s="66"/>
      <c r="G877" s="67"/>
      <c r="V877" s="67"/>
    </row>
    <row r="878">
      <c r="A878" s="66"/>
      <c r="B878" s="66"/>
      <c r="C878" s="66"/>
      <c r="D878" s="66"/>
      <c r="G878" s="67"/>
      <c r="V878" s="67"/>
    </row>
    <row r="879">
      <c r="A879" s="66"/>
      <c r="B879" s="66"/>
      <c r="C879" s="66"/>
      <c r="D879" s="66"/>
      <c r="G879" s="67"/>
      <c r="V879" s="67"/>
    </row>
    <row r="880">
      <c r="A880" s="66"/>
      <c r="B880" s="66"/>
      <c r="C880" s="66"/>
      <c r="D880" s="66"/>
      <c r="G880" s="67"/>
      <c r="V880" s="67"/>
    </row>
    <row r="881">
      <c r="A881" s="66"/>
      <c r="B881" s="66"/>
      <c r="C881" s="66"/>
      <c r="D881" s="66"/>
      <c r="G881" s="67"/>
      <c r="V881" s="67"/>
    </row>
    <row r="882">
      <c r="A882" s="66"/>
      <c r="B882" s="66"/>
      <c r="C882" s="66"/>
      <c r="D882" s="66"/>
      <c r="G882" s="67"/>
      <c r="V882" s="67"/>
    </row>
    <row r="883">
      <c r="A883" s="66"/>
      <c r="B883" s="66"/>
      <c r="C883" s="66"/>
      <c r="D883" s="66"/>
      <c r="G883" s="67"/>
      <c r="V883" s="67"/>
    </row>
    <row r="884">
      <c r="A884" s="66"/>
      <c r="B884" s="66"/>
      <c r="C884" s="66"/>
      <c r="D884" s="66"/>
      <c r="G884" s="67"/>
      <c r="V884" s="67"/>
    </row>
    <row r="885">
      <c r="A885" s="66"/>
      <c r="B885" s="66"/>
      <c r="C885" s="66"/>
      <c r="D885" s="66"/>
      <c r="G885" s="67"/>
      <c r="V885" s="67"/>
    </row>
    <row r="886">
      <c r="A886" s="66"/>
      <c r="B886" s="66"/>
      <c r="C886" s="66"/>
      <c r="D886" s="66"/>
      <c r="G886" s="67"/>
      <c r="V886" s="67"/>
    </row>
    <row r="887">
      <c r="A887" s="66"/>
      <c r="B887" s="66"/>
      <c r="C887" s="66"/>
      <c r="D887" s="66"/>
      <c r="G887" s="67"/>
      <c r="V887" s="67"/>
    </row>
    <row r="888">
      <c r="A888" s="66"/>
      <c r="B888" s="66"/>
      <c r="C888" s="66"/>
      <c r="D888" s="66"/>
      <c r="G888" s="67"/>
      <c r="V888" s="67"/>
    </row>
    <row r="889">
      <c r="A889" s="66"/>
      <c r="B889" s="66"/>
      <c r="C889" s="66"/>
      <c r="D889" s="66"/>
      <c r="G889" s="67"/>
      <c r="V889" s="67"/>
    </row>
    <row r="890">
      <c r="A890" s="66"/>
      <c r="B890" s="66"/>
      <c r="C890" s="66"/>
      <c r="D890" s="66"/>
      <c r="G890" s="67"/>
      <c r="V890" s="67"/>
    </row>
    <row r="891">
      <c r="A891" s="66"/>
      <c r="B891" s="66"/>
      <c r="C891" s="66"/>
      <c r="D891" s="66"/>
      <c r="G891" s="67"/>
      <c r="V891" s="67"/>
    </row>
    <row r="892">
      <c r="A892" s="66"/>
      <c r="B892" s="66"/>
      <c r="C892" s="66"/>
      <c r="D892" s="66"/>
      <c r="G892" s="67"/>
      <c r="V892" s="67"/>
    </row>
    <row r="893">
      <c r="A893" s="66"/>
      <c r="B893" s="66"/>
      <c r="C893" s="66"/>
      <c r="D893" s="66"/>
      <c r="G893" s="67"/>
      <c r="V893" s="67"/>
    </row>
    <row r="894">
      <c r="A894" s="66"/>
      <c r="B894" s="66"/>
      <c r="C894" s="66"/>
      <c r="D894" s="66"/>
      <c r="G894" s="67"/>
      <c r="V894" s="67"/>
    </row>
    <row r="895">
      <c r="A895" s="66"/>
      <c r="B895" s="66"/>
      <c r="C895" s="66"/>
      <c r="D895" s="66"/>
      <c r="G895" s="67"/>
      <c r="V895" s="67"/>
    </row>
    <row r="896">
      <c r="A896" s="66"/>
      <c r="B896" s="66"/>
      <c r="C896" s="66"/>
      <c r="D896" s="66"/>
      <c r="G896" s="67"/>
      <c r="V896" s="67"/>
    </row>
    <row r="897">
      <c r="A897" s="66"/>
      <c r="B897" s="66"/>
      <c r="C897" s="66"/>
      <c r="D897" s="66"/>
      <c r="G897" s="67"/>
      <c r="V897" s="67"/>
    </row>
    <row r="898">
      <c r="A898" s="66"/>
      <c r="B898" s="66"/>
      <c r="C898" s="66"/>
      <c r="D898" s="66"/>
      <c r="G898" s="67"/>
      <c r="V898" s="67"/>
    </row>
    <row r="899">
      <c r="A899" s="66"/>
      <c r="B899" s="66"/>
      <c r="C899" s="66"/>
      <c r="D899" s="66"/>
      <c r="G899" s="67"/>
      <c r="V899" s="67"/>
    </row>
    <row r="900">
      <c r="A900" s="66"/>
      <c r="B900" s="66"/>
      <c r="C900" s="66"/>
      <c r="D900" s="66"/>
      <c r="G900" s="67"/>
      <c r="V900" s="67"/>
    </row>
    <row r="901">
      <c r="A901" s="66"/>
      <c r="B901" s="66"/>
      <c r="C901" s="66"/>
      <c r="D901" s="66"/>
      <c r="G901" s="67"/>
      <c r="V901" s="67"/>
    </row>
    <row r="902">
      <c r="A902" s="66"/>
      <c r="B902" s="66"/>
      <c r="C902" s="66"/>
      <c r="D902" s="66"/>
      <c r="G902" s="67"/>
      <c r="V902" s="67"/>
    </row>
    <row r="903">
      <c r="A903" s="66"/>
      <c r="B903" s="66"/>
      <c r="C903" s="66"/>
      <c r="D903" s="66"/>
      <c r="G903" s="67"/>
      <c r="V903" s="67"/>
    </row>
    <row r="904">
      <c r="A904" s="66"/>
      <c r="B904" s="66"/>
      <c r="C904" s="66"/>
      <c r="D904" s="66"/>
      <c r="G904" s="67"/>
      <c r="V904" s="67"/>
    </row>
    <row r="905">
      <c r="A905" s="66"/>
      <c r="B905" s="66"/>
      <c r="C905" s="66"/>
      <c r="D905" s="66"/>
      <c r="G905" s="67"/>
      <c r="V905" s="67"/>
    </row>
    <row r="906">
      <c r="A906" s="66"/>
      <c r="B906" s="66"/>
      <c r="C906" s="66"/>
      <c r="D906" s="66"/>
      <c r="G906" s="67"/>
      <c r="V906" s="67"/>
    </row>
    <row r="907">
      <c r="A907" s="66"/>
      <c r="B907" s="66"/>
      <c r="C907" s="66"/>
      <c r="D907" s="66"/>
      <c r="G907" s="67"/>
      <c r="V907" s="67"/>
    </row>
    <row r="908">
      <c r="A908" s="66"/>
      <c r="B908" s="66"/>
      <c r="C908" s="66"/>
      <c r="D908" s="66"/>
      <c r="G908" s="67"/>
      <c r="V908" s="67"/>
    </row>
    <row r="909">
      <c r="A909" s="66"/>
      <c r="B909" s="66"/>
      <c r="C909" s="66"/>
      <c r="D909" s="66"/>
      <c r="G909" s="67"/>
      <c r="V909" s="67"/>
    </row>
    <row r="910">
      <c r="A910" s="66"/>
      <c r="B910" s="66"/>
      <c r="C910" s="66"/>
      <c r="D910" s="66"/>
      <c r="G910" s="67"/>
      <c r="V910" s="67"/>
    </row>
    <row r="911">
      <c r="A911" s="66"/>
      <c r="B911" s="66"/>
      <c r="C911" s="66"/>
      <c r="D911" s="66"/>
      <c r="G911" s="67"/>
      <c r="V911" s="67"/>
    </row>
    <row r="912">
      <c r="A912" s="66"/>
      <c r="B912" s="66"/>
      <c r="C912" s="66"/>
      <c r="D912" s="66"/>
      <c r="G912" s="67"/>
      <c r="V912" s="67"/>
    </row>
    <row r="913">
      <c r="A913" s="66"/>
      <c r="B913" s="66"/>
      <c r="C913" s="66"/>
      <c r="D913" s="66"/>
      <c r="G913" s="67"/>
      <c r="V913" s="67"/>
    </row>
    <row r="914">
      <c r="A914" s="66"/>
      <c r="B914" s="66"/>
      <c r="C914" s="66"/>
      <c r="D914" s="66"/>
      <c r="G914" s="67"/>
      <c r="V914" s="67"/>
    </row>
    <row r="915">
      <c r="A915" s="66"/>
      <c r="B915" s="66"/>
      <c r="C915" s="66"/>
      <c r="D915" s="66"/>
      <c r="G915" s="67"/>
      <c r="V915" s="67"/>
    </row>
    <row r="916">
      <c r="A916" s="66"/>
      <c r="B916" s="66"/>
      <c r="C916" s="66"/>
      <c r="D916" s="66"/>
      <c r="G916" s="67"/>
      <c r="V916" s="67"/>
    </row>
    <row r="917">
      <c r="A917" s="66"/>
      <c r="B917" s="66"/>
      <c r="C917" s="66"/>
      <c r="D917" s="66"/>
      <c r="G917" s="67"/>
      <c r="V917" s="67"/>
    </row>
    <row r="918">
      <c r="A918" s="66"/>
      <c r="B918" s="66"/>
      <c r="C918" s="66"/>
      <c r="D918" s="66"/>
      <c r="G918" s="67"/>
      <c r="V918" s="67"/>
    </row>
    <row r="919">
      <c r="A919" s="66"/>
      <c r="B919" s="66"/>
      <c r="C919" s="66"/>
      <c r="D919" s="66"/>
      <c r="G919" s="67"/>
      <c r="V919" s="67"/>
    </row>
    <row r="920">
      <c r="A920" s="66"/>
      <c r="B920" s="66"/>
      <c r="C920" s="66"/>
      <c r="D920" s="66"/>
      <c r="G920" s="67"/>
      <c r="V920" s="67"/>
    </row>
    <row r="921">
      <c r="A921" s="66"/>
      <c r="B921" s="66"/>
      <c r="C921" s="66"/>
      <c r="D921" s="66"/>
      <c r="G921" s="67"/>
      <c r="V921" s="67"/>
    </row>
    <row r="922">
      <c r="A922" s="66"/>
      <c r="B922" s="66"/>
      <c r="C922" s="66"/>
      <c r="D922" s="66"/>
      <c r="G922" s="67"/>
      <c r="V922" s="67"/>
    </row>
    <row r="923">
      <c r="A923" s="66"/>
      <c r="B923" s="66"/>
      <c r="C923" s="66"/>
      <c r="D923" s="66"/>
      <c r="G923" s="67"/>
      <c r="V923" s="67"/>
    </row>
    <row r="924">
      <c r="A924" s="66"/>
      <c r="B924" s="66"/>
      <c r="C924" s="66"/>
      <c r="D924" s="66"/>
      <c r="G924" s="67"/>
      <c r="V924" s="67"/>
    </row>
    <row r="925">
      <c r="A925" s="66"/>
      <c r="B925" s="66"/>
      <c r="C925" s="66"/>
      <c r="D925" s="66"/>
      <c r="G925" s="67"/>
      <c r="V925" s="67"/>
    </row>
    <row r="926">
      <c r="A926" s="66"/>
      <c r="B926" s="66"/>
      <c r="C926" s="66"/>
      <c r="D926" s="66"/>
      <c r="G926" s="67"/>
      <c r="V926" s="67"/>
    </row>
    <row r="927">
      <c r="A927" s="66"/>
      <c r="B927" s="66"/>
      <c r="C927" s="66"/>
      <c r="D927" s="66"/>
      <c r="G927" s="67"/>
      <c r="V927" s="67"/>
    </row>
    <row r="928">
      <c r="A928" s="66"/>
      <c r="B928" s="66"/>
      <c r="C928" s="66"/>
      <c r="D928" s="66"/>
      <c r="G928" s="67"/>
      <c r="V928" s="67"/>
    </row>
    <row r="929">
      <c r="A929" s="66"/>
      <c r="B929" s="66"/>
      <c r="C929" s="66"/>
      <c r="D929" s="66"/>
      <c r="G929" s="67"/>
      <c r="V929" s="67"/>
    </row>
    <row r="930">
      <c r="A930" s="66"/>
      <c r="B930" s="66"/>
      <c r="C930" s="66"/>
      <c r="D930" s="66"/>
      <c r="G930" s="67"/>
      <c r="V930" s="67"/>
    </row>
    <row r="931">
      <c r="A931" s="66"/>
      <c r="B931" s="66"/>
      <c r="C931" s="66"/>
      <c r="D931" s="66"/>
      <c r="G931" s="67"/>
      <c r="V931" s="67"/>
    </row>
    <row r="932">
      <c r="A932" s="66"/>
      <c r="B932" s="66"/>
      <c r="C932" s="66"/>
      <c r="D932" s="66"/>
      <c r="G932" s="67"/>
      <c r="V932" s="67"/>
    </row>
    <row r="933">
      <c r="A933" s="66"/>
      <c r="B933" s="66"/>
      <c r="C933" s="66"/>
      <c r="D933" s="66"/>
      <c r="G933" s="67"/>
      <c r="V933" s="67"/>
    </row>
    <row r="934">
      <c r="A934" s="66"/>
      <c r="B934" s="66"/>
      <c r="C934" s="66"/>
      <c r="D934" s="66"/>
      <c r="G934" s="67"/>
      <c r="V934" s="67"/>
    </row>
    <row r="935">
      <c r="A935" s="66"/>
      <c r="B935" s="66"/>
      <c r="C935" s="66"/>
      <c r="D935" s="66"/>
      <c r="G935" s="67"/>
      <c r="V935" s="67"/>
    </row>
    <row r="936">
      <c r="A936" s="66"/>
      <c r="B936" s="66"/>
      <c r="C936" s="66"/>
      <c r="D936" s="66"/>
      <c r="G936" s="67"/>
      <c r="V936" s="67"/>
    </row>
    <row r="937">
      <c r="A937" s="66"/>
      <c r="B937" s="66"/>
      <c r="C937" s="66"/>
      <c r="D937" s="66"/>
      <c r="G937" s="67"/>
      <c r="V937" s="67"/>
    </row>
    <row r="938">
      <c r="A938" s="66"/>
      <c r="B938" s="66"/>
      <c r="C938" s="66"/>
      <c r="D938" s="66"/>
      <c r="G938" s="67"/>
      <c r="V938" s="67"/>
    </row>
    <row r="939">
      <c r="A939" s="66"/>
      <c r="B939" s="66"/>
      <c r="C939" s="66"/>
      <c r="D939" s="66"/>
      <c r="G939" s="67"/>
      <c r="V939" s="67"/>
    </row>
    <row r="940">
      <c r="A940" s="66"/>
      <c r="B940" s="66"/>
      <c r="C940" s="66"/>
      <c r="D940" s="66"/>
      <c r="G940" s="67"/>
      <c r="V940" s="67"/>
    </row>
    <row r="941">
      <c r="A941" s="66"/>
      <c r="B941" s="66"/>
      <c r="C941" s="66"/>
      <c r="D941" s="66"/>
      <c r="G941" s="67"/>
      <c r="V941" s="67"/>
    </row>
    <row r="942">
      <c r="A942" s="66"/>
      <c r="B942" s="66"/>
      <c r="C942" s="66"/>
      <c r="D942" s="66"/>
      <c r="G942" s="67"/>
      <c r="V942" s="67"/>
    </row>
    <row r="943">
      <c r="A943" s="66"/>
      <c r="B943" s="66"/>
      <c r="C943" s="66"/>
      <c r="D943" s="66"/>
      <c r="G943" s="67"/>
      <c r="V943" s="67"/>
    </row>
    <row r="944">
      <c r="A944" s="66"/>
      <c r="B944" s="66"/>
      <c r="C944" s="66"/>
      <c r="D944" s="66"/>
      <c r="G944" s="67"/>
      <c r="V944" s="67"/>
    </row>
    <row r="945">
      <c r="A945" s="66"/>
      <c r="B945" s="66"/>
      <c r="C945" s="66"/>
      <c r="D945" s="66"/>
      <c r="G945" s="67"/>
      <c r="V945" s="67"/>
    </row>
    <row r="946">
      <c r="A946" s="66"/>
      <c r="B946" s="66"/>
      <c r="C946" s="66"/>
      <c r="D946" s="66"/>
      <c r="G946" s="67"/>
      <c r="V946" s="67"/>
    </row>
    <row r="947">
      <c r="A947" s="66"/>
      <c r="B947" s="66"/>
      <c r="C947" s="66"/>
      <c r="D947" s="66"/>
      <c r="G947" s="67"/>
      <c r="V947" s="67"/>
    </row>
    <row r="948">
      <c r="A948" s="66"/>
      <c r="B948" s="66"/>
      <c r="C948" s="66"/>
      <c r="D948" s="66"/>
      <c r="G948" s="67"/>
      <c r="V948" s="67"/>
    </row>
    <row r="949">
      <c r="A949" s="66"/>
      <c r="B949" s="66"/>
      <c r="C949" s="66"/>
      <c r="D949" s="66"/>
      <c r="G949" s="67"/>
      <c r="V949" s="67"/>
    </row>
    <row r="950">
      <c r="A950" s="66"/>
      <c r="B950" s="66"/>
      <c r="C950" s="66"/>
      <c r="D950" s="66"/>
      <c r="G950" s="67"/>
      <c r="V950" s="67"/>
    </row>
    <row r="951">
      <c r="A951" s="66"/>
      <c r="B951" s="66"/>
      <c r="C951" s="66"/>
      <c r="D951" s="66"/>
      <c r="G951" s="67"/>
      <c r="V951" s="67"/>
    </row>
    <row r="952">
      <c r="A952" s="66"/>
      <c r="B952" s="66"/>
      <c r="C952" s="66"/>
      <c r="D952" s="66"/>
      <c r="G952" s="67"/>
      <c r="V952" s="67"/>
    </row>
    <row r="953">
      <c r="A953" s="66"/>
      <c r="B953" s="66"/>
      <c r="C953" s="66"/>
      <c r="D953" s="66"/>
      <c r="G953" s="67"/>
      <c r="V953" s="67"/>
    </row>
    <row r="954">
      <c r="A954" s="66"/>
      <c r="B954" s="66"/>
      <c r="C954" s="66"/>
      <c r="D954" s="66"/>
      <c r="G954" s="67"/>
      <c r="V954" s="67"/>
    </row>
    <row r="955">
      <c r="A955" s="66"/>
      <c r="B955" s="66"/>
      <c r="C955" s="66"/>
      <c r="D955" s="66"/>
      <c r="G955" s="67"/>
      <c r="V955" s="67"/>
    </row>
    <row r="956">
      <c r="A956" s="66"/>
      <c r="B956" s="66"/>
      <c r="C956" s="66"/>
      <c r="D956" s="66"/>
      <c r="G956" s="67"/>
      <c r="V956" s="67"/>
    </row>
    <row r="957">
      <c r="A957" s="66"/>
      <c r="B957" s="66"/>
      <c r="C957" s="66"/>
      <c r="D957" s="66"/>
      <c r="G957" s="67"/>
      <c r="V957" s="67"/>
    </row>
    <row r="958">
      <c r="A958" s="66"/>
      <c r="B958" s="66"/>
      <c r="C958" s="66"/>
      <c r="D958" s="66"/>
      <c r="G958" s="67"/>
      <c r="V958" s="67"/>
    </row>
    <row r="959">
      <c r="A959" s="66"/>
      <c r="B959" s="66"/>
      <c r="C959" s="66"/>
      <c r="D959" s="66"/>
      <c r="G959" s="67"/>
      <c r="V959" s="67"/>
    </row>
    <row r="960">
      <c r="A960" s="66"/>
      <c r="B960" s="66"/>
      <c r="C960" s="66"/>
      <c r="D960" s="66"/>
      <c r="G960" s="67"/>
      <c r="V960" s="67"/>
    </row>
    <row r="961">
      <c r="A961" s="66"/>
      <c r="B961" s="66"/>
      <c r="C961" s="66"/>
      <c r="D961" s="66"/>
      <c r="G961" s="67"/>
      <c r="V961" s="67"/>
    </row>
    <row r="962">
      <c r="A962" s="66"/>
      <c r="B962" s="66"/>
      <c r="C962" s="66"/>
      <c r="D962" s="66"/>
      <c r="G962" s="67"/>
      <c r="V962" s="67"/>
    </row>
    <row r="963">
      <c r="A963" s="66"/>
      <c r="B963" s="66"/>
      <c r="C963" s="66"/>
      <c r="D963" s="66"/>
      <c r="G963" s="67"/>
      <c r="V963" s="67"/>
    </row>
    <row r="964">
      <c r="A964" s="66"/>
      <c r="B964" s="66"/>
      <c r="C964" s="66"/>
      <c r="D964" s="66"/>
      <c r="G964" s="67"/>
      <c r="V964" s="67"/>
    </row>
    <row r="965">
      <c r="A965" s="66"/>
      <c r="B965" s="66"/>
      <c r="C965" s="66"/>
      <c r="D965" s="66"/>
      <c r="G965" s="67"/>
      <c r="V965" s="67"/>
    </row>
    <row r="966">
      <c r="A966" s="66"/>
      <c r="B966" s="66"/>
      <c r="C966" s="66"/>
      <c r="D966" s="66"/>
      <c r="G966" s="67"/>
      <c r="V966" s="67"/>
    </row>
    <row r="967">
      <c r="A967" s="66"/>
      <c r="B967" s="66"/>
      <c r="C967" s="66"/>
      <c r="D967" s="66"/>
      <c r="G967" s="67"/>
      <c r="V967" s="67"/>
    </row>
    <row r="968">
      <c r="A968" s="66"/>
      <c r="B968" s="66"/>
      <c r="C968" s="66"/>
      <c r="D968" s="66"/>
      <c r="G968" s="67"/>
      <c r="V968" s="67"/>
    </row>
    <row r="969">
      <c r="A969" s="66"/>
      <c r="B969" s="66"/>
      <c r="C969" s="66"/>
      <c r="D969" s="66"/>
      <c r="G969" s="67"/>
      <c r="V969" s="67"/>
    </row>
    <row r="970">
      <c r="A970" s="66"/>
      <c r="B970" s="66"/>
      <c r="C970" s="66"/>
      <c r="D970" s="66"/>
      <c r="G970" s="67"/>
      <c r="V970" s="67"/>
    </row>
    <row r="971">
      <c r="A971" s="66"/>
      <c r="B971" s="66"/>
      <c r="C971" s="66"/>
      <c r="D971" s="66"/>
      <c r="G971" s="67"/>
      <c r="V971" s="67"/>
    </row>
    <row r="972">
      <c r="A972" s="66"/>
      <c r="B972" s="66"/>
      <c r="C972" s="66"/>
      <c r="D972" s="66"/>
      <c r="G972" s="67"/>
      <c r="V972" s="67"/>
    </row>
    <row r="973">
      <c r="A973" s="66"/>
      <c r="B973" s="66"/>
      <c r="C973" s="66"/>
      <c r="D973" s="66"/>
      <c r="G973" s="67"/>
      <c r="V973" s="67"/>
    </row>
    <row r="974">
      <c r="A974" s="66"/>
      <c r="B974" s="66"/>
      <c r="C974" s="66"/>
      <c r="D974" s="66"/>
      <c r="G974" s="67"/>
      <c r="V974" s="67"/>
    </row>
    <row r="975">
      <c r="A975" s="66"/>
      <c r="B975" s="66"/>
      <c r="C975" s="66"/>
      <c r="D975" s="66"/>
      <c r="G975" s="67"/>
      <c r="V975" s="67"/>
    </row>
    <row r="976">
      <c r="A976" s="66"/>
      <c r="B976" s="66"/>
      <c r="C976" s="66"/>
      <c r="D976" s="66"/>
      <c r="G976" s="67"/>
      <c r="V976" s="67"/>
    </row>
    <row r="977">
      <c r="A977" s="66"/>
      <c r="B977" s="66"/>
      <c r="C977" s="66"/>
      <c r="D977" s="66"/>
      <c r="G977" s="67"/>
      <c r="V977" s="67"/>
    </row>
    <row r="978">
      <c r="A978" s="66"/>
      <c r="B978" s="66"/>
      <c r="C978" s="66"/>
      <c r="D978" s="66"/>
      <c r="G978" s="67"/>
      <c r="V978" s="67"/>
    </row>
    <row r="979">
      <c r="A979" s="66"/>
      <c r="B979" s="66"/>
      <c r="C979" s="66"/>
      <c r="D979" s="66"/>
      <c r="G979" s="67"/>
      <c r="V979" s="67"/>
    </row>
    <row r="980">
      <c r="A980" s="66"/>
      <c r="B980" s="66"/>
      <c r="C980" s="66"/>
      <c r="D980" s="66"/>
      <c r="G980" s="67"/>
      <c r="V980" s="67"/>
    </row>
    <row r="981">
      <c r="A981" s="66"/>
      <c r="B981" s="66"/>
      <c r="C981" s="66"/>
      <c r="D981" s="66"/>
      <c r="G981" s="67"/>
      <c r="V981" s="67"/>
    </row>
    <row r="982">
      <c r="A982" s="66"/>
      <c r="B982" s="66"/>
      <c r="C982" s="66"/>
      <c r="D982" s="66"/>
      <c r="G982" s="67"/>
      <c r="V982" s="67"/>
    </row>
    <row r="983">
      <c r="A983" s="66"/>
      <c r="B983" s="66"/>
      <c r="C983" s="66"/>
      <c r="D983" s="66"/>
      <c r="G983" s="67"/>
      <c r="V983" s="67"/>
    </row>
    <row r="984">
      <c r="A984" s="66"/>
      <c r="B984" s="66"/>
      <c r="C984" s="66"/>
      <c r="D984" s="66"/>
      <c r="G984" s="67"/>
      <c r="V984" s="67"/>
    </row>
    <row r="985">
      <c r="A985" s="66"/>
      <c r="B985" s="66"/>
      <c r="C985" s="66"/>
      <c r="D985" s="66"/>
      <c r="G985" s="67"/>
      <c r="V985" s="67"/>
    </row>
    <row r="986">
      <c r="A986" s="66"/>
      <c r="B986" s="66"/>
      <c r="C986" s="66"/>
      <c r="D986" s="66"/>
      <c r="G986" s="67"/>
      <c r="V986" s="67"/>
    </row>
    <row r="987">
      <c r="A987" s="66"/>
      <c r="B987" s="66"/>
      <c r="C987" s="66"/>
      <c r="D987" s="66"/>
      <c r="G987" s="67"/>
      <c r="V987" s="67"/>
    </row>
    <row r="988">
      <c r="A988" s="66"/>
      <c r="B988" s="66"/>
      <c r="C988" s="66"/>
      <c r="D988" s="66"/>
      <c r="G988" s="67"/>
      <c r="V988" s="67"/>
    </row>
    <row r="989">
      <c r="A989" s="66"/>
      <c r="B989" s="66"/>
      <c r="C989" s="66"/>
      <c r="D989" s="66"/>
      <c r="G989" s="67"/>
      <c r="V989" s="67"/>
    </row>
    <row r="990">
      <c r="A990" s="66"/>
      <c r="B990" s="66"/>
      <c r="C990" s="66"/>
      <c r="D990" s="66"/>
      <c r="G990" s="67"/>
      <c r="V990" s="67"/>
    </row>
    <row r="991">
      <c r="A991" s="66"/>
      <c r="B991" s="66"/>
      <c r="C991" s="66"/>
      <c r="D991" s="66"/>
      <c r="G991" s="67"/>
      <c r="V991" s="67"/>
    </row>
    <row r="992">
      <c r="A992" s="66"/>
      <c r="B992" s="66"/>
      <c r="C992" s="66"/>
      <c r="D992" s="66"/>
      <c r="G992" s="67"/>
      <c r="V992" s="67"/>
    </row>
    <row r="993">
      <c r="A993" s="66"/>
      <c r="B993" s="66"/>
      <c r="C993" s="66"/>
      <c r="D993" s="66"/>
      <c r="G993" s="67"/>
      <c r="V993" s="67"/>
    </row>
    <row r="994">
      <c r="A994" s="66"/>
      <c r="B994" s="66"/>
      <c r="C994" s="66"/>
      <c r="D994" s="66"/>
      <c r="G994" s="67"/>
      <c r="V994" s="67"/>
    </row>
    <row r="995">
      <c r="A995" s="66"/>
      <c r="B995" s="66"/>
      <c r="C995" s="66"/>
      <c r="D995" s="66"/>
      <c r="G995" s="67"/>
      <c r="V995" s="67"/>
    </row>
    <row r="996">
      <c r="A996" s="66"/>
      <c r="B996" s="66"/>
      <c r="C996" s="66"/>
      <c r="D996" s="66"/>
      <c r="G996" s="67"/>
      <c r="V996" s="67"/>
    </row>
    <row r="997">
      <c r="A997" s="66"/>
      <c r="B997" s="66"/>
      <c r="C997" s="66"/>
      <c r="D997" s="66"/>
      <c r="G997" s="67"/>
      <c r="V997" s="67"/>
    </row>
    <row r="998">
      <c r="A998" s="66"/>
      <c r="B998" s="66"/>
      <c r="C998" s="66"/>
      <c r="D998" s="66"/>
      <c r="G998" s="67"/>
      <c r="V998" s="67"/>
    </row>
    <row r="999">
      <c r="A999" s="66"/>
      <c r="B999" s="66"/>
      <c r="C999" s="66"/>
      <c r="D999" s="66"/>
      <c r="G999" s="67"/>
      <c r="V999" s="67"/>
    </row>
    <row r="1000">
      <c r="A1000" s="66"/>
      <c r="B1000" s="66"/>
      <c r="C1000" s="66"/>
      <c r="D1000" s="66"/>
      <c r="G1000" s="67"/>
      <c r="V1000" s="67"/>
    </row>
    <row r="1001">
      <c r="A1001" s="66"/>
      <c r="B1001" s="66"/>
      <c r="C1001" s="66"/>
      <c r="D1001" s="66"/>
      <c r="G1001" s="67"/>
      <c r="V1001" s="67"/>
    </row>
  </sheetData>
  <mergeCells count="9">
    <mergeCell ref="O19:O23"/>
    <mergeCell ref="O24:O28"/>
    <mergeCell ref="A1:D1"/>
    <mergeCell ref="F1:M1"/>
    <mergeCell ref="O1:T1"/>
    <mergeCell ref="V1:AB1"/>
    <mergeCell ref="O3:O8"/>
    <mergeCell ref="O9:O13"/>
    <mergeCell ref="O14:O1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15.0"/>
    <col customWidth="1" min="3" max="3" width="15.38"/>
    <col customWidth="1" min="4" max="4" width="174.75"/>
    <col customWidth="1" min="6" max="6" width="5.0"/>
    <col customWidth="1" min="7" max="7" width="15.63"/>
    <col customWidth="1" min="8" max="8" width="44.13"/>
    <col customWidth="1" min="15" max="15" width="14.75"/>
    <col customWidth="1" min="16" max="16" width="21.38"/>
    <col customWidth="1" min="17" max="17" width="104.75"/>
    <col customWidth="1" min="18" max="18" width="43.38"/>
    <col customWidth="1" min="22" max="22" width="5.0"/>
    <col customWidth="1" min="23" max="23" width="26.38"/>
    <col customWidth="1" min="24" max="24" width="117.25"/>
    <col customWidth="1" min="25" max="25" width="74.63"/>
    <col customWidth="1" min="26" max="26" width="12.13"/>
    <col customWidth="1" min="27" max="27" width="11.13"/>
  </cols>
  <sheetData>
    <row r="1">
      <c r="A1" s="1" t="s">
        <v>0</v>
      </c>
      <c r="B1" s="2"/>
      <c r="C1" s="2"/>
      <c r="D1" s="3"/>
      <c r="F1" s="4" t="s">
        <v>1</v>
      </c>
      <c r="G1" s="2"/>
      <c r="H1" s="2"/>
      <c r="I1" s="2"/>
      <c r="J1" s="2"/>
      <c r="K1" s="2"/>
      <c r="L1" s="2"/>
      <c r="M1" s="3"/>
      <c r="O1" s="5" t="s">
        <v>2</v>
      </c>
      <c r="P1" s="2"/>
      <c r="Q1" s="2"/>
      <c r="R1" s="2"/>
      <c r="S1" s="2"/>
      <c r="T1" s="3"/>
      <c r="V1" s="5" t="s">
        <v>3</v>
      </c>
      <c r="W1" s="2"/>
      <c r="X1" s="2"/>
      <c r="Y1" s="2"/>
      <c r="Z1" s="2"/>
      <c r="AA1" s="2"/>
      <c r="AB1" s="3"/>
    </row>
    <row r="2">
      <c r="A2" s="6" t="s">
        <v>4</v>
      </c>
      <c r="B2" s="6" t="s">
        <v>5</v>
      </c>
      <c r="C2" s="6" t="s">
        <v>6</v>
      </c>
      <c r="D2" s="6" t="s">
        <v>8</v>
      </c>
      <c r="F2" s="8" t="s">
        <v>4</v>
      </c>
      <c r="G2" s="9" t="s">
        <v>9</v>
      </c>
      <c r="H2" s="8" t="s">
        <v>11</v>
      </c>
      <c r="I2" s="8" t="s">
        <v>12</v>
      </c>
      <c r="J2" s="8" t="s">
        <v>13</v>
      </c>
      <c r="K2" s="8" t="s">
        <v>14</v>
      </c>
      <c r="L2" s="8" t="s">
        <v>15</v>
      </c>
      <c r="M2" s="8" t="s">
        <v>16</v>
      </c>
      <c r="O2" s="10" t="s">
        <v>17</v>
      </c>
      <c r="P2" s="10"/>
      <c r="Q2" s="10"/>
      <c r="R2" s="10"/>
      <c r="S2" s="12" t="s">
        <v>24</v>
      </c>
      <c r="T2" s="12" t="s">
        <v>25</v>
      </c>
      <c r="V2" s="10" t="s">
        <v>4</v>
      </c>
      <c r="W2" s="10" t="s">
        <v>26</v>
      </c>
      <c r="X2" s="10" t="s">
        <v>20</v>
      </c>
      <c r="Y2" s="10" t="s">
        <v>22</v>
      </c>
      <c r="Z2" s="12" t="s">
        <v>24</v>
      </c>
      <c r="AA2" s="12" t="s">
        <v>25</v>
      </c>
      <c r="AB2" s="12" t="s">
        <v>27</v>
      </c>
    </row>
    <row r="3">
      <c r="A3" s="13">
        <v>1.0</v>
      </c>
      <c r="B3" s="13">
        <v>6.0</v>
      </c>
      <c r="C3" s="13">
        <v>18.0</v>
      </c>
      <c r="D3" s="14" t="s">
        <v>1071</v>
      </c>
      <c r="F3" s="15">
        <v>1.0</v>
      </c>
      <c r="G3" s="16">
        <v>2.0</v>
      </c>
      <c r="H3" s="15" t="s">
        <v>1072</v>
      </c>
      <c r="I3" s="15">
        <v>2.0</v>
      </c>
      <c r="J3" s="15" t="s">
        <v>42</v>
      </c>
      <c r="K3" s="15" t="s">
        <v>42</v>
      </c>
      <c r="L3" s="15" t="s">
        <v>42</v>
      </c>
      <c r="M3" s="15" t="s">
        <v>42</v>
      </c>
      <c r="O3" s="17">
        <v>1.0</v>
      </c>
      <c r="P3" s="18" t="s">
        <v>709</v>
      </c>
      <c r="Q3" s="19" t="s">
        <v>1073</v>
      </c>
      <c r="R3" s="20" t="s">
        <v>1074</v>
      </c>
      <c r="S3" s="21">
        <v>8.0</v>
      </c>
      <c r="T3" s="21">
        <v>1.0</v>
      </c>
      <c r="V3" s="22">
        <v>1.0</v>
      </c>
      <c r="W3" s="24" t="s">
        <v>1072</v>
      </c>
      <c r="X3" s="25" t="s">
        <v>1075</v>
      </c>
      <c r="Y3" s="25" t="s">
        <v>1076</v>
      </c>
      <c r="Z3" s="22" t="s">
        <v>1077</v>
      </c>
      <c r="AA3" s="22" t="s">
        <v>1077</v>
      </c>
      <c r="AB3" s="103" t="s">
        <v>1078</v>
      </c>
    </row>
    <row r="4">
      <c r="A4" s="27">
        <v>2.0</v>
      </c>
      <c r="B4" s="28">
        <v>7.0</v>
      </c>
      <c r="C4" s="27">
        <v>24.0</v>
      </c>
      <c r="D4" s="28" t="s">
        <v>1079</v>
      </c>
      <c r="F4" s="29">
        <v>2.0</v>
      </c>
      <c r="G4" s="30">
        <v>2.0</v>
      </c>
      <c r="H4" s="29" t="s">
        <v>1080</v>
      </c>
      <c r="I4" s="29">
        <v>3.0</v>
      </c>
      <c r="J4" s="29" t="s">
        <v>42</v>
      </c>
      <c r="K4" s="29" t="s">
        <v>42</v>
      </c>
      <c r="L4" s="29" t="s">
        <v>42</v>
      </c>
      <c r="M4" s="29" t="s">
        <v>42</v>
      </c>
      <c r="O4" s="53">
        <v>1.0</v>
      </c>
      <c r="P4" s="32" t="s">
        <v>1081</v>
      </c>
      <c r="Q4" s="33" t="s">
        <v>1082</v>
      </c>
      <c r="R4" s="34" t="s">
        <v>372</v>
      </c>
      <c r="S4" s="35">
        <v>0.0</v>
      </c>
      <c r="T4" s="35">
        <v>0.0</v>
      </c>
      <c r="V4" s="36">
        <v>2.0</v>
      </c>
      <c r="W4" s="37" t="s">
        <v>1080</v>
      </c>
      <c r="X4" s="38" t="s">
        <v>1083</v>
      </c>
      <c r="Y4" s="38" t="s">
        <v>1084</v>
      </c>
      <c r="Z4" s="36">
        <v>8.0</v>
      </c>
      <c r="AA4" s="36">
        <v>9.0</v>
      </c>
      <c r="AB4" s="103" t="s">
        <v>1085</v>
      </c>
    </row>
    <row r="5">
      <c r="A5" s="13">
        <v>3.0</v>
      </c>
      <c r="B5" s="14">
        <v>14.0</v>
      </c>
      <c r="C5" s="13">
        <v>36.0</v>
      </c>
      <c r="D5" s="14" t="s">
        <v>1086</v>
      </c>
      <c r="F5" s="15">
        <v>3.0</v>
      </c>
      <c r="G5" s="16">
        <v>2.0</v>
      </c>
      <c r="H5" s="15" t="s">
        <v>1087</v>
      </c>
      <c r="I5" s="15">
        <v>4.0</v>
      </c>
      <c r="J5" s="15">
        <v>2.0</v>
      </c>
      <c r="K5" s="15" t="s">
        <v>42</v>
      </c>
      <c r="L5" s="15" t="s">
        <v>42</v>
      </c>
      <c r="M5" s="15" t="s">
        <v>42</v>
      </c>
      <c r="O5" s="53">
        <v>1.0</v>
      </c>
      <c r="P5" s="32" t="s">
        <v>403</v>
      </c>
      <c r="Q5" s="33" t="s">
        <v>1088</v>
      </c>
      <c r="R5" s="34" t="s">
        <v>1089</v>
      </c>
      <c r="S5" s="35">
        <v>13.0</v>
      </c>
      <c r="T5" s="35">
        <v>2.0</v>
      </c>
      <c r="V5" s="39">
        <v>3.0</v>
      </c>
      <c r="W5" s="40" t="s">
        <v>1090</v>
      </c>
      <c r="X5" s="41" t="s">
        <v>1091</v>
      </c>
      <c r="Y5" s="41" t="s">
        <v>1092</v>
      </c>
      <c r="Z5" s="39">
        <v>12.0</v>
      </c>
      <c r="AA5" s="39" t="s">
        <v>1077</v>
      </c>
      <c r="AB5" s="103" t="s">
        <v>1093</v>
      </c>
    </row>
    <row r="6">
      <c r="A6" s="27">
        <v>4.0</v>
      </c>
      <c r="B6" s="28">
        <v>14.0</v>
      </c>
      <c r="C6" s="27">
        <v>36.0</v>
      </c>
      <c r="D6" s="28" t="s">
        <v>1094</v>
      </c>
      <c r="F6" s="29">
        <v>4.0</v>
      </c>
      <c r="G6" s="30">
        <v>2.0</v>
      </c>
      <c r="H6" s="29" t="s">
        <v>76</v>
      </c>
      <c r="I6" s="29">
        <v>4.0</v>
      </c>
      <c r="J6" s="29">
        <v>2.0</v>
      </c>
      <c r="K6" s="29" t="s">
        <v>42</v>
      </c>
      <c r="L6" s="29" t="s">
        <v>42</v>
      </c>
      <c r="M6" s="29" t="s">
        <v>42</v>
      </c>
      <c r="O6" s="53">
        <v>2.0</v>
      </c>
      <c r="P6" s="32" t="s">
        <v>1095</v>
      </c>
      <c r="Q6" s="33" t="s">
        <v>1096</v>
      </c>
      <c r="R6" s="34" t="s">
        <v>1097</v>
      </c>
      <c r="S6" s="35">
        <v>8.0</v>
      </c>
      <c r="T6" s="35">
        <v>1.0</v>
      </c>
      <c r="V6" s="39">
        <v>4.0</v>
      </c>
      <c r="W6" s="40" t="s">
        <v>76</v>
      </c>
      <c r="X6" s="41" t="s">
        <v>1098</v>
      </c>
      <c r="Y6" s="41" t="s">
        <v>372</v>
      </c>
      <c r="Z6" s="39" t="s">
        <v>1077</v>
      </c>
      <c r="AA6" s="39" t="s">
        <v>1077</v>
      </c>
      <c r="AB6" s="103" t="s">
        <v>42</v>
      </c>
    </row>
    <row r="7">
      <c r="A7" s="13">
        <v>5.0</v>
      </c>
      <c r="B7" s="14">
        <v>22.0</v>
      </c>
      <c r="C7" s="13">
        <v>60.0</v>
      </c>
      <c r="D7" s="14" t="s">
        <v>1099</v>
      </c>
      <c r="F7" s="15">
        <v>5.0</v>
      </c>
      <c r="G7" s="16">
        <v>3.0</v>
      </c>
      <c r="H7" s="15" t="s">
        <v>1100</v>
      </c>
      <c r="I7" s="15">
        <v>4.0</v>
      </c>
      <c r="J7" s="15">
        <v>3.0</v>
      </c>
      <c r="K7" s="15" t="s">
        <v>42</v>
      </c>
      <c r="L7" s="15" t="s">
        <v>42</v>
      </c>
      <c r="M7" s="15" t="s">
        <v>42</v>
      </c>
      <c r="O7" s="53">
        <v>2.0</v>
      </c>
      <c r="P7" s="32" t="s">
        <v>1101</v>
      </c>
      <c r="Q7" s="33" t="s">
        <v>1102</v>
      </c>
      <c r="R7" s="34" t="s">
        <v>1103</v>
      </c>
      <c r="S7" s="35">
        <v>10.0</v>
      </c>
      <c r="T7" s="35">
        <v>2.0</v>
      </c>
      <c r="V7" s="22">
        <v>5.0</v>
      </c>
      <c r="W7" s="24" t="s">
        <v>1104</v>
      </c>
      <c r="X7" s="25" t="s">
        <v>1105</v>
      </c>
      <c r="Y7" s="25" t="s">
        <v>1106</v>
      </c>
      <c r="Z7" s="22" t="s">
        <v>1077</v>
      </c>
      <c r="AA7" s="22" t="s">
        <v>1077</v>
      </c>
      <c r="AB7" s="103" t="s">
        <v>1107</v>
      </c>
    </row>
    <row r="8">
      <c r="A8" s="27">
        <v>6.0</v>
      </c>
      <c r="B8" s="28">
        <v>22.0</v>
      </c>
      <c r="C8" s="27">
        <v>60.0</v>
      </c>
      <c r="D8" s="28" t="s">
        <v>1108</v>
      </c>
      <c r="F8" s="29">
        <v>6.0</v>
      </c>
      <c r="G8" s="30">
        <v>3.0</v>
      </c>
      <c r="H8" s="29" t="s">
        <v>1109</v>
      </c>
      <c r="I8" s="29">
        <v>4.0</v>
      </c>
      <c r="J8" s="29">
        <v>3.0</v>
      </c>
      <c r="K8" s="29" t="s">
        <v>42</v>
      </c>
      <c r="L8" s="29" t="s">
        <v>42</v>
      </c>
      <c r="M8" s="29" t="s">
        <v>42</v>
      </c>
      <c r="O8" s="50">
        <v>2.0</v>
      </c>
      <c r="P8" s="45" t="s">
        <v>735</v>
      </c>
      <c r="Q8" s="46" t="s">
        <v>1110</v>
      </c>
      <c r="R8" s="47" t="s">
        <v>372</v>
      </c>
      <c r="S8" s="48">
        <v>0.0</v>
      </c>
      <c r="T8" s="48">
        <v>0.0</v>
      </c>
      <c r="V8" s="36">
        <v>5.0</v>
      </c>
      <c r="W8" s="37" t="s">
        <v>1087</v>
      </c>
      <c r="X8" s="38" t="s">
        <v>1111</v>
      </c>
      <c r="Y8" s="38" t="s">
        <v>1112</v>
      </c>
      <c r="Z8" s="36" t="s">
        <v>1077</v>
      </c>
      <c r="AA8" s="36" t="s">
        <v>1077</v>
      </c>
      <c r="AB8" s="103" t="s">
        <v>42</v>
      </c>
    </row>
    <row r="9">
      <c r="A9" s="13">
        <v>7.0</v>
      </c>
      <c r="B9" s="14">
        <v>29.0</v>
      </c>
      <c r="C9" s="13">
        <v>78.0</v>
      </c>
      <c r="D9" s="14" t="s">
        <v>1113</v>
      </c>
      <c r="F9" s="15">
        <v>7.0</v>
      </c>
      <c r="G9" s="16">
        <v>3.0</v>
      </c>
      <c r="H9" s="15" t="s">
        <v>1114</v>
      </c>
      <c r="I9" s="15">
        <v>4.0</v>
      </c>
      <c r="J9" s="15">
        <v>3.0</v>
      </c>
      <c r="K9" s="15">
        <v>2.0</v>
      </c>
      <c r="L9" s="15" t="s">
        <v>42</v>
      </c>
      <c r="M9" s="15" t="s">
        <v>42</v>
      </c>
      <c r="O9" s="50">
        <v>3.0</v>
      </c>
      <c r="P9" s="45" t="s">
        <v>764</v>
      </c>
      <c r="Q9" s="46" t="s">
        <v>1115</v>
      </c>
      <c r="R9" s="47" t="s">
        <v>980</v>
      </c>
      <c r="S9" s="48">
        <v>24.0</v>
      </c>
      <c r="T9" s="48">
        <v>3.0</v>
      </c>
      <c r="V9" s="39">
        <v>5.0</v>
      </c>
      <c r="W9" s="40" t="s">
        <v>1100</v>
      </c>
      <c r="X9" s="41" t="s">
        <v>1116</v>
      </c>
      <c r="Y9" s="41" t="s">
        <v>1092</v>
      </c>
      <c r="Z9" s="39">
        <v>15.0</v>
      </c>
      <c r="AA9" s="39">
        <v>12.0</v>
      </c>
      <c r="AB9" s="103" t="s">
        <v>1117</v>
      </c>
    </row>
    <row r="10">
      <c r="A10" s="27">
        <v>8.0</v>
      </c>
      <c r="B10" s="28">
        <v>29.0</v>
      </c>
      <c r="C10" s="27">
        <v>78.0</v>
      </c>
      <c r="D10" s="28" t="s">
        <v>1118</v>
      </c>
      <c r="F10" s="29">
        <v>8.0</v>
      </c>
      <c r="G10" s="30">
        <v>3.0</v>
      </c>
      <c r="H10" s="29" t="s">
        <v>76</v>
      </c>
      <c r="I10" s="29">
        <v>4.0</v>
      </c>
      <c r="J10" s="29">
        <v>3.0</v>
      </c>
      <c r="K10" s="29">
        <v>2.0</v>
      </c>
      <c r="L10" s="29" t="s">
        <v>42</v>
      </c>
      <c r="M10" s="29" t="s">
        <v>42</v>
      </c>
      <c r="O10" s="50">
        <v>3.0</v>
      </c>
      <c r="P10" s="45" t="s">
        <v>1119</v>
      </c>
      <c r="Q10" s="46" t="s">
        <v>1120</v>
      </c>
      <c r="R10" s="47" t="s">
        <v>1121</v>
      </c>
      <c r="S10" s="48">
        <v>18.0</v>
      </c>
      <c r="T10" s="48">
        <v>3.0</v>
      </c>
      <c r="V10" s="39">
        <v>6.0</v>
      </c>
      <c r="W10" s="40" t="s">
        <v>1122</v>
      </c>
      <c r="X10" s="41" t="s">
        <v>1123</v>
      </c>
      <c r="Y10" s="41" t="s">
        <v>1106</v>
      </c>
      <c r="Z10" s="39">
        <v>8.0</v>
      </c>
      <c r="AA10" s="39">
        <v>9.0</v>
      </c>
      <c r="AB10" s="103" t="s">
        <v>1124</v>
      </c>
    </row>
    <row r="11">
      <c r="A11" s="13">
        <v>9.0</v>
      </c>
      <c r="B11" s="14">
        <v>44.0</v>
      </c>
      <c r="C11" s="13">
        <v>120.0</v>
      </c>
      <c r="D11" s="14" t="s">
        <v>1125</v>
      </c>
      <c r="F11" s="15">
        <v>9.0</v>
      </c>
      <c r="G11" s="16">
        <v>4.0</v>
      </c>
      <c r="H11" s="15" t="s">
        <v>1126</v>
      </c>
      <c r="I11" s="15">
        <v>4.0</v>
      </c>
      <c r="J11" s="15">
        <v>3.0</v>
      </c>
      <c r="K11" s="15">
        <v>3.0</v>
      </c>
      <c r="L11" s="15" t="s">
        <v>42</v>
      </c>
      <c r="M11" s="15" t="s">
        <v>42</v>
      </c>
      <c r="O11" s="50">
        <v>3.0</v>
      </c>
      <c r="P11" s="45" t="s">
        <v>1127</v>
      </c>
      <c r="Q11" s="46" t="s">
        <v>1128</v>
      </c>
      <c r="R11" s="47" t="s">
        <v>372</v>
      </c>
      <c r="S11" s="48">
        <v>0.0</v>
      </c>
      <c r="T11" s="48">
        <v>0.0</v>
      </c>
      <c r="V11" s="22">
        <v>7.0</v>
      </c>
      <c r="W11" s="24" t="s">
        <v>1114</v>
      </c>
      <c r="X11" s="25" t="s">
        <v>1129</v>
      </c>
      <c r="Y11" s="25" t="s">
        <v>1130</v>
      </c>
      <c r="Z11" s="22" t="s">
        <v>1077</v>
      </c>
      <c r="AA11" s="22" t="s">
        <v>1077</v>
      </c>
      <c r="AB11" s="103" t="s">
        <v>1131</v>
      </c>
    </row>
    <row r="12">
      <c r="A12" s="27">
        <v>10.0</v>
      </c>
      <c r="B12" s="28">
        <v>50.0</v>
      </c>
      <c r="C12" s="27">
        <v>138.0</v>
      </c>
      <c r="D12" s="28" t="s">
        <v>1132</v>
      </c>
      <c r="F12" s="29">
        <v>10.0</v>
      </c>
      <c r="G12" s="30">
        <v>4.0</v>
      </c>
      <c r="H12" s="29" t="s">
        <v>1133</v>
      </c>
      <c r="I12" s="29">
        <v>4.0</v>
      </c>
      <c r="J12" s="29">
        <v>3.0</v>
      </c>
      <c r="K12" s="29">
        <v>3.0</v>
      </c>
      <c r="L12" s="29" t="s">
        <v>42</v>
      </c>
      <c r="M12" s="29" t="s">
        <v>42</v>
      </c>
      <c r="O12" s="50">
        <v>4.0</v>
      </c>
      <c r="P12" s="45" t="s">
        <v>704</v>
      </c>
      <c r="Q12" s="46" t="s">
        <v>1134</v>
      </c>
      <c r="R12" s="47" t="s">
        <v>1135</v>
      </c>
      <c r="S12" s="48">
        <v>136.0</v>
      </c>
      <c r="T12" s="48">
        <v>50.0</v>
      </c>
      <c r="V12" s="36">
        <v>9.0</v>
      </c>
      <c r="W12" s="37" t="s">
        <v>1104</v>
      </c>
      <c r="X12" s="38" t="s">
        <v>1136</v>
      </c>
      <c r="Y12" s="38" t="s">
        <v>1137</v>
      </c>
      <c r="Z12" s="36" t="s">
        <v>1077</v>
      </c>
      <c r="AA12" s="36" t="s">
        <v>1077</v>
      </c>
      <c r="AB12" s="103" t="s">
        <v>42</v>
      </c>
    </row>
    <row r="13">
      <c r="A13" s="13">
        <v>11.0</v>
      </c>
      <c r="B13" s="14">
        <v>50.0</v>
      </c>
      <c r="C13" s="13">
        <v>138.0</v>
      </c>
      <c r="D13" s="14" t="s">
        <v>1138</v>
      </c>
      <c r="F13" s="15">
        <v>11.0</v>
      </c>
      <c r="G13" s="16">
        <v>4.0</v>
      </c>
      <c r="H13" s="15" t="s">
        <v>1139</v>
      </c>
      <c r="I13" s="15">
        <v>4.0</v>
      </c>
      <c r="J13" s="15">
        <v>3.0</v>
      </c>
      <c r="K13" s="15">
        <v>3.0</v>
      </c>
      <c r="L13" s="15">
        <v>1.0</v>
      </c>
      <c r="M13" s="15" t="s">
        <v>42</v>
      </c>
      <c r="O13" s="50">
        <v>4.0</v>
      </c>
      <c r="P13" s="45" t="s">
        <v>1058</v>
      </c>
      <c r="Q13" s="46" t="s">
        <v>1140</v>
      </c>
      <c r="R13" s="47" t="s">
        <v>1141</v>
      </c>
      <c r="S13" s="48">
        <v>24.0</v>
      </c>
      <c r="T13" s="48">
        <v>4.0</v>
      </c>
      <c r="V13" s="39">
        <v>9.0</v>
      </c>
      <c r="W13" s="40" t="s">
        <v>1142</v>
      </c>
      <c r="X13" s="41" t="s">
        <v>1143</v>
      </c>
      <c r="Y13" s="41" t="s">
        <v>1144</v>
      </c>
      <c r="Z13" s="39">
        <v>15.0</v>
      </c>
      <c r="AA13" s="39">
        <v>12.0</v>
      </c>
      <c r="AB13" s="103" t="s">
        <v>42</v>
      </c>
    </row>
    <row r="14">
      <c r="A14" s="27">
        <v>12.0</v>
      </c>
      <c r="B14" s="28">
        <v>50.0</v>
      </c>
      <c r="C14" s="27">
        <v>138.0</v>
      </c>
      <c r="D14" s="28" t="s">
        <v>1145</v>
      </c>
      <c r="F14" s="29">
        <v>12.0</v>
      </c>
      <c r="G14" s="30">
        <v>4.0</v>
      </c>
      <c r="H14" s="29" t="s">
        <v>76</v>
      </c>
      <c r="I14" s="29">
        <v>4.0</v>
      </c>
      <c r="J14" s="29">
        <v>3.0</v>
      </c>
      <c r="K14" s="29">
        <v>3.0</v>
      </c>
      <c r="L14" s="29">
        <v>1.0</v>
      </c>
      <c r="M14" s="29" t="s">
        <v>42</v>
      </c>
      <c r="O14" s="53">
        <v>4.0</v>
      </c>
      <c r="P14" s="32" t="s">
        <v>1053</v>
      </c>
      <c r="Q14" s="33" t="s">
        <v>1146</v>
      </c>
      <c r="R14" s="34" t="s">
        <v>372</v>
      </c>
      <c r="S14" s="35">
        <v>0.0</v>
      </c>
      <c r="T14" s="35">
        <v>0.0</v>
      </c>
      <c r="V14" s="39">
        <v>9.0</v>
      </c>
      <c r="W14" s="40" t="s">
        <v>1126</v>
      </c>
      <c r="X14" s="41" t="s">
        <v>1147</v>
      </c>
      <c r="Y14" s="41" t="s">
        <v>1148</v>
      </c>
      <c r="Z14" s="39">
        <v>50.0</v>
      </c>
      <c r="AA14" s="39">
        <v>15.0</v>
      </c>
      <c r="AB14" s="103" t="s">
        <v>1149</v>
      </c>
    </row>
    <row r="15">
      <c r="A15" s="13">
        <v>13.0</v>
      </c>
      <c r="B15" s="14">
        <v>72.0</v>
      </c>
      <c r="C15" s="13">
        <v>198.0</v>
      </c>
      <c r="D15" s="14" t="s">
        <v>1150</v>
      </c>
      <c r="F15" s="15">
        <v>13.0</v>
      </c>
      <c r="G15" s="16">
        <v>5.0</v>
      </c>
      <c r="H15" s="15" t="s">
        <v>1151</v>
      </c>
      <c r="I15" s="15">
        <v>4.0</v>
      </c>
      <c r="J15" s="15">
        <v>3.0</v>
      </c>
      <c r="K15" s="15">
        <v>3.0</v>
      </c>
      <c r="L15" s="15">
        <v>1.0</v>
      </c>
      <c r="M15" s="15" t="s">
        <v>42</v>
      </c>
      <c r="O15" s="53">
        <v>5.0</v>
      </c>
      <c r="P15" s="32" t="s">
        <v>1152</v>
      </c>
      <c r="Q15" s="33" t="s">
        <v>1153</v>
      </c>
      <c r="R15" s="34" t="s">
        <v>1154</v>
      </c>
      <c r="S15" s="35">
        <v>60.0</v>
      </c>
      <c r="T15" s="35">
        <v>10.0</v>
      </c>
      <c r="V15" s="22">
        <v>10.0</v>
      </c>
      <c r="W15" s="24" t="s">
        <v>1133</v>
      </c>
      <c r="X15" s="25" t="s">
        <v>1155</v>
      </c>
      <c r="Y15" s="25" t="s">
        <v>1156</v>
      </c>
      <c r="Z15" s="22" t="s">
        <v>1077</v>
      </c>
      <c r="AA15" s="22" t="s">
        <v>1077</v>
      </c>
      <c r="AB15" s="103" t="s">
        <v>42</v>
      </c>
    </row>
    <row r="16">
      <c r="A16" s="27">
        <v>14.0</v>
      </c>
      <c r="B16" s="28">
        <v>78.0</v>
      </c>
      <c r="C16" s="27">
        <v>216.0</v>
      </c>
      <c r="D16" s="28" t="s">
        <v>1157</v>
      </c>
      <c r="F16" s="29">
        <v>14.0</v>
      </c>
      <c r="G16" s="30">
        <v>5.0</v>
      </c>
      <c r="H16" s="29" t="s">
        <v>1158</v>
      </c>
      <c r="I16" s="29">
        <v>4.0</v>
      </c>
      <c r="J16" s="29">
        <v>3.0</v>
      </c>
      <c r="K16" s="29">
        <v>3.0</v>
      </c>
      <c r="L16" s="29">
        <v>2.0</v>
      </c>
      <c r="M16" s="29" t="s">
        <v>42</v>
      </c>
      <c r="O16" s="53">
        <v>5.0</v>
      </c>
      <c r="P16" s="32" t="s">
        <v>1159</v>
      </c>
      <c r="Q16" s="33" t="s">
        <v>1160</v>
      </c>
      <c r="R16" s="34" t="s">
        <v>1161</v>
      </c>
      <c r="S16" s="35">
        <v>30.0</v>
      </c>
      <c r="T16" s="35">
        <v>5.0</v>
      </c>
      <c r="V16" s="36">
        <v>10.0</v>
      </c>
      <c r="W16" s="37" t="s">
        <v>1122</v>
      </c>
      <c r="X16" s="38" t="s">
        <v>1162</v>
      </c>
      <c r="Y16" s="38" t="s">
        <v>1137</v>
      </c>
      <c r="Z16" s="36">
        <v>8.0</v>
      </c>
      <c r="AA16" s="36">
        <v>9.0</v>
      </c>
      <c r="AB16" s="103" t="s">
        <v>1163</v>
      </c>
    </row>
    <row r="17">
      <c r="A17" s="13">
        <v>15.0</v>
      </c>
      <c r="B17" s="14">
        <v>84.0</v>
      </c>
      <c r="C17" s="13">
        <v>240.0</v>
      </c>
      <c r="D17" s="14" t="s">
        <v>1164</v>
      </c>
      <c r="F17" s="15">
        <v>15.0</v>
      </c>
      <c r="G17" s="16">
        <v>5.0</v>
      </c>
      <c r="H17" s="15" t="s">
        <v>1165</v>
      </c>
      <c r="I17" s="15">
        <v>4.0</v>
      </c>
      <c r="J17" s="15">
        <v>3.0</v>
      </c>
      <c r="K17" s="15">
        <v>3.0</v>
      </c>
      <c r="L17" s="15">
        <v>2.0</v>
      </c>
      <c r="M17" s="15">
        <v>1.0</v>
      </c>
      <c r="O17" s="53">
        <v>5.0</v>
      </c>
      <c r="P17" s="32" t="s">
        <v>1139</v>
      </c>
      <c r="Q17" s="33" t="s">
        <v>1166</v>
      </c>
      <c r="R17" s="34" t="s">
        <v>1167</v>
      </c>
      <c r="S17" s="35">
        <v>40.0</v>
      </c>
      <c r="T17" s="35">
        <v>8.0</v>
      </c>
      <c r="V17" s="39">
        <v>11.0</v>
      </c>
      <c r="W17" s="40" t="s">
        <v>1168</v>
      </c>
      <c r="X17" s="41" t="s">
        <v>1169</v>
      </c>
      <c r="Y17" s="41" t="s">
        <v>1170</v>
      </c>
      <c r="Z17" s="39" t="s">
        <v>1077</v>
      </c>
      <c r="AA17" s="39" t="s">
        <v>1077</v>
      </c>
      <c r="AB17" s="103" t="s">
        <v>42</v>
      </c>
    </row>
    <row r="18">
      <c r="A18" s="27">
        <v>16.0</v>
      </c>
      <c r="B18" s="28">
        <v>84.0</v>
      </c>
      <c r="C18" s="27">
        <v>240.0</v>
      </c>
      <c r="D18" s="28" t="s">
        <v>1171</v>
      </c>
      <c r="F18" s="29">
        <v>16.0</v>
      </c>
      <c r="G18" s="30">
        <v>5.0</v>
      </c>
      <c r="H18" s="29" t="s">
        <v>76</v>
      </c>
      <c r="I18" s="29">
        <v>4.0</v>
      </c>
      <c r="J18" s="29">
        <v>3.0</v>
      </c>
      <c r="K18" s="29">
        <v>3.0</v>
      </c>
      <c r="L18" s="29">
        <v>2.0</v>
      </c>
      <c r="M18" s="29">
        <v>1.0</v>
      </c>
      <c r="O18" s="53"/>
      <c r="P18" s="32"/>
      <c r="Q18" s="33"/>
      <c r="R18" s="34"/>
      <c r="S18" s="35"/>
      <c r="T18" s="35"/>
      <c r="V18" s="39">
        <v>13.0</v>
      </c>
      <c r="W18" s="40" t="s">
        <v>1104</v>
      </c>
      <c r="X18" s="41" t="s">
        <v>1172</v>
      </c>
      <c r="Y18" s="41" t="s">
        <v>1173</v>
      </c>
      <c r="Z18" s="39" t="s">
        <v>1077</v>
      </c>
      <c r="AA18" s="39" t="s">
        <v>1077</v>
      </c>
      <c r="AB18" s="103" t="s">
        <v>42</v>
      </c>
    </row>
    <row r="19">
      <c r="A19" s="13">
        <v>17.0</v>
      </c>
      <c r="B19" s="14">
        <v>106.0</v>
      </c>
      <c r="C19" s="13">
        <v>306.0</v>
      </c>
      <c r="D19" s="14" t="s">
        <v>1174</v>
      </c>
      <c r="F19" s="15">
        <v>17.0</v>
      </c>
      <c r="G19" s="16">
        <v>6.0</v>
      </c>
      <c r="H19" s="15" t="s">
        <v>1175</v>
      </c>
      <c r="I19" s="15">
        <v>4.0</v>
      </c>
      <c r="J19" s="15">
        <v>3.0</v>
      </c>
      <c r="K19" s="15">
        <v>3.0</v>
      </c>
      <c r="L19" s="15">
        <v>2.0</v>
      </c>
      <c r="M19" s="15">
        <v>2.0</v>
      </c>
      <c r="O19" s="50"/>
      <c r="P19" s="45"/>
      <c r="Q19" s="46"/>
      <c r="R19" s="47"/>
      <c r="S19" s="48"/>
      <c r="T19" s="48"/>
      <c r="V19" s="22">
        <v>13.0</v>
      </c>
      <c r="W19" s="24" t="s">
        <v>1142</v>
      </c>
      <c r="X19" s="25" t="s">
        <v>1176</v>
      </c>
      <c r="Y19" s="25" t="s">
        <v>1177</v>
      </c>
      <c r="Z19" s="22">
        <v>15.0</v>
      </c>
      <c r="AA19" s="22">
        <v>12.0</v>
      </c>
      <c r="AB19" s="103" t="s">
        <v>42</v>
      </c>
    </row>
    <row r="20">
      <c r="A20" s="27">
        <v>18.0</v>
      </c>
      <c r="B20" s="28">
        <v>138.0</v>
      </c>
      <c r="C20" s="27">
        <v>384.0</v>
      </c>
      <c r="D20" s="28" t="s">
        <v>1178</v>
      </c>
      <c r="F20" s="29">
        <v>18.0</v>
      </c>
      <c r="G20" s="30">
        <v>6.0</v>
      </c>
      <c r="H20" s="29" t="s">
        <v>1179</v>
      </c>
      <c r="I20" s="29">
        <v>4.0</v>
      </c>
      <c r="J20" s="29">
        <v>3.0</v>
      </c>
      <c r="K20" s="29">
        <v>3.0</v>
      </c>
      <c r="L20" s="29">
        <v>2.0</v>
      </c>
      <c r="M20" s="29">
        <v>2.0</v>
      </c>
      <c r="O20" s="50"/>
      <c r="P20" s="45"/>
      <c r="Q20" s="46"/>
      <c r="R20" s="47"/>
      <c r="S20" s="48"/>
      <c r="T20" s="48"/>
      <c r="V20" s="36">
        <v>13.0</v>
      </c>
      <c r="W20" s="37" t="s">
        <v>1151</v>
      </c>
      <c r="X20" s="38" t="s">
        <v>1180</v>
      </c>
      <c r="Y20" s="38" t="s">
        <v>1181</v>
      </c>
      <c r="Z20" s="36" t="s">
        <v>1077</v>
      </c>
      <c r="AA20" s="36" t="s">
        <v>1077</v>
      </c>
      <c r="AB20" s="103" t="s">
        <v>42</v>
      </c>
    </row>
    <row r="21">
      <c r="A21" s="13">
        <v>19.0</v>
      </c>
      <c r="B21" s="14">
        <v>162.0</v>
      </c>
      <c r="C21" s="13">
        <v>450.0</v>
      </c>
      <c r="D21" s="14" t="s">
        <v>1182</v>
      </c>
      <c r="F21" s="15">
        <v>19.0</v>
      </c>
      <c r="G21" s="16">
        <v>6.0</v>
      </c>
      <c r="H21" s="15" t="s">
        <v>76</v>
      </c>
      <c r="I21" s="15">
        <v>4.0</v>
      </c>
      <c r="J21" s="15">
        <v>3.0</v>
      </c>
      <c r="K21" s="15">
        <v>3.0</v>
      </c>
      <c r="L21" s="15">
        <v>2.0</v>
      </c>
      <c r="M21" s="15">
        <v>2.0</v>
      </c>
      <c r="O21" s="50"/>
      <c r="P21" s="45"/>
      <c r="Q21" s="46"/>
      <c r="R21" s="47"/>
      <c r="S21" s="48"/>
      <c r="T21" s="48"/>
      <c r="V21" s="39">
        <v>13.0</v>
      </c>
      <c r="W21" s="40"/>
      <c r="X21" s="41" t="s">
        <v>1183</v>
      </c>
      <c r="Y21" s="41" t="s">
        <v>1184</v>
      </c>
      <c r="Z21" s="39">
        <v>75.0</v>
      </c>
      <c r="AA21" s="39">
        <v>15.0</v>
      </c>
      <c r="AB21" s="103" t="s">
        <v>42</v>
      </c>
    </row>
    <row r="22">
      <c r="A22" s="60">
        <v>20.0</v>
      </c>
      <c r="B22" s="60">
        <v>192.0</v>
      </c>
      <c r="C22" s="60">
        <v>510.0</v>
      </c>
      <c r="D22" s="60" t="s">
        <v>1185</v>
      </c>
      <c r="F22" s="62">
        <v>20.0</v>
      </c>
      <c r="G22" s="63">
        <v>6.0</v>
      </c>
      <c r="H22" s="62" t="s">
        <v>1186</v>
      </c>
      <c r="I22" s="62">
        <v>4.0</v>
      </c>
      <c r="J22" s="62">
        <v>3.0</v>
      </c>
      <c r="K22" s="62">
        <v>3.0</v>
      </c>
      <c r="L22" s="62">
        <v>2.0</v>
      </c>
      <c r="M22" s="62">
        <v>2.0</v>
      </c>
      <c r="O22" s="50"/>
      <c r="P22" s="45"/>
      <c r="Q22" s="46"/>
      <c r="R22" s="47"/>
      <c r="S22" s="48"/>
      <c r="T22" s="48"/>
      <c r="V22" s="39">
        <v>14.0</v>
      </c>
      <c r="W22" s="40" t="s">
        <v>1187</v>
      </c>
      <c r="X22" s="41" t="s">
        <v>1188</v>
      </c>
      <c r="Y22" s="41" t="s">
        <v>1189</v>
      </c>
      <c r="Z22" s="39" t="s">
        <v>1077</v>
      </c>
      <c r="AA22" s="39" t="s">
        <v>1077</v>
      </c>
      <c r="AB22" s="103" t="s">
        <v>42</v>
      </c>
    </row>
    <row r="23">
      <c r="A23" s="66"/>
      <c r="B23" s="66"/>
      <c r="C23" s="66"/>
      <c r="D23" s="66"/>
      <c r="G23" s="67"/>
      <c r="O23" s="53"/>
      <c r="P23" s="32"/>
      <c r="Q23" s="33"/>
      <c r="R23" s="34"/>
      <c r="S23" s="35"/>
      <c r="T23" s="35"/>
      <c r="V23" s="22">
        <v>15.0</v>
      </c>
      <c r="W23" s="24" t="s">
        <v>1158</v>
      </c>
      <c r="X23" s="25" t="s">
        <v>1190</v>
      </c>
      <c r="Y23" s="25" t="s">
        <v>1191</v>
      </c>
      <c r="Z23" s="22" t="s">
        <v>1077</v>
      </c>
      <c r="AA23" s="22" t="s">
        <v>1077</v>
      </c>
      <c r="AB23" s="103" t="s">
        <v>42</v>
      </c>
    </row>
    <row r="24">
      <c r="A24" s="66"/>
      <c r="B24" s="66"/>
      <c r="C24" s="66"/>
      <c r="D24" s="66"/>
      <c r="G24" s="67"/>
      <c r="O24" s="53"/>
      <c r="P24" s="32"/>
      <c r="Q24" s="33"/>
      <c r="R24" s="34"/>
      <c r="S24" s="35"/>
      <c r="T24" s="35"/>
      <c r="V24" s="36">
        <v>15.0</v>
      </c>
      <c r="W24" s="37" t="s">
        <v>1168</v>
      </c>
      <c r="X24" s="38" t="s">
        <v>1192</v>
      </c>
      <c r="Y24" s="38" t="s">
        <v>1193</v>
      </c>
      <c r="Z24" s="36" t="s">
        <v>1077</v>
      </c>
      <c r="AA24" s="36" t="s">
        <v>1077</v>
      </c>
      <c r="AB24" s="103" t="s">
        <v>42</v>
      </c>
    </row>
    <row r="25">
      <c r="A25" s="66"/>
      <c r="B25" s="66"/>
      <c r="C25" s="66"/>
      <c r="D25" s="66"/>
      <c r="G25" s="67"/>
      <c r="O25" s="53"/>
      <c r="P25" s="32"/>
      <c r="Q25" s="33"/>
      <c r="R25" s="34"/>
      <c r="S25" s="35"/>
      <c r="T25" s="35"/>
      <c r="V25" s="39">
        <v>15.0</v>
      </c>
      <c r="W25" s="40" t="s">
        <v>1194</v>
      </c>
      <c r="X25" s="41" t="s">
        <v>1195</v>
      </c>
      <c r="Y25" s="41" t="s">
        <v>1196</v>
      </c>
      <c r="Z25" s="39" t="s">
        <v>1077</v>
      </c>
      <c r="AA25" s="39" t="s">
        <v>1077</v>
      </c>
      <c r="AB25" s="103" t="s">
        <v>42</v>
      </c>
    </row>
    <row r="26">
      <c r="A26" s="66"/>
      <c r="B26" s="66"/>
      <c r="C26" s="66"/>
      <c r="D26" s="66"/>
      <c r="G26" s="67"/>
      <c r="O26" s="53"/>
      <c r="P26" s="32"/>
      <c r="Q26" s="33"/>
      <c r="R26" s="34"/>
      <c r="S26" s="35"/>
      <c r="T26" s="35"/>
      <c r="V26" s="39">
        <v>17.0</v>
      </c>
      <c r="W26" s="40" t="s">
        <v>1142</v>
      </c>
      <c r="X26" s="41" t="s">
        <v>1197</v>
      </c>
      <c r="Y26" s="41" t="s">
        <v>1156</v>
      </c>
      <c r="Z26" s="39">
        <v>15.0</v>
      </c>
      <c r="AA26" s="39">
        <v>12.0</v>
      </c>
      <c r="AB26" s="103" t="s">
        <v>42</v>
      </c>
    </row>
    <row r="27">
      <c r="A27" s="66"/>
      <c r="B27" s="66"/>
      <c r="C27" s="66"/>
      <c r="D27" s="66"/>
      <c r="G27" s="67"/>
      <c r="O27" s="71"/>
      <c r="P27" s="72"/>
      <c r="Q27" s="73"/>
      <c r="R27" s="74"/>
      <c r="S27" s="75"/>
      <c r="T27" s="75"/>
      <c r="V27" s="22">
        <v>17.0</v>
      </c>
      <c r="W27" s="24" t="s">
        <v>1104</v>
      </c>
      <c r="X27" s="25" t="s">
        <v>1198</v>
      </c>
      <c r="Y27" s="25" t="s">
        <v>1196</v>
      </c>
      <c r="Z27" s="22" t="s">
        <v>1077</v>
      </c>
      <c r="AA27" s="22" t="s">
        <v>1077</v>
      </c>
      <c r="AB27" s="103" t="s">
        <v>42</v>
      </c>
    </row>
    <row r="28">
      <c r="A28" s="66"/>
      <c r="B28" s="66"/>
      <c r="C28" s="66"/>
      <c r="D28" s="66"/>
      <c r="G28" s="67"/>
      <c r="P28" s="76"/>
      <c r="V28" s="36">
        <v>17.0</v>
      </c>
      <c r="W28" s="37" t="s">
        <v>1199</v>
      </c>
      <c r="X28" s="38" t="s">
        <v>1200</v>
      </c>
      <c r="Y28" s="38" t="s">
        <v>1201</v>
      </c>
      <c r="Z28" s="36" t="s">
        <v>1077</v>
      </c>
      <c r="AA28" s="36" t="s">
        <v>1077</v>
      </c>
      <c r="AB28" s="103" t="s">
        <v>42</v>
      </c>
    </row>
    <row r="29">
      <c r="A29" s="66"/>
      <c r="B29" s="66"/>
      <c r="C29" s="66"/>
      <c r="D29" s="66"/>
      <c r="G29" s="67"/>
      <c r="P29" s="77"/>
      <c r="V29" s="39">
        <v>17.0</v>
      </c>
      <c r="W29" s="40" t="s">
        <v>1202</v>
      </c>
      <c r="X29" s="41" t="s">
        <v>1203</v>
      </c>
      <c r="Y29" s="41" t="s">
        <v>1204</v>
      </c>
      <c r="Z29" s="39">
        <v>100.0</v>
      </c>
      <c r="AA29" s="39">
        <v>15.0</v>
      </c>
      <c r="AB29" s="103" t="s">
        <v>42</v>
      </c>
    </row>
    <row r="30">
      <c r="B30" s="66"/>
      <c r="C30" s="66"/>
      <c r="D30" s="66"/>
      <c r="G30" s="67"/>
      <c r="P30" s="76"/>
      <c r="V30" s="39">
        <v>18.0</v>
      </c>
      <c r="W30" s="40" t="s">
        <v>1165</v>
      </c>
      <c r="X30" s="41" t="s">
        <v>1205</v>
      </c>
      <c r="Y30" s="41" t="s">
        <v>1206</v>
      </c>
      <c r="Z30" s="39">
        <v>100.0</v>
      </c>
      <c r="AA30" s="39">
        <v>15.0</v>
      </c>
      <c r="AB30" s="103" t="s">
        <v>1207</v>
      </c>
    </row>
    <row r="31">
      <c r="A31" s="66"/>
      <c r="B31" s="66"/>
      <c r="C31" s="66"/>
      <c r="D31" s="66"/>
      <c r="G31" s="67"/>
      <c r="P31" s="77"/>
      <c r="V31" s="22">
        <v>18.0</v>
      </c>
      <c r="W31" s="24" t="s">
        <v>1187</v>
      </c>
      <c r="X31" s="25" t="s">
        <v>1208</v>
      </c>
      <c r="Y31" s="25" t="s">
        <v>1209</v>
      </c>
      <c r="Z31" s="22" t="s">
        <v>1077</v>
      </c>
      <c r="AA31" s="22" t="s">
        <v>1077</v>
      </c>
      <c r="AB31" s="103" t="s">
        <v>42</v>
      </c>
    </row>
    <row r="32">
      <c r="A32" s="66"/>
      <c r="B32" s="66"/>
      <c r="C32" s="66"/>
      <c r="D32" s="66"/>
      <c r="G32" s="67"/>
      <c r="P32" s="76"/>
      <c r="V32" s="36">
        <v>19.0</v>
      </c>
      <c r="W32" s="37" t="s">
        <v>1210</v>
      </c>
      <c r="X32" s="38" t="s">
        <v>1211</v>
      </c>
      <c r="Y32" s="38" t="s">
        <v>1209</v>
      </c>
      <c r="Z32" s="36" t="s">
        <v>1077</v>
      </c>
      <c r="AA32" s="36" t="s">
        <v>1077</v>
      </c>
      <c r="AB32" s="103" t="s">
        <v>42</v>
      </c>
    </row>
    <row r="33">
      <c r="A33" s="66"/>
      <c r="B33" s="66"/>
      <c r="C33" s="66"/>
      <c r="D33" s="81"/>
      <c r="G33" s="67"/>
      <c r="P33" s="76"/>
      <c r="R33" s="82"/>
      <c r="V33" s="39">
        <v>19.0</v>
      </c>
      <c r="W33" s="40" t="s">
        <v>1194</v>
      </c>
      <c r="X33" s="41" t="s">
        <v>1212</v>
      </c>
      <c r="Y33" s="41" t="s">
        <v>1189</v>
      </c>
      <c r="Z33" s="39" t="s">
        <v>1077</v>
      </c>
      <c r="AA33" s="39" t="s">
        <v>1077</v>
      </c>
      <c r="AB33" s="103" t="s">
        <v>42</v>
      </c>
    </row>
    <row r="34">
      <c r="A34" s="66"/>
      <c r="B34" s="66"/>
      <c r="C34" s="66"/>
      <c r="D34" s="81"/>
      <c r="G34" s="67"/>
      <c r="P34" s="76"/>
      <c r="R34" s="82"/>
      <c r="V34" s="39">
        <v>20.0</v>
      </c>
      <c r="W34" s="40" t="s">
        <v>1213</v>
      </c>
      <c r="X34" s="41" t="s">
        <v>1214</v>
      </c>
      <c r="Y34" s="41" t="s">
        <v>1215</v>
      </c>
      <c r="Z34" s="39">
        <v>150.0</v>
      </c>
      <c r="AA34" s="39">
        <v>20.0</v>
      </c>
      <c r="AB34" s="103" t="s">
        <v>1216</v>
      </c>
    </row>
    <row r="35">
      <c r="A35" s="66"/>
      <c r="B35" s="66"/>
      <c r="C35" s="66"/>
      <c r="D35" s="66"/>
      <c r="G35" s="67"/>
      <c r="P35" s="76"/>
      <c r="R35" s="82"/>
      <c r="V35" s="22"/>
      <c r="W35" s="24"/>
      <c r="X35" s="25"/>
      <c r="Y35" s="25"/>
      <c r="Z35" s="22"/>
      <c r="AA35" s="22"/>
    </row>
    <row r="36">
      <c r="A36" s="66"/>
      <c r="B36" s="66"/>
      <c r="C36" s="66"/>
      <c r="D36" s="66"/>
      <c r="G36" s="67"/>
      <c r="P36" s="77"/>
      <c r="R36" s="82"/>
      <c r="V36" s="36"/>
      <c r="W36" s="37"/>
      <c r="X36" s="38"/>
      <c r="Y36" s="38"/>
      <c r="Z36" s="36"/>
      <c r="AA36" s="36"/>
    </row>
    <row r="37">
      <c r="A37" s="66"/>
      <c r="B37" s="66"/>
      <c r="C37" s="66"/>
      <c r="D37" s="66"/>
      <c r="G37" s="67"/>
      <c r="P37" s="76"/>
      <c r="R37" s="82"/>
      <c r="V37" s="39"/>
      <c r="W37" s="40"/>
      <c r="X37" s="41"/>
      <c r="Y37" s="41"/>
      <c r="Z37" s="39"/>
      <c r="AA37" s="39"/>
    </row>
    <row r="38">
      <c r="A38" s="66"/>
      <c r="B38" s="66"/>
      <c r="C38" s="66"/>
      <c r="D38" s="66"/>
      <c r="G38" s="67"/>
      <c r="P38" s="77"/>
      <c r="R38" s="82"/>
      <c r="V38" s="39"/>
      <c r="W38" s="40"/>
      <c r="X38" s="41"/>
      <c r="Y38" s="41"/>
      <c r="Z38" s="39"/>
      <c r="AA38" s="39"/>
    </row>
    <row r="39">
      <c r="A39" s="66"/>
      <c r="C39" s="66"/>
      <c r="D39" s="66"/>
      <c r="G39" s="67"/>
      <c r="R39" s="82"/>
      <c r="V39" s="22"/>
      <c r="W39" s="24"/>
      <c r="X39" s="25"/>
      <c r="Y39" s="25"/>
      <c r="Z39" s="22"/>
      <c r="AA39" s="22"/>
    </row>
    <row r="40">
      <c r="A40" s="66"/>
      <c r="B40" s="66"/>
      <c r="C40" s="66"/>
      <c r="D40" s="66"/>
      <c r="G40" s="67"/>
      <c r="P40" s="76"/>
      <c r="R40" s="82"/>
      <c r="V40" s="36"/>
      <c r="W40" s="37"/>
      <c r="X40" s="38"/>
      <c r="Y40" s="38"/>
      <c r="Z40" s="36"/>
      <c r="AA40" s="36"/>
    </row>
    <row r="41">
      <c r="A41" s="66"/>
      <c r="B41" s="66"/>
      <c r="C41" s="66"/>
      <c r="D41" s="66"/>
      <c r="G41" s="67"/>
      <c r="P41" s="76"/>
      <c r="R41" s="82"/>
      <c r="V41" s="39"/>
      <c r="W41" s="40"/>
      <c r="X41" s="41"/>
      <c r="Y41" s="41"/>
      <c r="Z41" s="39"/>
      <c r="AA41" s="39"/>
    </row>
    <row r="42">
      <c r="A42" s="66"/>
      <c r="B42" s="66"/>
      <c r="C42" s="66"/>
      <c r="D42" s="66"/>
      <c r="G42" s="67"/>
      <c r="P42" s="76"/>
      <c r="V42" s="39"/>
      <c r="W42" s="40"/>
      <c r="X42" s="41"/>
      <c r="Y42" s="41"/>
      <c r="Z42" s="39"/>
      <c r="AA42" s="39"/>
    </row>
    <row r="43">
      <c r="A43" s="66"/>
      <c r="B43" s="66"/>
      <c r="C43" s="66"/>
      <c r="D43" s="66"/>
      <c r="G43" s="67"/>
      <c r="P43" s="77"/>
    </row>
    <row r="44">
      <c r="A44" s="66"/>
      <c r="B44" s="66"/>
      <c r="C44" s="66"/>
      <c r="D44" s="66"/>
      <c r="G44" s="67"/>
      <c r="P44" s="76"/>
      <c r="Q44" s="103">
        <v>9.0</v>
      </c>
      <c r="R44" s="103" t="s">
        <v>1217</v>
      </c>
    </row>
    <row r="45">
      <c r="A45" s="66"/>
      <c r="C45" s="66"/>
      <c r="D45" s="66"/>
      <c r="G45" s="67"/>
      <c r="P45" s="77"/>
      <c r="Q45" s="103">
        <v>13.0</v>
      </c>
      <c r="R45" s="103" t="s">
        <v>1218</v>
      </c>
    </row>
    <row r="46">
      <c r="A46" s="66"/>
      <c r="B46" s="66"/>
      <c r="C46" s="66"/>
      <c r="D46" s="66"/>
      <c r="G46" s="67"/>
      <c r="Q46" s="103">
        <v>17.0</v>
      </c>
      <c r="R46" s="103" t="s">
        <v>1219</v>
      </c>
    </row>
    <row r="47">
      <c r="A47" s="66"/>
      <c r="B47" s="66"/>
      <c r="C47" s="66"/>
      <c r="D47" s="66"/>
      <c r="G47" s="67"/>
      <c r="P47" s="76"/>
      <c r="Q47" s="103">
        <v>20.0</v>
      </c>
      <c r="R47" s="103" t="s">
        <v>1220</v>
      </c>
    </row>
    <row r="48">
      <c r="A48" s="66"/>
      <c r="B48" s="66"/>
      <c r="C48" s="66"/>
      <c r="D48" s="66"/>
      <c r="G48" s="67"/>
      <c r="P48" s="76"/>
      <c r="V48" s="67"/>
    </row>
    <row r="49">
      <c r="A49" s="66"/>
      <c r="B49" s="66"/>
      <c r="C49" s="66"/>
      <c r="D49" s="66"/>
      <c r="G49" s="67"/>
      <c r="P49" s="76"/>
      <c r="V49" s="67"/>
    </row>
    <row r="50">
      <c r="A50" s="66"/>
      <c r="B50" s="66"/>
      <c r="C50" s="66"/>
      <c r="D50" s="66"/>
      <c r="G50" s="67"/>
      <c r="P50" s="77"/>
      <c r="V50" s="67"/>
    </row>
    <row r="51">
      <c r="A51" s="66"/>
      <c r="B51" s="66"/>
      <c r="C51" s="66"/>
      <c r="D51" s="66"/>
      <c r="G51" s="67"/>
      <c r="P51" s="76"/>
      <c r="V51" s="67"/>
    </row>
    <row r="52">
      <c r="A52" s="66"/>
      <c r="B52" s="66"/>
      <c r="C52" s="66"/>
      <c r="D52" s="66"/>
      <c r="G52" s="67"/>
      <c r="P52" s="77"/>
      <c r="V52" s="67"/>
    </row>
    <row r="53">
      <c r="A53" s="66"/>
      <c r="B53" s="66"/>
      <c r="C53" s="66"/>
      <c r="D53" s="66"/>
      <c r="G53" s="67"/>
      <c r="V53" s="67"/>
    </row>
    <row r="54">
      <c r="A54" s="66"/>
      <c r="B54" s="66"/>
      <c r="C54" s="66"/>
      <c r="D54" s="66"/>
      <c r="G54" s="67"/>
      <c r="P54" s="76"/>
      <c r="V54" s="67"/>
    </row>
    <row r="55">
      <c r="A55" s="66"/>
      <c r="B55" s="66"/>
      <c r="C55" s="66"/>
      <c r="D55" s="66"/>
      <c r="G55" s="67"/>
      <c r="P55" s="76"/>
      <c r="V55" s="67"/>
    </row>
    <row r="56">
      <c r="A56" s="66"/>
      <c r="B56" s="66"/>
      <c r="C56" s="66"/>
      <c r="D56" s="66"/>
      <c r="G56" s="67"/>
      <c r="P56" s="76"/>
      <c r="V56" s="67"/>
    </row>
    <row r="57">
      <c r="A57" s="66"/>
      <c r="B57" s="66"/>
      <c r="C57" s="66"/>
      <c r="D57" s="66"/>
      <c r="G57" s="67"/>
      <c r="P57" s="77"/>
      <c r="V57" s="67"/>
    </row>
    <row r="58">
      <c r="A58" s="66"/>
      <c r="B58" s="66"/>
      <c r="C58" s="66"/>
      <c r="D58" s="66"/>
      <c r="G58" s="67"/>
      <c r="P58" s="76"/>
      <c r="V58" s="67"/>
    </row>
    <row r="59">
      <c r="A59" s="66"/>
      <c r="B59" s="66"/>
      <c r="C59" s="66"/>
      <c r="D59" s="66"/>
      <c r="G59" s="67"/>
      <c r="P59" s="77"/>
      <c r="V59" s="67"/>
    </row>
    <row r="60">
      <c r="A60" s="66"/>
      <c r="B60" s="66"/>
      <c r="C60" s="66"/>
      <c r="D60" s="66"/>
      <c r="G60" s="67"/>
      <c r="V60" s="67"/>
    </row>
    <row r="61">
      <c r="A61" s="66"/>
      <c r="B61" s="66"/>
      <c r="C61" s="66"/>
      <c r="D61" s="66"/>
      <c r="G61" s="67"/>
      <c r="P61" s="76"/>
      <c r="V61" s="67"/>
    </row>
    <row r="62">
      <c r="A62" s="66"/>
      <c r="B62" s="66"/>
      <c r="C62" s="66"/>
      <c r="D62" s="66"/>
      <c r="G62" s="67"/>
      <c r="P62" s="76"/>
      <c r="V62" s="67"/>
    </row>
    <row r="63">
      <c r="A63" s="66"/>
      <c r="B63" s="66"/>
      <c r="C63" s="66"/>
      <c r="D63" s="66"/>
      <c r="G63" s="67"/>
      <c r="P63" s="76"/>
      <c r="V63" s="67"/>
    </row>
    <row r="64">
      <c r="A64" s="66"/>
      <c r="B64" s="66"/>
      <c r="C64" s="66"/>
      <c r="D64" s="66"/>
      <c r="G64" s="67"/>
      <c r="V64" s="67"/>
    </row>
    <row r="65">
      <c r="A65" s="66"/>
      <c r="B65" s="66"/>
      <c r="C65" s="66"/>
      <c r="D65" s="66"/>
      <c r="G65" s="67"/>
      <c r="V65" s="67"/>
    </row>
    <row r="66">
      <c r="A66" s="66"/>
      <c r="B66" s="66"/>
      <c r="C66" s="66"/>
      <c r="D66" s="66"/>
      <c r="G66" s="67"/>
      <c r="V66" s="67"/>
    </row>
    <row r="67">
      <c r="A67" s="66"/>
      <c r="B67" s="66"/>
      <c r="C67" s="66"/>
      <c r="D67" s="66"/>
      <c r="G67" s="67"/>
      <c r="V67" s="67"/>
    </row>
    <row r="68">
      <c r="A68" s="66"/>
      <c r="B68" s="66"/>
      <c r="C68" s="66"/>
      <c r="D68" s="66"/>
      <c r="G68" s="67"/>
      <c r="V68" s="67"/>
    </row>
    <row r="69">
      <c r="A69" s="66"/>
      <c r="B69" s="66"/>
      <c r="C69" s="66"/>
      <c r="D69" s="66"/>
      <c r="G69" s="67"/>
      <c r="V69" s="67"/>
    </row>
    <row r="70">
      <c r="A70" s="66"/>
      <c r="B70" s="66"/>
      <c r="C70" s="66"/>
      <c r="D70" s="66"/>
      <c r="G70" s="67"/>
      <c r="V70" s="67"/>
    </row>
    <row r="71">
      <c r="A71" s="66"/>
      <c r="B71" s="66"/>
      <c r="C71" s="66"/>
      <c r="D71" s="66"/>
      <c r="G71" s="67"/>
      <c r="V71" s="67"/>
    </row>
    <row r="72">
      <c r="A72" s="66"/>
      <c r="B72" s="66"/>
      <c r="C72" s="66"/>
      <c r="D72" s="66"/>
      <c r="G72" s="67"/>
      <c r="V72" s="67"/>
    </row>
    <row r="73">
      <c r="A73" s="66"/>
      <c r="B73" s="66"/>
      <c r="C73" s="66"/>
      <c r="D73" s="66"/>
      <c r="G73" s="67"/>
      <c r="V73" s="67"/>
    </row>
    <row r="74">
      <c r="A74" s="66"/>
      <c r="B74" s="66"/>
      <c r="C74" s="66"/>
      <c r="D74" s="66"/>
      <c r="G74" s="67"/>
      <c r="V74" s="67"/>
    </row>
    <row r="75">
      <c r="A75" s="66"/>
      <c r="B75" s="66"/>
      <c r="C75" s="66"/>
      <c r="D75" s="66"/>
      <c r="G75" s="67"/>
      <c r="V75" s="67"/>
    </row>
    <row r="76">
      <c r="A76" s="66"/>
      <c r="B76" s="66"/>
      <c r="C76" s="66"/>
      <c r="D76" s="66"/>
      <c r="G76" s="67"/>
      <c r="V76" s="67"/>
    </row>
    <row r="77">
      <c r="A77" s="66"/>
      <c r="B77" s="66"/>
      <c r="C77" s="66"/>
      <c r="D77" s="66"/>
      <c r="G77" s="67"/>
      <c r="V77" s="67"/>
    </row>
    <row r="78">
      <c r="A78" s="66"/>
      <c r="B78" s="66"/>
      <c r="C78" s="66"/>
      <c r="D78" s="66"/>
      <c r="G78" s="67"/>
      <c r="V78" s="67"/>
    </row>
    <row r="79">
      <c r="A79" s="66"/>
      <c r="B79" s="66"/>
      <c r="C79" s="66"/>
      <c r="D79" s="66"/>
      <c r="G79" s="67"/>
      <c r="V79" s="67"/>
    </row>
    <row r="80">
      <c r="A80" s="66"/>
      <c r="B80" s="66"/>
      <c r="C80" s="66"/>
      <c r="D80" s="66"/>
      <c r="G80" s="67"/>
      <c r="V80" s="67"/>
    </row>
    <row r="81">
      <c r="A81" s="66"/>
      <c r="B81" s="66"/>
      <c r="C81" s="66"/>
      <c r="D81" s="66"/>
      <c r="G81" s="67"/>
      <c r="V81" s="67"/>
    </row>
    <row r="82">
      <c r="A82" s="66"/>
      <c r="B82" s="66"/>
      <c r="C82" s="66"/>
      <c r="D82" s="66"/>
      <c r="G82" s="67"/>
      <c r="V82" s="67"/>
    </row>
    <row r="83">
      <c r="A83" s="66"/>
      <c r="B83" s="66"/>
      <c r="C83" s="66"/>
      <c r="D83" s="66"/>
      <c r="G83" s="67"/>
      <c r="V83" s="67"/>
    </row>
    <row r="84">
      <c r="A84" s="66"/>
      <c r="B84" s="66"/>
      <c r="C84" s="66"/>
      <c r="D84" s="66"/>
      <c r="G84" s="67"/>
      <c r="V84" s="67"/>
    </row>
    <row r="85">
      <c r="A85" s="66"/>
      <c r="B85" s="66"/>
      <c r="C85" s="66"/>
      <c r="D85" s="66"/>
      <c r="G85" s="67"/>
      <c r="V85" s="67"/>
    </row>
    <row r="86">
      <c r="A86" s="66"/>
      <c r="B86" s="66"/>
      <c r="C86" s="66"/>
      <c r="D86" s="66"/>
      <c r="G86" s="67"/>
      <c r="V86" s="67"/>
    </row>
    <row r="87">
      <c r="A87" s="66"/>
      <c r="B87" s="66"/>
      <c r="C87" s="66"/>
      <c r="D87" s="66"/>
      <c r="G87" s="67"/>
      <c r="V87" s="67"/>
    </row>
    <row r="88">
      <c r="A88" s="66"/>
      <c r="B88" s="66"/>
      <c r="C88" s="66"/>
      <c r="D88" s="66"/>
      <c r="G88" s="67"/>
      <c r="V88" s="67"/>
    </row>
    <row r="89">
      <c r="A89" s="66"/>
      <c r="B89" s="66"/>
      <c r="C89" s="66"/>
      <c r="D89" s="66"/>
      <c r="G89" s="67"/>
      <c r="V89" s="67"/>
    </row>
    <row r="90">
      <c r="A90" s="66"/>
      <c r="B90" s="66"/>
      <c r="C90" s="66"/>
      <c r="D90" s="66"/>
      <c r="G90" s="67"/>
      <c r="V90" s="67"/>
    </row>
    <row r="91">
      <c r="A91" s="66"/>
      <c r="B91" s="66"/>
      <c r="C91" s="66"/>
      <c r="D91" s="66"/>
      <c r="G91" s="67"/>
      <c r="V91" s="67"/>
    </row>
    <row r="92">
      <c r="A92" s="66"/>
      <c r="B92" s="66"/>
      <c r="C92" s="66"/>
      <c r="D92" s="66"/>
      <c r="G92" s="67"/>
      <c r="V92" s="67"/>
    </row>
    <row r="93">
      <c r="A93" s="66"/>
      <c r="B93" s="66"/>
      <c r="C93" s="66"/>
      <c r="D93" s="66"/>
      <c r="G93" s="67"/>
      <c r="V93" s="67"/>
    </row>
    <row r="94">
      <c r="A94" s="66"/>
      <c r="B94" s="66"/>
      <c r="C94" s="66"/>
      <c r="D94" s="66"/>
      <c r="G94" s="67"/>
      <c r="V94" s="67"/>
    </row>
    <row r="95">
      <c r="A95" s="66"/>
      <c r="B95" s="66"/>
      <c r="C95" s="66"/>
      <c r="D95" s="66"/>
      <c r="G95" s="67"/>
      <c r="V95" s="67"/>
    </row>
    <row r="96">
      <c r="A96" s="66"/>
      <c r="B96" s="66"/>
      <c r="C96" s="66"/>
      <c r="D96" s="66"/>
      <c r="G96" s="67"/>
      <c r="V96" s="67"/>
    </row>
    <row r="97">
      <c r="A97" s="66"/>
      <c r="B97" s="66"/>
      <c r="C97" s="66"/>
      <c r="D97" s="66"/>
      <c r="G97" s="67"/>
      <c r="V97" s="67"/>
    </row>
    <row r="98">
      <c r="A98" s="66"/>
      <c r="B98" s="66"/>
      <c r="C98" s="66"/>
      <c r="D98" s="66"/>
      <c r="G98" s="67"/>
      <c r="V98" s="67"/>
    </row>
    <row r="99">
      <c r="A99" s="66"/>
      <c r="B99" s="66"/>
      <c r="C99" s="66"/>
      <c r="D99" s="66"/>
      <c r="G99" s="67"/>
      <c r="V99" s="67"/>
    </row>
    <row r="100">
      <c r="A100" s="66"/>
      <c r="B100" s="66"/>
      <c r="C100" s="66"/>
      <c r="D100" s="66"/>
      <c r="G100" s="67"/>
      <c r="V100" s="67"/>
    </row>
    <row r="101">
      <c r="A101" s="66"/>
      <c r="B101" s="66"/>
      <c r="C101" s="66"/>
      <c r="D101" s="66"/>
      <c r="G101" s="67"/>
      <c r="V101" s="67"/>
    </row>
    <row r="102">
      <c r="A102" s="66"/>
      <c r="B102" s="66"/>
      <c r="C102" s="66"/>
      <c r="D102" s="66"/>
      <c r="G102" s="67"/>
      <c r="V102" s="67"/>
    </row>
    <row r="103">
      <c r="A103" s="66"/>
      <c r="B103" s="66"/>
      <c r="C103" s="66"/>
      <c r="D103" s="66"/>
      <c r="G103" s="67"/>
      <c r="V103" s="67"/>
    </row>
    <row r="104">
      <c r="A104" s="66"/>
      <c r="B104" s="66"/>
      <c r="C104" s="66"/>
      <c r="D104" s="66"/>
      <c r="G104" s="67"/>
      <c r="V104" s="67"/>
    </row>
    <row r="105">
      <c r="A105" s="66"/>
      <c r="B105" s="66"/>
      <c r="C105" s="66"/>
      <c r="D105" s="66"/>
      <c r="G105" s="67"/>
      <c r="V105" s="67"/>
    </row>
    <row r="106">
      <c r="A106" s="66"/>
      <c r="B106" s="66"/>
      <c r="C106" s="66"/>
      <c r="D106" s="66"/>
      <c r="G106" s="67"/>
      <c r="V106" s="67"/>
    </row>
    <row r="107">
      <c r="A107" s="66"/>
      <c r="B107" s="66"/>
      <c r="C107" s="66"/>
      <c r="D107" s="66"/>
      <c r="G107" s="67"/>
      <c r="V107" s="67"/>
    </row>
    <row r="108">
      <c r="A108" s="66"/>
      <c r="B108" s="66"/>
      <c r="C108" s="66"/>
      <c r="D108" s="66"/>
      <c r="G108" s="67"/>
      <c r="V108" s="67"/>
    </row>
    <row r="109">
      <c r="A109" s="66"/>
      <c r="B109" s="66"/>
      <c r="C109" s="66"/>
      <c r="D109" s="66"/>
      <c r="G109" s="67"/>
      <c r="V109" s="67"/>
    </row>
    <row r="110">
      <c r="A110" s="66"/>
      <c r="B110" s="66"/>
      <c r="C110" s="66"/>
      <c r="D110" s="66"/>
      <c r="G110" s="67"/>
      <c r="V110" s="67"/>
    </row>
    <row r="111">
      <c r="A111" s="66"/>
      <c r="B111" s="66"/>
      <c r="C111" s="66"/>
      <c r="D111" s="66"/>
      <c r="G111" s="67"/>
      <c r="V111" s="67"/>
    </row>
    <row r="112">
      <c r="A112" s="66"/>
      <c r="B112" s="66"/>
      <c r="C112" s="66"/>
      <c r="D112" s="66"/>
      <c r="G112" s="67"/>
      <c r="V112" s="67"/>
    </row>
    <row r="113">
      <c r="A113" s="66"/>
      <c r="B113" s="66"/>
      <c r="C113" s="66"/>
      <c r="D113" s="66"/>
      <c r="G113" s="67"/>
      <c r="V113" s="67"/>
    </row>
    <row r="114">
      <c r="A114" s="66"/>
      <c r="B114" s="66"/>
      <c r="C114" s="66"/>
      <c r="D114" s="66"/>
      <c r="G114" s="67"/>
      <c r="V114" s="67"/>
    </row>
    <row r="115">
      <c r="A115" s="66"/>
      <c r="B115" s="66"/>
      <c r="C115" s="66"/>
      <c r="D115" s="66"/>
      <c r="G115" s="67"/>
      <c r="V115" s="67"/>
    </row>
    <row r="116">
      <c r="A116" s="66"/>
      <c r="B116" s="66"/>
      <c r="C116" s="66"/>
      <c r="D116" s="66"/>
      <c r="G116" s="67"/>
      <c r="V116" s="67"/>
    </row>
    <row r="117">
      <c r="A117" s="66"/>
      <c r="B117" s="66"/>
      <c r="C117" s="66"/>
      <c r="D117" s="66"/>
      <c r="G117" s="67"/>
      <c r="V117" s="67"/>
    </row>
    <row r="118">
      <c r="A118" s="66"/>
      <c r="B118" s="66"/>
      <c r="C118" s="66"/>
      <c r="D118" s="66"/>
      <c r="G118" s="67"/>
      <c r="V118" s="67"/>
    </row>
    <row r="119">
      <c r="A119" s="66"/>
      <c r="B119" s="66"/>
      <c r="C119" s="66"/>
      <c r="D119" s="66"/>
      <c r="G119" s="67"/>
      <c r="V119" s="67"/>
    </row>
    <row r="120">
      <c r="A120" s="66"/>
      <c r="B120" s="66"/>
      <c r="C120" s="66"/>
      <c r="D120" s="66"/>
      <c r="G120" s="67"/>
      <c r="V120" s="67"/>
    </row>
    <row r="121">
      <c r="A121" s="66"/>
      <c r="B121" s="66"/>
      <c r="C121" s="66"/>
      <c r="D121" s="66"/>
      <c r="G121" s="67"/>
      <c r="V121" s="67"/>
    </row>
    <row r="122">
      <c r="A122" s="66"/>
      <c r="B122" s="66"/>
      <c r="C122" s="66"/>
      <c r="D122" s="66"/>
      <c r="G122" s="67"/>
      <c r="V122" s="67"/>
    </row>
    <row r="123">
      <c r="A123" s="66"/>
      <c r="B123" s="66"/>
      <c r="C123" s="66"/>
      <c r="D123" s="66"/>
      <c r="G123" s="67"/>
      <c r="V123" s="67"/>
    </row>
    <row r="124">
      <c r="A124" s="66"/>
      <c r="B124" s="66"/>
      <c r="C124" s="66"/>
      <c r="D124" s="66"/>
      <c r="G124" s="67"/>
      <c r="V124" s="67"/>
    </row>
    <row r="125">
      <c r="A125" s="66"/>
      <c r="B125" s="66"/>
      <c r="C125" s="66"/>
      <c r="D125" s="66"/>
      <c r="G125" s="67"/>
      <c r="V125" s="67"/>
    </row>
    <row r="126">
      <c r="A126" s="66"/>
      <c r="B126" s="66"/>
      <c r="C126" s="66"/>
      <c r="D126" s="66"/>
      <c r="G126" s="67"/>
      <c r="V126" s="67"/>
    </row>
    <row r="127">
      <c r="A127" s="66"/>
      <c r="B127" s="66"/>
      <c r="C127" s="66"/>
      <c r="D127" s="66"/>
      <c r="G127" s="67"/>
      <c r="V127" s="67"/>
    </row>
    <row r="128">
      <c r="A128" s="66"/>
      <c r="B128" s="66"/>
      <c r="C128" s="66"/>
      <c r="D128" s="66"/>
      <c r="G128" s="67"/>
      <c r="V128" s="67"/>
    </row>
    <row r="129">
      <c r="A129" s="66"/>
      <c r="B129" s="66"/>
      <c r="C129" s="66"/>
      <c r="D129" s="66"/>
      <c r="G129" s="67"/>
      <c r="V129" s="67"/>
    </row>
    <row r="130">
      <c r="A130" s="66"/>
      <c r="B130" s="66"/>
      <c r="C130" s="66"/>
      <c r="D130" s="66"/>
      <c r="G130" s="67"/>
      <c r="V130" s="67"/>
    </row>
    <row r="131">
      <c r="A131" s="66"/>
      <c r="B131" s="66"/>
      <c r="C131" s="66"/>
      <c r="D131" s="66"/>
      <c r="G131" s="67"/>
      <c r="V131" s="67"/>
    </row>
    <row r="132">
      <c r="A132" s="66"/>
      <c r="B132" s="66"/>
      <c r="C132" s="66"/>
      <c r="D132" s="66"/>
      <c r="G132" s="67"/>
      <c r="V132" s="67"/>
    </row>
    <row r="133">
      <c r="A133" s="66"/>
      <c r="B133" s="66"/>
      <c r="C133" s="66"/>
      <c r="D133" s="66"/>
      <c r="G133" s="67"/>
      <c r="V133" s="67"/>
    </row>
    <row r="134">
      <c r="A134" s="66"/>
      <c r="B134" s="66"/>
      <c r="C134" s="66"/>
      <c r="D134" s="66"/>
      <c r="G134" s="67"/>
      <c r="V134" s="67"/>
    </row>
    <row r="135">
      <c r="A135" s="66"/>
      <c r="B135" s="66"/>
      <c r="C135" s="66"/>
      <c r="D135" s="66"/>
      <c r="G135" s="67"/>
      <c r="V135" s="67"/>
    </row>
    <row r="136">
      <c r="A136" s="66"/>
      <c r="B136" s="66"/>
      <c r="C136" s="66"/>
      <c r="D136" s="66"/>
      <c r="G136" s="67"/>
      <c r="V136" s="67"/>
    </row>
    <row r="137">
      <c r="A137" s="66"/>
      <c r="B137" s="66"/>
      <c r="C137" s="66"/>
      <c r="D137" s="66"/>
      <c r="G137" s="67"/>
      <c r="V137" s="67"/>
    </row>
    <row r="138">
      <c r="A138" s="66"/>
      <c r="B138" s="66"/>
      <c r="C138" s="66"/>
      <c r="D138" s="66"/>
      <c r="G138" s="67"/>
      <c r="V138" s="67"/>
    </row>
    <row r="139">
      <c r="A139" s="66"/>
      <c r="B139" s="66"/>
      <c r="C139" s="66"/>
      <c r="D139" s="66"/>
      <c r="G139" s="67"/>
      <c r="V139" s="67"/>
    </row>
    <row r="140">
      <c r="A140" s="66"/>
      <c r="B140" s="66"/>
      <c r="C140" s="66"/>
      <c r="D140" s="66"/>
      <c r="G140" s="67"/>
      <c r="V140" s="67"/>
    </row>
    <row r="141">
      <c r="A141" s="66"/>
      <c r="B141" s="66"/>
      <c r="C141" s="66"/>
      <c r="D141" s="66"/>
      <c r="G141" s="67"/>
      <c r="V141" s="67"/>
    </row>
    <row r="142">
      <c r="A142" s="66"/>
      <c r="B142" s="66"/>
      <c r="C142" s="66"/>
      <c r="D142" s="66"/>
      <c r="G142" s="67"/>
      <c r="V142" s="67"/>
    </row>
    <row r="143">
      <c r="A143" s="66"/>
      <c r="B143" s="66"/>
      <c r="C143" s="66"/>
      <c r="D143" s="66"/>
      <c r="G143" s="67"/>
      <c r="V143" s="67"/>
    </row>
    <row r="144">
      <c r="A144" s="66"/>
      <c r="B144" s="66"/>
      <c r="C144" s="66"/>
      <c r="D144" s="66"/>
      <c r="G144" s="67"/>
      <c r="V144" s="67"/>
    </row>
    <row r="145">
      <c r="A145" s="66"/>
      <c r="B145" s="66"/>
      <c r="C145" s="66"/>
      <c r="D145" s="66"/>
      <c r="G145" s="67"/>
      <c r="V145" s="67"/>
    </row>
    <row r="146">
      <c r="A146" s="66"/>
      <c r="B146" s="66"/>
      <c r="C146" s="66"/>
      <c r="D146" s="66"/>
      <c r="G146" s="67"/>
      <c r="V146" s="67"/>
    </row>
    <row r="147">
      <c r="A147" s="66"/>
      <c r="B147" s="66"/>
      <c r="C147" s="66"/>
      <c r="D147" s="66"/>
      <c r="G147" s="67"/>
      <c r="V147" s="67"/>
    </row>
    <row r="148">
      <c r="A148" s="66"/>
      <c r="B148" s="66"/>
      <c r="C148" s="66"/>
      <c r="D148" s="66"/>
      <c r="G148" s="67"/>
      <c r="V148" s="67"/>
    </row>
    <row r="149">
      <c r="A149" s="66"/>
      <c r="B149" s="66"/>
      <c r="C149" s="66"/>
      <c r="D149" s="66"/>
      <c r="G149" s="67"/>
      <c r="V149" s="67"/>
    </row>
    <row r="150">
      <c r="A150" s="66"/>
      <c r="B150" s="66"/>
      <c r="C150" s="66"/>
      <c r="D150" s="66"/>
      <c r="G150" s="67"/>
      <c r="V150" s="67"/>
    </row>
    <row r="151">
      <c r="A151" s="66"/>
      <c r="B151" s="66"/>
      <c r="C151" s="66"/>
      <c r="D151" s="66"/>
      <c r="G151" s="67"/>
      <c r="V151" s="67"/>
    </row>
    <row r="152">
      <c r="A152" s="66"/>
      <c r="B152" s="66"/>
      <c r="C152" s="66"/>
      <c r="D152" s="66"/>
      <c r="G152" s="67"/>
      <c r="V152" s="67"/>
    </row>
    <row r="153">
      <c r="A153" s="66"/>
      <c r="B153" s="66"/>
      <c r="C153" s="66"/>
      <c r="D153" s="66"/>
      <c r="G153" s="67"/>
      <c r="V153" s="67"/>
    </row>
    <row r="154">
      <c r="A154" s="66"/>
      <c r="B154" s="66"/>
      <c r="C154" s="66"/>
      <c r="D154" s="66"/>
      <c r="G154" s="67"/>
      <c r="V154" s="67"/>
    </row>
    <row r="155">
      <c r="A155" s="66"/>
      <c r="B155" s="66"/>
      <c r="C155" s="66"/>
      <c r="D155" s="66"/>
      <c r="G155" s="67"/>
      <c r="V155" s="67"/>
    </row>
    <row r="156">
      <c r="A156" s="66"/>
      <c r="B156" s="66"/>
      <c r="C156" s="66"/>
      <c r="D156" s="66"/>
      <c r="G156" s="67"/>
      <c r="V156" s="67"/>
    </row>
    <row r="157">
      <c r="A157" s="66"/>
      <c r="B157" s="66"/>
      <c r="C157" s="66"/>
      <c r="D157" s="66"/>
      <c r="G157" s="67"/>
      <c r="V157" s="67"/>
    </row>
    <row r="158">
      <c r="A158" s="66"/>
      <c r="B158" s="66"/>
      <c r="C158" s="66"/>
      <c r="D158" s="66"/>
      <c r="G158" s="67"/>
      <c r="V158" s="67"/>
    </row>
    <row r="159">
      <c r="A159" s="66"/>
      <c r="B159" s="66"/>
      <c r="C159" s="66"/>
      <c r="D159" s="66"/>
      <c r="G159" s="67"/>
      <c r="V159" s="67"/>
    </row>
    <row r="160">
      <c r="A160" s="66"/>
      <c r="B160" s="66"/>
      <c r="C160" s="66"/>
      <c r="D160" s="66"/>
      <c r="G160" s="67"/>
      <c r="V160" s="67"/>
    </row>
    <row r="161">
      <c r="A161" s="66"/>
      <c r="B161" s="66"/>
      <c r="C161" s="66"/>
      <c r="D161" s="66"/>
      <c r="G161" s="67"/>
      <c r="V161" s="67"/>
    </row>
    <row r="162">
      <c r="A162" s="66"/>
      <c r="B162" s="66"/>
      <c r="C162" s="66"/>
      <c r="D162" s="66"/>
      <c r="G162" s="67"/>
      <c r="V162" s="67"/>
    </row>
    <row r="163">
      <c r="A163" s="66"/>
      <c r="B163" s="66"/>
      <c r="C163" s="66"/>
      <c r="D163" s="66"/>
      <c r="G163" s="67"/>
      <c r="V163" s="67"/>
    </row>
    <row r="164">
      <c r="A164" s="66"/>
      <c r="B164" s="66"/>
      <c r="C164" s="66"/>
      <c r="D164" s="66"/>
      <c r="G164" s="67"/>
      <c r="V164" s="67"/>
    </row>
    <row r="165">
      <c r="A165" s="66"/>
      <c r="B165" s="66"/>
      <c r="C165" s="66"/>
      <c r="D165" s="66"/>
      <c r="G165" s="67"/>
      <c r="V165" s="67"/>
    </row>
    <row r="166">
      <c r="A166" s="66"/>
      <c r="B166" s="66"/>
      <c r="C166" s="66"/>
      <c r="D166" s="66"/>
      <c r="G166" s="67"/>
      <c r="V166" s="67"/>
    </row>
    <row r="167">
      <c r="A167" s="66"/>
      <c r="B167" s="66"/>
      <c r="C167" s="66"/>
      <c r="D167" s="66"/>
      <c r="G167" s="67"/>
      <c r="V167" s="67"/>
    </row>
    <row r="168">
      <c r="A168" s="66"/>
      <c r="B168" s="66"/>
      <c r="C168" s="66"/>
      <c r="D168" s="66"/>
      <c r="G168" s="67"/>
      <c r="V168" s="67"/>
    </row>
    <row r="169">
      <c r="A169" s="66"/>
      <c r="B169" s="66"/>
      <c r="C169" s="66"/>
      <c r="D169" s="66"/>
      <c r="G169" s="67"/>
      <c r="V169" s="67"/>
    </row>
    <row r="170">
      <c r="A170" s="66"/>
      <c r="B170" s="66"/>
      <c r="C170" s="66"/>
      <c r="D170" s="66"/>
      <c r="G170" s="67"/>
      <c r="V170" s="67"/>
    </row>
    <row r="171">
      <c r="A171" s="66"/>
      <c r="B171" s="66"/>
      <c r="C171" s="66"/>
      <c r="D171" s="66"/>
      <c r="G171" s="67"/>
      <c r="V171" s="67"/>
    </row>
    <row r="172">
      <c r="A172" s="66"/>
      <c r="B172" s="66"/>
      <c r="C172" s="66"/>
      <c r="D172" s="66"/>
      <c r="G172" s="67"/>
      <c r="V172" s="67"/>
    </row>
    <row r="173">
      <c r="A173" s="66"/>
      <c r="B173" s="66"/>
      <c r="C173" s="66"/>
      <c r="D173" s="66"/>
      <c r="G173" s="67"/>
      <c r="V173" s="67"/>
    </row>
    <row r="174">
      <c r="A174" s="66"/>
      <c r="B174" s="66"/>
      <c r="C174" s="66"/>
      <c r="D174" s="66"/>
      <c r="G174" s="67"/>
      <c r="V174" s="67"/>
    </row>
    <row r="175">
      <c r="A175" s="66"/>
      <c r="B175" s="66"/>
      <c r="C175" s="66"/>
      <c r="D175" s="66"/>
      <c r="G175" s="67"/>
      <c r="V175" s="67"/>
    </row>
    <row r="176">
      <c r="A176" s="66"/>
      <c r="B176" s="66"/>
      <c r="C176" s="66"/>
      <c r="D176" s="66"/>
      <c r="G176" s="67"/>
      <c r="V176" s="67"/>
    </row>
    <row r="177">
      <c r="A177" s="66"/>
      <c r="B177" s="66"/>
      <c r="C177" s="66"/>
      <c r="D177" s="66"/>
      <c r="G177" s="67"/>
      <c r="V177" s="67"/>
    </row>
    <row r="178">
      <c r="A178" s="66"/>
      <c r="B178" s="66"/>
      <c r="C178" s="66"/>
      <c r="D178" s="66"/>
      <c r="G178" s="67"/>
      <c r="V178" s="67"/>
    </row>
    <row r="179">
      <c r="A179" s="66"/>
      <c r="B179" s="66"/>
      <c r="C179" s="66"/>
      <c r="D179" s="66"/>
      <c r="G179" s="67"/>
      <c r="V179" s="67"/>
    </row>
    <row r="180">
      <c r="A180" s="66"/>
      <c r="B180" s="66"/>
      <c r="C180" s="66"/>
      <c r="D180" s="66"/>
      <c r="G180" s="67"/>
      <c r="V180" s="67"/>
    </row>
    <row r="181">
      <c r="A181" s="66"/>
      <c r="B181" s="66"/>
      <c r="C181" s="66"/>
      <c r="D181" s="66"/>
      <c r="G181" s="67"/>
      <c r="V181" s="67"/>
    </row>
    <row r="182">
      <c r="A182" s="66"/>
      <c r="B182" s="66"/>
      <c r="C182" s="66"/>
      <c r="D182" s="66"/>
      <c r="G182" s="67"/>
      <c r="V182" s="67"/>
    </row>
    <row r="183">
      <c r="A183" s="66"/>
      <c r="B183" s="66"/>
      <c r="C183" s="66"/>
      <c r="D183" s="66"/>
      <c r="G183" s="67"/>
      <c r="V183" s="67"/>
    </row>
    <row r="184">
      <c r="A184" s="66"/>
      <c r="B184" s="66"/>
      <c r="C184" s="66"/>
      <c r="D184" s="66"/>
      <c r="G184" s="67"/>
      <c r="V184" s="67"/>
    </row>
    <row r="185">
      <c r="A185" s="66"/>
      <c r="B185" s="66"/>
      <c r="C185" s="66"/>
      <c r="D185" s="66"/>
      <c r="G185" s="67"/>
      <c r="V185" s="67"/>
    </row>
    <row r="186">
      <c r="A186" s="66"/>
      <c r="B186" s="66"/>
      <c r="C186" s="66"/>
      <c r="D186" s="66"/>
      <c r="G186" s="67"/>
      <c r="V186" s="67"/>
    </row>
    <row r="187">
      <c r="A187" s="66"/>
      <c r="B187" s="66"/>
      <c r="C187" s="66"/>
      <c r="D187" s="66"/>
      <c r="G187" s="67"/>
      <c r="V187" s="67"/>
    </row>
    <row r="188">
      <c r="A188" s="66"/>
      <c r="B188" s="66"/>
      <c r="C188" s="66"/>
      <c r="D188" s="66"/>
      <c r="G188" s="67"/>
      <c r="V188" s="67"/>
    </row>
    <row r="189">
      <c r="A189" s="66"/>
      <c r="B189" s="66"/>
      <c r="C189" s="66"/>
      <c r="D189" s="66"/>
      <c r="G189" s="67"/>
      <c r="V189" s="67"/>
    </row>
    <row r="190">
      <c r="A190" s="66"/>
      <c r="B190" s="66"/>
      <c r="C190" s="66"/>
      <c r="D190" s="66"/>
      <c r="G190" s="67"/>
      <c r="V190" s="67"/>
    </row>
    <row r="191">
      <c r="A191" s="66"/>
      <c r="B191" s="66"/>
      <c r="C191" s="66"/>
      <c r="D191" s="66"/>
      <c r="G191" s="67"/>
      <c r="V191" s="67"/>
    </row>
    <row r="192">
      <c r="A192" s="66"/>
      <c r="B192" s="66"/>
      <c r="C192" s="66"/>
      <c r="D192" s="66"/>
      <c r="G192" s="67"/>
      <c r="V192" s="67"/>
    </row>
    <row r="193">
      <c r="A193" s="66"/>
      <c r="B193" s="66"/>
      <c r="C193" s="66"/>
      <c r="D193" s="66"/>
      <c r="G193" s="67"/>
      <c r="V193" s="67"/>
    </row>
    <row r="194">
      <c r="A194" s="66"/>
      <c r="B194" s="66"/>
      <c r="C194" s="66"/>
      <c r="D194" s="66"/>
      <c r="G194" s="67"/>
      <c r="V194" s="67"/>
    </row>
    <row r="195">
      <c r="A195" s="66"/>
      <c r="B195" s="66"/>
      <c r="C195" s="66"/>
      <c r="D195" s="66"/>
      <c r="G195" s="67"/>
      <c r="V195" s="67"/>
    </row>
    <row r="196">
      <c r="A196" s="66"/>
      <c r="B196" s="66"/>
      <c r="C196" s="66"/>
      <c r="D196" s="66"/>
      <c r="G196" s="67"/>
      <c r="V196" s="67"/>
    </row>
    <row r="197">
      <c r="A197" s="66"/>
      <c r="B197" s="66"/>
      <c r="C197" s="66"/>
      <c r="D197" s="66"/>
      <c r="G197" s="67"/>
      <c r="V197" s="67"/>
    </row>
    <row r="198">
      <c r="A198" s="66"/>
      <c r="B198" s="66"/>
      <c r="C198" s="66"/>
      <c r="D198" s="66"/>
      <c r="G198" s="67"/>
      <c r="V198" s="67"/>
    </row>
    <row r="199">
      <c r="A199" s="66"/>
      <c r="B199" s="66"/>
      <c r="C199" s="66"/>
      <c r="D199" s="66"/>
      <c r="G199" s="67"/>
      <c r="V199" s="67"/>
    </row>
    <row r="200">
      <c r="A200" s="66"/>
      <c r="B200" s="66"/>
      <c r="C200" s="66"/>
      <c r="D200" s="66"/>
      <c r="G200" s="67"/>
      <c r="V200" s="67"/>
    </row>
    <row r="201">
      <c r="A201" s="66"/>
      <c r="B201" s="66"/>
      <c r="C201" s="66"/>
      <c r="D201" s="66"/>
      <c r="G201" s="67"/>
      <c r="V201" s="67"/>
    </row>
    <row r="202">
      <c r="A202" s="66"/>
      <c r="B202" s="66"/>
      <c r="C202" s="66"/>
      <c r="D202" s="66"/>
      <c r="G202" s="67"/>
      <c r="V202" s="67"/>
    </row>
    <row r="203">
      <c r="A203" s="66"/>
      <c r="B203" s="66"/>
      <c r="C203" s="66"/>
      <c r="D203" s="66"/>
      <c r="G203" s="67"/>
      <c r="V203" s="67"/>
    </row>
    <row r="204">
      <c r="A204" s="66"/>
      <c r="B204" s="66"/>
      <c r="C204" s="66"/>
      <c r="D204" s="66"/>
      <c r="G204" s="67"/>
      <c r="V204" s="67"/>
    </row>
    <row r="205">
      <c r="A205" s="66"/>
      <c r="B205" s="66"/>
      <c r="C205" s="66"/>
      <c r="D205" s="66"/>
      <c r="G205" s="67"/>
      <c r="V205" s="67"/>
    </row>
    <row r="206">
      <c r="A206" s="66"/>
      <c r="B206" s="66"/>
      <c r="C206" s="66"/>
      <c r="D206" s="66"/>
      <c r="G206" s="67"/>
      <c r="V206" s="67"/>
    </row>
    <row r="207">
      <c r="A207" s="66"/>
      <c r="B207" s="66"/>
      <c r="C207" s="66"/>
      <c r="D207" s="66"/>
      <c r="G207" s="67"/>
      <c r="V207" s="67"/>
    </row>
    <row r="208">
      <c r="A208" s="66"/>
      <c r="B208" s="66"/>
      <c r="C208" s="66"/>
      <c r="D208" s="66"/>
      <c r="G208" s="67"/>
      <c r="V208" s="67"/>
    </row>
    <row r="209">
      <c r="A209" s="66"/>
      <c r="B209" s="66"/>
      <c r="C209" s="66"/>
      <c r="D209" s="66"/>
      <c r="G209" s="67"/>
      <c r="V209" s="67"/>
    </row>
    <row r="210">
      <c r="A210" s="66"/>
      <c r="B210" s="66"/>
      <c r="C210" s="66"/>
      <c r="D210" s="66"/>
      <c r="G210" s="67"/>
      <c r="V210" s="67"/>
    </row>
    <row r="211">
      <c r="A211" s="66"/>
      <c r="B211" s="66"/>
      <c r="C211" s="66"/>
      <c r="D211" s="66"/>
      <c r="G211" s="67"/>
      <c r="V211" s="67"/>
    </row>
    <row r="212">
      <c r="A212" s="66"/>
      <c r="B212" s="66"/>
      <c r="C212" s="66"/>
      <c r="D212" s="66"/>
      <c r="G212" s="67"/>
      <c r="V212" s="67"/>
    </row>
    <row r="213">
      <c r="A213" s="66"/>
      <c r="B213" s="66"/>
      <c r="C213" s="66"/>
      <c r="D213" s="66"/>
      <c r="G213" s="67"/>
      <c r="V213" s="67"/>
    </row>
    <row r="214">
      <c r="A214" s="66"/>
      <c r="B214" s="66"/>
      <c r="C214" s="66"/>
      <c r="D214" s="66"/>
      <c r="G214" s="67"/>
      <c r="V214" s="67"/>
    </row>
    <row r="215">
      <c r="A215" s="66"/>
      <c r="B215" s="66"/>
      <c r="C215" s="66"/>
      <c r="D215" s="66"/>
      <c r="G215" s="67"/>
      <c r="V215" s="67"/>
    </row>
    <row r="216">
      <c r="A216" s="66"/>
      <c r="B216" s="66"/>
      <c r="C216" s="66"/>
      <c r="D216" s="66"/>
      <c r="G216" s="67"/>
      <c r="V216" s="67"/>
    </row>
    <row r="217">
      <c r="A217" s="66"/>
      <c r="B217" s="66"/>
      <c r="C217" s="66"/>
      <c r="D217" s="66"/>
      <c r="G217" s="67"/>
      <c r="V217" s="67"/>
    </row>
    <row r="218">
      <c r="A218" s="66"/>
      <c r="B218" s="66"/>
      <c r="C218" s="66"/>
      <c r="D218" s="66"/>
      <c r="G218" s="67"/>
      <c r="V218" s="67"/>
    </row>
    <row r="219">
      <c r="A219" s="66"/>
      <c r="B219" s="66"/>
      <c r="C219" s="66"/>
      <c r="D219" s="66"/>
      <c r="G219" s="67"/>
      <c r="V219" s="67"/>
    </row>
    <row r="220">
      <c r="A220" s="66"/>
      <c r="B220" s="66"/>
      <c r="C220" s="66"/>
      <c r="D220" s="66"/>
      <c r="G220" s="67"/>
      <c r="V220" s="67"/>
    </row>
    <row r="221">
      <c r="A221" s="66"/>
      <c r="B221" s="66"/>
      <c r="C221" s="66"/>
      <c r="D221" s="66"/>
      <c r="G221" s="67"/>
      <c r="V221" s="67"/>
    </row>
    <row r="222">
      <c r="A222" s="66"/>
      <c r="B222" s="66"/>
      <c r="C222" s="66"/>
      <c r="D222" s="66"/>
      <c r="G222" s="67"/>
      <c r="V222" s="67"/>
    </row>
    <row r="223">
      <c r="A223" s="66"/>
      <c r="B223" s="66"/>
      <c r="C223" s="66"/>
      <c r="D223" s="66"/>
      <c r="G223" s="67"/>
      <c r="V223" s="67"/>
    </row>
    <row r="224">
      <c r="A224" s="66"/>
      <c r="B224" s="66"/>
      <c r="C224" s="66"/>
      <c r="D224" s="66"/>
      <c r="G224" s="67"/>
      <c r="V224" s="67"/>
    </row>
    <row r="225">
      <c r="A225" s="66"/>
      <c r="B225" s="66"/>
      <c r="C225" s="66"/>
      <c r="D225" s="66"/>
      <c r="G225" s="67"/>
      <c r="V225" s="67"/>
    </row>
    <row r="226">
      <c r="A226" s="66"/>
      <c r="B226" s="66"/>
      <c r="C226" s="66"/>
      <c r="D226" s="66"/>
      <c r="G226" s="67"/>
      <c r="V226" s="67"/>
    </row>
    <row r="227">
      <c r="A227" s="66"/>
      <c r="B227" s="66"/>
      <c r="C227" s="66"/>
      <c r="D227" s="66"/>
      <c r="G227" s="67"/>
      <c r="V227" s="67"/>
    </row>
    <row r="228">
      <c r="A228" s="66"/>
      <c r="B228" s="66"/>
      <c r="C228" s="66"/>
      <c r="D228" s="66"/>
      <c r="G228" s="67"/>
      <c r="V228" s="67"/>
    </row>
    <row r="229">
      <c r="A229" s="66"/>
      <c r="B229" s="66"/>
      <c r="C229" s="66"/>
      <c r="D229" s="66"/>
      <c r="G229" s="67"/>
      <c r="V229" s="67"/>
    </row>
    <row r="230">
      <c r="A230" s="66"/>
      <c r="B230" s="66"/>
      <c r="C230" s="66"/>
      <c r="D230" s="66"/>
      <c r="G230" s="67"/>
      <c r="V230" s="67"/>
    </row>
    <row r="231">
      <c r="A231" s="66"/>
      <c r="B231" s="66"/>
      <c r="C231" s="66"/>
      <c r="D231" s="66"/>
      <c r="G231" s="67"/>
      <c r="V231" s="67"/>
    </row>
    <row r="232">
      <c r="A232" s="66"/>
      <c r="B232" s="66"/>
      <c r="C232" s="66"/>
      <c r="D232" s="66"/>
      <c r="G232" s="67"/>
      <c r="V232" s="67"/>
    </row>
    <row r="233">
      <c r="A233" s="66"/>
      <c r="B233" s="66"/>
      <c r="C233" s="66"/>
      <c r="D233" s="66"/>
      <c r="G233" s="67"/>
      <c r="V233" s="67"/>
    </row>
    <row r="234">
      <c r="A234" s="66"/>
      <c r="B234" s="66"/>
      <c r="C234" s="66"/>
      <c r="D234" s="66"/>
      <c r="G234" s="67"/>
      <c r="V234" s="67"/>
    </row>
    <row r="235">
      <c r="A235" s="66"/>
      <c r="B235" s="66"/>
      <c r="C235" s="66"/>
      <c r="D235" s="66"/>
      <c r="G235" s="67"/>
      <c r="V235" s="67"/>
    </row>
    <row r="236">
      <c r="A236" s="66"/>
      <c r="B236" s="66"/>
      <c r="C236" s="66"/>
      <c r="D236" s="66"/>
      <c r="G236" s="67"/>
      <c r="V236" s="67"/>
    </row>
    <row r="237">
      <c r="A237" s="66"/>
      <c r="B237" s="66"/>
      <c r="C237" s="66"/>
      <c r="D237" s="66"/>
      <c r="G237" s="67"/>
      <c r="V237" s="67"/>
    </row>
    <row r="238">
      <c r="A238" s="66"/>
      <c r="B238" s="66"/>
      <c r="C238" s="66"/>
      <c r="D238" s="66"/>
      <c r="G238" s="67"/>
      <c r="V238" s="67"/>
    </row>
    <row r="239">
      <c r="A239" s="66"/>
      <c r="B239" s="66"/>
      <c r="C239" s="66"/>
      <c r="D239" s="66"/>
      <c r="G239" s="67"/>
      <c r="V239" s="67"/>
    </row>
    <row r="240">
      <c r="A240" s="66"/>
      <c r="B240" s="66"/>
      <c r="C240" s="66"/>
      <c r="D240" s="66"/>
      <c r="G240" s="67"/>
      <c r="V240" s="67"/>
    </row>
    <row r="241">
      <c r="A241" s="66"/>
      <c r="B241" s="66"/>
      <c r="C241" s="66"/>
      <c r="D241" s="66"/>
      <c r="G241" s="67"/>
      <c r="V241" s="67"/>
    </row>
    <row r="242">
      <c r="A242" s="66"/>
      <c r="B242" s="66"/>
      <c r="C242" s="66"/>
      <c r="D242" s="66"/>
      <c r="G242" s="67"/>
      <c r="V242" s="67"/>
    </row>
    <row r="243">
      <c r="A243" s="66"/>
      <c r="B243" s="66"/>
      <c r="C243" s="66"/>
      <c r="D243" s="66"/>
      <c r="G243" s="67"/>
      <c r="V243" s="67"/>
    </row>
    <row r="244">
      <c r="A244" s="66"/>
      <c r="B244" s="66"/>
      <c r="C244" s="66"/>
      <c r="D244" s="66"/>
      <c r="G244" s="67"/>
      <c r="V244" s="67"/>
    </row>
    <row r="245">
      <c r="A245" s="66"/>
      <c r="B245" s="66"/>
      <c r="C245" s="66"/>
      <c r="D245" s="66"/>
      <c r="G245" s="67"/>
      <c r="V245" s="67"/>
    </row>
    <row r="246">
      <c r="A246" s="66"/>
      <c r="B246" s="66"/>
      <c r="C246" s="66"/>
      <c r="D246" s="66"/>
      <c r="G246" s="67"/>
      <c r="V246" s="67"/>
    </row>
    <row r="247">
      <c r="A247" s="66"/>
      <c r="B247" s="66"/>
      <c r="C247" s="66"/>
      <c r="D247" s="66"/>
      <c r="G247" s="67"/>
      <c r="V247" s="67"/>
    </row>
    <row r="248">
      <c r="A248" s="66"/>
      <c r="B248" s="66"/>
      <c r="C248" s="66"/>
      <c r="D248" s="66"/>
      <c r="G248" s="67"/>
      <c r="V248" s="67"/>
    </row>
    <row r="249">
      <c r="A249" s="66"/>
      <c r="B249" s="66"/>
      <c r="C249" s="66"/>
      <c r="D249" s="66"/>
      <c r="G249" s="67"/>
      <c r="V249" s="67"/>
    </row>
    <row r="250">
      <c r="A250" s="66"/>
      <c r="B250" s="66"/>
      <c r="C250" s="66"/>
      <c r="D250" s="66"/>
      <c r="G250" s="67"/>
      <c r="V250" s="67"/>
    </row>
    <row r="251">
      <c r="A251" s="66"/>
      <c r="B251" s="66"/>
      <c r="C251" s="66"/>
      <c r="D251" s="66"/>
      <c r="G251" s="67"/>
      <c r="V251" s="67"/>
    </row>
    <row r="252">
      <c r="A252" s="66"/>
      <c r="B252" s="66"/>
      <c r="C252" s="66"/>
      <c r="D252" s="66"/>
      <c r="G252" s="67"/>
      <c r="V252" s="67"/>
    </row>
    <row r="253">
      <c r="A253" s="66"/>
      <c r="B253" s="66"/>
      <c r="C253" s="66"/>
      <c r="D253" s="66"/>
      <c r="G253" s="67"/>
      <c r="V253" s="67"/>
    </row>
    <row r="254">
      <c r="A254" s="66"/>
      <c r="B254" s="66"/>
      <c r="C254" s="66"/>
      <c r="D254" s="66"/>
      <c r="G254" s="67"/>
      <c r="V254" s="67"/>
    </row>
    <row r="255">
      <c r="A255" s="66"/>
      <c r="B255" s="66"/>
      <c r="C255" s="66"/>
      <c r="D255" s="66"/>
      <c r="G255" s="67"/>
      <c r="V255" s="67"/>
    </row>
    <row r="256">
      <c r="A256" s="66"/>
      <c r="B256" s="66"/>
      <c r="C256" s="66"/>
      <c r="D256" s="66"/>
      <c r="G256" s="67"/>
      <c r="V256" s="67"/>
    </row>
    <row r="257">
      <c r="A257" s="66"/>
      <c r="B257" s="66"/>
      <c r="C257" s="66"/>
      <c r="D257" s="66"/>
      <c r="G257" s="67"/>
      <c r="V257" s="67"/>
    </row>
    <row r="258">
      <c r="A258" s="66"/>
      <c r="B258" s="66"/>
      <c r="C258" s="66"/>
      <c r="D258" s="66"/>
      <c r="G258" s="67"/>
      <c r="V258" s="67"/>
    </row>
    <row r="259">
      <c r="A259" s="66"/>
      <c r="B259" s="66"/>
      <c r="C259" s="66"/>
      <c r="D259" s="66"/>
      <c r="G259" s="67"/>
      <c r="V259" s="67"/>
    </row>
    <row r="260">
      <c r="A260" s="66"/>
      <c r="B260" s="66"/>
      <c r="C260" s="66"/>
      <c r="D260" s="66"/>
      <c r="G260" s="67"/>
      <c r="V260" s="67"/>
    </row>
    <row r="261">
      <c r="A261" s="66"/>
      <c r="B261" s="66"/>
      <c r="C261" s="66"/>
      <c r="D261" s="66"/>
      <c r="G261" s="67"/>
      <c r="V261" s="67"/>
    </row>
    <row r="262">
      <c r="A262" s="66"/>
      <c r="B262" s="66"/>
      <c r="C262" s="66"/>
      <c r="D262" s="66"/>
      <c r="G262" s="67"/>
      <c r="V262" s="67"/>
    </row>
    <row r="263">
      <c r="A263" s="66"/>
      <c r="B263" s="66"/>
      <c r="C263" s="66"/>
      <c r="D263" s="66"/>
      <c r="G263" s="67"/>
      <c r="V263" s="67"/>
    </row>
    <row r="264">
      <c r="A264" s="66"/>
      <c r="B264" s="66"/>
      <c r="C264" s="66"/>
      <c r="D264" s="66"/>
      <c r="G264" s="67"/>
      <c r="V264" s="67"/>
    </row>
    <row r="265">
      <c r="A265" s="66"/>
      <c r="B265" s="66"/>
      <c r="C265" s="66"/>
      <c r="D265" s="66"/>
      <c r="G265" s="67"/>
      <c r="V265" s="67"/>
    </row>
    <row r="266">
      <c r="A266" s="66"/>
      <c r="B266" s="66"/>
      <c r="C266" s="66"/>
      <c r="D266" s="66"/>
      <c r="G266" s="67"/>
      <c r="V266" s="67"/>
    </row>
    <row r="267">
      <c r="A267" s="66"/>
      <c r="B267" s="66"/>
      <c r="C267" s="66"/>
      <c r="D267" s="66"/>
      <c r="G267" s="67"/>
      <c r="V267" s="67"/>
    </row>
    <row r="268">
      <c r="A268" s="66"/>
      <c r="B268" s="66"/>
      <c r="C268" s="66"/>
      <c r="D268" s="66"/>
      <c r="G268" s="67"/>
      <c r="V268" s="67"/>
    </row>
    <row r="269">
      <c r="A269" s="66"/>
      <c r="B269" s="66"/>
      <c r="C269" s="66"/>
      <c r="D269" s="66"/>
      <c r="G269" s="67"/>
      <c r="V269" s="67"/>
    </row>
    <row r="270">
      <c r="A270" s="66"/>
      <c r="B270" s="66"/>
      <c r="C270" s="66"/>
      <c r="D270" s="66"/>
      <c r="G270" s="67"/>
      <c r="V270" s="67"/>
    </row>
    <row r="271">
      <c r="A271" s="66"/>
      <c r="B271" s="66"/>
      <c r="C271" s="66"/>
      <c r="D271" s="66"/>
      <c r="G271" s="67"/>
      <c r="V271" s="67"/>
    </row>
    <row r="272">
      <c r="A272" s="66"/>
      <c r="B272" s="66"/>
      <c r="C272" s="66"/>
      <c r="D272" s="66"/>
      <c r="G272" s="67"/>
      <c r="V272" s="67"/>
    </row>
    <row r="273">
      <c r="A273" s="66"/>
      <c r="B273" s="66"/>
      <c r="C273" s="66"/>
      <c r="D273" s="66"/>
      <c r="G273" s="67"/>
      <c r="V273" s="67"/>
    </row>
    <row r="274">
      <c r="A274" s="66"/>
      <c r="B274" s="66"/>
      <c r="C274" s="66"/>
      <c r="D274" s="66"/>
      <c r="G274" s="67"/>
      <c r="V274" s="67"/>
    </row>
    <row r="275">
      <c r="A275" s="66"/>
      <c r="B275" s="66"/>
      <c r="C275" s="66"/>
      <c r="D275" s="66"/>
      <c r="G275" s="67"/>
      <c r="V275" s="67"/>
    </row>
    <row r="276">
      <c r="A276" s="66"/>
      <c r="B276" s="66"/>
      <c r="C276" s="66"/>
      <c r="D276" s="66"/>
      <c r="G276" s="67"/>
      <c r="V276" s="67"/>
    </row>
    <row r="277">
      <c r="A277" s="66"/>
      <c r="B277" s="66"/>
      <c r="C277" s="66"/>
      <c r="D277" s="66"/>
      <c r="G277" s="67"/>
      <c r="V277" s="67"/>
    </row>
    <row r="278">
      <c r="A278" s="66"/>
      <c r="B278" s="66"/>
      <c r="C278" s="66"/>
      <c r="D278" s="66"/>
      <c r="G278" s="67"/>
      <c r="V278" s="67"/>
    </row>
    <row r="279">
      <c r="A279" s="66"/>
      <c r="B279" s="66"/>
      <c r="C279" s="66"/>
      <c r="D279" s="66"/>
      <c r="G279" s="67"/>
      <c r="V279" s="67"/>
    </row>
    <row r="280">
      <c r="A280" s="66"/>
      <c r="B280" s="66"/>
      <c r="C280" s="66"/>
      <c r="D280" s="66"/>
      <c r="G280" s="67"/>
      <c r="V280" s="67"/>
    </row>
    <row r="281">
      <c r="A281" s="66"/>
      <c r="B281" s="66"/>
      <c r="C281" s="66"/>
      <c r="D281" s="66"/>
      <c r="G281" s="67"/>
      <c r="V281" s="67"/>
    </row>
    <row r="282">
      <c r="A282" s="66"/>
      <c r="B282" s="66"/>
      <c r="C282" s="66"/>
      <c r="D282" s="66"/>
      <c r="G282" s="67"/>
      <c r="V282" s="67"/>
    </row>
    <row r="283">
      <c r="A283" s="66"/>
      <c r="B283" s="66"/>
      <c r="C283" s="66"/>
      <c r="D283" s="66"/>
      <c r="G283" s="67"/>
      <c r="V283" s="67"/>
    </row>
    <row r="284">
      <c r="A284" s="66"/>
      <c r="B284" s="66"/>
      <c r="C284" s="66"/>
      <c r="D284" s="66"/>
      <c r="G284" s="67"/>
      <c r="V284" s="67"/>
    </row>
    <row r="285">
      <c r="A285" s="66"/>
      <c r="B285" s="66"/>
      <c r="C285" s="66"/>
      <c r="D285" s="66"/>
      <c r="G285" s="67"/>
      <c r="V285" s="67"/>
    </row>
    <row r="286">
      <c r="A286" s="66"/>
      <c r="B286" s="66"/>
      <c r="C286" s="66"/>
      <c r="D286" s="66"/>
      <c r="G286" s="67"/>
      <c r="V286" s="67"/>
    </row>
    <row r="287">
      <c r="A287" s="66"/>
      <c r="B287" s="66"/>
      <c r="C287" s="66"/>
      <c r="D287" s="66"/>
      <c r="G287" s="67"/>
      <c r="V287" s="67"/>
    </row>
    <row r="288">
      <c r="A288" s="66"/>
      <c r="B288" s="66"/>
      <c r="C288" s="66"/>
      <c r="D288" s="66"/>
      <c r="G288" s="67"/>
      <c r="V288" s="67"/>
    </row>
    <row r="289">
      <c r="A289" s="66"/>
      <c r="B289" s="66"/>
      <c r="C289" s="66"/>
      <c r="D289" s="66"/>
      <c r="G289" s="67"/>
      <c r="V289" s="67"/>
    </row>
    <row r="290">
      <c r="A290" s="66"/>
      <c r="B290" s="66"/>
      <c r="C290" s="66"/>
      <c r="D290" s="66"/>
      <c r="G290" s="67"/>
      <c r="V290" s="67"/>
    </row>
    <row r="291">
      <c r="A291" s="66"/>
      <c r="B291" s="66"/>
      <c r="C291" s="66"/>
      <c r="D291" s="66"/>
      <c r="G291" s="67"/>
      <c r="V291" s="67"/>
    </row>
    <row r="292">
      <c r="A292" s="66"/>
      <c r="B292" s="66"/>
      <c r="C292" s="66"/>
      <c r="D292" s="66"/>
      <c r="G292" s="67"/>
      <c r="V292" s="67"/>
    </row>
    <row r="293">
      <c r="A293" s="66"/>
      <c r="B293" s="66"/>
      <c r="C293" s="66"/>
      <c r="D293" s="66"/>
      <c r="G293" s="67"/>
      <c r="V293" s="67"/>
    </row>
    <row r="294">
      <c r="A294" s="66"/>
      <c r="B294" s="66"/>
      <c r="C294" s="66"/>
      <c r="D294" s="66"/>
      <c r="G294" s="67"/>
      <c r="V294" s="67"/>
    </row>
    <row r="295">
      <c r="A295" s="66"/>
      <c r="B295" s="66"/>
      <c r="C295" s="66"/>
      <c r="D295" s="66"/>
      <c r="G295" s="67"/>
      <c r="V295" s="67"/>
    </row>
    <row r="296">
      <c r="A296" s="66"/>
      <c r="B296" s="66"/>
      <c r="C296" s="66"/>
      <c r="D296" s="66"/>
      <c r="G296" s="67"/>
      <c r="V296" s="67"/>
    </row>
    <row r="297">
      <c r="A297" s="66"/>
      <c r="B297" s="66"/>
      <c r="C297" s="66"/>
      <c r="D297" s="66"/>
      <c r="G297" s="67"/>
      <c r="V297" s="67"/>
    </row>
    <row r="298">
      <c r="A298" s="66"/>
      <c r="B298" s="66"/>
      <c r="C298" s="66"/>
      <c r="D298" s="66"/>
      <c r="G298" s="67"/>
      <c r="V298" s="67"/>
    </row>
    <row r="299">
      <c r="A299" s="66"/>
      <c r="B299" s="66"/>
      <c r="C299" s="66"/>
      <c r="D299" s="66"/>
      <c r="G299" s="67"/>
      <c r="V299" s="67"/>
    </row>
    <row r="300">
      <c r="A300" s="66"/>
      <c r="B300" s="66"/>
      <c r="C300" s="66"/>
      <c r="D300" s="66"/>
      <c r="G300" s="67"/>
      <c r="V300" s="67"/>
    </row>
    <row r="301">
      <c r="A301" s="66"/>
      <c r="B301" s="66"/>
      <c r="C301" s="66"/>
      <c r="D301" s="66"/>
      <c r="G301" s="67"/>
      <c r="V301" s="67"/>
    </row>
    <row r="302">
      <c r="A302" s="66"/>
      <c r="B302" s="66"/>
      <c r="C302" s="66"/>
      <c r="D302" s="66"/>
      <c r="G302" s="67"/>
      <c r="V302" s="67"/>
    </row>
    <row r="303">
      <c r="A303" s="66"/>
      <c r="B303" s="66"/>
      <c r="C303" s="66"/>
      <c r="D303" s="66"/>
      <c r="G303" s="67"/>
      <c r="V303" s="67"/>
    </row>
    <row r="304">
      <c r="A304" s="66"/>
      <c r="B304" s="66"/>
      <c r="C304" s="66"/>
      <c r="D304" s="66"/>
      <c r="G304" s="67"/>
      <c r="V304" s="67"/>
    </row>
    <row r="305">
      <c r="A305" s="66"/>
      <c r="B305" s="66"/>
      <c r="C305" s="66"/>
      <c r="D305" s="66"/>
      <c r="G305" s="67"/>
      <c r="V305" s="67"/>
    </row>
    <row r="306">
      <c r="A306" s="66"/>
      <c r="B306" s="66"/>
      <c r="C306" s="66"/>
      <c r="D306" s="66"/>
      <c r="G306" s="67"/>
      <c r="V306" s="67"/>
    </row>
    <row r="307">
      <c r="A307" s="66"/>
      <c r="B307" s="66"/>
      <c r="C307" s="66"/>
      <c r="D307" s="66"/>
      <c r="G307" s="67"/>
      <c r="V307" s="67"/>
    </row>
    <row r="308">
      <c r="A308" s="66"/>
      <c r="B308" s="66"/>
      <c r="C308" s="66"/>
      <c r="D308" s="66"/>
      <c r="G308" s="67"/>
      <c r="V308" s="67"/>
    </row>
    <row r="309">
      <c r="A309" s="66"/>
      <c r="B309" s="66"/>
      <c r="C309" s="66"/>
      <c r="D309" s="66"/>
      <c r="G309" s="67"/>
      <c r="V309" s="67"/>
    </row>
    <row r="310">
      <c r="A310" s="66"/>
      <c r="B310" s="66"/>
      <c r="C310" s="66"/>
      <c r="D310" s="66"/>
      <c r="G310" s="67"/>
      <c r="V310" s="67"/>
    </row>
    <row r="311">
      <c r="A311" s="66"/>
      <c r="B311" s="66"/>
      <c r="C311" s="66"/>
      <c r="D311" s="66"/>
      <c r="G311" s="67"/>
      <c r="V311" s="67"/>
    </row>
    <row r="312">
      <c r="A312" s="66"/>
      <c r="B312" s="66"/>
      <c r="C312" s="66"/>
      <c r="D312" s="66"/>
      <c r="G312" s="67"/>
      <c r="V312" s="67"/>
    </row>
    <row r="313">
      <c r="A313" s="66"/>
      <c r="B313" s="66"/>
      <c r="C313" s="66"/>
      <c r="D313" s="66"/>
      <c r="G313" s="67"/>
      <c r="V313" s="67"/>
    </row>
    <row r="314">
      <c r="A314" s="66"/>
      <c r="B314" s="66"/>
      <c r="C314" s="66"/>
      <c r="D314" s="66"/>
      <c r="G314" s="67"/>
      <c r="V314" s="67"/>
    </row>
    <row r="315">
      <c r="A315" s="66"/>
      <c r="B315" s="66"/>
      <c r="C315" s="66"/>
      <c r="D315" s="66"/>
      <c r="G315" s="67"/>
      <c r="V315" s="67"/>
    </row>
    <row r="316">
      <c r="A316" s="66"/>
      <c r="B316" s="66"/>
      <c r="C316" s="66"/>
      <c r="D316" s="66"/>
      <c r="G316" s="67"/>
      <c r="V316" s="67"/>
    </row>
    <row r="317">
      <c r="A317" s="66"/>
      <c r="B317" s="66"/>
      <c r="C317" s="66"/>
      <c r="D317" s="66"/>
      <c r="G317" s="67"/>
      <c r="V317" s="67"/>
    </row>
    <row r="318">
      <c r="A318" s="66"/>
      <c r="B318" s="66"/>
      <c r="C318" s="66"/>
      <c r="D318" s="66"/>
      <c r="G318" s="67"/>
      <c r="V318" s="67"/>
    </row>
    <row r="319">
      <c r="A319" s="66"/>
      <c r="B319" s="66"/>
      <c r="C319" s="66"/>
      <c r="D319" s="66"/>
      <c r="G319" s="67"/>
      <c r="V319" s="67"/>
    </row>
    <row r="320">
      <c r="A320" s="66"/>
      <c r="B320" s="66"/>
      <c r="C320" s="66"/>
      <c r="D320" s="66"/>
      <c r="G320" s="67"/>
      <c r="V320" s="67"/>
    </row>
    <row r="321">
      <c r="A321" s="66"/>
      <c r="B321" s="66"/>
      <c r="C321" s="66"/>
      <c r="D321" s="66"/>
      <c r="G321" s="67"/>
      <c r="V321" s="67"/>
    </row>
    <row r="322">
      <c r="A322" s="66"/>
      <c r="B322" s="66"/>
      <c r="C322" s="66"/>
      <c r="D322" s="66"/>
      <c r="G322" s="67"/>
      <c r="V322" s="67"/>
    </row>
    <row r="323">
      <c r="A323" s="66"/>
      <c r="B323" s="66"/>
      <c r="C323" s="66"/>
      <c r="D323" s="66"/>
      <c r="G323" s="67"/>
      <c r="V323" s="67"/>
    </row>
    <row r="324">
      <c r="A324" s="66"/>
      <c r="B324" s="66"/>
      <c r="C324" s="66"/>
      <c r="D324" s="66"/>
      <c r="G324" s="67"/>
      <c r="V324" s="67"/>
    </row>
    <row r="325">
      <c r="A325" s="66"/>
      <c r="B325" s="66"/>
      <c r="C325" s="66"/>
      <c r="D325" s="66"/>
      <c r="G325" s="67"/>
      <c r="V325" s="67"/>
    </row>
    <row r="326">
      <c r="A326" s="66"/>
      <c r="B326" s="66"/>
      <c r="C326" s="66"/>
      <c r="D326" s="66"/>
      <c r="G326" s="67"/>
      <c r="V326" s="67"/>
    </row>
    <row r="327">
      <c r="A327" s="66"/>
      <c r="B327" s="66"/>
      <c r="C327" s="66"/>
      <c r="D327" s="66"/>
      <c r="G327" s="67"/>
      <c r="V327" s="67"/>
    </row>
    <row r="328">
      <c r="A328" s="66"/>
      <c r="B328" s="66"/>
      <c r="C328" s="66"/>
      <c r="D328" s="66"/>
      <c r="G328" s="67"/>
      <c r="V328" s="67"/>
    </row>
    <row r="329">
      <c r="A329" s="66"/>
      <c r="B329" s="66"/>
      <c r="C329" s="66"/>
      <c r="D329" s="66"/>
      <c r="G329" s="67"/>
      <c r="V329" s="67"/>
    </row>
    <row r="330">
      <c r="A330" s="66"/>
      <c r="B330" s="66"/>
      <c r="C330" s="66"/>
      <c r="D330" s="66"/>
      <c r="G330" s="67"/>
      <c r="V330" s="67"/>
    </row>
    <row r="331">
      <c r="A331" s="66"/>
      <c r="B331" s="66"/>
      <c r="C331" s="66"/>
      <c r="D331" s="66"/>
      <c r="G331" s="67"/>
      <c r="V331" s="67"/>
    </row>
    <row r="332">
      <c r="A332" s="66"/>
      <c r="B332" s="66"/>
      <c r="C332" s="66"/>
      <c r="D332" s="66"/>
      <c r="G332" s="67"/>
      <c r="V332" s="67"/>
    </row>
    <row r="333">
      <c r="A333" s="66"/>
      <c r="B333" s="66"/>
      <c r="C333" s="66"/>
      <c r="D333" s="66"/>
      <c r="G333" s="67"/>
      <c r="V333" s="67"/>
    </row>
    <row r="334">
      <c r="A334" s="66"/>
      <c r="B334" s="66"/>
      <c r="C334" s="66"/>
      <c r="D334" s="66"/>
      <c r="G334" s="67"/>
      <c r="V334" s="67"/>
    </row>
    <row r="335">
      <c r="A335" s="66"/>
      <c r="B335" s="66"/>
      <c r="C335" s="66"/>
      <c r="D335" s="66"/>
      <c r="G335" s="67"/>
      <c r="V335" s="67"/>
    </row>
    <row r="336">
      <c r="A336" s="66"/>
      <c r="B336" s="66"/>
      <c r="C336" s="66"/>
      <c r="D336" s="66"/>
      <c r="G336" s="67"/>
      <c r="V336" s="67"/>
    </row>
    <row r="337">
      <c r="A337" s="66"/>
      <c r="B337" s="66"/>
      <c r="C337" s="66"/>
      <c r="D337" s="66"/>
      <c r="G337" s="67"/>
      <c r="V337" s="67"/>
    </row>
    <row r="338">
      <c r="A338" s="66"/>
      <c r="B338" s="66"/>
      <c r="C338" s="66"/>
      <c r="D338" s="66"/>
      <c r="G338" s="67"/>
      <c r="V338" s="67"/>
    </row>
    <row r="339">
      <c r="A339" s="66"/>
      <c r="B339" s="66"/>
      <c r="C339" s="66"/>
      <c r="D339" s="66"/>
      <c r="G339" s="67"/>
      <c r="V339" s="67"/>
    </row>
    <row r="340">
      <c r="A340" s="66"/>
      <c r="B340" s="66"/>
      <c r="C340" s="66"/>
      <c r="D340" s="66"/>
      <c r="G340" s="67"/>
      <c r="V340" s="67"/>
    </row>
    <row r="341">
      <c r="A341" s="66"/>
      <c r="B341" s="66"/>
      <c r="C341" s="66"/>
      <c r="D341" s="66"/>
      <c r="G341" s="67"/>
      <c r="V341" s="67"/>
    </row>
    <row r="342">
      <c r="A342" s="66"/>
      <c r="B342" s="66"/>
      <c r="C342" s="66"/>
      <c r="D342" s="66"/>
      <c r="G342" s="67"/>
      <c r="V342" s="67"/>
    </row>
    <row r="343">
      <c r="A343" s="66"/>
      <c r="B343" s="66"/>
      <c r="C343" s="66"/>
      <c r="D343" s="66"/>
      <c r="G343" s="67"/>
      <c r="V343" s="67"/>
    </row>
    <row r="344">
      <c r="A344" s="66"/>
      <c r="B344" s="66"/>
      <c r="C344" s="66"/>
      <c r="D344" s="66"/>
      <c r="G344" s="67"/>
      <c r="V344" s="67"/>
    </row>
    <row r="345">
      <c r="A345" s="66"/>
      <c r="B345" s="66"/>
      <c r="C345" s="66"/>
      <c r="D345" s="66"/>
      <c r="G345" s="67"/>
      <c r="V345" s="67"/>
    </row>
    <row r="346">
      <c r="A346" s="66"/>
      <c r="B346" s="66"/>
      <c r="C346" s="66"/>
      <c r="D346" s="66"/>
      <c r="G346" s="67"/>
      <c r="V346" s="67"/>
    </row>
    <row r="347">
      <c r="A347" s="66"/>
      <c r="B347" s="66"/>
      <c r="C347" s="66"/>
      <c r="D347" s="66"/>
      <c r="G347" s="67"/>
      <c r="V347" s="67"/>
    </row>
    <row r="348">
      <c r="A348" s="66"/>
      <c r="B348" s="66"/>
      <c r="C348" s="66"/>
      <c r="D348" s="66"/>
      <c r="G348" s="67"/>
      <c r="V348" s="67"/>
    </row>
    <row r="349">
      <c r="A349" s="66"/>
      <c r="B349" s="66"/>
      <c r="C349" s="66"/>
      <c r="D349" s="66"/>
      <c r="G349" s="67"/>
      <c r="V349" s="67"/>
    </row>
    <row r="350">
      <c r="A350" s="66"/>
      <c r="B350" s="66"/>
      <c r="C350" s="66"/>
      <c r="D350" s="66"/>
      <c r="G350" s="67"/>
      <c r="V350" s="67"/>
    </row>
    <row r="351">
      <c r="A351" s="66"/>
      <c r="B351" s="66"/>
      <c r="C351" s="66"/>
      <c r="D351" s="66"/>
      <c r="G351" s="67"/>
      <c r="V351" s="67"/>
    </row>
    <row r="352">
      <c r="A352" s="66"/>
      <c r="B352" s="66"/>
      <c r="C352" s="66"/>
      <c r="D352" s="66"/>
      <c r="G352" s="67"/>
      <c r="V352" s="67"/>
    </row>
    <row r="353">
      <c r="A353" s="66"/>
      <c r="B353" s="66"/>
      <c r="C353" s="66"/>
      <c r="D353" s="66"/>
      <c r="G353" s="67"/>
      <c r="V353" s="67"/>
    </row>
    <row r="354">
      <c r="A354" s="66"/>
      <c r="B354" s="66"/>
      <c r="C354" s="66"/>
      <c r="D354" s="66"/>
      <c r="G354" s="67"/>
      <c r="V354" s="67"/>
    </row>
    <row r="355">
      <c r="A355" s="66"/>
      <c r="B355" s="66"/>
      <c r="C355" s="66"/>
      <c r="D355" s="66"/>
      <c r="G355" s="67"/>
      <c r="V355" s="67"/>
    </row>
    <row r="356">
      <c r="A356" s="66"/>
      <c r="B356" s="66"/>
      <c r="C356" s="66"/>
      <c r="D356" s="66"/>
      <c r="G356" s="67"/>
      <c r="V356" s="67"/>
    </row>
    <row r="357">
      <c r="A357" s="66"/>
      <c r="B357" s="66"/>
      <c r="C357" s="66"/>
      <c r="D357" s="66"/>
      <c r="G357" s="67"/>
      <c r="V357" s="67"/>
    </row>
    <row r="358">
      <c r="A358" s="66"/>
      <c r="B358" s="66"/>
      <c r="C358" s="66"/>
      <c r="D358" s="66"/>
      <c r="G358" s="67"/>
      <c r="V358" s="67"/>
    </row>
    <row r="359">
      <c r="A359" s="66"/>
      <c r="B359" s="66"/>
      <c r="C359" s="66"/>
      <c r="D359" s="66"/>
      <c r="G359" s="67"/>
      <c r="V359" s="67"/>
    </row>
    <row r="360">
      <c r="A360" s="66"/>
      <c r="B360" s="66"/>
      <c r="C360" s="66"/>
      <c r="D360" s="66"/>
      <c r="G360" s="67"/>
      <c r="V360" s="67"/>
    </row>
    <row r="361">
      <c r="A361" s="66"/>
      <c r="B361" s="66"/>
      <c r="C361" s="66"/>
      <c r="D361" s="66"/>
      <c r="G361" s="67"/>
      <c r="V361" s="67"/>
    </row>
    <row r="362">
      <c r="A362" s="66"/>
      <c r="B362" s="66"/>
      <c r="C362" s="66"/>
      <c r="D362" s="66"/>
      <c r="G362" s="67"/>
      <c r="V362" s="67"/>
    </row>
    <row r="363">
      <c r="A363" s="66"/>
      <c r="B363" s="66"/>
      <c r="C363" s="66"/>
      <c r="D363" s="66"/>
      <c r="G363" s="67"/>
      <c r="V363" s="67"/>
    </row>
    <row r="364">
      <c r="A364" s="66"/>
      <c r="B364" s="66"/>
      <c r="C364" s="66"/>
      <c r="D364" s="66"/>
      <c r="G364" s="67"/>
      <c r="V364" s="67"/>
    </row>
    <row r="365">
      <c r="A365" s="66"/>
      <c r="B365" s="66"/>
      <c r="C365" s="66"/>
      <c r="D365" s="66"/>
      <c r="G365" s="67"/>
      <c r="V365" s="67"/>
    </row>
    <row r="366">
      <c r="A366" s="66"/>
      <c r="B366" s="66"/>
      <c r="C366" s="66"/>
      <c r="D366" s="66"/>
      <c r="G366" s="67"/>
      <c r="V366" s="67"/>
    </row>
    <row r="367">
      <c r="A367" s="66"/>
      <c r="B367" s="66"/>
      <c r="C367" s="66"/>
      <c r="D367" s="66"/>
      <c r="G367" s="67"/>
      <c r="V367" s="67"/>
    </row>
    <row r="368">
      <c r="A368" s="66"/>
      <c r="B368" s="66"/>
      <c r="C368" s="66"/>
      <c r="D368" s="66"/>
      <c r="G368" s="67"/>
      <c r="V368" s="67"/>
    </row>
    <row r="369">
      <c r="A369" s="66"/>
      <c r="B369" s="66"/>
      <c r="C369" s="66"/>
      <c r="D369" s="66"/>
      <c r="G369" s="67"/>
      <c r="V369" s="67"/>
    </row>
    <row r="370">
      <c r="A370" s="66"/>
      <c r="B370" s="66"/>
      <c r="C370" s="66"/>
      <c r="D370" s="66"/>
      <c r="G370" s="67"/>
      <c r="V370" s="67"/>
    </row>
    <row r="371">
      <c r="A371" s="66"/>
      <c r="B371" s="66"/>
      <c r="C371" s="66"/>
      <c r="D371" s="66"/>
      <c r="G371" s="67"/>
      <c r="V371" s="67"/>
    </row>
    <row r="372">
      <c r="A372" s="66"/>
      <c r="B372" s="66"/>
      <c r="C372" s="66"/>
      <c r="D372" s="66"/>
      <c r="G372" s="67"/>
      <c r="V372" s="67"/>
    </row>
    <row r="373">
      <c r="A373" s="66"/>
      <c r="B373" s="66"/>
      <c r="C373" s="66"/>
      <c r="D373" s="66"/>
      <c r="G373" s="67"/>
      <c r="V373" s="67"/>
    </row>
    <row r="374">
      <c r="A374" s="66"/>
      <c r="B374" s="66"/>
      <c r="C374" s="66"/>
      <c r="D374" s="66"/>
      <c r="G374" s="67"/>
      <c r="V374" s="67"/>
    </row>
    <row r="375">
      <c r="A375" s="66"/>
      <c r="B375" s="66"/>
      <c r="C375" s="66"/>
      <c r="D375" s="66"/>
      <c r="G375" s="67"/>
      <c r="V375" s="67"/>
    </row>
    <row r="376">
      <c r="A376" s="66"/>
      <c r="B376" s="66"/>
      <c r="C376" s="66"/>
      <c r="D376" s="66"/>
      <c r="G376" s="67"/>
      <c r="V376" s="67"/>
    </row>
    <row r="377">
      <c r="A377" s="66"/>
      <c r="B377" s="66"/>
      <c r="C377" s="66"/>
      <c r="D377" s="66"/>
      <c r="G377" s="67"/>
      <c r="V377" s="67"/>
    </row>
    <row r="378">
      <c r="A378" s="66"/>
      <c r="B378" s="66"/>
      <c r="C378" s="66"/>
      <c r="D378" s="66"/>
      <c r="G378" s="67"/>
      <c r="V378" s="67"/>
    </row>
    <row r="379">
      <c r="A379" s="66"/>
      <c r="B379" s="66"/>
      <c r="C379" s="66"/>
      <c r="D379" s="66"/>
      <c r="G379" s="67"/>
      <c r="V379" s="67"/>
    </row>
    <row r="380">
      <c r="A380" s="66"/>
      <c r="B380" s="66"/>
      <c r="C380" s="66"/>
      <c r="D380" s="66"/>
      <c r="G380" s="67"/>
      <c r="V380" s="67"/>
    </row>
    <row r="381">
      <c r="A381" s="66"/>
      <c r="B381" s="66"/>
      <c r="C381" s="66"/>
      <c r="D381" s="66"/>
      <c r="G381" s="67"/>
      <c r="V381" s="67"/>
    </row>
    <row r="382">
      <c r="A382" s="66"/>
      <c r="B382" s="66"/>
      <c r="C382" s="66"/>
      <c r="D382" s="66"/>
      <c r="G382" s="67"/>
      <c r="V382" s="67"/>
    </row>
    <row r="383">
      <c r="A383" s="66"/>
      <c r="B383" s="66"/>
      <c r="C383" s="66"/>
      <c r="D383" s="66"/>
      <c r="G383" s="67"/>
      <c r="V383" s="67"/>
    </row>
    <row r="384">
      <c r="A384" s="66"/>
      <c r="B384" s="66"/>
      <c r="C384" s="66"/>
      <c r="D384" s="66"/>
      <c r="G384" s="67"/>
      <c r="V384" s="67"/>
    </row>
    <row r="385">
      <c r="A385" s="66"/>
      <c r="B385" s="66"/>
      <c r="C385" s="66"/>
      <c r="D385" s="66"/>
      <c r="G385" s="67"/>
      <c r="V385" s="67"/>
    </row>
    <row r="386">
      <c r="A386" s="66"/>
      <c r="B386" s="66"/>
      <c r="C386" s="66"/>
      <c r="D386" s="66"/>
      <c r="G386" s="67"/>
      <c r="V386" s="67"/>
    </row>
    <row r="387">
      <c r="A387" s="66"/>
      <c r="B387" s="66"/>
      <c r="C387" s="66"/>
      <c r="D387" s="66"/>
      <c r="G387" s="67"/>
      <c r="V387" s="67"/>
    </row>
    <row r="388">
      <c r="A388" s="66"/>
      <c r="B388" s="66"/>
      <c r="C388" s="66"/>
      <c r="D388" s="66"/>
      <c r="G388" s="67"/>
      <c r="V388" s="67"/>
    </row>
    <row r="389">
      <c r="A389" s="66"/>
      <c r="B389" s="66"/>
      <c r="C389" s="66"/>
      <c r="D389" s="66"/>
      <c r="G389" s="67"/>
      <c r="V389" s="67"/>
    </row>
    <row r="390">
      <c r="A390" s="66"/>
      <c r="B390" s="66"/>
      <c r="C390" s="66"/>
      <c r="D390" s="66"/>
      <c r="G390" s="67"/>
      <c r="V390" s="67"/>
    </row>
    <row r="391">
      <c r="A391" s="66"/>
      <c r="B391" s="66"/>
      <c r="C391" s="66"/>
      <c r="D391" s="66"/>
      <c r="G391" s="67"/>
      <c r="V391" s="67"/>
    </row>
    <row r="392">
      <c r="A392" s="66"/>
      <c r="B392" s="66"/>
      <c r="C392" s="66"/>
      <c r="D392" s="66"/>
      <c r="G392" s="67"/>
      <c r="V392" s="67"/>
    </row>
    <row r="393">
      <c r="A393" s="66"/>
      <c r="B393" s="66"/>
      <c r="C393" s="66"/>
      <c r="D393" s="66"/>
      <c r="G393" s="67"/>
      <c r="V393" s="67"/>
    </row>
    <row r="394">
      <c r="A394" s="66"/>
      <c r="B394" s="66"/>
      <c r="C394" s="66"/>
      <c r="D394" s="66"/>
      <c r="G394" s="67"/>
      <c r="V394" s="67"/>
    </row>
    <row r="395">
      <c r="A395" s="66"/>
      <c r="B395" s="66"/>
      <c r="C395" s="66"/>
      <c r="D395" s="66"/>
      <c r="G395" s="67"/>
      <c r="V395" s="67"/>
    </row>
    <row r="396">
      <c r="A396" s="66"/>
      <c r="B396" s="66"/>
      <c r="C396" s="66"/>
      <c r="D396" s="66"/>
      <c r="G396" s="67"/>
      <c r="V396" s="67"/>
    </row>
    <row r="397">
      <c r="A397" s="66"/>
      <c r="B397" s="66"/>
      <c r="C397" s="66"/>
      <c r="D397" s="66"/>
      <c r="G397" s="67"/>
      <c r="V397" s="67"/>
    </row>
    <row r="398">
      <c r="A398" s="66"/>
      <c r="B398" s="66"/>
      <c r="C398" s="66"/>
      <c r="D398" s="66"/>
      <c r="G398" s="67"/>
      <c r="V398" s="67"/>
    </row>
    <row r="399">
      <c r="A399" s="66"/>
      <c r="B399" s="66"/>
      <c r="C399" s="66"/>
      <c r="D399" s="66"/>
      <c r="G399" s="67"/>
      <c r="V399" s="67"/>
    </row>
    <row r="400">
      <c r="A400" s="66"/>
      <c r="B400" s="66"/>
      <c r="C400" s="66"/>
      <c r="D400" s="66"/>
      <c r="G400" s="67"/>
      <c r="V400" s="67"/>
    </row>
    <row r="401">
      <c r="A401" s="66"/>
      <c r="B401" s="66"/>
      <c r="C401" s="66"/>
      <c r="D401" s="66"/>
      <c r="G401" s="67"/>
      <c r="V401" s="67"/>
    </row>
    <row r="402">
      <c r="A402" s="66"/>
      <c r="B402" s="66"/>
      <c r="C402" s="66"/>
      <c r="D402" s="66"/>
      <c r="G402" s="67"/>
      <c r="V402" s="67"/>
    </row>
    <row r="403">
      <c r="A403" s="66"/>
      <c r="B403" s="66"/>
      <c r="C403" s="66"/>
      <c r="D403" s="66"/>
      <c r="G403" s="67"/>
      <c r="V403" s="67"/>
    </row>
    <row r="404">
      <c r="A404" s="66"/>
      <c r="B404" s="66"/>
      <c r="C404" s="66"/>
      <c r="D404" s="66"/>
      <c r="G404" s="67"/>
      <c r="V404" s="67"/>
    </row>
    <row r="405">
      <c r="A405" s="66"/>
      <c r="B405" s="66"/>
      <c r="C405" s="66"/>
      <c r="D405" s="66"/>
      <c r="G405" s="67"/>
      <c r="V405" s="67"/>
    </row>
    <row r="406">
      <c r="A406" s="66"/>
      <c r="B406" s="66"/>
      <c r="C406" s="66"/>
      <c r="D406" s="66"/>
      <c r="G406" s="67"/>
      <c r="V406" s="67"/>
    </row>
    <row r="407">
      <c r="A407" s="66"/>
      <c r="B407" s="66"/>
      <c r="C407" s="66"/>
      <c r="D407" s="66"/>
      <c r="G407" s="67"/>
      <c r="V407" s="67"/>
    </row>
    <row r="408">
      <c r="A408" s="66"/>
      <c r="B408" s="66"/>
      <c r="C408" s="66"/>
      <c r="D408" s="66"/>
      <c r="G408" s="67"/>
      <c r="V408" s="67"/>
    </row>
    <row r="409">
      <c r="A409" s="66"/>
      <c r="B409" s="66"/>
      <c r="C409" s="66"/>
      <c r="D409" s="66"/>
      <c r="G409" s="67"/>
      <c r="V409" s="67"/>
    </row>
    <row r="410">
      <c r="A410" s="66"/>
      <c r="B410" s="66"/>
      <c r="C410" s="66"/>
      <c r="D410" s="66"/>
      <c r="G410" s="67"/>
      <c r="V410" s="67"/>
    </row>
    <row r="411">
      <c r="A411" s="66"/>
      <c r="B411" s="66"/>
      <c r="C411" s="66"/>
      <c r="D411" s="66"/>
      <c r="G411" s="67"/>
      <c r="V411" s="67"/>
    </row>
    <row r="412">
      <c r="A412" s="66"/>
      <c r="B412" s="66"/>
      <c r="C412" s="66"/>
      <c r="D412" s="66"/>
      <c r="G412" s="67"/>
      <c r="V412" s="67"/>
    </row>
    <row r="413">
      <c r="A413" s="66"/>
      <c r="B413" s="66"/>
      <c r="C413" s="66"/>
      <c r="D413" s="66"/>
      <c r="G413" s="67"/>
      <c r="V413" s="67"/>
    </row>
    <row r="414">
      <c r="A414" s="66"/>
      <c r="B414" s="66"/>
      <c r="C414" s="66"/>
      <c r="D414" s="66"/>
      <c r="G414" s="67"/>
      <c r="V414" s="67"/>
    </row>
    <row r="415">
      <c r="A415" s="66"/>
      <c r="B415" s="66"/>
      <c r="C415" s="66"/>
      <c r="D415" s="66"/>
      <c r="G415" s="67"/>
      <c r="V415" s="67"/>
    </row>
    <row r="416">
      <c r="A416" s="66"/>
      <c r="B416" s="66"/>
      <c r="C416" s="66"/>
      <c r="D416" s="66"/>
      <c r="G416" s="67"/>
      <c r="V416" s="67"/>
    </row>
    <row r="417">
      <c r="A417" s="66"/>
      <c r="B417" s="66"/>
      <c r="C417" s="66"/>
      <c r="D417" s="66"/>
      <c r="G417" s="67"/>
      <c r="V417" s="67"/>
    </row>
    <row r="418">
      <c r="A418" s="66"/>
      <c r="B418" s="66"/>
      <c r="C418" s="66"/>
      <c r="D418" s="66"/>
      <c r="G418" s="67"/>
      <c r="V418" s="67"/>
    </row>
    <row r="419">
      <c r="A419" s="66"/>
      <c r="B419" s="66"/>
      <c r="C419" s="66"/>
      <c r="D419" s="66"/>
      <c r="G419" s="67"/>
      <c r="V419" s="67"/>
    </row>
    <row r="420">
      <c r="A420" s="66"/>
      <c r="B420" s="66"/>
      <c r="C420" s="66"/>
      <c r="D420" s="66"/>
      <c r="G420" s="67"/>
      <c r="V420" s="67"/>
    </row>
    <row r="421">
      <c r="A421" s="66"/>
      <c r="B421" s="66"/>
      <c r="C421" s="66"/>
      <c r="D421" s="66"/>
      <c r="G421" s="67"/>
      <c r="V421" s="67"/>
    </row>
    <row r="422">
      <c r="A422" s="66"/>
      <c r="B422" s="66"/>
      <c r="C422" s="66"/>
      <c r="D422" s="66"/>
      <c r="G422" s="67"/>
      <c r="V422" s="67"/>
    </row>
    <row r="423">
      <c r="A423" s="66"/>
      <c r="B423" s="66"/>
      <c r="C423" s="66"/>
      <c r="D423" s="66"/>
      <c r="G423" s="67"/>
      <c r="V423" s="67"/>
    </row>
    <row r="424">
      <c r="A424" s="66"/>
      <c r="B424" s="66"/>
      <c r="C424" s="66"/>
      <c r="D424" s="66"/>
      <c r="G424" s="67"/>
      <c r="V424" s="67"/>
    </row>
    <row r="425">
      <c r="A425" s="66"/>
      <c r="B425" s="66"/>
      <c r="C425" s="66"/>
      <c r="D425" s="66"/>
      <c r="G425" s="67"/>
      <c r="V425" s="67"/>
    </row>
    <row r="426">
      <c r="A426" s="66"/>
      <c r="B426" s="66"/>
      <c r="C426" s="66"/>
      <c r="D426" s="66"/>
      <c r="G426" s="67"/>
      <c r="V426" s="67"/>
    </row>
    <row r="427">
      <c r="A427" s="66"/>
      <c r="B427" s="66"/>
      <c r="C427" s="66"/>
      <c r="D427" s="66"/>
      <c r="G427" s="67"/>
      <c r="V427" s="67"/>
    </row>
    <row r="428">
      <c r="A428" s="66"/>
      <c r="B428" s="66"/>
      <c r="C428" s="66"/>
      <c r="D428" s="66"/>
      <c r="G428" s="67"/>
      <c r="V428" s="67"/>
    </row>
    <row r="429">
      <c r="A429" s="66"/>
      <c r="B429" s="66"/>
      <c r="C429" s="66"/>
      <c r="D429" s="66"/>
      <c r="G429" s="67"/>
      <c r="V429" s="67"/>
    </row>
    <row r="430">
      <c r="A430" s="66"/>
      <c r="B430" s="66"/>
      <c r="C430" s="66"/>
      <c r="D430" s="66"/>
      <c r="G430" s="67"/>
      <c r="V430" s="67"/>
    </row>
    <row r="431">
      <c r="A431" s="66"/>
      <c r="B431" s="66"/>
      <c r="C431" s="66"/>
      <c r="D431" s="66"/>
      <c r="G431" s="67"/>
      <c r="V431" s="67"/>
    </row>
    <row r="432">
      <c r="A432" s="66"/>
      <c r="B432" s="66"/>
      <c r="C432" s="66"/>
      <c r="D432" s="66"/>
      <c r="G432" s="67"/>
      <c r="V432" s="67"/>
    </row>
    <row r="433">
      <c r="A433" s="66"/>
      <c r="B433" s="66"/>
      <c r="C433" s="66"/>
      <c r="D433" s="66"/>
      <c r="G433" s="67"/>
      <c r="V433" s="67"/>
    </row>
    <row r="434">
      <c r="A434" s="66"/>
      <c r="B434" s="66"/>
      <c r="C434" s="66"/>
      <c r="D434" s="66"/>
      <c r="G434" s="67"/>
      <c r="V434" s="67"/>
    </row>
    <row r="435">
      <c r="A435" s="66"/>
      <c r="B435" s="66"/>
      <c r="C435" s="66"/>
      <c r="D435" s="66"/>
      <c r="G435" s="67"/>
      <c r="V435" s="67"/>
    </row>
    <row r="436">
      <c r="A436" s="66"/>
      <c r="B436" s="66"/>
      <c r="C436" s="66"/>
      <c r="D436" s="66"/>
      <c r="G436" s="67"/>
      <c r="V436" s="67"/>
    </row>
    <row r="437">
      <c r="A437" s="66"/>
      <c r="B437" s="66"/>
      <c r="C437" s="66"/>
      <c r="D437" s="66"/>
      <c r="G437" s="67"/>
      <c r="V437" s="67"/>
    </row>
    <row r="438">
      <c r="A438" s="66"/>
      <c r="B438" s="66"/>
      <c r="C438" s="66"/>
      <c r="D438" s="66"/>
      <c r="G438" s="67"/>
      <c r="V438" s="67"/>
    </row>
    <row r="439">
      <c r="A439" s="66"/>
      <c r="B439" s="66"/>
      <c r="C439" s="66"/>
      <c r="D439" s="66"/>
      <c r="G439" s="67"/>
      <c r="V439" s="67"/>
    </row>
    <row r="440">
      <c r="A440" s="66"/>
      <c r="B440" s="66"/>
      <c r="C440" s="66"/>
      <c r="D440" s="66"/>
      <c r="G440" s="67"/>
      <c r="V440" s="67"/>
    </row>
    <row r="441">
      <c r="A441" s="66"/>
      <c r="B441" s="66"/>
      <c r="C441" s="66"/>
      <c r="D441" s="66"/>
      <c r="G441" s="67"/>
      <c r="V441" s="67"/>
    </row>
    <row r="442">
      <c r="A442" s="66"/>
      <c r="B442" s="66"/>
      <c r="C442" s="66"/>
      <c r="D442" s="66"/>
      <c r="G442" s="67"/>
      <c r="V442" s="67"/>
    </row>
    <row r="443">
      <c r="A443" s="66"/>
      <c r="B443" s="66"/>
      <c r="C443" s="66"/>
      <c r="D443" s="66"/>
      <c r="G443" s="67"/>
      <c r="V443" s="67"/>
    </row>
    <row r="444">
      <c r="A444" s="66"/>
      <c r="B444" s="66"/>
      <c r="C444" s="66"/>
      <c r="D444" s="66"/>
      <c r="G444" s="67"/>
      <c r="V444" s="67"/>
    </row>
    <row r="445">
      <c r="A445" s="66"/>
      <c r="B445" s="66"/>
      <c r="C445" s="66"/>
      <c r="D445" s="66"/>
      <c r="G445" s="67"/>
      <c r="V445" s="67"/>
    </row>
    <row r="446">
      <c r="A446" s="66"/>
      <c r="B446" s="66"/>
      <c r="C446" s="66"/>
      <c r="D446" s="66"/>
      <c r="G446" s="67"/>
      <c r="V446" s="67"/>
    </row>
    <row r="447">
      <c r="A447" s="66"/>
      <c r="B447" s="66"/>
      <c r="C447" s="66"/>
      <c r="D447" s="66"/>
      <c r="G447" s="67"/>
      <c r="V447" s="67"/>
    </row>
    <row r="448">
      <c r="A448" s="66"/>
      <c r="B448" s="66"/>
      <c r="C448" s="66"/>
      <c r="D448" s="66"/>
      <c r="G448" s="67"/>
      <c r="V448" s="67"/>
    </row>
    <row r="449">
      <c r="A449" s="66"/>
      <c r="B449" s="66"/>
      <c r="C449" s="66"/>
      <c r="D449" s="66"/>
      <c r="G449" s="67"/>
      <c r="V449" s="67"/>
    </row>
    <row r="450">
      <c r="A450" s="66"/>
      <c r="B450" s="66"/>
      <c r="C450" s="66"/>
      <c r="D450" s="66"/>
      <c r="G450" s="67"/>
      <c r="V450" s="67"/>
    </row>
    <row r="451">
      <c r="A451" s="66"/>
      <c r="B451" s="66"/>
      <c r="C451" s="66"/>
      <c r="D451" s="66"/>
      <c r="G451" s="67"/>
      <c r="V451" s="67"/>
    </row>
    <row r="452">
      <c r="A452" s="66"/>
      <c r="B452" s="66"/>
      <c r="C452" s="66"/>
      <c r="D452" s="66"/>
      <c r="G452" s="67"/>
      <c r="V452" s="67"/>
    </row>
    <row r="453">
      <c r="A453" s="66"/>
      <c r="B453" s="66"/>
      <c r="C453" s="66"/>
      <c r="D453" s="66"/>
      <c r="G453" s="67"/>
      <c r="V453" s="67"/>
    </row>
    <row r="454">
      <c r="A454" s="66"/>
      <c r="B454" s="66"/>
      <c r="C454" s="66"/>
      <c r="D454" s="66"/>
      <c r="G454" s="67"/>
      <c r="V454" s="67"/>
    </row>
    <row r="455">
      <c r="A455" s="66"/>
      <c r="B455" s="66"/>
      <c r="C455" s="66"/>
      <c r="D455" s="66"/>
      <c r="G455" s="67"/>
      <c r="V455" s="67"/>
    </row>
    <row r="456">
      <c r="A456" s="66"/>
      <c r="B456" s="66"/>
      <c r="C456" s="66"/>
      <c r="D456" s="66"/>
      <c r="G456" s="67"/>
      <c r="V456" s="67"/>
    </row>
    <row r="457">
      <c r="A457" s="66"/>
      <c r="B457" s="66"/>
      <c r="C457" s="66"/>
      <c r="D457" s="66"/>
      <c r="G457" s="67"/>
      <c r="V457" s="67"/>
    </row>
    <row r="458">
      <c r="A458" s="66"/>
      <c r="B458" s="66"/>
      <c r="C458" s="66"/>
      <c r="D458" s="66"/>
      <c r="G458" s="67"/>
      <c r="V458" s="67"/>
    </row>
    <row r="459">
      <c r="A459" s="66"/>
      <c r="B459" s="66"/>
      <c r="C459" s="66"/>
      <c r="D459" s="66"/>
      <c r="G459" s="67"/>
      <c r="V459" s="67"/>
    </row>
    <row r="460">
      <c r="A460" s="66"/>
      <c r="B460" s="66"/>
      <c r="C460" s="66"/>
      <c r="D460" s="66"/>
      <c r="G460" s="67"/>
      <c r="V460" s="67"/>
    </row>
    <row r="461">
      <c r="A461" s="66"/>
      <c r="B461" s="66"/>
      <c r="C461" s="66"/>
      <c r="D461" s="66"/>
      <c r="G461" s="67"/>
      <c r="V461" s="67"/>
    </row>
    <row r="462">
      <c r="A462" s="66"/>
      <c r="B462" s="66"/>
      <c r="C462" s="66"/>
      <c r="D462" s="66"/>
      <c r="G462" s="67"/>
      <c r="V462" s="67"/>
    </row>
    <row r="463">
      <c r="A463" s="66"/>
      <c r="B463" s="66"/>
      <c r="C463" s="66"/>
      <c r="D463" s="66"/>
      <c r="G463" s="67"/>
      <c r="V463" s="67"/>
    </row>
    <row r="464">
      <c r="A464" s="66"/>
      <c r="B464" s="66"/>
      <c r="C464" s="66"/>
      <c r="D464" s="66"/>
      <c r="G464" s="67"/>
      <c r="V464" s="67"/>
    </row>
    <row r="465">
      <c r="A465" s="66"/>
      <c r="B465" s="66"/>
      <c r="C465" s="66"/>
      <c r="D465" s="66"/>
      <c r="G465" s="67"/>
      <c r="V465" s="67"/>
    </row>
    <row r="466">
      <c r="A466" s="66"/>
      <c r="B466" s="66"/>
      <c r="C466" s="66"/>
      <c r="D466" s="66"/>
      <c r="G466" s="67"/>
      <c r="V466" s="67"/>
    </row>
    <row r="467">
      <c r="A467" s="66"/>
      <c r="B467" s="66"/>
      <c r="C467" s="66"/>
      <c r="D467" s="66"/>
      <c r="G467" s="67"/>
      <c r="V467" s="67"/>
    </row>
    <row r="468">
      <c r="A468" s="66"/>
      <c r="B468" s="66"/>
      <c r="C468" s="66"/>
      <c r="D468" s="66"/>
      <c r="G468" s="67"/>
      <c r="V468" s="67"/>
    </row>
    <row r="469">
      <c r="A469" s="66"/>
      <c r="B469" s="66"/>
      <c r="C469" s="66"/>
      <c r="D469" s="66"/>
      <c r="G469" s="67"/>
      <c r="V469" s="67"/>
    </row>
    <row r="470">
      <c r="A470" s="66"/>
      <c r="B470" s="66"/>
      <c r="C470" s="66"/>
      <c r="D470" s="66"/>
      <c r="G470" s="67"/>
      <c r="V470" s="67"/>
    </row>
    <row r="471">
      <c r="A471" s="66"/>
      <c r="B471" s="66"/>
      <c r="C471" s="66"/>
      <c r="D471" s="66"/>
      <c r="G471" s="67"/>
      <c r="V471" s="67"/>
    </row>
    <row r="472">
      <c r="A472" s="66"/>
      <c r="B472" s="66"/>
      <c r="C472" s="66"/>
      <c r="D472" s="66"/>
      <c r="G472" s="67"/>
      <c r="V472" s="67"/>
    </row>
    <row r="473">
      <c r="A473" s="66"/>
      <c r="B473" s="66"/>
      <c r="C473" s="66"/>
      <c r="D473" s="66"/>
      <c r="G473" s="67"/>
      <c r="V473" s="67"/>
    </row>
    <row r="474">
      <c r="A474" s="66"/>
      <c r="B474" s="66"/>
      <c r="C474" s="66"/>
      <c r="D474" s="66"/>
      <c r="G474" s="67"/>
      <c r="V474" s="67"/>
    </row>
    <row r="475">
      <c r="A475" s="66"/>
      <c r="B475" s="66"/>
      <c r="C475" s="66"/>
      <c r="D475" s="66"/>
      <c r="G475" s="67"/>
      <c r="V475" s="67"/>
    </row>
    <row r="476">
      <c r="A476" s="66"/>
      <c r="B476" s="66"/>
      <c r="C476" s="66"/>
      <c r="D476" s="66"/>
      <c r="G476" s="67"/>
      <c r="V476" s="67"/>
    </row>
    <row r="477">
      <c r="A477" s="66"/>
      <c r="B477" s="66"/>
      <c r="C477" s="66"/>
      <c r="D477" s="66"/>
      <c r="G477" s="67"/>
      <c r="V477" s="67"/>
    </row>
    <row r="478">
      <c r="A478" s="66"/>
      <c r="B478" s="66"/>
      <c r="C478" s="66"/>
      <c r="D478" s="66"/>
      <c r="G478" s="67"/>
      <c r="V478" s="67"/>
    </row>
    <row r="479">
      <c r="A479" s="66"/>
      <c r="B479" s="66"/>
      <c r="C479" s="66"/>
      <c r="D479" s="66"/>
      <c r="G479" s="67"/>
      <c r="V479" s="67"/>
    </row>
    <row r="480">
      <c r="A480" s="66"/>
      <c r="B480" s="66"/>
      <c r="C480" s="66"/>
      <c r="D480" s="66"/>
      <c r="G480" s="67"/>
      <c r="V480" s="67"/>
    </row>
    <row r="481">
      <c r="A481" s="66"/>
      <c r="B481" s="66"/>
      <c r="C481" s="66"/>
      <c r="D481" s="66"/>
      <c r="G481" s="67"/>
      <c r="V481" s="67"/>
    </row>
    <row r="482">
      <c r="A482" s="66"/>
      <c r="B482" s="66"/>
      <c r="C482" s="66"/>
      <c r="D482" s="66"/>
      <c r="G482" s="67"/>
      <c r="V482" s="67"/>
    </row>
    <row r="483">
      <c r="A483" s="66"/>
      <c r="B483" s="66"/>
      <c r="C483" s="66"/>
      <c r="D483" s="66"/>
      <c r="G483" s="67"/>
      <c r="V483" s="67"/>
    </row>
    <row r="484">
      <c r="A484" s="66"/>
      <c r="B484" s="66"/>
      <c r="C484" s="66"/>
      <c r="D484" s="66"/>
      <c r="G484" s="67"/>
      <c r="V484" s="67"/>
    </row>
    <row r="485">
      <c r="A485" s="66"/>
      <c r="B485" s="66"/>
      <c r="C485" s="66"/>
      <c r="D485" s="66"/>
      <c r="G485" s="67"/>
      <c r="V485" s="67"/>
    </row>
    <row r="486">
      <c r="A486" s="66"/>
      <c r="B486" s="66"/>
      <c r="C486" s="66"/>
      <c r="D486" s="66"/>
      <c r="G486" s="67"/>
      <c r="V486" s="67"/>
    </row>
    <row r="487">
      <c r="A487" s="66"/>
      <c r="B487" s="66"/>
      <c r="C487" s="66"/>
      <c r="D487" s="66"/>
      <c r="G487" s="67"/>
      <c r="V487" s="67"/>
    </row>
    <row r="488">
      <c r="A488" s="66"/>
      <c r="B488" s="66"/>
      <c r="C488" s="66"/>
      <c r="D488" s="66"/>
      <c r="G488" s="67"/>
      <c r="V488" s="67"/>
    </row>
    <row r="489">
      <c r="A489" s="66"/>
      <c r="B489" s="66"/>
      <c r="C489" s="66"/>
      <c r="D489" s="66"/>
      <c r="G489" s="67"/>
      <c r="V489" s="67"/>
    </row>
    <row r="490">
      <c r="A490" s="66"/>
      <c r="B490" s="66"/>
      <c r="C490" s="66"/>
      <c r="D490" s="66"/>
      <c r="G490" s="67"/>
      <c r="V490" s="67"/>
    </row>
    <row r="491">
      <c r="A491" s="66"/>
      <c r="B491" s="66"/>
      <c r="C491" s="66"/>
      <c r="D491" s="66"/>
      <c r="G491" s="67"/>
      <c r="V491" s="67"/>
    </row>
    <row r="492">
      <c r="A492" s="66"/>
      <c r="B492" s="66"/>
      <c r="C492" s="66"/>
      <c r="D492" s="66"/>
      <c r="G492" s="67"/>
      <c r="V492" s="67"/>
    </row>
    <row r="493">
      <c r="A493" s="66"/>
      <c r="B493" s="66"/>
      <c r="C493" s="66"/>
      <c r="D493" s="66"/>
      <c r="G493" s="67"/>
      <c r="V493" s="67"/>
    </row>
    <row r="494">
      <c r="A494" s="66"/>
      <c r="B494" s="66"/>
      <c r="C494" s="66"/>
      <c r="D494" s="66"/>
      <c r="G494" s="67"/>
      <c r="V494" s="67"/>
    </row>
    <row r="495">
      <c r="A495" s="66"/>
      <c r="B495" s="66"/>
      <c r="C495" s="66"/>
      <c r="D495" s="66"/>
      <c r="G495" s="67"/>
      <c r="V495" s="67"/>
    </row>
    <row r="496">
      <c r="A496" s="66"/>
      <c r="B496" s="66"/>
      <c r="C496" s="66"/>
      <c r="D496" s="66"/>
      <c r="G496" s="67"/>
      <c r="V496" s="67"/>
    </row>
    <row r="497">
      <c r="A497" s="66"/>
      <c r="B497" s="66"/>
      <c r="C497" s="66"/>
      <c r="D497" s="66"/>
      <c r="G497" s="67"/>
      <c r="V497" s="67"/>
    </row>
    <row r="498">
      <c r="A498" s="66"/>
      <c r="B498" s="66"/>
      <c r="C498" s="66"/>
      <c r="D498" s="66"/>
      <c r="G498" s="67"/>
      <c r="V498" s="67"/>
    </row>
    <row r="499">
      <c r="A499" s="66"/>
      <c r="B499" s="66"/>
      <c r="C499" s="66"/>
      <c r="D499" s="66"/>
      <c r="G499" s="67"/>
      <c r="V499" s="67"/>
    </row>
    <row r="500">
      <c r="A500" s="66"/>
      <c r="B500" s="66"/>
      <c r="C500" s="66"/>
      <c r="D500" s="66"/>
      <c r="G500" s="67"/>
      <c r="V500" s="67"/>
    </row>
    <row r="501">
      <c r="A501" s="66"/>
      <c r="B501" s="66"/>
      <c r="C501" s="66"/>
      <c r="D501" s="66"/>
      <c r="G501" s="67"/>
      <c r="V501" s="67"/>
    </row>
    <row r="502">
      <c r="A502" s="66"/>
      <c r="B502" s="66"/>
      <c r="C502" s="66"/>
      <c r="D502" s="66"/>
      <c r="G502" s="67"/>
      <c r="V502" s="67"/>
    </row>
    <row r="503">
      <c r="A503" s="66"/>
      <c r="B503" s="66"/>
      <c r="C503" s="66"/>
      <c r="D503" s="66"/>
      <c r="G503" s="67"/>
      <c r="V503" s="67"/>
    </row>
    <row r="504">
      <c r="A504" s="66"/>
      <c r="B504" s="66"/>
      <c r="C504" s="66"/>
      <c r="D504" s="66"/>
      <c r="G504" s="67"/>
      <c r="V504" s="67"/>
    </row>
    <row r="505">
      <c r="A505" s="66"/>
      <c r="B505" s="66"/>
      <c r="C505" s="66"/>
      <c r="D505" s="66"/>
      <c r="G505" s="67"/>
      <c r="V505" s="67"/>
    </row>
    <row r="506">
      <c r="A506" s="66"/>
      <c r="B506" s="66"/>
      <c r="C506" s="66"/>
      <c r="D506" s="66"/>
      <c r="G506" s="67"/>
      <c r="V506" s="67"/>
    </row>
    <row r="507">
      <c r="A507" s="66"/>
      <c r="B507" s="66"/>
      <c r="C507" s="66"/>
      <c r="D507" s="66"/>
      <c r="G507" s="67"/>
      <c r="V507" s="67"/>
    </row>
    <row r="508">
      <c r="A508" s="66"/>
      <c r="B508" s="66"/>
      <c r="C508" s="66"/>
      <c r="D508" s="66"/>
      <c r="G508" s="67"/>
      <c r="V508" s="67"/>
    </row>
    <row r="509">
      <c r="A509" s="66"/>
      <c r="B509" s="66"/>
      <c r="C509" s="66"/>
      <c r="D509" s="66"/>
      <c r="G509" s="67"/>
      <c r="V509" s="67"/>
    </row>
    <row r="510">
      <c r="A510" s="66"/>
      <c r="B510" s="66"/>
      <c r="C510" s="66"/>
      <c r="D510" s="66"/>
      <c r="G510" s="67"/>
      <c r="V510" s="67"/>
    </row>
    <row r="511">
      <c r="A511" s="66"/>
      <c r="B511" s="66"/>
      <c r="C511" s="66"/>
      <c r="D511" s="66"/>
      <c r="G511" s="67"/>
      <c r="V511" s="67"/>
    </row>
    <row r="512">
      <c r="A512" s="66"/>
      <c r="B512" s="66"/>
      <c r="C512" s="66"/>
      <c r="D512" s="66"/>
      <c r="G512" s="67"/>
      <c r="V512" s="67"/>
    </row>
    <row r="513">
      <c r="A513" s="66"/>
      <c r="B513" s="66"/>
      <c r="C513" s="66"/>
      <c r="D513" s="66"/>
      <c r="G513" s="67"/>
      <c r="V513" s="67"/>
    </row>
    <row r="514">
      <c r="A514" s="66"/>
      <c r="B514" s="66"/>
      <c r="C514" s="66"/>
      <c r="D514" s="66"/>
      <c r="G514" s="67"/>
      <c r="V514" s="67"/>
    </row>
    <row r="515">
      <c r="A515" s="66"/>
      <c r="B515" s="66"/>
      <c r="C515" s="66"/>
      <c r="D515" s="66"/>
      <c r="G515" s="67"/>
      <c r="V515" s="67"/>
    </row>
    <row r="516">
      <c r="A516" s="66"/>
      <c r="B516" s="66"/>
      <c r="C516" s="66"/>
      <c r="D516" s="66"/>
      <c r="G516" s="67"/>
      <c r="V516" s="67"/>
    </row>
    <row r="517">
      <c r="A517" s="66"/>
      <c r="B517" s="66"/>
      <c r="C517" s="66"/>
      <c r="D517" s="66"/>
      <c r="G517" s="67"/>
      <c r="V517" s="67"/>
    </row>
    <row r="518">
      <c r="A518" s="66"/>
      <c r="B518" s="66"/>
      <c r="C518" s="66"/>
      <c r="D518" s="66"/>
      <c r="G518" s="67"/>
      <c r="V518" s="67"/>
    </row>
    <row r="519">
      <c r="A519" s="66"/>
      <c r="B519" s="66"/>
      <c r="C519" s="66"/>
      <c r="D519" s="66"/>
      <c r="G519" s="67"/>
      <c r="V519" s="67"/>
    </row>
    <row r="520">
      <c r="A520" s="66"/>
      <c r="B520" s="66"/>
      <c r="C520" s="66"/>
      <c r="D520" s="66"/>
      <c r="G520" s="67"/>
      <c r="V520" s="67"/>
    </row>
    <row r="521">
      <c r="A521" s="66"/>
      <c r="B521" s="66"/>
      <c r="C521" s="66"/>
      <c r="D521" s="66"/>
      <c r="G521" s="67"/>
      <c r="V521" s="67"/>
    </row>
    <row r="522">
      <c r="A522" s="66"/>
      <c r="B522" s="66"/>
      <c r="C522" s="66"/>
      <c r="D522" s="66"/>
      <c r="G522" s="67"/>
      <c r="V522" s="67"/>
    </row>
    <row r="523">
      <c r="A523" s="66"/>
      <c r="B523" s="66"/>
      <c r="C523" s="66"/>
      <c r="D523" s="66"/>
      <c r="G523" s="67"/>
      <c r="V523" s="67"/>
    </row>
    <row r="524">
      <c r="A524" s="66"/>
      <c r="B524" s="66"/>
      <c r="C524" s="66"/>
      <c r="D524" s="66"/>
      <c r="G524" s="67"/>
      <c r="V524" s="67"/>
    </row>
    <row r="525">
      <c r="A525" s="66"/>
      <c r="B525" s="66"/>
      <c r="C525" s="66"/>
      <c r="D525" s="66"/>
      <c r="G525" s="67"/>
      <c r="V525" s="67"/>
    </row>
    <row r="526">
      <c r="A526" s="66"/>
      <c r="B526" s="66"/>
      <c r="C526" s="66"/>
      <c r="D526" s="66"/>
      <c r="G526" s="67"/>
      <c r="V526" s="67"/>
    </row>
    <row r="527">
      <c r="A527" s="66"/>
      <c r="B527" s="66"/>
      <c r="C527" s="66"/>
      <c r="D527" s="66"/>
      <c r="G527" s="67"/>
      <c r="V527" s="67"/>
    </row>
    <row r="528">
      <c r="A528" s="66"/>
      <c r="B528" s="66"/>
      <c r="C528" s="66"/>
      <c r="D528" s="66"/>
      <c r="G528" s="67"/>
      <c r="V528" s="67"/>
    </row>
    <row r="529">
      <c r="A529" s="66"/>
      <c r="B529" s="66"/>
      <c r="C529" s="66"/>
      <c r="D529" s="66"/>
      <c r="G529" s="67"/>
      <c r="V529" s="67"/>
    </row>
    <row r="530">
      <c r="A530" s="66"/>
      <c r="B530" s="66"/>
      <c r="C530" s="66"/>
      <c r="D530" s="66"/>
      <c r="G530" s="67"/>
      <c r="V530" s="67"/>
    </row>
    <row r="531">
      <c r="A531" s="66"/>
      <c r="B531" s="66"/>
      <c r="C531" s="66"/>
      <c r="D531" s="66"/>
      <c r="G531" s="67"/>
      <c r="V531" s="67"/>
    </row>
    <row r="532">
      <c r="A532" s="66"/>
      <c r="B532" s="66"/>
      <c r="C532" s="66"/>
      <c r="D532" s="66"/>
      <c r="G532" s="67"/>
      <c r="V532" s="67"/>
    </row>
    <row r="533">
      <c r="A533" s="66"/>
      <c r="B533" s="66"/>
      <c r="C533" s="66"/>
      <c r="D533" s="66"/>
      <c r="G533" s="67"/>
      <c r="V533" s="67"/>
    </row>
    <row r="534">
      <c r="A534" s="66"/>
      <c r="B534" s="66"/>
      <c r="C534" s="66"/>
      <c r="D534" s="66"/>
      <c r="G534" s="67"/>
      <c r="V534" s="67"/>
    </row>
    <row r="535">
      <c r="A535" s="66"/>
      <c r="B535" s="66"/>
      <c r="C535" s="66"/>
      <c r="D535" s="66"/>
      <c r="G535" s="67"/>
      <c r="V535" s="67"/>
    </row>
    <row r="536">
      <c r="A536" s="66"/>
      <c r="B536" s="66"/>
      <c r="C536" s="66"/>
      <c r="D536" s="66"/>
      <c r="G536" s="67"/>
      <c r="V536" s="67"/>
    </row>
    <row r="537">
      <c r="A537" s="66"/>
      <c r="B537" s="66"/>
      <c r="C537" s="66"/>
      <c r="D537" s="66"/>
      <c r="G537" s="67"/>
      <c r="V537" s="67"/>
    </row>
    <row r="538">
      <c r="A538" s="66"/>
      <c r="B538" s="66"/>
      <c r="C538" s="66"/>
      <c r="D538" s="66"/>
      <c r="G538" s="67"/>
      <c r="V538" s="67"/>
    </row>
    <row r="539">
      <c r="A539" s="66"/>
      <c r="B539" s="66"/>
      <c r="C539" s="66"/>
      <c r="D539" s="66"/>
      <c r="G539" s="67"/>
      <c r="V539" s="67"/>
    </row>
    <row r="540">
      <c r="A540" s="66"/>
      <c r="B540" s="66"/>
      <c r="C540" s="66"/>
      <c r="D540" s="66"/>
      <c r="G540" s="67"/>
      <c r="V540" s="67"/>
    </row>
    <row r="541">
      <c r="A541" s="66"/>
      <c r="B541" s="66"/>
      <c r="C541" s="66"/>
      <c r="D541" s="66"/>
      <c r="G541" s="67"/>
      <c r="V541" s="67"/>
    </row>
    <row r="542">
      <c r="A542" s="66"/>
      <c r="B542" s="66"/>
      <c r="C542" s="66"/>
      <c r="D542" s="66"/>
      <c r="G542" s="67"/>
      <c r="V542" s="67"/>
    </row>
    <row r="543">
      <c r="A543" s="66"/>
      <c r="B543" s="66"/>
      <c r="C543" s="66"/>
      <c r="D543" s="66"/>
      <c r="G543" s="67"/>
      <c r="V543" s="67"/>
    </row>
    <row r="544">
      <c r="A544" s="66"/>
      <c r="B544" s="66"/>
      <c r="C544" s="66"/>
      <c r="D544" s="66"/>
      <c r="G544" s="67"/>
      <c r="V544" s="67"/>
    </row>
    <row r="545">
      <c r="A545" s="66"/>
      <c r="B545" s="66"/>
      <c r="C545" s="66"/>
      <c r="D545" s="66"/>
      <c r="G545" s="67"/>
      <c r="V545" s="67"/>
    </row>
    <row r="546">
      <c r="A546" s="66"/>
      <c r="B546" s="66"/>
      <c r="C546" s="66"/>
      <c r="D546" s="66"/>
      <c r="G546" s="67"/>
      <c r="V546" s="67"/>
    </row>
    <row r="547">
      <c r="A547" s="66"/>
      <c r="B547" s="66"/>
      <c r="C547" s="66"/>
      <c r="D547" s="66"/>
      <c r="G547" s="67"/>
      <c r="V547" s="67"/>
    </row>
    <row r="548">
      <c r="A548" s="66"/>
      <c r="B548" s="66"/>
      <c r="C548" s="66"/>
      <c r="D548" s="66"/>
      <c r="G548" s="67"/>
      <c r="V548" s="67"/>
    </row>
    <row r="549">
      <c r="A549" s="66"/>
      <c r="B549" s="66"/>
      <c r="C549" s="66"/>
      <c r="D549" s="66"/>
      <c r="G549" s="67"/>
      <c r="V549" s="67"/>
    </row>
    <row r="550">
      <c r="A550" s="66"/>
      <c r="B550" s="66"/>
      <c r="C550" s="66"/>
      <c r="D550" s="66"/>
      <c r="G550" s="67"/>
      <c r="V550" s="67"/>
    </row>
    <row r="551">
      <c r="A551" s="66"/>
      <c r="B551" s="66"/>
      <c r="C551" s="66"/>
      <c r="D551" s="66"/>
      <c r="G551" s="67"/>
      <c r="V551" s="67"/>
    </row>
    <row r="552">
      <c r="A552" s="66"/>
      <c r="B552" s="66"/>
      <c r="C552" s="66"/>
      <c r="D552" s="66"/>
      <c r="G552" s="67"/>
      <c r="V552" s="67"/>
    </row>
    <row r="553">
      <c r="A553" s="66"/>
      <c r="B553" s="66"/>
      <c r="C553" s="66"/>
      <c r="D553" s="66"/>
      <c r="G553" s="67"/>
      <c r="V553" s="67"/>
    </row>
    <row r="554">
      <c r="A554" s="66"/>
      <c r="B554" s="66"/>
      <c r="C554" s="66"/>
      <c r="D554" s="66"/>
      <c r="G554" s="67"/>
      <c r="V554" s="67"/>
    </row>
    <row r="555">
      <c r="A555" s="66"/>
      <c r="B555" s="66"/>
      <c r="C555" s="66"/>
      <c r="D555" s="66"/>
      <c r="G555" s="67"/>
      <c r="V555" s="67"/>
    </row>
    <row r="556">
      <c r="A556" s="66"/>
      <c r="B556" s="66"/>
      <c r="C556" s="66"/>
      <c r="D556" s="66"/>
      <c r="G556" s="67"/>
      <c r="V556" s="67"/>
    </row>
    <row r="557">
      <c r="A557" s="66"/>
      <c r="B557" s="66"/>
      <c r="C557" s="66"/>
      <c r="D557" s="66"/>
      <c r="G557" s="67"/>
      <c r="V557" s="67"/>
    </row>
    <row r="558">
      <c r="A558" s="66"/>
      <c r="B558" s="66"/>
      <c r="C558" s="66"/>
      <c r="D558" s="66"/>
      <c r="G558" s="67"/>
      <c r="V558" s="67"/>
    </row>
    <row r="559">
      <c r="A559" s="66"/>
      <c r="B559" s="66"/>
      <c r="C559" s="66"/>
      <c r="D559" s="66"/>
      <c r="G559" s="67"/>
      <c r="V559" s="67"/>
    </row>
    <row r="560">
      <c r="A560" s="66"/>
      <c r="B560" s="66"/>
      <c r="C560" s="66"/>
      <c r="D560" s="66"/>
      <c r="G560" s="67"/>
      <c r="V560" s="67"/>
    </row>
    <row r="561">
      <c r="A561" s="66"/>
      <c r="B561" s="66"/>
      <c r="C561" s="66"/>
      <c r="D561" s="66"/>
      <c r="G561" s="67"/>
      <c r="V561" s="67"/>
    </row>
    <row r="562">
      <c r="A562" s="66"/>
      <c r="B562" s="66"/>
      <c r="C562" s="66"/>
      <c r="D562" s="66"/>
      <c r="G562" s="67"/>
      <c r="V562" s="67"/>
    </row>
    <row r="563">
      <c r="A563" s="66"/>
      <c r="B563" s="66"/>
      <c r="C563" s="66"/>
      <c r="D563" s="66"/>
      <c r="G563" s="67"/>
      <c r="V563" s="67"/>
    </row>
    <row r="564">
      <c r="A564" s="66"/>
      <c r="B564" s="66"/>
      <c r="C564" s="66"/>
      <c r="D564" s="66"/>
      <c r="G564" s="67"/>
      <c r="V564" s="67"/>
    </row>
    <row r="565">
      <c r="A565" s="66"/>
      <c r="B565" s="66"/>
      <c r="C565" s="66"/>
      <c r="D565" s="66"/>
      <c r="G565" s="67"/>
      <c r="V565" s="67"/>
    </row>
    <row r="566">
      <c r="A566" s="66"/>
      <c r="B566" s="66"/>
      <c r="C566" s="66"/>
      <c r="D566" s="66"/>
      <c r="G566" s="67"/>
      <c r="V566" s="67"/>
    </row>
    <row r="567">
      <c r="A567" s="66"/>
      <c r="B567" s="66"/>
      <c r="C567" s="66"/>
      <c r="D567" s="66"/>
      <c r="G567" s="67"/>
      <c r="V567" s="67"/>
    </row>
    <row r="568">
      <c r="A568" s="66"/>
      <c r="B568" s="66"/>
      <c r="C568" s="66"/>
      <c r="D568" s="66"/>
      <c r="G568" s="67"/>
      <c r="V568" s="67"/>
    </row>
    <row r="569">
      <c r="A569" s="66"/>
      <c r="B569" s="66"/>
      <c r="C569" s="66"/>
      <c r="D569" s="66"/>
      <c r="G569" s="67"/>
      <c r="V569" s="67"/>
    </row>
    <row r="570">
      <c r="A570" s="66"/>
      <c r="B570" s="66"/>
      <c r="C570" s="66"/>
      <c r="D570" s="66"/>
      <c r="G570" s="67"/>
      <c r="V570" s="67"/>
    </row>
    <row r="571">
      <c r="A571" s="66"/>
      <c r="B571" s="66"/>
      <c r="C571" s="66"/>
      <c r="D571" s="66"/>
      <c r="G571" s="67"/>
      <c r="V571" s="67"/>
    </row>
    <row r="572">
      <c r="A572" s="66"/>
      <c r="B572" s="66"/>
      <c r="C572" s="66"/>
      <c r="D572" s="66"/>
      <c r="G572" s="67"/>
      <c r="V572" s="67"/>
    </row>
    <row r="573">
      <c r="A573" s="66"/>
      <c r="B573" s="66"/>
      <c r="C573" s="66"/>
      <c r="D573" s="66"/>
      <c r="G573" s="67"/>
      <c r="V573" s="67"/>
    </row>
    <row r="574">
      <c r="A574" s="66"/>
      <c r="B574" s="66"/>
      <c r="C574" s="66"/>
      <c r="D574" s="66"/>
      <c r="G574" s="67"/>
      <c r="V574" s="67"/>
    </row>
    <row r="575">
      <c r="A575" s="66"/>
      <c r="B575" s="66"/>
      <c r="C575" s="66"/>
      <c r="D575" s="66"/>
      <c r="G575" s="67"/>
      <c r="V575" s="67"/>
    </row>
    <row r="576">
      <c r="A576" s="66"/>
      <c r="B576" s="66"/>
      <c r="C576" s="66"/>
      <c r="D576" s="66"/>
      <c r="G576" s="67"/>
      <c r="V576" s="67"/>
    </row>
    <row r="577">
      <c r="A577" s="66"/>
      <c r="B577" s="66"/>
      <c r="C577" s="66"/>
      <c r="D577" s="66"/>
      <c r="G577" s="67"/>
      <c r="V577" s="67"/>
    </row>
    <row r="578">
      <c r="A578" s="66"/>
      <c r="B578" s="66"/>
      <c r="C578" s="66"/>
      <c r="D578" s="66"/>
      <c r="G578" s="67"/>
      <c r="V578" s="67"/>
    </row>
    <row r="579">
      <c r="A579" s="66"/>
      <c r="B579" s="66"/>
      <c r="C579" s="66"/>
      <c r="D579" s="66"/>
      <c r="G579" s="67"/>
      <c r="V579" s="67"/>
    </row>
    <row r="580">
      <c r="A580" s="66"/>
      <c r="B580" s="66"/>
      <c r="C580" s="66"/>
      <c r="D580" s="66"/>
      <c r="G580" s="67"/>
      <c r="V580" s="67"/>
    </row>
    <row r="581">
      <c r="A581" s="66"/>
      <c r="B581" s="66"/>
      <c r="C581" s="66"/>
      <c r="D581" s="66"/>
      <c r="G581" s="67"/>
      <c r="V581" s="67"/>
    </row>
    <row r="582">
      <c r="A582" s="66"/>
      <c r="B582" s="66"/>
      <c r="C582" s="66"/>
      <c r="D582" s="66"/>
      <c r="G582" s="67"/>
      <c r="V582" s="67"/>
    </row>
    <row r="583">
      <c r="A583" s="66"/>
      <c r="B583" s="66"/>
      <c r="C583" s="66"/>
      <c r="D583" s="66"/>
      <c r="G583" s="67"/>
      <c r="V583" s="67"/>
    </row>
    <row r="584">
      <c r="A584" s="66"/>
      <c r="B584" s="66"/>
      <c r="C584" s="66"/>
      <c r="D584" s="66"/>
      <c r="G584" s="67"/>
      <c r="V584" s="67"/>
    </row>
    <row r="585">
      <c r="A585" s="66"/>
      <c r="B585" s="66"/>
      <c r="C585" s="66"/>
      <c r="D585" s="66"/>
      <c r="G585" s="67"/>
      <c r="V585" s="67"/>
    </row>
    <row r="586">
      <c r="A586" s="66"/>
      <c r="B586" s="66"/>
      <c r="C586" s="66"/>
      <c r="D586" s="66"/>
      <c r="G586" s="67"/>
      <c r="V586" s="67"/>
    </row>
    <row r="587">
      <c r="A587" s="66"/>
      <c r="B587" s="66"/>
      <c r="C587" s="66"/>
      <c r="D587" s="66"/>
      <c r="G587" s="67"/>
      <c r="V587" s="67"/>
    </row>
    <row r="588">
      <c r="A588" s="66"/>
      <c r="B588" s="66"/>
      <c r="C588" s="66"/>
      <c r="D588" s="66"/>
      <c r="G588" s="67"/>
      <c r="V588" s="67"/>
    </row>
    <row r="589">
      <c r="A589" s="66"/>
      <c r="B589" s="66"/>
      <c r="C589" s="66"/>
      <c r="D589" s="66"/>
      <c r="G589" s="67"/>
      <c r="V589" s="67"/>
    </row>
    <row r="590">
      <c r="A590" s="66"/>
      <c r="B590" s="66"/>
      <c r="C590" s="66"/>
      <c r="D590" s="66"/>
      <c r="G590" s="67"/>
      <c r="V590" s="67"/>
    </row>
    <row r="591">
      <c r="A591" s="66"/>
      <c r="B591" s="66"/>
      <c r="C591" s="66"/>
      <c r="D591" s="66"/>
      <c r="G591" s="67"/>
      <c r="V591" s="67"/>
    </row>
    <row r="592">
      <c r="A592" s="66"/>
      <c r="B592" s="66"/>
      <c r="C592" s="66"/>
      <c r="D592" s="66"/>
      <c r="G592" s="67"/>
      <c r="V592" s="67"/>
    </row>
    <row r="593">
      <c r="A593" s="66"/>
      <c r="B593" s="66"/>
      <c r="C593" s="66"/>
      <c r="D593" s="66"/>
      <c r="G593" s="67"/>
      <c r="V593" s="67"/>
    </row>
    <row r="594">
      <c r="A594" s="66"/>
      <c r="B594" s="66"/>
      <c r="C594" s="66"/>
      <c r="D594" s="66"/>
      <c r="G594" s="67"/>
      <c r="V594" s="67"/>
    </row>
    <row r="595">
      <c r="A595" s="66"/>
      <c r="B595" s="66"/>
      <c r="C595" s="66"/>
      <c r="D595" s="66"/>
      <c r="G595" s="67"/>
      <c r="V595" s="67"/>
    </row>
    <row r="596">
      <c r="A596" s="66"/>
      <c r="B596" s="66"/>
      <c r="C596" s="66"/>
      <c r="D596" s="66"/>
      <c r="G596" s="67"/>
      <c r="V596" s="67"/>
    </row>
    <row r="597">
      <c r="A597" s="66"/>
      <c r="B597" s="66"/>
      <c r="C597" s="66"/>
      <c r="D597" s="66"/>
      <c r="G597" s="67"/>
      <c r="V597" s="67"/>
    </row>
    <row r="598">
      <c r="A598" s="66"/>
      <c r="B598" s="66"/>
      <c r="C598" s="66"/>
      <c r="D598" s="66"/>
      <c r="G598" s="67"/>
      <c r="V598" s="67"/>
    </row>
    <row r="599">
      <c r="A599" s="66"/>
      <c r="B599" s="66"/>
      <c r="C599" s="66"/>
      <c r="D599" s="66"/>
      <c r="G599" s="67"/>
      <c r="V599" s="67"/>
    </row>
    <row r="600">
      <c r="A600" s="66"/>
      <c r="B600" s="66"/>
      <c r="C600" s="66"/>
      <c r="D600" s="66"/>
      <c r="G600" s="67"/>
      <c r="V600" s="67"/>
    </row>
    <row r="601">
      <c r="A601" s="66"/>
      <c r="B601" s="66"/>
      <c r="C601" s="66"/>
      <c r="D601" s="66"/>
      <c r="G601" s="67"/>
      <c r="V601" s="67"/>
    </row>
    <row r="602">
      <c r="A602" s="66"/>
      <c r="B602" s="66"/>
      <c r="C602" s="66"/>
      <c r="D602" s="66"/>
      <c r="G602" s="67"/>
      <c r="V602" s="67"/>
    </row>
    <row r="603">
      <c r="A603" s="66"/>
      <c r="B603" s="66"/>
      <c r="C603" s="66"/>
      <c r="D603" s="66"/>
      <c r="G603" s="67"/>
      <c r="V603" s="67"/>
    </row>
    <row r="604">
      <c r="A604" s="66"/>
      <c r="B604" s="66"/>
      <c r="C604" s="66"/>
      <c r="D604" s="66"/>
      <c r="G604" s="67"/>
      <c r="V604" s="67"/>
    </row>
    <row r="605">
      <c r="A605" s="66"/>
      <c r="B605" s="66"/>
      <c r="C605" s="66"/>
      <c r="D605" s="66"/>
      <c r="G605" s="67"/>
      <c r="V605" s="67"/>
    </row>
    <row r="606">
      <c r="A606" s="66"/>
      <c r="B606" s="66"/>
      <c r="C606" s="66"/>
      <c r="D606" s="66"/>
      <c r="G606" s="67"/>
      <c r="V606" s="67"/>
    </row>
    <row r="607">
      <c r="A607" s="66"/>
      <c r="B607" s="66"/>
      <c r="C607" s="66"/>
      <c r="D607" s="66"/>
      <c r="G607" s="67"/>
      <c r="V607" s="67"/>
    </row>
    <row r="608">
      <c r="A608" s="66"/>
      <c r="B608" s="66"/>
      <c r="C608" s="66"/>
      <c r="D608" s="66"/>
      <c r="G608" s="67"/>
      <c r="V608" s="67"/>
    </row>
    <row r="609">
      <c r="A609" s="66"/>
      <c r="B609" s="66"/>
      <c r="C609" s="66"/>
      <c r="D609" s="66"/>
      <c r="G609" s="67"/>
      <c r="V609" s="67"/>
    </row>
    <row r="610">
      <c r="A610" s="66"/>
      <c r="B610" s="66"/>
      <c r="C610" s="66"/>
      <c r="D610" s="66"/>
      <c r="G610" s="67"/>
      <c r="V610" s="67"/>
    </row>
    <row r="611">
      <c r="A611" s="66"/>
      <c r="B611" s="66"/>
      <c r="C611" s="66"/>
      <c r="D611" s="66"/>
      <c r="G611" s="67"/>
      <c r="V611" s="67"/>
    </row>
    <row r="612">
      <c r="A612" s="66"/>
      <c r="B612" s="66"/>
      <c r="C612" s="66"/>
      <c r="D612" s="66"/>
      <c r="G612" s="67"/>
      <c r="V612" s="67"/>
    </row>
    <row r="613">
      <c r="A613" s="66"/>
      <c r="B613" s="66"/>
      <c r="C613" s="66"/>
      <c r="D613" s="66"/>
      <c r="G613" s="67"/>
      <c r="V613" s="67"/>
    </row>
    <row r="614">
      <c r="A614" s="66"/>
      <c r="B614" s="66"/>
      <c r="C614" s="66"/>
      <c r="D614" s="66"/>
      <c r="G614" s="67"/>
      <c r="V614" s="67"/>
    </row>
    <row r="615">
      <c r="A615" s="66"/>
      <c r="B615" s="66"/>
      <c r="C615" s="66"/>
      <c r="D615" s="66"/>
      <c r="G615" s="67"/>
      <c r="V615" s="67"/>
    </row>
    <row r="616">
      <c r="A616" s="66"/>
      <c r="B616" s="66"/>
      <c r="C616" s="66"/>
      <c r="D616" s="66"/>
      <c r="G616" s="67"/>
      <c r="V616" s="67"/>
    </row>
    <row r="617">
      <c r="A617" s="66"/>
      <c r="B617" s="66"/>
      <c r="C617" s="66"/>
      <c r="D617" s="66"/>
      <c r="G617" s="67"/>
      <c r="V617" s="67"/>
    </row>
    <row r="618">
      <c r="A618" s="66"/>
      <c r="B618" s="66"/>
      <c r="C618" s="66"/>
      <c r="D618" s="66"/>
      <c r="G618" s="67"/>
      <c r="V618" s="67"/>
    </row>
    <row r="619">
      <c r="A619" s="66"/>
      <c r="B619" s="66"/>
      <c r="C619" s="66"/>
      <c r="D619" s="66"/>
      <c r="G619" s="67"/>
      <c r="V619" s="67"/>
    </row>
    <row r="620">
      <c r="A620" s="66"/>
      <c r="B620" s="66"/>
      <c r="C620" s="66"/>
      <c r="D620" s="66"/>
      <c r="G620" s="67"/>
      <c r="V620" s="67"/>
    </row>
    <row r="621">
      <c r="A621" s="66"/>
      <c r="B621" s="66"/>
      <c r="C621" s="66"/>
      <c r="D621" s="66"/>
      <c r="G621" s="67"/>
      <c r="V621" s="67"/>
    </row>
    <row r="622">
      <c r="A622" s="66"/>
      <c r="B622" s="66"/>
      <c r="C622" s="66"/>
      <c r="D622" s="66"/>
      <c r="G622" s="67"/>
      <c r="V622" s="67"/>
    </row>
    <row r="623">
      <c r="A623" s="66"/>
      <c r="B623" s="66"/>
      <c r="C623" s="66"/>
      <c r="D623" s="66"/>
      <c r="G623" s="67"/>
      <c r="V623" s="67"/>
    </row>
    <row r="624">
      <c r="A624" s="66"/>
      <c r="B624" s="66"/>
      <c r="C624" s="66"/>
      <c r="D624" s="66"/>
      <c r="G624" s="67"/>
      <c r="V624" s="67"/>
    </row>
    <row r="625">
      <c r="A625" s="66"/>
      <c r="B625" s="66"/>
      <c r="C625" s="66"/>
      <c r="D625" s="66"/>
      <c r="G625" s="67"/>
      <c r="V625" s="67"/>
    </row>
    <row r="626">
      <c r="A626" s="66"/>
      <c r="B626" s="66"/>
      <c r="C626" s="66"/>
      <c r="D626" s="66"/>
      <c r="G626" s="67"/>
      <c r="V626" s="67"/>
    </row>
    <row r="627">
      <c r="A627" s="66"/>
      <c r="B627" s="66"/>
      <c r="C627" s="66"/>
      <c r="D627" s="66"/>
      <c r="G627" s="67"/>
      <c r="V627" s="67"/>
    </row>
    <row r="628">
      <c r="A628" s="66"/>
      <c r="B628" s="66"/>
      <c r="C628" s="66"/>
      <c r="D628" s="66"/>
      <c r="G628" s="67"/>
      <c r="V628" s="67"/>
    </row>
    <row r="629">
      <c r="A629" s="66"/>
      <c r="B629" s="66"/>
      <c r="C629" s="66"/>
      <c r="D629" s="66"/>
      <c r="G629" s="67"/>
      <c r="V629" s="67"/>
    </row>
    <row r="630">
      <c r="A630" s="66"/>
      <c r="B630" s="66"/>
      <c r="C630" s="66"/>
      <c r="D630" s="66"/>
      <c r="G630" s="67"/>
      <c r="V630" s="67"/>
    </row>
    <row r="631">
      <c r="A631" s="66"/>
      <c r="B631" s="66"/>
      <c r="C631" s="66"/>
      <c r="D631" s="66"/>
      <c r="G631" s="67"/>
      <c r="V631" s="67"/>
    </row>
    <row r="632">
      <c r="A632" s="66"/>
      <c r="B632" s="66"/>
      <c r="C632" s="66"/>
      <c r="D632" s="66"/>
      <c r="G632" s="67"/>
      <c r="V632" s="67"/>
    </row>
    <row r="633">
      <c r="A633" s="66"/>
      <c r="B633" s="66"/>
      <c r="C633" s="66"/>
      <c r="D633" s="66"/>
      <c r="G633" s="67"/>
      <c r="V633" s="67"/>
    </row>
    <row r="634">
      <c r="A634" s="66"/>
      <c r="B634" s="66"/>
      <c r="C634" s="66"/>
      <c r="D634" s="66"/>
      <c r="G634" s="67"/>
      <c r="V634" s="67"/>
    </row>
    <row r="635">
      <c r="A635" s="66"/>
      <c r="B635" s="66"/>
      <c r="C635" s="66"/>
      <c r="D635" s="66"/>
      <c r="G635" s="67"/>
      <c r="V635" s="67"/>
    </row>
    <row r="636">
      <c r="A636" s="66"/>
      <c r="B636" s="66"/>
      <c r="C636" s="66"/>
      <c r="D636" s="66"/>
      <c r="G636" s="67"/>
      <c r="V636" s="67"/>
    </row>
    <row r="637">
      <c r="A637" s="66"/>
      <c r="B637" s="66"/>
      <c r="C637" s="66"/>
      <c r="D637" s="66"/>
      <c r="G637" s="67"/>
      <c r="V637" s="67"/>
    </row>
    <row r="638">
      <c r="A638" s="66"/>
      <c r="B638" s="66"/>
      <c r="C638" s="66"/>
      <c r="D638" s="66"/>
      <c r="G638" s="67"/>
      <c r="V638" s="67"/>
    </row>
    <row r="639">
      <c r="A639" s="66"/>
      <c r="B639" s="66"/>
      <c r="C639" s="66"/>
      <c r="D639" s="66"/>
      <c r="G639" s="67"/>
      <c r="V639" s="67"/>
    </row>
    <row r="640">
      <c r="A640" s="66"/>
      <c r="B640" s="66"/>
      <c r="C640" s="66"/>
      <c r="D640" s="66"/>
      <c r="G640" s="67"/>
      <c r="V640" s="67"/>
    </row>
    <row r="641">
      <c r="A641" s="66"/>
      <c r="B641" s="66"/>
      <c r="C641" s="66"/>
      <c r="D641" s="66"/>
      <c r="G641" s="67"/>
      <c r="V641" s="67"/>
    </row>
    <row r="642">
      <c r="A642" s="66"/>
      <c r="B642" s="66"/>
      <c r="C642" s="66"/>
      <c r="D642" s="66"/>
      <c r="G642" s="67"/>
      <c r="V642" s="67"/>
    </row>
    <row r="643">
      <c r="A643" s="66"/>
      <c r="B643" s="66"/>
      <c r="C643" s="66"/>
      <c r="D643" s="66"/>
      <c r="G643" s="67"/>
      <c r="V643" s="67"/>
    </row>
    <row r="644">
      <c r="A644" s="66"/>
      <c r="B644" s="66"/>
      <c r="C644" s="66"/>
      <c r="D644" s="66"/>
      <c r="G644" s="67"/>
      <c r="V644" s="67"/>
    </row>
    <row r="645">
      <c r="A645" s="66"/>
      <c r="B645" s="66"/>
      <c r="C645" s="66"/>
      <c r="D645" s="66"/>
      <c r="G645" s="67"/>
      <c r="V645" s="67"/>
    </row>
    <row r="646">
      <c r="A646" s="66"/>
      <c r="B646" s="66"/>
      <c r="C646" s="66"/>
      <c r="D646" s="66"/>
      <c r="G646" s="67"/>
      <c r="V646" s="67"/>
    </row>
    <row r="647">
      <c r="A647" s="66"/>
      <c r="B647" s="66"/>
      <c r="C647" s="66"/>
      <c r="D647" s="66"/>
      <c r="G647" s="67"/>
      <c r="V647" s="67"/>
    </row>
    <row r="648">
      <c r="A648" s="66"/>
      <c r="B648" s="66"/>
      <c r="C648" s="66"/>
      <c r="D648" s="66"/>
      <c r="G648" s="67"/>
      <c r="V648" s="67"/>
    </row>
    <row r="649">
      <c r="A649" s="66"/>
      <c r="B649" s="66"/>
      <c r="C649" s="66"/>
      <c r="D649" s="66"/>
      <c r="G649" s="67"/>
      <c r="V649" s="67"/>
    </row>
    <row r="650">
      <c r="A650" s="66"/>
      <c r="B650" s="66"/>
      <c r="C650" s="66"/>
      <c r="D650" s="66"/>
      <c r="G650" s="67"/>
      <c r="V650" s="67"/>
    </row>
    <row r="651">
      <c r="A651" s="66"/>
      <c r="B651" s="66"/>
      <c r="C651" s="66"/>
      <c r="D651" s="66"/>
      <c r="G651" s="67"/>
      <c r="V651" s="67"/>
    </row>
    <row r="652">
      <c r="A652" s="66"/>
      <c r="B652" s="66"/>
      <c r="C652" s="66"/>
      <c r="D652" s="66"/>
      <c r="G652" s="67"/>
      <c r="V652" s="67"/>
    </row>
    <row r="653">
      <c r="A653" s="66"/>
      <c r="B653" s="66"/>
      <c r="C653" s="66"/>
      <c r="D653" s="66"/>
      <c r="G653" s="67"/>
      <c r="V653" s="67"/>
    </row>
    <row r="654">
      <c r="A654" s="66"/>
      <c r="B654" s="66"/>
      <c r="C654" s="66"/>
      <c r="D654" s="66"/>
      <c r="G654" s="67"/>
      <c r="V654" s="67"/>
    </row>
    <row r="655">
      <c r="A655" s="66"/>
      <c r="B655" s="66"/>
      <c r="C655" s="66"/>
      <c r="D655" s="66"/>
      <c r="G655" s="67"/>
      <c r="V655" s="67"/>
    </row>
    <row r="656">
      <c r="A656" s="66"/>
      <c r="B656" s="66"/>
      <c r="C656" s="66"/>
      <c r="D656" s="66"/>
      <c r="G656" s="67"/>
      <c r="V656" s="67"/>
    </row>
    <row r="657">
      <c r="A657" s="66"/>
      <c r="B657" s="66"/>
      <c r="C657" s="66"/>
      <c r="D657" s="66"/>
      <c r="G657" s="67"/>
      <c r="V657" s="67"/>
    </row>
    <row r="658">
      <c r="A658" s="66"/>
      <c r="B658" s="66"/>
      <c r="C658" s="66"/>
      <c r="D658" s="66"/>
      <c r="G658" s="67"/>
      <c r="V658" s="67"/>
    </row>
    <row r="659">
      <c r="A659" s="66"/>
      <c r="B659" s="66"/>
      <c r="C659" s="66"/>
      <c r="D659" s="66"/>
      <c r="G659" s="67"/>
      <c r="V659" s="67"/>
    </row>
    <row r="660">
      <c r="A660" s="66"/>
      <c r="B660" s="66"/>
      <c r="C660" s="66"/>
      <c r="D660" s="66"/>
      <c r="G660" s="67"/>
      <c r="V660" s="67"/>
    </row>
    <row r="661">
      <c r="A661" s="66"/>
      <c r="B661" s="66"/>
      <c r="C661" s="66"/>
      <c r="D661" s="66"/>
      <c r="G661" s="67"/>
      <c r="V661" s="67"/>
    </row>
    <row r="662">
      <c r="A662" s="66"/>
      <c r="B662" s="66"/>
      <c r="C662" s="66"/>
      <c r="D662" s="66"/>
      <c r="G662" s="67"/>
      <c r="V662" s="67"/>
    </row>
    <row r="663">
      <c r="A663" s="66"/>
      <c r="B663" s="66"/>
      <c r="C663" s="66"/>
      <c r="D663" s="66"/>
      <c r="G663" s="67"/>
      <c r="V663" s="67"/>
    </row>
    <row r="664">
      <c r="A664" s="66"/>
      <c r="B664" s="66"/>
      <c r="C664" s="66"/>
      <c r="D664" s="66"/>
      <c r="G664" s="67"/>
      <c r="V664" s="67"/>
    </row>
    <row r="665">
      <c r="A665" s="66"/>
      <c r="B665" s="66"/>
      <c r="C665" s="66"/>
      <c r="D665" s="66"/>
      <c r="G665" s="67"/>
      <c r="V665" s="67"/>
    </row>
    <row r="666">
      <c r="A666" s="66"/>
      <c r="B666" s="66"/>
      <c r="C666" s="66"/>
      <c r="D666" s="66"/>
      <c r="G666" s="67"/>
      <c r="V666" s="67"/>
    </row>
    <row r="667">
      <c r="A667" s="66"/>
      <c r="B667" s="66"/>
      <c r="C667" s="66"/>
      <c r="D667" s="66"/>
      <c r="G667" s="67"/>
      <c r="V667" s="67"/>
    </row>
    <row r="668">
      <c r="A668" s="66"/>
      <c r="B668" s="66"/>
      <c r="C668" s="66"/>
      <c r="D668" s="66"/>
      <c r="G668" s="67"/>
      <c r="V668" s="67"/>
    </row>
    <row r="669">
      <c r="A669" s="66"/>
      <c r="B669" s="66"/>
      <c r="C669" s="66"/>
      <c r="D669" s="66"/>
      <c r="G669" s="67"/>
      <c r="V669" s="67"/>
    </row>
    <row r="670">
      <c r="A670" s="66"/>
      <c r="B670" s="66"/>
      <c r="C670" s="66"/>
      <c r="D670" s="66"/>
      <c r="G670" s="67"/>
      <c r="V670" s="67"/>
    </row>
    <row r="671">
      <c r="A671" s="66"/>
      <c r="B671" s="66"/>
      <c r="C671" s="66"/>
      <c r="D671" s="66"/>
      <c r="G671" s="67"/>
      <c r="V671" s="67"/>
    </row>
    <row r="672">
      <c r="A672" s="66"/>
      <c r="B672" s="66"/>
      <c r="C672" s="66"/>
      <c r="D672" s="66"/>
      <c r="G672" s="67"/>
      <c r="V672" s="67"/>
    </row>
    <row r="673">
      <c r="A673" s="66"/>
      <c r="B673" s="66"/>
      <c r="C673" s="66"/>
      <c r="D673" s="66"/>
      <c r="G673" s="67"/>
      <c r="V673" s="67"/>
    </row>
    <row r="674">
      <c r="A674" s="66"/>
      <c r="B674" s="66"/>
      <c r="C674" s="66"/>
      <c r="D674" s="66"/>
      <c r="G674" s="67"/>
      <c r="V674" s="67"/>
    </row>
    <row r="675">
      <c r="A675" s="66"/>
      <c r="B675" s="66"/>
      <c r="C675" s="66"/>
      <c r="D675" s="66"/>
      <c r="G675" s="67"/>
      <c r="V675" s="67"/>
    </row>
    <row r="676">
      <c r="A676" s="66"/>
      <c r="B676" s="66"/>
      <c r="C676" s="66"/>
      <c r="D676" s="66"/>
      <c r="G676" s="67"/>
      <c r="V676" s="67"/>
    </row>
    <row r="677">
      <c r="A677" s="66"/>
      <c r="B677" s="66"/>
      <c r="C677" s="66"/>
      <c r="D677" s="66"/>
      <c r="G677" s="67"/>
      <c r="V677" s="67"/>
    </row>
    <row r="678">
      <c r="A678" s="66"/>
      <c r="B678" s="66"/>
      <c r="C678" s="66"/>
      <c r="D678" s="66"/>
      <c r="G678" s="67"/>
      <c r="V678" s="67"/>
    </row>
    <row r="679">
      <c r="A679" s="66"/>
      <c r="B679" s="66"/>
      <c r="C679" s="66"/>
      <c r="D679" s="66"/>
      <c r="G679" s="67"/>
      <c r="V679" s="67"/>
    </row>
    <row r="680">
      <c r="A680" s="66"/>
      <c r="B680" s="66"/>
      <c r="C680" s="66"/>
      <c r="D680" s="66"/>
      <c r="G680" s="67"/>
      <c r="V680" s="67"/>
    </row>
    <row r="681">
      <c r="A681" s="66"/>
      <c r="B681" s="66"/>
      <c r="C681" s="66"/>
      <c r="D681" s="66"/>
      <c r="G681" s="67"/>
      <c r="V681" s="67"/>
    </row>
    <row r="682">
      <c r="A682" s="66"/>
      <c r="B682" s="66"/>
      <c r="C682" s="66"/>
      <c r="D682" s="66"/>
      <c r="G682" s="67"/>
      <c r="V682" s="67"/>
    </row>
    <row r="683">
      <c r="A683" s="66"/>
      <c r="B683" s="66"/>
      <c r="C683" s="66"/>
      <c r="D683" s="66"/>
      <c r="G683" s="67"/>
      <c r="V683" s="67"/>
    </row>
    <row r="684">
      <c r="A684" s="66"/>
      <c r="B684" s="66"/>
      <c r="C684" s="66"/>
      <c r="D684" s="66"/>
      <c r="G684" s="67"/>
      <c r="V684" s="67"/>
    </row>
    <row r="685">
      <c r="A685" s="66"/>
      <c r="B685" s="66"/>
      <c r="C685" s="66"/>
      <c r="D685" s="66"/>
      <c r="G685" s="67"/>
      <c r="V685" s="67"/>
    </row>
    <row r="686">
      <c r="A686" s="66"/>
      <c r="B686" s="66"/>
      <c r="C686" s="66"/>
      <c r="D686" s="66"/>
      <c r="G686" s="67"/>
      <c r="V686" s="67"/>
    </row>
    <row r="687">
      <c r="A687" s="66"/>
      <c r="B687" s="66"/>
      <c r="C687" s="66"/>
      <c r="D687" s="66"/>
      <c r="G687" s="67"/>
      <c r="V687" s="67"/>
    </row>
    <row r="688">
      <c r="A688" s="66"/>
      <c r="B688" s="66"/>
      <c r="C688" s="66"/>
      <c r="D688" s="66"/>
      <c r="G688" s="67"/>
      <c r="V688" s="67"/>
    </row>
    <row r="689">
      <c r="A689" s="66"/>
      <c r="B689" s="66"/>
      <c r="C689" s="66"/>
      <c r="D689" s="66"/>
      <c r="G689" s="67"/>
      <c r="V689" s="67"/>
    </row>
    <row r="690">
      <c r="A690" s="66"/>
      <c r="B690" s="66"/>
      <c r="C690" s="66"/>
      <c r="D690" s="66"/>
      <c r="G690" s="67"/>
      <c r="V690" s="67"/>
    </row>
    <row r="691">
      <c r="A691" s="66"/>
      <c r="B691" s="66"/>
      <c r="C691" s="66"/>
      <c r="D691" s="66"/>
      <c r="G691" s="67"/>
      <c r="V691" s="67"/>
    </row>
    <row r="692">
      <c r="A692" s="66"/>
      <c r="B692" s="66"/>
      <c r="C692" s="66"/>
      <c r="D692" s="66"/>
      <c r="G692" s="67"/>
      <c r="V692" s="67"/>
    </row>
    <row r="693">
      <c r="A693" s="66"/>
      <c r="B693" s="66"/>
      <c r="C693" s="66"/>
      <c r="D693" s="66"/>
      <c r="G693" s="67"/>
      <c r="V693" s="67"/>
    </row>
    <row r="694">
      <c r="A694" s="66"/>
      <c r="B694" s="66"/>
      <c r="C694" s="66"/>
      <c r="D694" s="66"/>
      <c r="G694" s="67"/>
      <c r="V694" s="67"/>
    </row>
    <row r="695">
      <c r="A695" s="66"/>
      <c r="B695" s="66"/>
      <c r="C695" s="66"/>
      <c r="D695" s="66"/>
      <c r="G695" s="67"/>
      <c r="V695" s="67"/>
    </row>
    <row r="696">
      <c r="A696" s="66"/>
      <c r="B696" s="66"/>
      <c r="C696" s="66"/>
      <c r="D696" s="66"/>
      <c r="G696" s="67"/>
      <c r="V696" s="67"/>
    </row>
    <row r="697">
      <c r="A697" s="66"/>
      <c r="B697" s="66"/>
      <c r="C697" s="66"/>
      <c r="D697" s="66"/>
      <c r="G697" s="67"/>
      <c r="V697" s="67"/>
    </row>
    <row r="698">
      <c r="A698" s="66"/>
      <c r="B698" s="66"/>
      <c r="C698" s="66"/>
      <c r="D698" s="66"/>
      <c r="G698" s="67"/>
      <c r="V698" s="67"/>
    </row>
    <row r="699">
      <c r="A699" s="66"/>
      <c r="B699" s="66"/>
      <c r="C699" s="66"/>
      <c r="D699" s="66"/>
      <c r="G699" s="67"/>
      <c r="V699" s="67"/>
    </row>
    <row r="700">
      <c r="A700" s="66"/>
      <c r="B700" s="66"/>
      <c r="C700" s="66"/>
      <c r="D700" s="66"/>
      <c r="G700" s="67"/>
      <c r="V700" s="67"/>
    </row>
    <row r="701">
      <c r="A701" s="66"/>
      <c r="B701" s="66"/>
      <c r="C701" s="66"/>
      <c r="D701" s="66"/>
      <c r="G701" s="67"/>
      <c r="V701" s="67"/>
    </row>
    <row r="702">
      <c r="A702" s="66"/>
      <c r="B702" s="66"/>
      <c r="C702" s="66"/>
      <c r="D702" s="66"/>
      <c r="G702" s="67"/>
      <c r="V702" s="67"/>
    </row>
    <row r="703">
      <c r="A703" s="66"/>
      <c r="B703" s="66"/>
      <c r="C703" s="66"/>
      <c r="D703" s="66"/>
      <c r="G703" s="67"/>
      <c r="V703" s="67"/>
    </row>
    <row r="704">
      <c r="A704" s="66"/>
      <c r="B704" s="66"/>
      <c r="C704" s="66"/>
      <c r="D704" s="66"/>
      <c r="G704" s="67"/>
      <c r="V704" s="67"/>
    </row>
    <row r="705">
      <c r="A705" s="66"/>
      <c r="B705" s="66"/>
      <c r="C705" s="66"/>
      <c r="D705" s="66"/>
      <c r="G705" s="67"/>
      <c r="V705" s="67"/>
    </row>
    <row r="706">
      <c r="A706" s="66"/>
      <c r="B706" s="66"/>
      <c r="C706" s="66"/>
      <c r="D706" s="66"/>
      <c r="G706" s="67"/>
      <c r="V706" s="67"/>
    </row>
    <row r="707">
      <c r="A707" s="66"/>
      <c r="B707" s="66"/>
      <c r="C707" s="66"/>
      <c r="D707" s="66"/>
      <c r="G707" s="67"/>
      <c r="V707" s="67"/>
    </row>
    <row r="708">
      <c r="A708" s="66"/>
      <c r="B708" s="66"/>
      <c r="C708" s="66"/>
      <c r="D708" s="66"/>
      <c r="G708" s="67"/>
      <c r="V708" s="67"/>
    </row>
    <row r="709">
      <c r="A709" s="66"/>
      <c r="B709" s="66"/>
      <c r="C709" s="66"/>
      <c r="D709" s="66"/>
      <c r="G709" s="67"/>
      <c r="V709" s="67"/>
    </row>
    <row r="710">
      <c r="A710" s="66"/>
      <c r="B710" s="66"/>
      <c r="C710" s="66"/>
      <c r="D710" s="66"/>
      <c r="G710" s="67"/>
      <c r="V710" s="67"/>
    </row>
    <row r="711">
      <c r="A711" s="66"/>
      <c r="B711" s="66"/>
      <c r="C711" s="66"/>
      <c r="D711" s="66"/>
      <c r="G711" s="67"/>
      <c r="V711" s="67"/>
    </row>
    <row r="712">
      <c r="A712" s="66"/>
      <c r="B712" s="66"/>
      <c r="C712" s="66"/>
      <c r="D712" s="66"/>
      <c r="G712" s="67"/>
      <c r="V712" s="67"/>
    </row>
    <row r="713">
      <c r="A713" s="66"/>
      <c r="B713" s="66"/>
      <c r="C713" s="66"/>
      <c r="D713" s="66"/>
      <c r="G713" s="67"/>
      <c r="V713" s="67"/>
    </row>
    <row r="714">
      <c r="A714" s="66"/>
      <c r="B714" s="66"/>
      <c r="C714" s="66"/>
      <c r="D714" s="66"/>
      <c r="G714" s="67"/>
      <c r="V714" s="67"/>
    </row>
    <row r="715">
      <c r="A715" s="66"/>
      <c r="B715" s="66"/>
      <c r="C715" s="66"/>
      <c r="D715" s="66"/>
      <c r="G715" s="67"/>
      <c r="V715" s="67"/>
    </row>
    <row r="716">
      <c r="A716" s="66"/>
      <c r="B716" s="66"/>
      <c r="C716" s="66"/>
      <c r="D716" s="66"/>
      <c r="G716" s="67"/>
      <c r="V716" s="67"/>
    </row>
    <row r="717">
      <c r="A717" s="66"/>
      <c r="B717" s="66"/>
      <c r="C717" s="66"/>
      <c r="D717" s="66"/>
      <c r="G717" s="67"/>
      <c r="V717" s="67"/>
    </row>
    <row r="718">
      <c r="A718" s="66"/>
      <c r="B718" s="66"/>
      <c r="C718" s="66"/>
      <c r="D718" s="66"/>
      <c r="G718" s="67"/>
      <c r="V718" s="67"/>
    </row>
    <row r="719">
      <c r="A719" s="66"/>
      <c r="B719" s="66"/>
      <c r="C719" s="66"/>
      <c r="D719" s="66"/>
      <c r="G719" s="67"/>
      <c r="V719" s="67"/>
    </row>
    <row r="720">
      <c r="A720" s="66"/>
      <c r="B720" s="66"/>
      <c r="C720" s="66"/>
      <c r="D720" s="66"/>
      <c r="G720" s="67"/>
      <c r="V720" s="67"/>
    </row>
    <row r="721">
      <c r="A721" s="66"/>
      <c r="B721" s="66"/>
      <c r="C721" s="66"/>
      <c r="D721" s="66"/>
      <c r="G721" s="67"/>
      <c r="V721" s="67"/>
    </row>
    <row r="722">
      <c r="A722" s="66"/>
      <c r="B722" s="66"/>
      <c r="C722" s="66"/>
      <c r="D722" s="66"/>
      <c r="G722" s="67"/>
      <c r="V722" s="67"/>
    </row>
    <row r="723">
      <c r="A723" s="66"/>
      <c r="B723" s="66"/>
      <c r="C723" s="66"/>
      <c r="D723" s="66"/>
      <c r="G723" s="67"/>
      <c r="V723" s="67"/>
    </row>
    <row r="724">
      <c r="A724" s="66"/>
      <c r="B724" s="66"/>
      <c r="C724" s="66"/>
      <c r="D724" s="66"/>
      <c r="G724" s="67"/>
      <c r="V724" s="67"/>
    </row>
    <row r="725">
      <c r="A725" s="66"/>
      <c r="B725" s="66"/>
      <c r="C725" s="66"/>
      <c r="D725" s="66"/>
      <c r="G725" s="67"/>
      <c r="V725" s="67"/>
    </row>
    <row r="726">
      <c r="A726" s="66"/>
      <c r="B726" s="66"/>
      <c r="C726" s="66"/>
      <c r="D726" s="66"/>
      <c r="G726" s="67"/>
      <c r="V726" s="67"/>
    </row>
    <row r="727">
      <c r="A727" s="66"/>
      <c r="B727" s="66"/>
      <c r="C727" s="66"/>
      <c r="D727" s="66"/>
      <c r="G727" s="67"/>
      <c r="V727" s="67"/>
    </row>
    <row r="728">
      <c r="A728" s="66"/>
      <c r="B728" s="66"/>
      <c r="C728" s="66"/>
      <c r="D728" s="66"/>
      <c r="G728" s="67"/>
      <c r="V728" s="67"/>
    </row>
    <row r="729">
      <c r="A729" s="66"/>
      <c r="B729" s="66"/>
      <c r="C729" s="66"/>
      <c r="D729" s="66"/>
      <c r="G729" s="67"/>
      <c r="V729" s="67"/>
    </row>
    <row r="730">
      <c r="A730" s="66"/>
      <c r="B730" s="66"/>
      <c r="C730" s="66"/>
      <c r="D730" s="66"/>
      <c r="G730" s="67"/>
      <c r="V730" s="67"/>
    </row>
    <row r="731">
      <c r="A731" s="66"/>
      <c r="B731" s="66"/>
      <c r="C731" s="66"/>
      <c r="D731" s="66"/>
      <c r="G731" s="67"/>
      <c r="V731" s="67"/>
    </row>
    <row r="732">
      <c r="A732" s="66"/>
      <c r="B732" s="66"/>
      <c r="C732" s="66"/>
      <c r="D732" s="66"/>
      <c r="G732" s="67"/>
      <c r="V732" s="67"/>
    </row>
    <row r="733">
      <c r="A733" s="66"/>
      <c r="B733" s="66"/>
      <c r="C733" s="66"/>
      <c r="D733" s="66"/>
      <c r="G733" s="67"/>
      <c r="V733" s="67"/>
    </row>
    <row r="734">
      <c r="A734" s="66"/>
      <c r="B734" s="66"/>
      <c r="C734" s="66"/>
      <c r="D734" s="66"/>
      <c r="G734" s="67"/>
      <c r="V734" s="67"/>
    </row>
    <row r="735">
      <c r="A735" s="66"/>
      <c r="B735" s="66"/>
      <c r="C735" s="66"/>
      <c r="D735" s="66"/>
      <c r="G735" s="67"/>
      <c r="V735" s="67"/>
    </row>
    <row r="736">
      <c r="A736" s="66"/>
      <c r="B736" s="66"/>
      <c r="C736" s="66"/>
      <c r="D736" s="66"/>
      <c r="G736" s="67"/>
      <c r="V736" s="67"/>
    </row>
    <row r="737">
      <c r="A737" s="66"/>
      <c r="B737" s="66"/>
      <c r="C737" s="66"/>
      <c r="D737" s="66"/>
      <c r="G737" s="67"/>
      <c r="V737" s="67"/>
    </row>
    <row r="738">
      <c r="A738" s="66"/>
      <c r="B738" s="66"/>
      <c r="C738" s="66"/>
      <c r="D738" s="66"/>
      <c r="G738" s="67"/>
      <c r="V738" s="67"/>
    </row>
    <row r="739">
      <c r="A739" s="66"/>
      <c r="B739" s="66"/>
      <c r="C739" s="66"/>
      <c r="D739" s="66"/>
      <c r="G739" s="67"/>
      <c r="V739" s="67"/>
    </row>
    <row r="740">
      <c r="A740" s="66"/>
      <c r="B740" s="66"/>
      <c r="C740" s="66"/>
      <c r="D740" s="66"/>
      <c r="G740" s="67"/>
      <c r="V740" s="67"/>
    </row>
    <row r="741">
      <c r="A741" s="66"/>
      <c r="B741" s="66"/>
      <c r="C741" s="66"/>
      <c r="D741" s="66"/>
      <c r="G741" s="67"/>
      <c r="V741" s="67"/>
    </row>
    <row r="742">
      <c r="A742" s="66"/>
      <c r="B742" s="66"/>
      <c r="C742" s="66"/>
      <c r="D742" s="66"/>
      <c r="G742" s="67"/>
      <c r="V742" s="67"/>
    </row>
    <row r="743">
      <c r="A743" s="66"/>
      <c r="B743" s="66"/>
      <c r="C743" s="66"/>
      <c r="D743" s="66"/>
      <c r="G743" s="67"/>
      <c r="V743" s="67"/>
    </row>
    <row r="744">
      <c r="A744" s="66"/>
      <c r="B744" s="66"/>
      <c r="C744" s="66"/>
      <c r="D744" s="66"/>
      <c r="G744" s="67"/>
      <c r="V744" s="67"/>
    </row>
    <row r="745">
      <c r="A745" s="66"/>
      <c r="B745" s="66"/>
      <c r="C745" s="66"/>
      <c r="D745" s="66"/>
      <c r="G745" s="67"/>
      <c r="V745" s="67"/>
    </row>
    <row r="746">
      <c r="A746" s="66"/>
      <c r="B746" s="66"/>
      <c r="C746" s="66"/>
      <c r="D746" s="66"/>
      <c r="G746" s="67"/>
      <c r="V746" s="67"/>
    </row>
    <row r="747">
      <c r="A747" s="66"/>
      <c r="B747" s="66"/>
      <c r="C747" s="66"/>
      <c r="D747" s="66"/>
      <c r="G747" s="67"/>
      <c r="V747" s="67"/>
    </row>
    <row r="748">
      <c r="A748" s="66"/>
      <c r="B748" s="66"/>
      <c r="C748" s="66"/>
      <c r="D748" s="66"/>
      <c r="G748" s="67"/>
      <c r="V748" s="67"/>
    </row>
    <row r="749">
      <c r="A749" s="66"/>
      <c r="B749" s="66"/>
      <c r="C749" s="66"/>
      <c r="D749" s="66"/>
      <c r="G749" s="67"/>
      <c r="V749" s="67"/>
    </row>
    <row r="750">
      <c r="A750" s="66"/>
      <c r="B750" s="66"/>
      <c r="C750" s="66"/>
      <c r="D750" s="66"/>
      <c r="G750" s="67"/>
      <c r="V750" s="67"/>
    </row>
    <row r="751">
      <c r="A751" s="66"/>
      <c r="B751" s="66"/>
      <c r="C751" s="66"/>
      <c r="D751" s="66"/>
      <c r="G751" s="67"/>
      <c r="V751" s="67"/>
    </row>
    <row r="752">
      <c r="A752" s="66"/>
      <c r="B752" s="66"/>
      <c r="C752" s="66"/>
      <c r="D752" s="66"/>
      <c r="G752" s="67"/>
      <c r="V752" s="67"/>
    </row>
    <row r="753">
      <c r="A753" s="66"/>
      <c r="B753" s="66"/>
      <c r="C753" s="66"/>
      <c r="D753" s="66"/>
      <c r="G753" s="67"/>
      <c r="V753" s="67"/>
    </row>
    <row r="754">
      <c r="A754" s="66"/>
      <c r="B754" s="66"/>
      <c r="C754" s="66"/>
      <c r="D754" s="66"/>
      <c r="G754" s="67"/>
      <c r="V754" s="67"/>
    </row>
    <row r="755">
      <c r="A755" s="66"/>
      <c r="B755" s="66"/>
      <c r="C755" s="66"/>
      <c r="D755" s="66"/>
      <c r="G755" s="67"/>
      <c r="V755" s="67"/>
    </row>
    <row r="756">
      <c r="A756" s="66"/>
      <c r="B756" s="66"/>
      <c r="C756" s="66"/>
      <c r="D756" s="66"/>
      <c r="G756" s="67"/>
      <c r="V756" s="67"/>
    </row>
    <row r="757">
      <c r="A757" s="66"/>
      <c r="B757" s="66"/>
      <c r="C757" s="66"/>
      <c r="D757" s="66"/>
      <c r="G757" s="67"/>
      <c r="V757" s="67"/>
    </row>
    <row r="758">
      <c r="A758" s="66"/>
      <c r="B758" s="66"/>
      <c r="C758" s="66"/>
      <c r="D758" s="66"/>
      <c r="G758" s="67"/>
      <c r="V758" s="67"/>
    </row>
    <row r="759">
      <c r="A759" s="66"/>
      <c r="B759" s="66"/>
      <c r="C759" s="66"/>
      <c r="D759" s="66"/>
      <c r="G759" s="67"/>
      <c r="V759" s="67"/>
    </row>
    <row r="760">
      <c r="A760" s="66"/>
      <c r="B760" s="66"/>
      <c r="C760" s="66"/>
      <c r="D760" s="66"/>
      <c r="G760" s="67"/>
      <c r="V760" s="67"/>
    </row>
    <row r="761">
      <c r="A761" s="66"/>
      <c r="B761" s="66"/>
      <c r="C761" s="66"/>
      <c r="D761" s="66"/>
      <c r="G761" s="67"/>
      <c r="V761" s="67"/>
    </row>
    <row r="762">
      <c r="A762" s="66"/>
      <c r="B762" s="66"/>
      <c r="C762" s="66"/>
      <c r="D762" s="66"/>
      <c r="G762" s="67"/>
      <c r="V762" s="67"/>
    </row>
    <row r="763">
      <c r="A763" s="66"/>
      <c r="B763" s="66"/>
      <c r="C763" s="66"/>
      <c r="D763" s="66"/>
      <c r="G763" s="67"/>
      <c r="V763" s="67"/>
    </row>
    <row r="764">
      <c r="A764" s="66"/>
      <c r="B764" s="66"/>
      <c r="C764" s="66"/>
      <c r="D764" s="66"/>
      <c r="G764" s="67"/>
      <c r="V764" s="67"/>
    </row>
    <row r="765">
      <c r="A765" s="66"/>
      <c r="B765" s="66"/>
      <c r="C765" s="66"/>
      <c r="D765" s="66"/>
      <c r="G765" s="67"/>
      <c r="V765" s="67"/>
    </row>
    <row r="766">
      <c r="A766" s="66"/>
      <c r="B766" s="66"/>
      <c r="C766" s="66"/>
      <c r="D766" s="66"/>
      <c r="G766" s="67"/>
      <c r="V766" s="67"/>
    </row>
    <row r="767">
      <c r="A767" s="66"/>
      <c r="B767" s="66"/>
      <c r="C767" s="66"/>
      <c r="D767" s="66"/>
      <c r="G767" s="67"/>
      <c r="V767" s="67"/>
    </row>
    <row r="768">
      <c r="A768" s="66"/>
      <c r="B768" s="66"/>
      <c r="C768" s="66"/>
      <c r="D768" s="66"/>
      <c r="G768" s="67"/>
      <c r="V768" s="67"/>
    </row>
    <row r="769">
      <c r="A769" s="66"/>
      <c r="B769" s="66"/>
      <c r="C769" s="66"/>
      <c r="D769" s="66"/>
      <c r="G769" s="67"/>
      <c r="V769" s="67"/>
    </row>
    <row r="770">
      <c r="A770" s="66"/>
      <c r="B770" s="66"/>
      <c r="C770" s="66"/>
      <c r="D770" s="66"/>
      <c r="G770" s="67"/>
      <c r="V770" s="67"/>
    </row>
    <row r="771">
      <c r="A771" s="66"/>
      <c r="B771" s="66"/>
      <c r="C771" s="66"/>
      <c r="D771" s="66"/>
      <c r="G771" s="67"/>
      <c r="V771" s="67"/>
    </row>
    <row r="772">
      <c r="A772" s="66"/>
      <c r="B772" s="66"/>
      <c r="C772" s="66"/>
      <c r="D772" s="66"/>
      <c r="G772" s="67"/>
      <c r="V772" s="67"/>
    </row>
    <row r="773">
      <c r="A773" s="66"/>
      <c r="B773" s="66"/>
      <c r="C773" s="66"/>
      <c r="D773" s="66"/>
      <c r="G773" s="67"/>
      <c r="V773" s="67"/>
    </row>
    <row r="774">
      <c r="A774" s="66"/>
      <c r="B774" s="66"/>
      <c r="C774" s="66"/>
      <c r="D774" s="66"/>
      <c r="G774" s="67"/>
      <c r="V774" s="67"/>
    </row>
    <row r="775">
      <c r="A775" s="66"/>
      <c r="B775" s="66"/>
      <c r="C775" s="66"/>
      <c r="D775" s="66"/>
      <c r="G775" s="67"/>
      <c r="V775" s="67"/>
    </row>
    <row r="776">
      <c r="A776" s="66"/>
      <c r="B776" s="66"/>
      <c r="C776" s="66"/>
      <c r="D776" s="66"/>
      <c r="G776" s="67"/>
      <c r="V776" s="67"/>
    </row>
    <row r="777">
      <c r="A777" s="66"/>
      <c r="B777" s="66"/>
      <c r="C777" s="66"/>
      <c r="D777" s="66"/>
      <c r="G777" s="67"/>
      <c r="V777" s="67"/>
    </row>
    <row r="778">
      <c r="A778" s="66"/>
      <c r="B778" s="66"/>
      <c r="C778" s="66"/>
      <c r="D778" s="66"/>
      <c r="G778" s="67"/>
      <c r="V778" s="67"/>
    </row>
    <row r="779">
      <c r="A779" s="66"/>
      <c r="B779" s="66"/>
      <c r="C779" s="66"/>
      <c r="D779" s="66"/>
      <c r="G779" s="67"/>
      <c r="V779" s="67"/>
    </row>
    <row r="780">
      <c r="A780" s="66"/>
      <c r="B780" s="66"/>
      <c r="C780" s="66"/>
      <c r="D780" s="66"/>
      <c r="G780" s="67"/>
      <c r="V780" s="67"/>
    </row>
    <row r="781">
      <c r="A781" s="66"/>
      <c r="B781" s="66"/>
      <c r="C781" s="66"/>
      <c r="D781" s="66"/>
      <c r="G781" s="67"/>
      <c r="V781" s="67"/>
    </row>
    <row r="782">
      <c r="A782" s="66"/>
      <c r="B782" s="66"/>
      <c r="C782" s="66"/>
      <c r="D782" s="66"/>
      <c r="G782" s="67"/>
      <c r="V782" s="67"/>
    </row>
    <row r="783">
      <c r="A783" s="66"/>
      <c r="B783" s="66"/>
      <c r="C783" s="66"/>
      <c r="D783" s="66"/>
      <c r="G783" s="67"/>
      <c r="V783" s="67"/>
    </row>
    <row r="784">
      <c r="A784" s="66"/>
      <c r="B784" s="66"/>
      <c r="C784" s="66"/>
      <c r="D784" s="66"/>
      <c r="G784" s="67"/>
      <c r="V784" s="67"/>
    </row>
    <row r="785">
      <c r="A785" s="66"/>
      <c r="B785" s="66"/>
      <c r="C785" s="66"/>
      <c r="D785" s="66"/>
      <c r="G785" s="67"/>
      <c r="V785" s="67"/>
    </row>
    <row r="786">
      <c r="A786" s="66"/>
      <c r="B786" s="66"/>
      <c r="C786" s="66"/>
      <c r="D786" s="66"/>
      <c r="G786" s="67"/>
      <c r="V786" s="67"/>
    </row>
    <row r="787">
      <c r="A787" s="66"/>
      <c r="B787" s="66"/>
      <c r="C787" s="66"/>
      <c r="D787" s="66"/>
      <c r="G787" s="67"/>
      <c r="V787" s="67"/>
    </row>
    <row r="788">
      <c r="A788" s="66"/>
      <c r="B788" s="66"/>
      <c r="C788" s="66"/>
      <c r="D788" s="66"/>
      <c r="G788" s="67"/>
      <c r="V788" s="67"/>
    </row>
    <row r="789">
      <c r="A789" s="66"/>
      <c r="B789" s="66"/>
      <c r="C789" s="66"/>
      <c r="D789" s="66"/>
      <c r="G789" s="67"/>
      <c r="V789" s="67"/>
    </row>
    <row r="790">
      <c r="A790" s="66"/>
      <c r="B790" s="66"/>
      <c r="C790" s="66"/>
      <c r="D790" s="66"/>
      <c r="G790" s="67"/>
      <c r="V790" s="67"/>
    </row>
    <row r="791">
      <c r="A791" s="66"/>
      <c r="B791" s="66"/>
      <c r="C791" s="66"/>
      <c r="D791" s="66"/>
      <c r="G791" s="67"/>
      <c r="V791" s="67"/>
    </row>
    <row r="792">
      <c r="A792" s="66"/>
      <c r="B792" s="66"/>
      <c r="C792" s="66"/>
      <c r="D792" s="66"/>
      <c r="G792" s="67"/>
      <c r="V792" s="67"/>
    </row>
    <row r="793">
      <c r="A793" s="66"/>
      <c r="B793" s="66"/>
      <c r="C793" s="66"/>
      <c r="D793" s="66"/>
      <c r="G793" s="67"/>
      <c r="V793" s="67"/>
    </row>
    <row r="794">
      <c r="A794" s="66"/>
      <c r="B794" s="66"/>
      <c r="C794" s="66"/>
      <c r="D794" s="66"/>
      <c r="G794" s="67"/>
      <c r="V794" s="67"/>
    </row>
    <row r="795">
      <c r="A795" s="66"/>
      <c r="B795" s="66"/>
      <c r="C795" s="66"/>
      <c r="D795" s="66"/>
      <c r="G795" s="67"/>
      <c r="V795" s="67"/>
    </row>
    <row r="796">
      <c r="A796" s="66"/>
      <c r="B796" s="66"/>
      <c r="C796" s="66"/>
      <c r="D796" s="66"/>
      <c r="G796" s="67"/>
      <c r="V796" s="67"/>
    </row>
    <row r="797">
      <c r="A797" s="66"/>
      <c r="B797" s="66"/>
      <c r="C797" s="66"/>
      <c r="D797" s="66"/>
      <c r="G797" s="67"/>
      <c r="V797" s="67"/>
    </row>
    <row r="798">
      <c r="A798" s="66"/>
      <c r="B798" s="66"/>
      <c r="C798" s="66"/>
      <c r="D798" s="66"/>
      <c r="G798" s="67"/>
      <c r="V798" s="67"/>
    </row>
    <row r="799">
      <c r="A799" s="66"/>
      <c r="B799" s="66"/>
      <c r="C799" s="66"/>
      <c r="D799" s="66"/>
      <c r="G799" s="67"/>
      <c r="V799" s="67"/>
    </row>
    <row r="800">
      <c r="A800" s="66"/>
      <c r="B800" s="66"/>
      <c r="C800" s="66"/>
      <c r="D800" s="66"/>
      <c r="G800" s="67"/>
      <c r="V800" s="67"/>
    </row>
    <row r="801">
      <c r="A801" s="66"/>
      <c r="B801" s="66"/>
      <c r="C801" s="66"/>
      <c r="D801" s="66"/>
      <c r="G801" s="67"/>
      <c r="V801" s="67"/>
    </row>
    <row r="802">
      <c r="A802" s="66"/>
      <c r="B802" s="66"/>
      <c r="C802" s="66"/>
      <c r="D802" s="66"/>
      <c r="G802" s="67"/>
      <c r="V802" s="67"/>
    </row>
    <row r="803">
      <c r="A803" s="66"/>
      <c r="B803" s="66"/>
      <c r="C803" s="66"/>
      <c r="D803" s="66"/>
      <c r="G803" s="67"/>
      <c r="V803" s="67"/>
    </row>
    <row r="804">
      <c r="A804" s="66"/>
      <c r="B804" s="66"/>
      <c r="C804" s="66"/>
      <c r="D804" s="66"/>
      <c r="G804" s="67"/>
      <c r="V804" s="67"/>
    </row>
    <row r="805">
      <c r="A805" s="66"/>
      <c r="B805" s="66"/>
      <c r="C805" s="66"/>
      <c r="D805" s="66"/>
      <c r="G805" s="67"/>
      <c r="V805" s="67"/>
    </row>
    <row r="806">
      <c r="A806" s="66"/>
      <c r="B806" s="66"/>
      <c r="C806" s="66"/>
      <c r="D806" s="66"/>
      <c r="G806" s="67"/>
      <c r="V806" s="67"/>
    </row>
    <row r="807">
      <c r="A807" s="66"/>
      <c r="B807" s="66"/>
      <c r="C807" s="66"/>
      <c r="D807" s="66"/>
      <c r="G807" s="67"/>
      <c r="V807" s="67"/>
    </row>
    <row r="808">
      <c r="A808" s="66"/>
      <c r="B808" s="66"/>
      <c r="C808" s="66"/>
      <c r="D808" s="66"/>
      <c r="G808" s="67"/>
      <c r="V808" s="67"/>
    </row>
    <row r="809">
      <c r="A809" s="66"/>
      <c r="B809" s="66"/>
      <c r="C809" s="66"/>
      <c r="D809" s="66"/>
      <c r="G809" s="67"/>
      <c r="V809" s="67"/>
    </row>
    <row r="810">
      <c r="A810" s="66"/>
      <c r="B810" s="66"/>
      <c r="C810" s="66"/>
      <c r="D810" s="66"/>
      <c r="G810" s="67"/>
      <c r="V810" s="67"/>
    </row>
    <row r="811">
      <c r="A811" s="66"/>
      <c r="B811" s="66"/>
      <c r="C811" s="66"/>
      <c r="D811" s="66"/>
      <c r="G811" s="67"/>
      <c r="V811" s="67"/>
    </row>
    <row r="812">
      <c r="A812" s="66"/>
      <c r="B812" s="66"/>
      <c r="C812" s="66"/>
      <c r="D812" s="66"/>
      <c r="G812" s="67"/>
      <c r="V812" s="67"/>
    </row>
    <row r="813">
      <c r="A813" s="66"/>
      <c r="B813" s="66"/>
      <c r="C813" s="66"/>
      <c r="D813" s="66"/>
      <c r="G813" s="67"/>
      <c r="V813" s="67"/>
    </row>
    <row r="814">
      <c r="A814" s="66"/>
      <c r="B814" s="66"/>
      <c r="C814" s="66"/>
      <c r="D814" s="66"/>
      <c r="G814" s="67"/>
      <c r="V814" s="67"/>
    </row>
    <row r="815">
      <c r="A815" s="66"/>
      <c r="B815" s="66"/>
      <c r="C815" s="66"/>
      <c r="D815" s="66"/>
      <c r="G815" s="67"/>
      <c r="V815" s="67"/>
    </row>
    <row r="816">
      <c r="A816" s="66"/>
      <c r="B816" s="66"/>
      <c r="C816" s="66"/>
      <c r="D816" s="66"/>
      <c r="G816" s="67"/>
      <c r="V816" s="67"/>
    </row>
    <row r="817">
      <c r="A817" s="66"/>
      <c r="B817" s="66"/>
      <c r="C817" s="66"/>
      <c r="D817" s="66"/>
      <c r="G817" s="67"/>
      <c r="V817" s="67"/>
    </row>
    <row r="818">
      <c r="A818" s="66"/>
      <c r="B818" s="66"/>
      <c r="C818" s="66"/>
      <c r="D818" s="66"/>
      <c r="G818" s="67"/>
      <c r="V818" s="67"/>
    </row>
    <row r="819">
      <c r="A819" s="66"/>
      <c r="B819" s="66"/>
      <c r="C819" s="66"/>
      <c r="D819" s="66"/>
      <c r="G819" s="67"/>
      <c r="V819" s="67"/>
    </row>
    <row r="820">
      <c r="A820" s="66"/>
      <c r="B820" s="66"/>
      <c r="C820" s="66"/>
      <c r="D820" s="66"/>
      <c r="G820" s="67"/>
      <c r="V820" s="67"/>
    </row>
    <row r="821">
      <c r="A821" s="66"/>
      <c r="B821" s="66"/>
      <c r="C821" s="66"/>
      <c r="D821" s="66"/>
      <c r="G821" s="67"/>
      <c r="V821" s="67"/>
    </row>
    <row r="822">
      <c r="A822" s="66"/>
      <c r="B822" s="66"/>
      <c r="C822" s="66"/>
      <c r="D822" s="66"/>
      <c r="G822" s="67"/>
      <c r="V822" s="67"/>
    </row>
    <row r="823">
      <c r="A823" s="66"/>
      <c r="B823" s="66"/>
      <c r="C823" s="66"/>
      <c r="D823" s="66"/>
      <c r="G823" s="67"/>
      <c r="V823" s="67"/>
    </row>
    <row r="824">
      <c r="A824" s="66"/>
      <c r="B824" s="66"/>
      <c r="C824" s="66"/>
      <c r="D824" s="66"/>
      <c r="G824" s="67"/>
      <c r="V824" s="67"/>
    </row>
    <row r="825">
      <c r="A825" s="66"/>
      <c r="B825" s="66"/>
      <c r="C825" s="66"/>
      <c r="D825" s="66"/>
      <c r="G825" s="67"/>
      <c r="V825" s="67"/>
    </row>
    <row r="826">
      <c r="A826" s="66"/>
      <c r="B826" s="66"/>
      <c r="C826" s="66"/>
      <c r="D826" s="66"/>
      <c r="G826" s="67"/>
      <c r="V826" s="67"/>
    </row>
    <row r="827">
      <c r="A827" s="66"/>
      <c r="B827" s="66"/>
      <c r="C827" s="66"/>
      <c r="D827" s="66"/>
      <c r="G827" s="67"/>
      <c r="V827" s="67"/>
    </row>
    <row r="828">
      <c r="A828" s="66"/>
      <c r="B828" s="66"/>
      <c r="C828" s="66"/>
      <c r="D828" s="66"/>
      <c r="G828" s="67"/>
      <c r="V828" s="67"/>
    </row>
    <row r="829">
      <c r="A829" s="66"/>
      <c r="B829" s="66"/>
      <c r="C829" s="66"/>
      <c r="D829" s="66"/>
      <c r="G829" s="67"/>
      <c r="V829" s="67"/>
    </row>
    <row r="830">
      <c r="A830" s="66"/>
      <c r="B830" s="66"/>
      <c r="C830" s="66"/>
      <c r="D830" s="66"/>
      <c r="G830" s="67"/>
      <c r="V830" s="67"/>
    </row>
    <row r="831">
      <c r="A831" s="66"/>
      <c r="B831" s="66"/>
      <c r="C831" s="66"/>
      <c r="D831" s="66"/>
      <c r="G831" s="67"/>
      <c r="V831" s="67"/>
    </row>
    <row r="832">
      <c r="A832" s="66"/>
      <c r="B832" s="66"/>
      <c r="C832" s="66"/>
      <c r="D832" s="66"/>
      <c r="G832" s="67"/>
      <c r="V832" s="67"/>
    </row>
    <row r="833">
      <c r="A833" s="66"/>
      <c r="B833" s="66"/>
      <c r="C833" s="66"/>
      <c r="D833" s="66"/>
      <c r="G833" s="67"/>
      <c r="V833" s="67"/>
    </row>
    <row r="834">
      <c r="A834" s="66"/>
      <c r="B834" s="66"/>
      <c r="C834" s="66"/>
      <c r="D834" s="66"/>
      <c r="G834" s="67"/>
      <c r="V834" s="67"/>
    </row>
    <row r="835">
      <c r="A835" s="66"/>
      <c r="B835" s="66"/>
      <c r="C835" s="66"/>
      <c r="D835" s="66"/>
      <c r="G835" s="67"/>
      <c r="V835" s="67"/>
    </row>
    <row r="836">
      <c r="A836" s="66"/>
      <c r="B836" s="66"/>
      <c r="C836" s="66"/>
      <c r="D836" s="66"/>
      <c r="G836" s="67"/>
      <c r="V836" s="67"/>
    </row>
    <row r="837">
      <c r="A837" s="66"/>
      <c r="B837" s="66"/>
      <c r="C837" s="66"/>
      <c r="D837" s="66"/>
      <c r="G837" s="67"/>
      <c r="V837" s="67"/>
    </row>
    <row r="838">
      <c r="A838" s="66"/>
      <c r="B838" s="66"/>
      <c r="C838" s="66"/>
      <c r="D838" s="66"/>
      <c r="G838" s="67"/>
      <c r="V838" s="67"/>
    </row>
    <row r="839">
      <c r="A839" s="66"/>
      <c r="B839" s="66"/>
      <c r="C839" s="66"/>
      <c r="D839" s="66"/>
      <c r="G839" s="67"/>
      <c r="V839" s="67"/>
    </row>
    <row r="840">
      <c r="A840" s="66"/>
      <c r="B840" s="66"/>
      <c r="C840" s="66"/>
      <c r="D840" s="66"/>
      <c r="G840" s="67"/>
      <c r="V840" s="67"/>
    </row>
    <row r="841">
      <c r="A841" s="66"/>
      <c r="B841" s="66"/>
      <c r="C841" s="66"/>
      <c r="D841" s="66"/>
      <c r="G841" s="67"/>
      <c r="V841" s="67"/>
    </row>
    <row r="842">
      <c r="A842" s="66"/>
      <c r="B842" s="66"/>
      <c r="C842" s="66"/>
      <c r="D842" s="66"/>
      <c r="G842" s="67"/>
      <c r="V842" s="67"/>
    </row>
    <row r="843">
      <c r="A843" s="66"/>
      <c r="B843" s="66"/>
      <c r="C843" s="66"/>
      <c r="D843" s="66"/>
      <c r="G843" s="67"/>
      <c r="V843" s="67"/>
    </row>
    <row r="844">
      <c r="A844" s="66"/>
      <c r="B844" s="66"/>
      <c r="C844" s="66"/>
      <c r="D844" s="66"/>
      <c r="G844" s="67"/>
      <c r="V844" s="67"/>
    </row>
    <row r="845">
      <c r="A845" s="66"/>
      <c r="B845" s="66"/>
      <c r="C845" s="66"/>
      <c r="D845" s="66"/>
      <c r="G845" s="67"/>
      <c r="V845" s="67"/>
    </row>
    <row r="846">
      <c r="A846" s="66"/>
      <c r="B846" s="66"/>
      <c r="C846" s="66"/>
      <c r="D846" s="66"/>
      <c r="G846" s="67"/>
      <c r="V846" s="67"/>
    </row>
    <row r="847">
      <c r="A847" s="66"/>
      <c r="B847" s="66"/>
      <c r="C847" s="66"/>
      <c r="D847" s="66"/>
      <c r="G847" s="67"/>
      <c r="V847" s="67"/>
    </row>
    <row r="848">
      <c r="A848" s="66"/>
      <c r="B848" s="66"/>
      <c r="C848" s="66"/>
      <c r="D848" s="66"/>
      <c r="G848" s="67"/>
      <c r="V848" s="67"/>
    </row>
    <row r="849">
      <c r="A849" s="66"/>
      <c r="B849" s="66"/>
      <c r="C849" s="66"/>
      <c r="D849" s="66"/>
      <c r="G849" s="67"/>
      <c r="V849" s="67"/>
    </row>
    <row r="850">
      <c r="A850" s="66"/>
      <c r="B850" s="66"/>
      <c r="C850" s="66"/>
      <c r="D850" s="66"/>
      <c r="G850" s="67"/>
      <c r="V850" s="67"/>
    </row>
    <row r="851">
      <c r="A851" s="66"/>
      <c r="B851" s="66"/>
      <c r="C851" s="66"/>
      <c r="D851" s="66"/>
      <c r="G851" s="67"/>
      <c r="V851" s="67"/>
    </row>
    <row r="852">
      <c r="A852" s="66"/>
      <c r="B852" s="66"/>
      <c r="C852" s="66"/>
      <c r="D852" s="66"/>
      <c r="G852" s="67"/>
      <c r="V852" s="67"/>
    </row>
    <row r="853">
      <c r="A853" s="66"/>
      <c r="B853" s="66"/>
      <c r="C853" s="66"/>
      <c r="D853" s="66"/>
      <c r="G853" s="67"/>
      <c r="V853" s="67"/>
    </row>
    <row r="854">
      <c r="A854" s="66"/>
      <c r="B854" s="66"/>
      <c r="C854" s="66"/>
      <c r="D854" s="66"/>
      <c r="G854" s="67"/>
      <c r="V854" s="67"/>
    </row>
    <row r="855">
      <c r="A855" s="66"/>
      <c r="B855" s="66"/>
      <c r="C855" s="66"/>
      <c r="D855" s="66"/>
      <c r="G855" s="67"/>
      <c r="V855" s="67"/>
    </row>
    <row r="856">
      <c r="A856" s="66"/>
      <c r="B856" s="66"/>
      <c r="C856" s="66"/>
      <c r="D856" s="66"/>
      <c r="G856" s="67"/>
      <c r="V856" s="67"/>
    </row>
    <row r="857">
      <c r="A857" s="66"/>
      <c r="B857" s="66"/>
      <c r="C857" s="66"/>
      <c r="D857" s="66"/>
      <c r="G857" s="67"/>
      <c r="V857" s="67"/>
    </row>
    <row r="858">
      <c r="A858" s="66"/>
      <c r="B858" s="66"/>
      <c r="C858" s="66"/>
      <c r="D858" s="66"/>
      <c r="G858" s="67"/>
      <c r="V858" s="67"/>
    </row>
    <row r="859">
      <c r="A859" s="66"/>
      <c r="B859" s="66"/>
      <c r="C859" s="66"/>
      <c r="D859" s="66"/>
      <c r="G859" s="67"/>
      <c r="V859" s="67"/>
    </row>
    <row r="860">
      <c r="A860" s="66"/>
      <c r="B860" s="66"/>
      <c r="C860" s="66"/>
      <c r="D860" s="66"/>
      <c r="G860" s="67"/>
      <c r="V860" s="67"/>
    </row>
    <row r="861">
      <c r="A861" s="66"/>
      <c r="B861" s="66"/>
      <c r="C861" s="66"/>
      <c r="D861" s="66"/>
      <c r="G861" s="67"/>
      <c r="V861" s="67"/>
    </row>
    <row r="862">
      <c r="A862" s="66"/>
      <c r="B862" s="66"/>
      <c r="C862" s="66"/>
      <c r="D862" s="66"/>
      <c r="G862" s="67"/>
      <c r="V862" s="67"/>
    </row>
    <row r="863">
      <c r="A863" s="66"/>
      <c r="B863" s="66"/>
      <c r="C863" s="66"/>
      <c r="D863" s="66"/>
      <c r="G863" s="67"/>
      <c r="V863" s="67"/>
    </row>
    <row r="864">
      <c r="A864" s="66"/>
      <c r="B864" s="66"/>
      <c r="C864" s="66"/>
      <c r="D864" s="66"/>
      <c r="G864" s="67"/>
      <c r="V864" s="67"/>
    </row>
    <row r="865">
      <c r="A865" s="66"/>
      <c r="B865" s="66"/>
      <c r="C865" s="66"/>
      <c r="D865" s="66"/>
      <c r="G865" s="67"/>
      <c r="V865" s="67"/>
    </row>
    <row r="866">
      <c r="A866" s="66"/>
      <c r="B866" s="66"/>
      <c r="C866" s="66"/>
      <c r="D866" s="66"/>
      <c r="G866" s="67"/>
      <c r="V866" s="67"/>
    </row>
    <row r="867">
      <c r="A867" s="66"/>
      <c r="B867" s="66"/>
      <c r="C867" s="66"/>
      <c r="D867" s="66"/>
      <c r="G867" s="67"/>
      <c r="V867" s="67"/>
    </row>
    <row r="868">
      <c r="A868" s="66"/>
      <c r="B868" s="66"/>
      <c r="C868" s="66"/>
      <c r="D868" s="66"/>
      <c r="G868" s="67"/>
      <c r="V868" s="67"/>
    </row>
    <row r="869">
      <c r="A869" s="66"/>
      <c r="B869" s="66"/>
      <c r="C869" s="66"/>
      <c r="D869" s="66"/>
      <c r="G869" s="67"/>
      <c r="V869" s="67"/>
    </row>
    <row r="870">
      <c r="A870" s="66"/>
      <c r="B870" s="66"/>
      <c r="C870" s="66"/>
      <c r="D870" s="66"/>
      <c r="G870" s="67"/>
      <c r="V870" s="67"/>
    </row>
    <row r="871">
      <c r="A871" s="66"/>
      <c r="B871" s="66"/>
      <c r="C871" s="66"/>
      <c r="D871" s="66"/>
      <c r="G871" s="67"/>
      <c r="V871" s="67"/>
    </row>
    <row r="872">
      <c r="A872" s="66"/>
      <c r="B872" s="66"/>
      <c r="C872" s="66"/>
      <c r="D872" s="66"/>
      <c r="G872" s="67"/>
      <c r="V872" s="67"/>
    </row>
    <row r="873">
      <c r="A873" s="66"/>
      <c r="B873" s="66"/>
      <c r="C873" s="66"/>
      <c r="D873" s="66"/>
      <c r="G873" s="67"/>
      <c r="V873" s="67"/>
    </row>
    <row r="874">
      <c r="A874" s="66"/>
      <c r="B874" s="66"/>
      <c r="C874" s="66"/>
      <c r="D874" s="66"/>
      <c r="G874" s="67"/>
      <c r="V874" s="67"/>
    </row>
    <row r="875">
      <c r="A875" s="66"/>
      <c r="B875" s="66"/>
      <c r="C875" s="66"/>
      <c r="D875" s="66"/>
      <c r="G875" s="67"/>
      <c r="V875" s="67"/>
    </row>
    <row r="876">
      <c r="A876" s="66"/>
      <c r="B876" s="66"/>
      <c r="C876" s="66"/>
      <c r="D876" s="66"/>
      <c r="G876" s="67"/>
      <c r="V876" s="67"/>
    </row>
    <row r="877">
      <c r="A877" s="66"/>
      <c r="B877" s="66"/>
      <c r="C877" s="66"/>
      <c r="D877" s="66"/>
      <c r="G877" s="67"/>
      <c r="V877" s="67"/>
    </row>
    <row r="878">
      <c r="A878" s="66"/>
      <c r="B878" s="66"/>
      <c r="C878" s="66"/>
      <c r="D878" s="66"/>
      <c r="G878" s="67"/>
      <c r="V878" s="67"/>
    </row>
    <row r="879">
      <c r="A879" s="66"/>
      <c r="B879" s="66"/>
      <c r="C879" s="66"/>
      <c r="D879" s="66"/>
      <c r="G879" s="67"/>
      <c r="V879" s="67"/>
    </row>
    <row r="880">
      <c r="A880" s="66"/>
      <c r="B880" s="66"/>
      <c r="C880" s="66"/>
      <c r="D880" s="66"/>
      <c r="G880" s="67"/>
      <c r="V880" s="67"/>
    </row>
    <row r="881">
      <c r="A881" s="66"/>
      <c r="B881" s="66"/>
      <c r="C881" s="66"/>
      <c r="D881" s="66"/>
      <c r="G881" s="67"/>
      <c r="V881" s="67"/>
    </row>
    <row r="882">
      <c r="A882" s="66"/>
      <c r="B882" s="66"/>
      <c r="C882" s="66"/>
      <c r="D882" s="66"/>
      <c r="G882" s="67"/>
      <c r="V882" s="67"/>
    </row>
    <row r="883">
      <c r="A883" s="66"/>
      <c r="B883" s="66"/>
      <c r="C883" s="66"/>
      <c r="D883" s="66"/>
      <c r="G883" s="67"/>
      <c r="V883" s="67"/>
    </row>
    <row r="884">
      <c r="A884" s="66"/>
      <c r="B884" s="66"/>
      <c r="C884" s="66"/>
      <c r="D884" s="66"/>
      <c r="G884" s="67"/>
      <c r="V884" s="67"/>
    </row>
    <row r="885">
      <c r="A885" s="66"/>
      <c r="B885" s="66"/>
      <c r="C885" s="66"/>
      <c r="D885" s="66"/>
      <c r="G885" s="67"/>
      <c r="V885" s="67"/>
    </row>
    <row r="886">
      <c r="A886" s="66"/>
      <c r="B886" s="66"/>
      <c r="C886" s="66"/>
      <c r="D886" s="66"/>
      <c r="G886" s="67"/>
      <c r="V886" s="67"/>
    </row>
    <row r="887">
      <c r="A887" s="66"/>
      <c r="B887" s="66"/>
      <c r="C887" s="66"/>
      <c r="D887" s="66"/>
      <c r="G887" s="67"/>
      <c r="V887" s="67"/>
    </row>
    <row r="888">
      <c r="A888" s="66"/>
      <c r="B888" s="66"/>
      <c r="C888" s="66"/>
      <c r="D888" s="66"/>
      <c r="G888" s="67"/>
      <c r="V888" s="67"/>
    </row>
    <row r="889">
      <c r="A889" s="66"/>
      <c r="B889" s="66"/>
      <c r="C889" s="66"/>
      <c r="D889" s="66"/>
      <c r="G889" s="67"/>
      <c r="V889" s="67"/>
    </row>
    <row r="890">
      <c r="A890" s="66"/>
      <c r="B890" s="66"/>
      <c r="C890" s="66"/>
      <c r="D890" s="66"/>
      <c r="G890" s="67"/>
      <c r="V890" s="67"/>
    </row>
    <row r="891">
      <c r="A891" s="66"/>
      <c r="B891" s="66"/>
      <c r="C891" s="66"/>
      <c r="D891" s="66"/>
      <c r="G891" s="67"/>
      <c r="V891" s="67"/>
    </row>
    <row r="892">
      <c r="A892" s="66"/>
      <c r="B892" s="66"/>
      <c r="C892" s="66"/>
      <c r="D892" s="66"/>
      <c r="G892" s="67"/>
      <c r="V892" s="67"/>
    </row>
    <row r="893">
      <c r="A893" s="66"/>
      <c r="B893" s="66"/>
      <c r="C893" s="66"/>
      <c r="D893" s="66"/>
      <c r="G893" s="67"/>
      <c r="V893" s="67"/>
    </row>
    <row r="894">
      <c r="A894" s="66"/>
      <c r="B894" s="66"/>
      <c r="C894" s="66"/>
      <c r="D894" s="66"/>
      <c r="G894" s="67"/>
      <c r="V894" s="67"/>
    </row>
    <row r="895">
      <c r="A895" s="66"/>
      <c r="B895" s="66"/>
      <c r="C895" s="66"/>
      <c r="D895" s="66"/>
      <c r="G895" s="67"/>
      <c r="V895" s="67"/>
    </row>
    <row r="896">
      <c r="A896" s="66"/>
      <c r="B896" s="66"/>
      <c r="C896" s="66"/>
      <c r="D896" s="66"/>
      <c r="G896" s="67"/>
      <c r="V896" s="67"/>
    </row>
    <row r="897">
      <c r="A897" s="66"/>
      <c r="B897" s="66"/>
      <c r="C897" s="66"/>
      <c r="D897" s="66"/>
      <c r="G897" s="67"/>
      <c r="V897" s="67"/>
    </row>
    <row r="898">
      <c r="A898" s="66"/>
      <c r="B898" s="66"/>
      <c r="C898" s="66"/>
      <c r="D898" s="66"/>
      <c r="G898" s="67"/>
      <c r="V898" s="67"/>
    </row>
    <row r="899">
      <c r="A899" s="66"/>
      <c r="B899" s="66"/>
      <c r="C899" s="66"/>
      <c r="D899" s="66"/>
      <c r="G899" s="67"/>
      <c r="V899" s="67"/>
    </row>
    <row r="900">
      <c r="A900" s="66"/>
      <c r="B900" s="66"/>
      <c r="C900" s="66"/>
      <c r="D900" s="66"/>
      <c r="G900" s="67"/>
      <c r="V900" s="67"/>
    </row>
    <row r="901">
      <c r="A901" s="66"/>
      <c r="B901" s="66"/>
      <c r="C901" s="66"/>
      <c r="D901" s="66"/>
      <c r="G901" s="67"/>
      <c r="V901" s="67"/>
    </row>
    <row r="902">
      <c r="A902" s="66"/>
      <c r="B902" s="66"/>
      <c r="C902" s="66"/>
      <c r="D902" s="66"/>
      <c r="G902" s="67"/>
      <c r="V902" s="67"/>
    </row>
    <row r="903">
      <c r="A903" s="66"/>
      <c r="B903" s="66"/>
      <c r="C903" s="66"/>
      <c r="D903" s="66"/>
      <c r="G903" s="67"/>
      <c r="V903" s="67"/>
    </row>
    <row r="904">
      <c r="A904" s="66"/>
      <c r="B904" s="66"/>
      <c r="C904" s="66"/>
      <c r="D904" s="66"/>
      <c r="G904" s="67"/>
      <c r="V904" s="67"/>
    </row>
    <row r="905">
      <c r="A905" s="66"/>
      <c r="B905" s="66"/>
      <c r="C905" s="66"/>
      <c r="D905" s="66"/>
      <c r="G905" s="67"/>
      <c r="V905" s="67"/>
    </row>
    <row r="906">
      <c r="A906" s="66"/>
      <c r="B906" s="66"/>
      <c r="C906" s="66"/>
      <c r="D906" s="66"/>
      <c r="G906" s="67"/>
      <c r="V906" s="67"/>
    </row>
    <row r="907">
      <c r="A907" s="66"/>
      <c r="B907" s="66"/>
      <c r="C907" s="66"/>
      <c r="D907" s="66"/>
      <c r="G907" s="67"/>
      <c r="V907" s="67"/>
    </row>
    <row r="908">
      <c r="A908" s="66"/>
      <c r="B908" s="66"/>
      <c r="C908" s="66"/>
      <c r="D908" s="66"/>
      <c r="G908" s="67"/>
      <c r="V908" s="67"/>
    </row>
    <row r="909">
      <c r="A909" s="66"/>
      <c r="B909" s="66"/>
      <c r="C909" s="66"/>
      <c r="D909" s="66"/>
      <c r="G909" s="67"/>
      <c r="V909" s="67"/>
    </row>
    <row r="910">
      <c r="A910" s="66"/>
      <c r="B910" s="66"/>
      <c r="C910" s="66"/>
      <c r="D910" s="66"/>
      <c r="G910" s="67"/>
      <c r="V910" s="67"/>
    </row>
    <row r="911">
      <c r="A911" s="66"/>
      <c r="B911" s="66"/>
      <c r="C911" s="66"/>
      <c r="D911" s="66"/>
      <c r="G911" s="67"/>
      <c r="V911" s="67"/>
    </row>
    <row r="912">
      <c r="A912" s="66"/>
      <c r="B912" s="66"/>
      <c r="C912" s="66"/>
      <c r="D912" s="66"/>
      <c r="G912" s="67"/>
      <c r="V912" s="67"/>
    </row>
    <row r="913">
      <c r="A913" s="66"/>
      <c r="B913" s="66"/>
      <c r="C913" s="66"/>
      <c r="D913" s="66"/>
      <c r="G913" s="67"/>
      <c r="V913" s="67"/>
    </row>
    <row r="914">
      <c r="A914" s="66"/>
      <c r="B914" s="66"/>
      <c r="C914" s="66"/>
      <c r="D914" s="66"/>
      <c r="G914" s="67"/>
      <c r="V914" s="67"/>
    </row>
    <row r="915">
      <c r="A915" s="66"/>
      <c r="B915" s="66"/>
      <c r="C915" s="66"/>
      <c r="D915" s="66"/>
      <c r="G915" s="67"/>
      <c r="V915" s="67"/>
    </row>
    <row r="916">
      <c r="A916" s="66"/>
      <c r="B916" s="66"/>
      <c r="C916" s="66"/>
      <c r="D916" s="66"/>
      <c r="G916" s="67"/>
      <c r="V916" s="67"/>
    </row>
    <row r="917">
      <c r="A917" s="66"/>
      <c r="B917" s="66"/>
      <c r="C917" s="66"/>
      <c r="D917" s="66"/>
      <c r="G917" s="67"/>
      <c r="V917" s="67"/>
    </row>
    <row r="918">
      <c r="A918" s="66"/>
      <c r="B918" s="66"/>
      <c r="C918" s="66"/>
      <c r="D918" s="66"/>
      <c r="G918" s="67"/>
      <c r="V918" s="67"/>
    </row>
    <row r="919">
      <c r="A919" s="66"/>
      <c r="B919" s="66"/>
      <c r="C919" s="66"/>
      <c r="D919" s="66"/>
      <c r="G919" s="67"/>
      <c r="V919" s="67"/>
    </row>
    <row r="920">
      <c r="A920" s="66"/>
      <c r="B920" s="66"/>
      <c r="C920" s="66"/>
      <c r="D920" s="66"/>
      <c r="G920" s="67"/>
      <c r="V920" s="67"/>
    </row>
    <row r="921">
      <c r="A921" s="66"/>
      <c r="B921" s="66"/>
      <c r="C921" s="66"/>
      <c r="D921" s="66"/>
      <c r="G921" s="67"/>
      <c r="V921" s="67"/>
    </row>
    <row r="922">
      <c r="A922" s="66"/>
      <c r="B922" s="66"/>
      <c r="C922" s="66"/>
      <c r="D922" s="66"/>
      <c r="G922" s="67"/>
      <c r="V922" s="67"/>
    </row>
    <row r="923">
      <c r="A923" s="66"/>
      <c r="B923" s="66"/>
      <c r="C923" s="66"/>
      <c r="D923" s="66"/>
      <c r="G923" s="67"/>
      <c r="V923" s="67"/>
    </row>
    <row r="924">
      <c r="A924" s="66"/>
      <c r="B924" s="66"/>
      <c r="C924" s="66"/>
      <c r="D924" s="66"/>
      <c r="G924" s="67"/>
      <c r="V924" s="67"/>
    </row>
    <row r="925">
      <c r="A925" s="66"/>
      <c r="B925" s="66"/>
      <c r="C925" s="66"/>
      <c r="D925" s="66"/>
      <c r="G925" s="67"/>
      <c r="V925" s="67"/>
    </row>
    <row r="926">
      <c r="A926" s="66"/>
      <c r="B926" s="66"/>
      <c r="C926" s="66"/>
      <c r="D926" s="66"/>
      <c r="G926" s="67"/>
      <c r="V926" s="67"/>
    </row>
    <row r="927">
      <c r="A927" s="66"/>
      <c r="B927" s="66"/>
      <c r="C927" s="66"/>
      <c r="D927" s="66"/>
      <c r="G927" s="67"/>
      <c r="V927" s="67"/>
    </row>
    <row r="928">
      <c r="A928" s="66"/>
      <c r="B928" s="66"/>
      <c r="C928" s="66"/>
      <c r="D928" s="66"/>
      <c r="G928" s="67"/>
      <c r="V928" s="67"/>
    </row>
    <row r="929">
      <c r="A929" s="66"/>
      <c r="B929" s="66"/>
      <c r="C929" s="66"/>
      <c r="D929" s="66"/>
      <c r="G929" s="67"/>
      <c r="V929" s="67"/>
    </row>
    <row r="930">
      <c r="A930" s="66"/>
      <c r="B930" s="66"/>
      <c r="C930" s="66"/>
      <c r="D930" s="66"/>
      <c r="G930" s="67"/>
      <c r="V930" s="67"/>
    </row>
    <row r="931">
      <c r="A931" s="66"/>
      <c r="B931" s="66"/>
      <c r="C931" s="66"/>
      <c r="D931" s="66"/>
      <c r="G931" s="67"/>
      <c r="V931" s="67"/>
    </row>
    <row r="932">
      <c r="A932" s="66"/>
      <c r="B932" s="66"/>
      <c r="C932" s="66"/>
      <c r="D932" s="66"/>
      <c r="G932" s="67"/>
      <c r="V932" s="67"/>
    </row>
    <row r="933">
      <c r="A933" s="66"/>
      <c r="B933" s="66"/>
      <c r="C933" s="66"/>
      <c r="D933" s="66"/>
      <c r="G933" s="67"/>
      <c r="V933" s="67"/>
    </row>
    <row r="934">
      <c r="A934" s="66"/>
      <c r="B934" s="66"/>
      <c r="C934" s="66"/>
      <c r="D934" s="66"/>
      <c r="G934" s="67"/>
      <c r="V934" s="67"/>
    </row>
    <row r="935">
      <c r="A935" s="66"/>
      <c r="B935" s="66"/>
      <c r="C935" s="66"/>
      <c r="D935" s="66"/>
      <c r="G935" s="67"/>
      <c r="V935" s="67"/>
    </row>
    <row r="936">
      <c r="A936" s="66"/>
      <c r="B936" s="66"/>
      <c r="C936" s="66"/>
      <c r="D936" s="66"/>
      <c r="G936" s="67"/>
      <c r="V936" s="67"/>
    </row>
    <row r="937">
      <c r="A937" s="66"/>
      <c r="B937" s="66"/>
      <c r="C937" s="66"/>
      <c r="D937" s="66"/>
      <c r="G937" s="67"/>
      <c r="V937" s="67"/>
    </row>
    <row r="938">
      <c r="A938" s="66"/>
      <c r="B938" s="66"/>
      <c r="C938" s="66"/>
      <c r="D938" s="66"/>
      <c r="G938" s="67"/>
      <c r="V938" s="67"/>
    </row>
    <row r="939">
      <c r="A939" s="66"/>
      <c r="B939" s="66"/>
      <c r="C939" s="66"/>
      <c r="D939" s="66"/>
      <c r="G939" s="67"/>
      <c r="V939" s="67"/>
    </row>
    <row r="940">
      <c r="A940" s="66"/>
      <c r="B940" s="66"/>
      <c r="C940" s="66"/>
      <c r="D940" s="66"/>
      <c r="G940" s="67"/>
      <c r="V940" s="67"/>
    </row>
    <row r="941">
      <c r="A941" s="66"/>
      <c r="B941" s="66"/>
      <c r="C941" s="66"/>
      <c r="D941" s="66"/>
      <c r="G941" s="67"/>
      <c r="V941" s="67"/>
    </row>
    <row r="942">
      <c r="A942" s="66"/>
      <c r="B942" s="66"/>
      <c r="C942" s="66"/>
      <c r="D942" s="66"/>
      <c r="G942" s="67"/>
      <c r="V942" s="67"/>
    </row>
    <row r="943">
      <c r="A943" s="66"/>
      <c r="B943" s="66"/>
      <c r="C943" s="66"/>
      <c r="D943" s="66"/>
      <c r="G943" s="67"/>
      <c r="V943" s="67"/>
    </row>
    <row r="944">
      <c r="A944" s="66"/>
      <c r="B944" s="66"/>
      <c r="C944" s="66"/>
      <c r="D944" s="66"/>
      <c r="G944" s="67"/>
      <c r="V944" s="67"/>
    </row>
    <row r="945">
      <c r="A945" s="66"/>
      <c r="B945" s="66"/>
      <c r="C945" s="66"/>
      <c r="D945" s="66"/>
      <c r="G945" s="67"/>
      <c r="V945" s="67"/>
    </row>
    <row r="946">
      <c r="A946" s="66"/>
      <c r="B946" s="66"/>
      <c r="C946" s="66"/>
      <c r="D946" s="66"/>
      <c r="G946" s="67"/>
      <c r="V946" s="67"/>
    </row>
    <row r="947">
      <c r="A947" s="66"/>
      <c r="B947" s="66"/>
      <c r="C947" s="66"/>
      <c r="D947" s="66"/>
      <c r="G947" s="67"/>
      <c r="V947" s="67"/>
    </row>
    <row r="948">
      <c r="A948" s="66"/>
      <c r="B948" s="66"/>
      <c r="C948" s="66"/>
      <c r="D948" s="66"/>
      <c r="G948" s="67"/>
      <c r="V948" s="67"/>
    </row>
    <row r="949">
      <c r="A949" s="66"/>
      <c r="B949" s="66"/>
      <c r="C949" s="66"/>
      <c r="D949" s="66"/>
      <c r="G949" s="67"/>
      <c r="V949" s="67"/>
    </row>
    <row r="950">
      <c r="A950" s="66"/>
      <c r="B950" s="66"/>
      <c r="C950" s="66"/>
      <c r="D950" s="66"/>
      <c r="G950" s="67"/>
      <c r="V950" s="67"/>
    </row>
    <row r="951">
      <c r="A951" s="66"/>
      <c r="B951" s="66"/>
      <c r="C951" s="66"/>
      <c r="D951" s="66"/>
      <c r="G951" s="67"/>
      <c r="V951" s="67"/>
    </row>
    <row r="952">
      <c r="A952" s="66"/>
      <c r="B952" s="66"/>
      <c r="C952" s="66"/>
      <c r="D952" s="66"/>
      <c r="G952" s="67"/>
      <c r="V952" s="67"/>
    </row>
    <row r="953">
      <c r="A953" s="66"/>
      <c r="B953" s="66"/>
      <c r="C953" s="66"/>
      <c r="D953" s="66"/>
      <c r="G953" s="67"/>
      <c r="V953" s="67"/>
    </row>
    <row r="954">
      <c r="A954" s="66"/>
      <c r="B954" s="66"/>
      <c r="C954" s="66"/>
      <c r="D954" s="66"/>
      <c r="G954" s="67"/>
      <c r="V954" s="67"/>
    </row>
    <row r="955">
      <c r="A955" s="66"/>
      <c r="B955" s="66"/>
      <c r="C955" s="66"/>
      <c r="D955" s="66"/>
      <c r="G955" s="67"/>
      <c r="V955" s="67"/>
    </row>
    <row r="956">
      <c r="A956" s="66"/>
      <c r="B956" s="66"/>
      <c r="C956" s="66"/>
      <c r="D956" s="66"/>
      <c r="G956" s="67"/>
      <c r="V956" s="67"/>
    </row>
    <row r="957">
      <c r="A957" s="66"/>
      <c r="B957" s="66"/>
      <c r="C957" s="66"/>
      <c r="D957" s="66"/>
      <c r="G957" s="67"/>
      <c r="V957" s="67"/>
    </row>
    <row r="958">
      <c r="A958" s="66"/>
      <c r="B958" s="66"/>
      <c r="C958" s="66"/>
      <c r="D958" s="66"/>
      <c r="G958" s="67"/>
      <c r="V958" s="67"/>
    </row>
    <row r="959">
      <c r="A959" s="66"/>
      <c r="B959" s="66"/>
      <c r="C959" s="66"/>
      <c r="D959" s="66"/>
      <c r="G959" s="67"/>
      <c r="V959" s="67"/>
    </row>
    <row r="960">
      <c r="A960" s="66"/>
      <c r="B960" s="66"/>
      <c r="C960" s="66"/>
      <c r="D960" s="66"/>
      <c r="G960" s="67"/>
      <c r="V960" s="67"/>
    </row>
    <row r="961">
      <c r="A961" s="66"/>
      <c r="B961" s="66"/>
      <c r="C961" s="66"/>
      <c r="D961" s="66"/>
      <c r="G961" s="67"/>
      <c r="V961" s="67"/>
    </row>
    <row r="962">
      <c r="A962" s="66"/>
      <c r="B962" s="66"/>
      <c r="C962" s="66"/>
      <c r="D962" s="66"/>
      <c r="G962" s="67"/>
      <c r="V962" s="67"/>
    </row>
    <row r="963">
      <c r="A963" s="66"/>
      <c r="B963" s="66"/>
      <c r="C963" s="66"/>
      <c r="D963" s="66"/>
      <c r="G963" s="67"/>
      <c r="V963" s="67"/>
    </row>
    <row r="964">
      <c r="A964" s="66"/>
      <c r="B964" s="66"/>
      <c r="C964" s="66"/>
      <c r="D964" s="66"/>
      <c r="G964" s="67"/>
      <c r="V964" s="67"/>
    </row>
    <row r="965">
      <c r="A965" s="66"/>
      <c r="B965" s="66"/>
      <c r="C965" s="66"/>
      <c r="D965" s="66"/>
      <c r="G965" s="67"/>
      <c r="V965" s="67"/>
    </row>
    <row r="966">
      <c r="A966" s="66"/>
      <c r="B966" s="66"/>
      <c r="C966" s="66"/>
      <c r="D966" s="66"/>
      <c r="G966" s="67"/>
      <c r="V966" s="67"/>
    </row>
    <row r="967">
      <c r="A967" s="66"/>
      <c r="B967" s="66"/>
      <c r="C967" s="66"/>
      <c r="D967" s="66"/>
      <c r="G967" s="67"/>
      <c r="V967" s="67"/>
    </row>
    <row r="968">
      <c r="A968" s="66"/>
      <c r="B968" s="66"/>
      <c r="C968" s="66"/>
      <c r="D968" s="66"/>
      <c r="G968" s="67"/>
      <c r="V968" s="67"/>
    </row>
    <row r="969">
      <c r="A969" s="66"/>
      <c r="B969" s="66"/>
      <c r="C969" s="66"/>
      <c r="D969" s="66"/>
      <c r="G969" s="67"/>
      <c r="V969" s="67"/>
    </row>
    <row r="970">
      <c r="A970" s="66"/>
      <c r="B970" s="66"/>
      <c r="C970" s="66"/>
      <c r="D970" s="66"/>
      <c r="G970" s="67"/>
      <c r="V970" s="67"/>
    </row>
    <row r="971">
      <c r="A971" s="66"/>
      <c r="B971" s="66"/>
      <c r="C971" s="66"/>
      <c r="D971" s="66"/>
      <c r="G971" s="67"/>
      <c r="V971" s="67"/>
    </row>
    <row r="972">
      <c r="A972" s="66"/>
      <c r="B972" s="66"/>
      <c r="C972" s="66"/>
      <c r="D972" s="66"/>
      <c r="G972" s="67"/>
      <c r="V972" s="67"/>
    </row>
    <row r="973">
      <c r="A973" s="66"/>
      <c r="B973" s="66"/>
      <c r="C973" s="66"/>
      <c r="D973" s="66"/>
      <c r="G973" s="67"/>
      <c r="V973" s="67"/>
    </row>
    <row r="974">
      <c r="A974" s="66"/>
      <c r="B974" s="66"/>
      <c r="C974" s="66"/>
      <c r="D974" s="66"/>
      <c r="G974" s="67"/>
      <c r="V974" s="67"/>
    </row>
    <row r="975">
      <c r="A975" s="66"/>
      <c r="B975" s="66"/>
      <c r="C975" s="66"/>
      <c r="D975" s="66"/>
      <c r="G975" s="67"/>
      <c r="V975" s="67"/>
    </row>
    <row r="976">
      <c r="A976" s="66"/>
      <c r="B976" s="66"/>
      <c r="C976" s="66"/>
      <c r="D976" s="66"/>
      <c r="G976" s="67"/>
      <c r="V976" s="67"/>
    </row>
    <row r="977">
      <c r="A977" s="66"/>
      <c r="B977" s="66"/>
      <c r="C977" s="66"/>
      <c r="D977" s="66"/>
      <c r="G977" s="67"/>
      <c r="V977" s="67"/>
    </row>
    <row r="978">
      <c r="A978" s="66"/>
      <c r="B978" s="66"/>
      <c r="C978" s="66"/>
      <c r="D978" s="66"/>
      <c r="G978" s="67"/>
      <c r="V978" s="67"/>
    </row>
    <row r="979">
      <c r="A979" s="66"/>
      <c r="B979" s="66"/>
      <c r="C979" s="66"/>
      <c r="D979" s="66"/>
      <c r="G979" s="67"/>
      <c r="V979" s="67"/>
    </row>
    <row r="980">
      <c r="A980" s="66"/>
      <c r="B980" s="66"/>
      <c r="C980" s="66"/>
      <c r="D980" s="66"/>
      <c r="G980" s="67"/>
      <c r="V980" s="67"/>
    </row>
    <row r="981">
      <c r="A981" s="66"/>
      <c r="B981" s="66"/>
      <c r="C981" s="66"/>
      <c r="D981" s="66"/>
      <c r="G981" s="67"/>
      <c r="V981" s="67"/>
    </row>
    <row r="982">
      <c r="A982" s="66"/>
      <c r="B982" s="66"/>
      <c r="C982" s="66"/>
      <c r="D982" s="66"/>
      <c r="G982" s="67"/>
      <c r="V982" s="67"/>
    </row>
    <row r="983">
      <c r="A983" s="66"/>
      <c r="B983" s="66"/>
      <c r="C983" s="66"/>
      <c r="D983" s="66"/>
      <c r="G983" s="67"/>
      <c r="V983" s="67"/>
    </row>
    <row r="984">
      <c r="A984" s="66"/>
      <c r="B984" s="66"/>
      <c r="C984" s="66"/>
      <c r="D984" s="66"/>
      <c r="G984" s="67"/>
      <c r="V984" s="67"/>
    </row>
    <row r="985">
      <c r="A985" s="66"/>
      <c r="B985" s="66"/>
      <c r="C985" s="66"/>
      <c r="D985" s="66"/>
      <c r="G985" s="67"/>
      <c r="V985" s="67"/>
    </row>
    <row r="986">
      <c r="A986" s="66"/>
      <c r="B986" s="66"/>
      <c r="C986" s="66"/>
      <c r="D986" s="66"/>
      <c r="G986" s="67"/>
      <c r="V986" s="67"/>
    </row>
    <row r="987">
      <c r="A987" s="66"/>
      <c r="B987" s="66"/>
      <c r="C987" s="66"/>
      <c r="D987" s="66"/>
      <c r="G987" s="67"/>
      <c r="V987" s="67"/>
    </row>
    <row r="988">
      <c r="A988" s="66"/>
      <c r="B988" s="66"/>
      <c r="C988" s="66"/>
      <c r="D988" s="66"/>
      <c r="G988" s="67"/>
      <c r="V988" s="67"/>
    </row>
    <row r="989">
      <c r="A989" s="66"/>
      <c r="B989" s="66"/>
      <c r="C989" s="66"/>
      <c r="D989" s="66"/>
      <c r="G989" s="67"/>
      <c r="V989" s="67"/>
    </row>
    <row r="990">
      <c r="A990" s="66"/>
      <c r="B990" s="66"/>
      <c r="C990" s="66"/>
      <c r="D990" s="66"/>
      <c r="G990" s="67"/>
      <c r="V990" s="67"/>
    </row>
    <row r="991">
      <c r="A991" s="66"/>
      <c r="B991" s="66"/>
      <c r="C991" s="66"/>
      <c r="D991" s="66"/>
      <c r="G991" s="67"/>
      <c r="V991" s="67"/>
    </row>
    <row r="992">
      <c r="A992" s="66"/>
      <c r="B992" s="66"/>
      <c r="C992" s="66"/>
      <c r="D992" s="66"/>
      <c r="G992" s="67"/>
      <c r="V992" s="67"/>
    </row>
    <row r="993">
      <c r="A993" s="66"/>
      <c r="B993" s="66"/>
      <c r="C993" s="66"/>
      <c r="D993" s="66"/>
      <c r="G993" s="67"/>
      <c r="V993" s="67"/>
    </row>
    <row r="994">
      <c r="A994" s="66"/>
      <c r="B994" s="66"/>
      <c r="C994" s="66"/>
      <c r="D994" s="66"/>
      <c r="G994" s="67"/>
      <c r="V994" s="67"/>
    </row>
    <row r="995">
      <c r="A995" s="66"/>
      <c r="B995" s="66"/>
      <c r="C995" s="66"/>
      <c r="D995" s="66"/>
      <c r="G995" s="67"/>
      <c r="V995" s="67"/>
    </row>
    <row r="996">
      <c r="A996" s="66"/>
      <c r="B996" s="66"/>
      <c r="C996" s="66"/>
      <c r="D996" s="66"/>
      <c r="G996" s="67"/>
      <c r="V996" s="67"/>
    </row>
    <row r="997">
      <c r="A997" s="66"/>
      <c r="B997" s="66"/>
      <c r="C997" s="66"/>
      <c r="D997" s="66"/>
      <c r="G997" s="67"/>
      <c r="V997" s="67"/>
    </row>
    <row r="998">
      <c r="A998" s="66"/>
      <c r="B998" s="66"/>
      <c r="C998" s="66"/>
      <c r="D998" s="66"/>
      <c r="G998" s="67"/>
      <c r="V998" s="67"/>
    </row>
    <row r="999">
      <c r="A999" s="66"/>
      <c r="B999" s="66"/>
      <c r="C999" s="66"/>
      <c r="D999" s="66"/>
      <c r="G999" s="67"/>
      <c r="V999" s="67"/>
    </row>
    <row r="1000">
      <c r="A1000" s="66"/>
      <c r="B1000" s="66"/>
      <c r="C1000" s="66"/>
      <c r="D1000" s="66"/>
      <c r="G1000" s="67"/>
      <c r="V1000" s="67"/>
    </row>
    <row r="1001">
      <c r="A1001" s="66"/>
      <c r="B1001" s="66"/>
      <c r="C1001" s="66"/>
      <c r="D1001" s="66"/>
      <c r="G1001" s="67"/>
      <c r="V1001" s="67"/>
    </row>
  </sheetData>
  <mergeCells count="4">
    <mergeCell ref="A1:D1"/>
    <mergeCell ref="F1:M1"/>
    <mergeCell ref="O1:T1"/>
    <mergeCell ref="V1:AB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15.0"/>
    <col customWidth="1" min="3" max="3" width="15.38"/>
    <col customWidth="1" min="4" max="4" width="174.75"/>
    <col customWidth="1" min="6" max="6" width="5.0"/>
    <col customWidth="1" min="7" max="7" width="15.63"/>
    <col customWidth="1" min="8" max="8" width="44.13"/>
    <col customWidth="1" min="15" max="15" width="14.75"/>
    <col customWidth="1" min="16" max="16" width="21.38"/>
    <col customWidth="1" min="17" max="17" width="104.75"/>
    <col customWidth="1" min="18" max="18" width="43.38"/>
    <col customWidth="1" min="19" max="19" width="31.25"/>
    <col customWidth="1" min="22" max="22" width="5.0"/>
    <col customWidth="1" min="23" max="23" width="26.38"/>
    <col customWidth="1" min="24" max="24" width="117.25"/>
    <col customWidth="1" min="25" max="25" width="74.63"/>
    <col customWidth="1" min="26" max="26" width="12.13"/>
    <col customWidth="1" min="27" max="27" width="11.13"/>
  </cols>
  <sheetData>
    <row r="1">
      <c r="A1" s="1" t="s">
        <v>0</v>
      </c>
      <c r="B1" s="2"/>
      <c r="C1" s="2"/>
      <c r="D1" s="3"/>
      <c r="F1" s="4" t="s">
        <v>1</v>
      </c>
      <c r="G1" s="2"/>
      <c r="H1" s="2"/>
      <c r="I1" s="2"/>
      <c r="J1" s="2"/>
      <c r="K1" s="2"/>
      <c r="L1" s="2"/>
      <c r="M1" s="3"/>
      <c r="O1" s="5" t="s">
        <v>2</v>
      </c>
      <c r="P1" s="2"/>
      <c r="Q1" s="2"/>
      <c r="R1" s="2"/>
      <c r="S1" s="2"/>
      <c r="T1" s="3"/>
      <c r="V1" s="5" t="s">
        <v>3</v>
      </c>
      <c r="W1" s="2"/>
      <c r="X1" s="2"/>
      <c r="Y1" s="2"/>
      <c r="Z1" s="2"/>
      <c r="AA1" s="2"/>
      <c r="AB1" s="3"/>
    </row>
    <row r="2">
      <c r="A2" s="6" t="s">
        <v>4</v>
      </c>
      <c r="B2" s="6" t="s">
        <v>5</v>
      </c>
      <c r="C2" s="6" t="s">
        <v>6</v>
      </c>
      <c r="D2" s="6" t="s">
        <v>8</v>
      </c>
      <c r="F2" s="8" t="s">
        <v>4</v>
      </c>
      <c r="G2" s="9" t="s">
        <v>9</v>
      </c>
      <c r="H2" s="8" t="s">
        <v>11</v>
      </c>
      <c r="I2" s="8" t="s">
        <v>12</v>
      </c>
      <c r="J2" s="8" t="s">
        <v>13</v>
      </c>
      <c r="K2" s="8" t="s">
        <v>14</v>
      </c>
      <c r="L2" s="8" t="s">
        <v>15</v>
      </c>
      <c r="M2" s="8" t="s">
        <v>16</v>
      </c>
      <c r="O2" s="10" t="s">
        <v>17</v>
      </c>
      <c r="P2" s="10"/>
      <c r="Q2" s="10"/>
      <c r="R2" s="10"/>
      <c r="S2" s="108" t="s">
        <v>24</v>
      </c>
      <c r="T2" s="12" t="s">
        <v>25</v>
      </c>
      <c r="V2" s="10" t="s">
        <v>4</v>
      </c>
      <c r="W2" s="10" t="s">
        <v>26</v>
      </c>
      <c r="X2" s="10" t="s">
        <v>20</v>
      </c>
      <c r="Y2" s="10" t="s">
        <v>22</v>
      </c>
      <c r="Z2" s="12" t="s">
        <v>24</v>
      </c>
      <c r="AA2" s="12" t="s">
        <v>25</v>
      </c>
      <c r="AB2" s="12" t="s">
        <v>27</v>
      </c>
    </row>
    <row r="3">
      <c r="A3" s="13">
        <v>1.0</v>
      </c>
      <c r="B3" s="14">
        <f>T3</f>
        <v>1</v>
      </c>
      <c r="C3" s="13">
        <f>S3</f>
        <v>10</v>
      </c>
      <c r="D3" s="14" t="str">
        <f>P3</f>
        <v>Flecha de Fuego</v>
      </c>
      <c r="F3" s="15">
        <v>1.0</v>
      </c>
      <c r="G3" s="16">
        <v>2.0</v>
      </c>
      <c r="H3" s="15" t="s">
        <v>1221</v>
      </c>
      <c r="I3" s="15">
        <v>2.0</v>
      </c>
      <c r="J3" s="15" t="s">
        <v>42</v>
      </c>
      <c r="K3" s="15" t="s">
        <v>42</v>
      </c>
      <c r="L3" s="15" t="s">
        <v>42</v>
      </c>
      <c r="M3" s="15" t="s">
        <v>42</v>
      </c>
      <c r="O3" s="17">
        <v>1.0</v>
      </c>
      <c r="P3" s="18" t="s">
        <v>1222</v>
      </c>
      <c r="Q3" s="19" t="s">
        <v>1223</v>
      </c>
      <c r="R3" s="109" t="s">
        <v>1224</v>
      </c>
      <c r="S3" s="109">
        <v>10.0</v>
      </c>
      <c r="T3" s="21">
        <v>1.0</v>
      </c>
      <c r="V3" s="22">
        <v>1.0</v>
      </c>
      <c r="W3" s="24" t="s">
        <v>1221</v>
      </c>
      <c r="X3" s="25" t="s">
        <v>1225</v>
      </c>
      <c r="Y3" s="25" t="s">
        <v>1077</v>
      </c>
      <c r="Z3" s="22" t="s">
        <v>1077</v>
      </c>
      <c r="AA3" s="22" t="s">
        <v>1077</v>
      </c>
    </row>
    <row r="4">
      <c r="A4" s="27">
        <v>2.0</v>
      </c>
      <c r="B4" s="28">
        <f>AA4</f>
        <v>2</v>
      </c>
      <c r="C4" s="27">
        <f>Z4</f>
        <v>12</v>
      </c>
      <c r="D4" s="28" t="str">
        <f>W4&amp;", "&amp;" y un basico"</f>
        <v>Construcción de Arma de Proyectiles,  y un basico</v>
      </c>
      <c r="F4" s="29">
        <v>2.0</v>
      </c>
      <c r="G4" s="30">
        <v>2.0</v>
      </c>
      <c r="H4" s="29" t="s">
        <v>1226</v>
      </c>
      <c r="I4" s="29">
        <v>3.0</v>
      </c>
      <c r="J4" s="29" t="s">
        <v>42</v>
      </c>
      <c r="K4" s="29" t="s">
        <v>42</v>
      </c>
      <c r="L4" s="29" t="s">
        <v>42</v>
      </c>
      <c r="M4" s="29" t="s">
        <v>42</v>
      </c>
      <c r="O4" s="53">
        <v>1.0</v>
      </c>
      <c r="P4" s="32" t="s">
        <v>1227</v>
      </c>
      <c r="Q4" s="33" t="s">
        <v>1228</v>
      </c>
      <c r="R4" s="110" t="s">
        <v>1074</v>
      </c>
      <c r="S4" s="110">
        <v>8.0</v>
      </c>
      <c r="T4" s="35">
        <v>1.0</v>
      </c>
      <c r="V4" s="36">
        <v>2.0</v>
      </c>
      <c r="W4" s="37" t="s">
        <v>1226</v>
      </c>
      <c r="X4" s="38" t="s">
        <v>1229</v>
      </c>
      <c r="Y4" s="38" t="s">
        <v>1092</v>
      </c>
      <c r="Z4" s="36">
        <v>12.0</v>
      </c>
      <c r="AA4" s="36">
        <v>2.0</v>
      </c>
    </row>
    <row r="5">
      <c r="A5" s="13">
        <v>3.0</v>
      </c>
      <c r="B5" s="14">
        <f>AA4+AA5</f>
        <v>3</v>
      </c>
      <c r="C5" s="13">
        <f>Z4+S5</f>
        <v>24</v>
      </c>
      <c r="D5" s="14" t="str">
        <f>W4&amp;", "&amp;P5</f>
        <v>Construcción de Arma de Proyectiles, Disparo Mágico</v>
      </c>
      <c r="F5" s="15">
        <v>3.0</v>
      </c>
      <c r="G5" s="16">
        <v>2.0</v>
      </c>
      <c r="H5" s="15" t="s">
        <v>1230</v>
      </c>
      <c r="I5" s="15">
        <v>4.0</v>
      </c>
      <c r="J5" s="15">
        <v>2.0</v>
      </c>
      <c r="K5" s="15" t="s">
        <v>42</v>
      </c>
      <c r="L5" s="15" t="s">
        <v>42</v>
      </c>
      <c r="M5" s="15" t="s">
        <v>42</v>
      </c>
      <c r="O5" s="53">
        <v>2.0</v>
      </c>
      <c r="P5" s="32" t="s">
        <v>1231</v>
      </c>
      <c r="Q5" s="33" t="s">
        <v>1232</v>
      </c>
      <c r="R5" s="110" t="s">
        <v>1092</v>
      </c>
      <c r="S5" s="110">
        <v>12.0</v>
      </c>
      <c r="T5" s="35">
        <v>2.0</v>
      </c>
      <c r="V5" s="39">
        <v>3.0</v>
      </c>
      <c r="W5" s="40" t="s">
        <v>1230</v>
      </c>
      <c r="X5" s="41" t="s">
        <v>1233</v>
      </c>
      <c r="Y5" s="41" t="s">
        <v>1234</v>
      </c>
      <c r="Z5" s="39">
        <v>6.0</v>
      </c>
      <c r="AA5" s="39">
        <v>1.0</v>
      </c>
    </row>
    <row r="6">
      <c r="A6" s="27">
        <v>4.0</v>
      </c>
      <c r="B6" s="28">
        <f>AA4+AA5</f>
        <v>3</v>
      </c>
      <c r="C6" s="27">
        <f>Z4+S5</f>
        <v>24</v>
      </c>
      <c r="D6" s="28" t="str">
        <f>W4&amp;", "&amp;P5</f>
        <v>Construcción de Arma de Proyectiles, Disparo Mágico</v>
      </c>
      <c r="F6" s="29">
        <v>4.0</v>
      </c>
      <c r="G6" s="30">
        <v>2.0</v>
      </c>
      <c r="H6" s="29" t="s">
        <v>76</v>
      </c>
      <c r="I6" s="29">
        <v>4.0</v>
      </c>
      <c r="J6" s="29">
        <v>2.0</v>
      </c>
      <c r="K6" s="29" t="s">
        <v>42</v>
      </c>
      <c r="L6" s="29" t="s">
        <v>42</v>
      </c>
      <c r="M6" s="29" t="s">
        <v>42</v>
      </c>
      <c r="O6" s="53">
        <v>2.0</v>
      </c>
      <c r="P6" s="32" t="s">
        <v>1060</v>
      </c>
      <c r="Q6" s="33" t="s">
        <v>1235</v>
      </c>
      <c r="R6" s="110" t="s">
        <v>1236</v>
      </c>
      <c r="S6" s="110">
        <v>12.0</v>
      </c>
      <c r="T6" s="35">
        <v>2.0</v>
      </c>
      <c r="V6" s="39">
        <v>4.0</v>
      </c>
      <c r="W6" s="40" t="s">
        <v>76</v>
      </c>
      <c r="X6" s="41" t="s">
        <v>1237</v>
      </c>
      <c r="Y6" s="41" t="s">
        <v>1077</v>
      </c>
      <c r="Z6" s="39" t="s">
        <v>1077</v>
      </c>
      <c r="AA6" s="39" t="s">
        <v>1077</v>
      </c>
    </row>
    <row r="7">
      <c r="A7" s="13">
        <v>5.0</v>
      </c>
      <c r="B7" s="14">
        <f>AA8+AA7</f>
        <v>7</v>
      </c>
      <c r="C7" s="13">
        <f>Z8+Z7</f>
        <v>42</v>
      </c>
      <c r="D7" s="14" t="str">
        <f>W8&amp;", "&amp;W7</f>
        <v>Construcción de Arma de Proyectiles (Escalado), Cañón de Asedio</v>
      </c>
      <c r="F7" s="15">
        <v>5.0</v>
      </c>
      <c r="G7" s="16">
        <v>3.0</v>
      </c>
      <c r="H7" s="15" t="s">
        <v>1238</v>
      </c>
      <c r="I7" s="15">
        <v>4.0</v>
      </c>
      <c r="J7" s="15">
        <v>3.0</v>
      </c>
      <c r="K7" s="15" t="s">
        <v>42</v>
      </c>
      <c r="L7" s="15" t="s">
        <v>42</v>
      </c>
      <c r="M7" s="15" t="s">
        <v>42</v>
      </c>
      <c r="O7" s="53">
        <v>3.0</v>
      </c>
      <c r="P7" s="32" t="s">
        <v>540</v>
      </c>
      <c r="Q7" s="33" t="s">
        <v>1239</v>
      </c>
      <c r="R7" s="110" t="s">
        <v>1240</v>
      </c>
      <c r="S7" s="110">
        <v>16.0</v>
      </c>
      <c r="T7" s="35">
        <v>2.0</v>
      </c>
      <c r="V7" s="22">
        <v>5.0</v>
      </c>
      <c r="W7" s="24" t="s">
        <v>1238</v>
      </c>
      <c r="X7" s="25" t="s">
        <v>1241</v>
      </c>
      <c r="Y7" s="25" t="s">
        <v>1177</v>
      </c>
      <c r="Z7" s="22">
        <v>24.0</v>
      </c>
      <c r="AA7" s="22">
        <v>4.0</v>
      </c>
    </row>
    <row r="8">
      <c r="A8" s="27">
        <v>6.0</v>
      </c>
      <c r="B8" s="28">
        <f>AA8+AA7</f>
        <v>7</v>
      </c>
      <c r="C8" s="27">
        <f>Z8+Z7</f>
        <v>42</v>
      </c>
      <c r="D8" s="28" t="str">
        <f>W8&amp;", "&amp;W7</f>
        <v>Construcción de Arma de Proyectiles (Escalado), Cañón de Asedio</v>
      </c>
      <c r="F8" s="29">
        <v>6.0</v>
      </c>
      <c r="G8" s="30">
        <v>3.0</v>
      </c>
      <c r="H8" s="29" t="s">
        <v>1242</v>
      </c>
      <c r="I8" s="29">
        <v>4.0</v>
      </c>
      <c r="J8" s="29">
        <v>3.0</v>
      </c>
      <c r="K8" s="29" t="s">
        <v>42</v>
      </c>
      <c r="L8" s="29" t="s">
        <v>42</v>
      </c>
      <c r="M8" s="29" t="s">
        <v>42</v>
      </c>
      <c r="O8" s="50">
        <v>3.0</v>
      </c>
      <c r="P8" s="45" t="s">
        <v>1243</v>
      </c>
      <c r="Q8" s="46" t="s">
        <v>1244</v>
      </c>
      <c r="R8" s="111" t="s">
        <v>1077</v>
      </c>
      <c r="S8" s="111">
        <v>0.0</v>
      </c>
      <c r="T8" s="48">
        <v>0.0</v>
      </c>
      <c r="V8" s="36">
        <v>5.0</v>
      </c>
      <c r="W8" s="37" t="s">
        <v>1245</v>
      </c>
      <c r="X8" s="38" t="s">
        <v>1246</v>
      </c>
      <c r="Y8" s="38" t="s">
        <v>1144</v>
      </c>
      <c r="Z8" s="36">
        <v>18.0</v>
      </c>
      <c r="AA8" s="36">
        <v>3.0</v>
      </c>
    </row>
    <row r="9">
      <c r="A9" s="13">
        <v>7.0</v>
      </c>
      <c r="B9" s="14">
        <f>AA8+AA7+AA10</f>
        <v>9</v>
      </c>
      <c r="C9" s="13">
        <f>Z8+Z7+Z10</f>
        <v>54</v>
      </c>
      <c r="D9" s="14" t="str">
        <f>W8&amp;", "&amp;W7&amp;", "&amp;W10</f>
        <v>Construcción de Arma de Proyectiles (Escalado), Cañón de Asedio, Trampa de Proyectiles</v>
      </c>
      <c r="F9" s="15">
        <v>7.0</v>
      </c>
      <c r="G9" s="16">
        <v>3.0</v>
      </c>
      <c r="H9" s="15" t="s">
        <v>1247</v>
      </c>
      <c r="I9" s="15">
        <v>4.0</v>
      </c>
      <c r="J9" s="15">
        <v>3.0</v>
      </c>
      <c r="K9" s="15">
        <v>2.0</v>
      </c>
      <c r="L9" s="15" t="s">
        <v>42</v>
      </c>
      <c r="M9" s="15" t="s">
        <v>42</v>
      </c>
      <c r="O9" s="50">
        <v>4.0</v>
      </c>
      <c r="P9" s="45" t="s">
        <v>1248</v>
      </c>
      <c r="Q9" s="46" t="s">
        <v>1249</v>
      </c>
      <c r="R9" s="111" t="s">
        <v>1250</v>
      </c>
      <c r="S9" s="111">
        <v>18.0</v>
      </c>
      <c r="T9" s="48">
        <v>3.0</v>
      </c>
      <c r="V9" s="39">
        <v>6.0</v>
      </c>
      <c r="W9" s="40" t="s">
        <v>1242</v>
      </c>
      <c r="X9" s="41" t="s">
        <v>1251</v>
      </c>
      <c r="Y9" s="41" t="s">
        <v>1077</v>
      </c>
      <c r="Z9" s="39" t="s">
        <v>1077</v>
      </c>
      <c r="AA9" s="39" t="s">
        <v>1077</v>
      </c>
    </row>
    <row r="10">
      <c r="A10" s="27">
        <v>8.0</v>
      </c>
      <c r="B10" s="28">
        <f>AA8+AA7+AA10</f>
        <v>9</v>
      </c>
      <c r="C10" s="27">
        <f>Z8+Z7+Z10</f>
        <v>54</v>
      </c>
      <c r="D10" s="28" t="str">
        <f>W8&amp;", "&amp;W7&amp;", "&amp;W10</f>
        <v>Construcción de Arma de Proyectiles (Escalado), Cañón de Asedio, Trampa de Proyectiles</v>
      </c>
      <c r="F10" s="29">
        <v>8.0</v>
      </c>
      <c r="G10" s="30">
        <v>3.0</v>
      </c>
      <c r="H10" s="29" t="s">
        <v>76</v>
      </c>
      <c r="I10" s="29">
        <v>4.0</v>
      </c>
      <c r="J10" s="29">
        <v>3.0</v>
      </c>
      <c r="K10" s="29">
        <v>2.0</v>
      </c>
      <c r="L10" s="29" t="s">
        <v>42</v>
      </c>
      <c r="M10" s="29" t="s">
        <v>42</v>
      </c>
      <c r="O10" s="50">
        <v>4.0</v>
      </c>
      <c r="P10" s="45" t="s">
        <v>758</v>
      </c>
      <c r="Q10" s="46" t="s">
        <v>1252</v>
      </c>
      <c r="R10" s="111" t="s">
        <v>1077</v>
      </c>
      <c r="S10" s="111">
        <v>0.0</v>
      </c>
      <c r="T10" s="48">
        <v>0.0</v>
      </c>
      <c r="V10" s="39">
        <v>7.0</v>
      </c>
      <c r="W10" s="40" t="s">
        <v>1247</v>
      </c>
      <c r="X10" s="41" t="s">
        <v>1253</v>
      </c>
      <c r="Y10" s="41" t="s">
        <v>1254</v>
      </c>
      <c r="Z10" s="39">
        <v>12.0</v>
      </c>
      <c r="AA10" s="39">
        <v>2.0</v>
      </c>
    </row>
    <row r="11">
      <c r="A11" s="13">
        <v>9.0</v>
      </c>
      <c r="B11" s="14">
        <f>AA12+AA11+AA10</f>
        <v>11</v>
      </c>
      <c r="C11" s="13">
        <f>Z12+Z11+Z10</f>
        <v>66</v>
      </c>
      <c r="D11" s="14" t="str">
        <f>W12&amp;", "&amp;W11&amp;", "&amp;W10</f>
        <v>Construcción de Arma de Proyectiles (Escalado), Balista de Energía, Trampa de Proyectiles</v>
      </c>
      <c r="F11" s="15">
        <v>9.0</v>
      </c>
      <c r="G11" s="16">
        <v>4.0</v>
      </c>
      <c r="H11" s="15" t="s">
        <v>1255</v>
      </c>
      <c r="I11" s="15">
        <v>4.0</v>
      </c>
      <c r="J11" s="15">
        <v>3.0</v>
      </c>
      <c r="K11" s="15">
        <v>3.0</v>
      </c>
      <c r="L11" s="15" t="s">
        <v>42</v>
      </c>
      <c r="M11" s="15" t="s">
        <v>42</v>
      </c>
      <c r="O11" s="50">
        <v>5.0</v>
      </c>
      <c r="P11" s="45" t="s">
        <v>704</v>
      </c>
      <c r="Q11" s="46" t="s">
        <v>1256</v>
      </c>
      <c r="R11" s="111" t="s">
        <v>1257</v>
      </c>
      <c r="S11" s="111">
        <v>100.0</v>
      </c>
      <c r="T11" s="48">
        <v>50.0</v>
      </c>
      <c r="V11" s="22">
        <v>9.0</v>
      </c>
      <c r="W11" s="24" t="s">
        <v>1255</v>
      </c>
      <c r="X11" s="25" t="s">
        <v>1258</v>
      </c>
      <c r="Y11" s="25" t="s">
        <v>1156</v>
      </c>
      <c r="Z11" s="22">
        <v>30.0</v>
      </c>
      <c r="AA11" s="22">
        <v>5.0</v>
      </c>
    </row>
    <row r="12">
      <c r="A12" s="27">
        <v>10.0</v>
      </c>
      <c r="B12" s="28">
        <f>AA12+AA13+AA10</f>
        <v>11</v>
      </c>
      <c r="C12" s="27">
        <f>Z12+Z13+Z10</f>
        <v>66</v>
      </c>
      <c r="D12" s="28" t="str">
        <f>W12&amp;", "&amp;W13&amp;", "&amp;W10</f>
        <v>Construcción de Arma de Proyectiles (Escalado), Cañón de Asedio (Escalado), Trampa de Proyectiles</v>
      </c>
      <c r="F12" s="29">
        <v>10.0</v>
      </c>
      <c r="G12" s="30">
        <v>4.0</v>
      </c>
      <c r="H12" s="29" t="s">
        <v>1259</v>
      </c>
      <c r="I12" s="29">
        <v>4.0</v>
      </c>
      <c r="J12" s="29">
        <v>3.0</v>
      </c>
      <c r="K12" s="29">
        <v>3.0</v>
      </c>
      <c r="L12" s="29">
        <v>1.0</v>
      </c>
      <c r="M12" s="29" t="s">
        <v>42</v>
      </c>
      <c r="O12" s="50">
        <v>5.0</v>
      </c>
      <c r="P12" s="45" t="s">
        <v>1260</v>
      </c>
      <c r="Q12" s="46" t="s">
        <v>1261</v>
      </c>
      <c r="R12" s="111" t="s">
        <v>1077</v>
      </c>
      <c r="S12" s="111">
        <v>0.0</v>
      </c>
      <c r="T12" s="48">
        <v>0.0</v>
      </c>
      <c r="V12" s="36">
        <v>9.0</v>
      </c>
      <c r="W12" s="37" t="s">
        <v>1245</v>
      </c>
      <c r="X12" s="38" t="s">
        <v>1246</v>
      </c>
      <c r="Y12" s="38" t="s">
        <v>1177</v>
      </c>
      <c r="Z12" s="36">
        <v>24.0</v>
      </c>
      <c r="AA12" s="36">
        <v>4.0</v>
      </c>
    </row>
    <row r="13">
      <c r="A13" s="13">
        <v>11.0</v>
      </c>
      <c r="B13" s="14">
        <f>AA12+AA13+AA16+AA15</f>
        <v>15</v>
      </c>
      <c r="C13" s="13">
        <f>Z12+Z13+Z16+Z15</f>
        <v>90</v>
      </c>
      <c r="D13" s="14" t="str">
        <f>W12&amp;", "&amp;W13&amp;", "&amp;W16&amp;", "&amp;W15</f>
        <v>Construcción de Arma de Proyectiles (Escalado), Cañón de Asedio (Escalado), Trampa de Proyectiles (Escalado), Torreta de Proyectiles</v>
      </c>
      <c r="F13" s="15">
        <v>11.0</v>
      </c>
      <c r="G13" s="16">
        <v>4.0</v>
      </c>
      <c r="H13" s="15" t="s">
        <v>1262</v>
      </c>
      <c r="I13" s="15">
        <v>4.0</v>
      </c>
      <c r="J13" s="15">
        <v>3.0</v>
      </c>
      <c r="K13" s="15">
        <v>3.0</v>
      </c>
      <c r="L13" s="15">
        <v>1.0</v>
      </c>
      <c r="M13" s="15" t="s">
        <v>42</v>
      </c>
      <c r="O13" s="50">
        <v>5.0</v>
      </c>
      <c r="P13" s="45" t="s">
        <v>770</v>
      </c>
      <c r="Q13" s="46" t="s">
        <v>1263</v>
      </c>
      <c r="R13" s="111" t="s">
        <v>183</v>
      </c>
      <c r="S13" s="111">
        <v>32.0</v>
      </c>
      <c r="T13" s="48">
        <v>4.0</v>
      </c>
      <c r="V13" s="39">
        <v>9.0</v>
      </c>
      <c r="W13" s="40" t="s">
        <v>1264</v>
      </c>
      <c r="X13" s="41" t="s">
        <v>1265</v>
      </c>
      <c r="Y13" s="41" t="s">
        <v>1156</v>
      </c>
      <c r="Z13" s="39">
        <v>30.0</v>
      </c>
      <c r="AA13" s="39">
        <v>5.0</v>
      </c>
    </row>
    <row r="14">
      <c r="A14" s="27">
        <v>12.0</v>
      </c>
      <c r="B14" s="28">
        <f>AA12+AA13+AA16+AA15</f>
        <v>15</v>
      </c>
      <c r="C14" s="27">
        <f>Z12+Z13+Z16+Z15</f>
        <v>90</v>
      </c>
      <c r="D14" s="28" t="str">
        <f>W12&amp;", "&amp;W13&amp;", "&amp;W16&amp;", "&amp;W15</f>
        <v>Construcción de Arma de Proyectiles (Escalado), Cañón de Asedio (Escalado), Trampa de Proyectiles (Escalado), Torreta de Proyectiles</v>
      </c>
      <c r="F14" s="29">
        <v>12.0</v>
      </c>
      <c r="G14" s="30">
        <v>4.0</v>
      </c>
      <c r="H14" s="29" t="s">
        <v>76</v>
      </c>
      <c r="I14" s="29">
        <v>4.0</v>
      </c>
      <c r="J14" s="29">
        <v>3.0</v>
      </c>
      <c r="K14" s="29">
        <v>3.0</v>
      </c>
      <c r="L14" s="29">
        <v>1.0</v>
      </c>
      <c r="M14" s="29" t="s">
        <v>42</v>
      </c>
      <c r="O14" s="53"/>
      <c r="P14" s="32"/>
      <c r="Q14" s="33"/>
      <c r="R14" s="21"/>
      <c r="S14" s="110"/>
      <c r="T14" s="35"/>
      <c r="V14" s="39">
        <v>10.0</v>
      </c>
      <c r="W14" s="40" t="s">
        <v>1259</v>
      </c>
      <c r="X14" s="41" t="s">
        <v>1266</v>
      </c>
      <c r="Y14" s="41" t="s">
        <v>562</v>
      </c>
      <c r="Z14" s="39">
        <v>12.0</v>
      </c>
      <c r="AA14" s="39">
        <v>2.0</v>
      </c>
    </row>
    <row r="15">
      <c r="A15" s="13">
        <v>13.0</v>
      </c>
      <c r="B15" s="14">
        <f>AA20+AA19+AA16+AA15</f>
        <v>17</v>
      </c>
      <c r="C15" s="13">
        <f>Z20+Z19+Z16+Z15</f>
        <v>102</v>
      </c>
      <c r="D15" s="14" t="str">
        <f>W20&amp;", "&amp;W19&amp;", "&amp;W16&amp;", "&amp;W15</f>
        <v>Construcción de Arma de Proyectiles (Escalado), Cañón de Asedio (Escalado), Trampa de Proyectiles (Escalado), Torreta de Proyectiles</v>
      </c>
      <c r="F15" s="15">
        <v>13.0</v>
      </c>
      <c r="G15" s="16">
        <v>5.0</v>
      </c>
      <c r="H15" s="15" t="s">
        <v>1267</v>
      </c>
      <c r="I15" s="15">
        <v>4.0</v>
      </c>
      <c r="J15" s="15">
        <v>3.0</v>
      </c>
      <c r="K15" s="15">
        <v>3.0</v>
      </c>
      <c r="L15" s="15">
        <v>2.0</v>
      </c>
      <c r="M15" s="15" t="s">
        <v>42</v>
      </c>
      <c r="O15" s="53"/>
      <c r="P15" s="32"/>
      <c r="Q15" s="33"/>
      <c r="R15" s="35"/>
      <c r="S15" s="110"/>
      <c r="T15" s="35"/>
      <c r="V15" s="22">
        <v>11.0</v>
      </c>
      <c r="W15" s="24" t="s">
        <v>1262</v>
      </c>
      <c r="X15" s="25" t="s">
        <v>1268</v>
      </c>
      <c r="Y15" s="25" t="s">
        <v>1144</v>
      </c>
      <c r="Z15" s="22">
        <v>18.0</v>
      </c>
      <c r="AA15" s="22">
        <v>3.0</v>
      </c>
    </row>
    <row r="16">
      <c r="A16" s="27">
        <v>14.0</v>
      </c>
      <c r="B16" s="28">
        <f>AA20+T11+AA16+AA15</f>
        <v>61</v>
      </c>
      <c r="C16" s="27">
        <f>Z20+S11+Z16+Z15</f>
        <v>166</v>
      </c>
      <c r="D16" s="28" t="str">
        <f>W20&amp;", "&amp;P11&amp;", "&amp;W16&amp;", "&amp;W15</f>
        <v>Construcción de Arma de Proyectiles (Escalado), Desintegrar, Trampa de Proyectiles (Escalado), Torreta de Proyectiles</v>
      </c>
      <c r="F16" s="29">
        <v>14.0</v>
      </c>
      <c r="G16" s="30">
        <v>5.0</v>
      </c>
      <c r="H16" s="29" t="s">
        <v>1269</v>
      </c>
      <c r="I16" s="29">
        <v>4.0</v>
      </c>
      <c r="J16" s="29">
        <v>3.0</v>
      </c>
      <c r="K16" s="29">
        <v>3.0</v>
      </c>
      <c r="L16" s="29">
        <v>2.0</v>
      </c>
      <c r="M16" s="29">
        <v>1.0</v>
      </c>
      <c r="O16" s="53"/>
      <c r="P16" s="32"/>
      <c r="Q16" s="33"/>
      <c r="R16" s="35"/>
      <c r="S16" s="110"/>
      <c r="T16" s="35"/>
      <c r="V16" s="36">
        <v>11.0</v>
      </c>
      <c r="W16" s="37" t="s">
        <v>1270</v>
      </c>
      <c r="X16" s="38" t="s">
        <v>1271</v>
      </c>
      <c r="Y16" s="38" t="s">
        <v>1272</v>
      </c>
      <c r="Z16" s="36">
        <v>18.0</v>
      </c>
      <c r="AA16" s="36">
        <v>3.0</v>
      </c>
    </row>
    <row r="17">
      <c r="A17" s="13">
        <v>15.0</v>
      </c>
      <c r="B17" s="14">
        <f>AA20+T11+AA22+AA23</f>
        <v>65</v>
      </c>
      <c r="C17" s="13">
        <f>Z20+S11+Z22+Z23</f>
        <v>190</v>
      </c>
      <c r="D17" s="14" t="str">
        <f>W20&amp;", "&amp;P11&amp;", "&amp;W22&amp;", "&amp;W23</f>
        <v>Construcción de Arma de Proyectiles (Escalado), Desintegrar, Torreta de Proyectiles (Escalado), Trampa de Proyectiles (Escalado)</v>
      </c>
      <c r="F17" s="15">
        <v>15.0</v>
      </c>
      <c r="G17" s="16">
        <v>5.0</v>
      </c>
      <c r="H17" s="15" t="s">
        <v>1273</v>
      </c>
      <c r="I17" s="15">
        <v>4.0</v>
      </c>
      <c r="J17" s="15">
        <v>3.0</v>
      </c>
      <c r="K17" s="15">
        <v>3.0</v>
      </c>
      <c r="L17" s="15">
        <v>2.0</v>
      </c>
      <c r="M17" s="15">
        <v>1.0</v>
      </c>
      <c r="O17" s="53"/>
      <c r="P17" s="32"/>
      <c r="Q17" s="33"/>
      <c r="R17" s="35"/>
      <c r="S17" s="110"/>
      <c r="T17" s="35"/>
      <c r="V17" s="39">
        <v>12.0</v>
      </c>
      <c r="W17" s="40" t="s">
        <v>76</v>
      </c>
      <c r="X17" s="41" t="s">
        <v>1237</v>
      </c>
      <c r="Y17" s="41" t="s">
        <v>1077</v>
      </c>
      <c r="Z17" s="39" t="s">
        <v>1077</v>
      </c>
      <c r="AA17" s="39" t="s">
        <v>1077</v>
      </c>
    </row>
    <row r="18">
      <c r="A18" s="27">
        <v>16.0</v>
      </c>
      <c r="B18" s="28">
        <f>AA20+T11+AA22+AA23</f>
        <v>65</v>
      </c>
      <c r="C18" s="27">
        <f>Z20+S11+Z22+Z23</f>
        <v>190</v>
      </c>
      <c r="D18" s="28" t="str">
        <f>W20&amp;", "&amp;P11&amp;", "&amp;W22&amp;", "&amp;W23</f>
        <v>Construcción de Arma de Proyectiles (Escalado), Desintegrar, Torreta de Proyectiles (Escalado), Trampa de Proyectiles (Escalado)</v>
      </c>
      <c r="F18" s="29">
        <v>16.0</v>
      </c>
      <c r="G18" s="30">
        <v>5.0</v>
      </c>
      <c r="H18" s="29" t="s">
        <v>76</v>
      </c>
      <c r="I18" s="29">
        <v>4.0</v>
      </c>
      <c r="J18" s="29">
        <v>3.0</v>
      </c>
      <c r="K18" s="29">
        <v>3.0</v>
      </c>
      <c r="L18" s="29">
        <v>2.0</v>
      </c>
      <c r="M18" s="29">
        <v>1.0</v>
      </c>
      <c r="O18" s="53"/>
      <c r="P18" s="32"/>
      <c r="Q18" s="33"/>
      <c r="R18" s="35"/>
      <c r="S18" s="110"/>
      <c r="T18" s="35"/>
      <c r="V18" s="39">
        <v>13.0</v>
      </c>
      <c r="W18" s="40" t="s">
        <v>1267</v>
      </c>
      <c r="X18" s="41" t="s">
        <v>1274</v>
      </c>
      <c r="Y18" s="41" t="s">
        <v>1077</v>
      </c>
      <c r="Z18" s="39" t="s">
        <v>1077</v>
      </c>
      <c r="AA18" s="39" t="s">
        <v>1077</v>
      </c>
    </row>
    <row r="19">
      <c r="A19" s="13">
        <v>17.0</v>
      </c>
      <c r="B19" s="14">
        <f>AA24+T11+AA22+AA23</f>
        <v>66</v>
      </c>
      <c r="C19" s="13">
        <f>Z24+S11+Z22+Z23</f>
        <v>196</v>
      </c>
      <c r="D19" s="14" t="str">
        <f>W24&amp;", "&amp;P11&amp;", "&amp;W22&amp;", "&amp;W23</f>
        <v>Construcción de Arma de Proyectiles (Escalado), Desintegrar, Torreta de Proyectiles (Escalado), Trampa de Proyectiles (Escalado)</v>
      </c>
      <c r="F19" s="15">
        <v>17.0</v>
      </c>
      <c r="G19" s="16">
        <v>6.0</v>
      </c>
      <c r="H19" s="15" t="s">
        <v>1275</v>
      </c>
      <c r="I19" s="15">
        <v>4.0</v>
      </c>
      <c r="J19" s="15">
        <v>3.0</v>
      </c>
      <c r="K19" s="15">
        <v>3.0</v>
      </c>
      <c r="L19" s="15">
        <v>2.0</v>
      </c>
      <c r="M19" s="15">
        <v>2.0</v>
      </c>
      <c r="O19" s="50"/>
      <c r="P19" s="45"/>
      <c r="Q19" s="46"/>
      <c r="R19" s="48"/>
      <c r="S19" s="111"/>
      <c r="T19" s="48"/>
      <c r="V19" s="22">
        <v>13.0</v>
      </c>
      <c r="W19" s="24" t="s">
        <v>1264</v>
      </c>
      <c r="X19" s="25" t="s">
        <v>1265</v>
      </c>
      <c r="Y19" s="25" t="s">
        <v>1181</v>
      </c>
      <c r="Z19" s="22">
        <v>36.0</v>
      </c>
      <c r="AA19" s="22">
        <v>6.0</v>
      </c>
    </row>
    <row r="20">
      <c r="A20" s="27">
        <v>18.0</v>
      </c>
      <c r="B20" s="28">
        <f>AA24+T11+AA22+AA23</f>
        <v>66</v>
      </c>
      <c r="C20" s="27">
        <f>Z24+S11+Z22+Z23</f>
        <v>196</v>
      </c>
      <c r="D20" s="28" t="str">
        <f>W24&amp;", "&amp;P11&amp;", "&amp;W22&amp;", "&amp;W23</f>
        <v>Construcción de Arma de Proyectiles (Escalado), Desintegrar, Torreta de Proyectiles (Escalado), Trampa de Proyectiles (Escalado)</v>
      </c>
      <c r="F20" s="29">
        <v>18.0</v>
      </c>
      <c r="G20" s="30">
        <v>6.0</v>
      </c>
      <c r="H20" s="29" t="s">
        <v>1276</v>
      </c>
      <c r="I20" s="29">
        <v>4.0</v>
      </c>
      <c r="J20" s="29">
        <v>3.0</v>
      </c>
      <c r="K20" s="29">
        <v>3.0</v>
      </c>
      <c r="L20" s="29">
        <v>2.0</v>
      </c>
      <c r="M20" s="29">
        <v>2.0</v>
      </c>
      <c r="O20" s="50"/>
      <c r="P20" s="45"/>
      <c r="Q20" s="46"/>
      <c r="R20" s="48"/>
      <c r="S20" s="111"/>
      <c r="T20" s="48"/>
      <c r="V20" s="36">
        <v>13.0</v>
      </c>
      <c r="W20" s="37" t="s">
        <v>1245</v>
      </c>
      <c r="X20" s="38" t="s">
        <v>1246</v>
      </c>
      <c r="Y20" s="38" t="s">
        <v>1156</v>
      </c>
      <c r="Z20" s="36">
        <v>30.0</v>
      </c>
      <c r="AA20" s="36">
        <v>5.0</v>
      </c>
    </row>
    <row r="21">
      <c r="A21" s="13">
        <v>19.0</v>
      </c>
      <c r="B21" s="14">
        <f>AA24+T11+AA28+AA27</f>
        <v>69</v>
      </c>
      <c r="C21" s="13">
        <f>Z24+S11+Z28+Z27</f>
        <v>214</v>
      </c>
      <c r="D21" s="14" t="str">
        <f>W24&amp;", "&amp;P11&amp;", "&amp;W27&amp;", "&amp;W28</f>
        <v>Construcción de Arma de Proyectiles (Escalado), Desintegrar, Torreta de Proyectiles (Escalado), Trampa de Proyectiles (Escalado)</v>
      </c>
      <c r="F21" s="15">
        <v>19.0</v>
      </c>
      <c r="G21" s="16">
        <v>6.0</v>
      </c>
      <c r="H21" s="15" t="s">
        <v>1275</v>
      </c>
      <c r="I21" s="15">
        <v>4.0</v>
      </c>
      <c r="J21" s="15">
        <v>3.0</v>
      </c>
      <c r="K21" s="15">
        <v>3.0</v>
      </c>
      <c r="L21" s="15">
        <v>2.0</v>
      </c>
      <c r="M21" s="15">
        <v>2.0</v>
      </c>
      <c r="O21" s="50"/>
      <c r="P21" s="45"/>
      <c r="Q21" s="46"/>
      <c r="R21" s="48"/>
      <c r="S21" s="111"/>
      <c r="T21" s="48"/>
      <c r="V21" s="39">
        <v>15.0</v>
      </c>
      <c r="W21" s="40" t="s">
        <v>1273</v>
      </c>
      <c r="X21" s="41" t="s">
        <v>1277</v>
      </c>
      <c r="Y21" s="41" t="s">
        <v>1181</v>
      </c>
      <c r="Z21" s="39">
        <v>36.0</v>
      </c>
      <c r="AA21" s="39">
        <v>6.0</v>
      </c>
    </row>
    <row r="22">
      <c r="A22" s="60">
        <v>20.0</v>
      </c>
      <c r="B22" s="61">
        <f>AA24+T11+AA28+AA27</f>
        <v>69</v>
      </c>
      <c r="C22" s="60">
        <f>Z24+S11+Z28+Z27</f>
        <v>214</v>
      </c>
      <c r="D22" s="60" t="str">
        <f>W24&amp;", "&amp;P11&amp;", "&amp;W27&amp;", "&amp;W28</f>
        <v>Construcción de Arma de Proyectiles (Escalado), Desintegrar, Torreta de Proyectiles (Escalado), Trampa de Proyectiles (Escalado)</v>
      </c>
      <c r="F22" s="62">
        <v>20.0</v>
      </c>
      <c r="G22" s="63">
        <v>6.0</v>
      </c>
      <c r="H22" s="62" t="s">
        <v>1278</v>
      </c>
      <c r="I22" s="62">
        <v>4.0</v>
      </c>
      <c r="J22" s="62">
        <v>3.0</v>
      </c>
      <c r="K22" s="62">
        <v>3.0</v>
      </c>
      <c r="L22" s="62">
        <v>2.0</v>
      </c>
      <c r="M22" s="62">
        <v>2.0</v>
      </c>
      <c r="O22" s="50"/>
      <c r="P22" s="45"/>
      <c r="Q22" s="46"/>
      <c r="R22" s="48"/>
      <c r="S22" s="111"/>
      <c r="T22" s="48"/>
      <c r="V22" s="39">
        <v>15.0</v>
      </c>
      <c r="W22" s="40" t="s">
        <v>1279</v>
      </c>
      <c r="X22" s="41" t="s">
        <v>1280</v>
      </c>
      <c r="Y22" s="41" t="s">
        <v>1191</v>
      </c>
      <c r="Z22" s="39">
        <v>36.0</v>
      </c>
      <c r="AA22" s="39">
        <v>6.0</v>
      </c>
    </row>
    <row r="23">
      <c r="A23" s="66"/>
      <c r="B23" s="66"/>
      <c r="C23" s="66"/>
      <c r="D23" s="66"/>
      <c r="G23" s="67"/>
      <c r="O23" s="53"/>
      <c r="P23" s="32"/>
      <c r="Q23" s="33"/>
      <c r="R23" s="48"/>
      <c r="S23" s="110"/>
      <c r="T23" s="35"/>
      <c r="V23" s="22">
        <v>15.0</v>
      </c>
      <c r="W23" s="24" t="s">
        <v>1270</v>
      </c>
      <c r="X23" s="25" t="s">
        <v>1281</v>
      </c>
      <c r="Y23" s="25" t="s">
        <v>1282</v>
      </c>
      <c r="Z23" s="22">
        <v>24.0</v>
      </c>
      <c r="AA23" s="22">
        <v>4.0</v>
      </c>
    </row>
    <row r="24">
      <c r="A24" s="66"/>
      <c r="B24" s="66"/>
      <c r="C24" s="66"/>
      <c r="D24" s="66"/>
      <c r="G24" s="67"/>
      <c r="O24" s="53"/>
      <c r="P24" s="32"/>
      <c r="Q24" s="33"/>
      <c r="R24" s="48"/>
      <c r="S24" s="110"/>
      <c r="T24" s="35"/>
      <c r="V24" s="36">
        <v>17.0</v>
      </c>
      <c r="W24" s="37" t="s">
        <v>1245</v>
      </c>
      <c r="X24" s="38" t="s">
        <v>1246</v>
      </c>
      <c r="Y24" s="38" t="s">
        <v>1181</v>
      </c>
      <c r="Z24" s="36">
        <v>36.0</v>
      </c>
      <c r="AA24" s="36">
        <v>6.0</v>
      </c>
    </row>
    <row r="25">
      <c r="A25" s="66"/>
      <c r="B25" s="66"/>
      <c r="C25" s="66"/>
      <c r="D25" s="66"/>
      <c r="G25" s="67"/>
      <c r="O25" s="53"/>
      <c r="P25" s="32"/>
      <c r="Q25" s="33"/>
      <c r="R25" s="34"/>
      <c r="S25" s="110"/>
      <c r="T25" s="35"/>
      <c r="V25" s="39">
        <v>17.0</v>
      </c>
      <c r="W25" s="40" t="s">
        <v>1264</v>
      </c>
      <c r="X25" s="41" t="s">
        <v>1265</v>
      </c>
      <c r="Y25" s="41" t="s">
        <v>1283</v>
      </c>
      <c r="Z25" s="39">
        <v>42.0</v>
      </c>
      <c r="AA25" s="39">
        <v>7.0</v>
      </c>
    </row>
    <row r="26">
      <c r="A26" s="66"/>
      <c r="B26" s="66"/>
      <c r="C26" s="66"/>
      <c r="D26" s="66"/>
      <c r="G26" s="67"/>
      <c r="O26" s="53"/>
      <c r="P26" s="32"/>
      <c r="Q26" s="33"/>
      <c r="R26" s="34"/>
      <c r="S26" s="110"/>
      <c r="T26" s="35"/>
      <c r="V26" s="39">
        <v>18.0</v>
      </c>
      <c r="W26" s="40" t="s">
        <v>1276</v>
      </c>
      <c r="X26" s="41" t="s">
        <v>1284</v>
      </c>
      <c r="Y26" s="41" t="s">
        <v>1077</v>
      </c>
      <c r="Z26" s="39" t="s">
        <v>1077</v>
      </c>
      <c r="AA26" s="39" t="s">
        <v>1077</v>
      </c>
    </row>
    <row r="27">
      <c r="A27" s="66"/>
      <c r="B27" s="66"/>
      <c r="C27" s="66"/>
      <c r="D27" s="66"/>
      <c r="G27" s="67"/>
      <c r="O27" s="71"/>
      <c r="P27" s="72"/>
      <c r="Q27" s="73"/>
      <c r="R27" s="74"/>
      <c r="S27" s="112"/>
      <c r="T27" s="75"/>
      <c r="V27" s="22">
        <v>19.0</v>
      </c>
      <c r="W27" s="24" t="s">
        <v>1279</v>
      </c>
      <c r="X27" s="25" t="s">
        <v>1280</v>
      </c>
      <c r="Y27" s="25" t="s">
        <v>1285</v>
      </c>
      <c r="Z27" s="22">
        <v>48.0</v>
      </c>
      <c r="AA27" s="22">
        <v>8.0</v>
      </c>
    </row>
    <row r="28">
      <c r="A28" s="66"/>
      <c r="B28" s="66"/>
      <c r="C28" s="66"/>
      <c r="D28" s="66"/>
      <c r="G28" s="67"/>
      <c r="P28" s="76"/>
      <c r="S28" s="66"/>
      <c r="V28" s="36">
        <v>19.0</v>
      </c>
      <c r="W28" s="37" t="s">
        <v>1270</v>
      </c>
      <c r="X28" s="38" t="s">
        <v>1281</v>
      </c>
      <c r="Y28" s="38" t="s">
        <v>1286</v>
      </c>
      <c r="Z28" s="36">
        <v>30.0</v>
      </c>
      <c r="AA28" s="36">
        <v>5.0</v>
      </c>
    </row>
    <row r="29">
      <c r="A29" s="66"/>
      <c r="B29" s="66"/>
      <c r="C29" s="66"/>
      <c r="D29" s="66"/>
      <c r="G29" s="67"/>
      <c r="P29" s="77"/>
      <c r="S29" s="66"/>
      <c r="V29" s="39">
        <v>20.0</v>
      </c>
      <c r="W29" s="40" t="s">
        <v>1278</v>
      </c>
      <c r="X29" s="41" t="s">
        <v>1287</v>
      </c>
      <c r="Y29" s="41" t="s">
        <v>1288</v>
      </c>
      <c r="Z29" s="39">
        <v>60.0</v>
      </c>
      <c r="AA29" s="39">
        <v>10.0</v>
      </c>
    </row>
    <row r="30">
      <c r="B30" s="66"/>
      <c r="C30" s="66"/>
      <c r="D30" s="66"/>
      <c r="G30" s="67"/>
      <c r="P30" s="76"/>
      <c r="S30" s="66"/>
      <c r="V30" s="39"/>
      <c r="W30" s="40"/>
      <c r="X30" s="41"/>
      <c r="Y30" s="41"/>
      <c r="Z30" s="39"/>
      <c r="AA30" s="39"/>
    </row>
    <row r="31">
      <c r="A31" s="66"/>
      <c r="B31" s="66"/>
      <c r="C31" s="66"/>
      <c r="D31" s="66"/>
      <c r="G31" s="67"/>
      <c r="P31" s="77"/>
      <c r="S31" s="66"/>
      <c r="V31" s="22">
        <v>15.0</v>
      </c>
      <c r="W31" s="24"/>
      <c r="X31" s="25"/>
      <c r="Y31" s="25"/>
      <c r="Z31" s="22"/>
      <c r="AA31" s="22"/>
    </row>
    <row r="32">
      <c r="A32" s="66"/>
      <c r="B32" s="66"/>
      <c r="C32" s="66"/>
      <c r="D32" s="66"/>
      <c r="G32" s="67"/>
      <c r="P32" s="76"/>
      <c r="S32" s="66"/>
      <c r="V32" s="36"/>
      <c r="W32" s="37"/>
      <c r="X32" s="38"/>
      <c r="Y32" s="38"/>
      <c r="Z32" s="36"/>
      <c r="AA32" s="36"/>
    </row>
    <row r="33">
      <c r="A33" s="66"/>
      <c r="B33" s="66"/>
      <c r="C33" s="66"/>
      <c r="D33" s="81"/>
      <c r="G33" s="67"/>
      <c r="P33" s="76"/>
      <c r="R33" s="82"/>
      <c r="S33" s="66"/>
      <c r="V33" s="39">
        <v>16.0</v>
      </c>
      <c r="W33" s="40"/>
      <c r="X33" s="41"/>
      <c r="Y33" s="41"/>
      <c r="Z33" s="39"/>
      <c r="AA33" s="39"/>
    </row>
    <row r="34">
      <c r="A34" s="66"/>
      <c r="B34" s="66"/>
      <c r="C34" s="66"/>
      <c r="D34" s="81"/>
      <c r="G34" s="67"/>
      <c r="P34" s="76"/>
      <c r="R34" s="82"/>
      <c r="S34" s="66"/>
      <c r="V34" s="39"/>
      <c r="W34" s="40"/>
      <c r="X34" s="41"/>
      <c r="Y34" s="41"/>
      <c r="Z34" s="39"/>
      <c r="AA34" s="39"/>
    </row>
    <row r="35">
      <c r="A35" s="66"/>
      <c r="B35" s="66"/>
      <c r="C35" s="66"/>
      <c r="D35" s="66"/>
      <c r="G35" s="67"/>
      <c r="P35" s="76"/>
      <c r="R35" s="82"/>
      <c r="S35" s="66"/>
      <c r="V35" s="22">
        <v>17.0</v>
      </c>
      <c r="W35" s="24"/>
      <c r="X35" s="25"/>
      <c r="Y35" s="25"/>
      <c r="Z35" s="22"/>
      <c r="AA35" s="22"/>
    </row>
    <row r="36">
      <c r="A36" s="66"/>
      <c r="B36" s="66"/>
      <c r="C36" s="66"/>
      <c r="D36" s="66"/>
      <c r="G36" s="67"/>
      <c r="P36" s="77"/>
      <c r="R36" s="82"/>
      <c r="S36" s="66"/>
      <c r="V36" s="36"/>
      <c r="W36" s="37"/>
      <c r="X36" s="38"/>
      <c r="Y36" s="38"/>
      <c r="Z36" s="36"/>
      <c r="AA36" s="36"/>
    </row>
    <row r="37">
      <c r="A37" s="66"/>
      <c r="B37" s="66"/>
      <c r="C37" s="66"/>
      <c r="D37" s="66"/>
      <c r="G37" s="67"/>
      <c r="P37" s="76"/>
      <c r="R37" s="82"/>
      <c r="S37" s="66"/>
      <c r="V37" s="39">
        <v>18.0</v>
      </c>
      <c r="W37" s="40"/>
      <c r="X37" s="41"/>
      <c r="Y37" s="41"/>
      <c r="Z37" s="39"/>
      <c r="AA37" s="39"/>
    </row>
    <row r="38">
      <c r="A38" s="66"/>
      <c r="B38" s="66"/>
      <c r="C38" s="66"/>
      <c r="D38" s="66"/>
      <c r="G38" s="67"/>
      <c r="P38" s="77"/>
      <c r="R38" s="82"/>
      <c r="S38" s="66"/>
      <c r="V38" s="39"/>
      <c r="W38" s="40"/>
      <c r="X38" s="41"/>
      <c r="Y38" s="41"/>
      <c r="Z38" s="39"/>
      <c r="AA38" s="39"/>
    </row>
    <row r="39">
      <c r="A39" s="66"/>
      <c r="C39" s="66"/>
      <c r="D39" s="66"/>
      <c r="G39" s="67"/>
      <c r="R39" s="82"/>
      <c r="S39" s="66"/>
      <c r="V39" s="22">
        <v>19.0</v>
      </c>
      <c r="W39" s="24"/>
      <c r="X39" s="25"/>
      <c r="Y39" s="25"/>
      <c r="Z39" s="22"/>
      <c r="AA39" s="22"/>
    </row>
    <row r="40">
      <c r="A40" s="66"/>
      <c r="B40" s="66"/>
      <c r="C40" s="66"/>
      <c r="D40" s="66"/>
      <c r="G40" s="67"/>
      <c r="P40" s="76"/>
      <c r="R40" s="82"/>
      <c r="S40" s="66"/>
      <c r="V40" s="36"/>
      <c r="W40" s="37"/>
      <c r="X40" s="38"/>
      <c r="Y40" s="38"/>
      <c r="Z40" s="36"/>
      <c r="AA40" s="36"/>
    </row>
    <row r="41">
      <c r="A41" s="66"/>
      <c r="B41" s="66"/>
      <c r="C41" s="66"/>
      <c r="D41" s="66"/>
      <c r="G41" s="67"/>
      <c r="P41" s="76"/>
      <c r="R41" s="82"/>
      <c r="S41" s="66"/>
      <c r="V41" s="39">
        <v>20.0</v>
      </c>
      <c r="W41" s="40"/>
      <c r="X41" s="41"/>
      <c r="Y41" s="41"/>
      <c r="Z41" s="39"/>
      <c r="AA41" s="39"/>
    </row>
    <row r="42">
      <c r="A42" s="66"/>
      <c r="B42" s="66"/>
      <c r="C42" s="66"/>
      <c r="D42" s="66"/>
      <c r="G42" s="67"/>
      <c r="P42" s="76"/>
      <c r="S42" s="66"/>
      <c r="V42" s="39"/>
      <c r="W42" s="40"/>
      <c r="X42" s="41"/>
      <c r="Y42" s="41"/>
      <c r="Z42" s="39"/>
      <c r="AA42" s="39"/>
    </row>
    <row r="43">
      <c r="A43" s="66"/>
      <c r="B43" s="66"/>
      <c r="C43" s="66"/>
      <c r="D43" s="66"/>
      <c r="G43" s="67"/>
      <c r="P43" s="77"/>
      <c r="S43" s="66"/>
    </row>
    <row r="44">
      <c r="A44" s="66"/>
      <c r="B44" s="66"/>
      <c r="C44" s="66"/>
      <c r="D44" s="66"/>
      <c r="G44" s="67"/>
      <c r="P44" s="76"/>
      <c r="S44" s="66"/>
    </row>
    <row r="45">
      <c r="A45" s="66"/>
      <c r="C45" s="66"/>
      <c r="D45" s="66"/>
      <c r="G45" s="67"/>
      <c r="P45" s="77"/>
      <c r="S45" s="66"/>
    </row>
    <row r="46">
      <c r="A46" s="66"/>
      <c r="B46" s="66"/>
      <c r="C46" s="66"/>
      <c r="D46" s="66"/>
      <c r="G46" s="67"/>
      <c r="S46" s="66"/>
    </row>
    <row r="47">
      <c r="A47" s="66"/>
      <c r="B47" s="66"/>
      <c r="C47" s="66"/>
      <c r="D47" s="66"/>
      <c r="G47" s="67"/>
      <c r="P47" s="76"/>
      <c r="S47" s="66"/>
    </row>
    <row r="48">
      <c r="A48" s="66"/>
      <c r="B48" s="66"/>
      <c r="C48" s="66"/>
      <c r="D48" s="66"/>
      <c r="G48" s="67"/>
      <c r="P48" s="76"/>
      <c r="S48" s="66"/>
      <c r="V48" s="67"/>
    </row>
    <row r="49">
      <c r="A49" s="66"/>
      <c r="B49" s="66"/>
      <c r="C49" s="66"/>
      <c r="D49" s="66"/>
      <c r="G49" s="67"/>
      <c r="P49" s="76"/>
      <c r="S49" s="66"/>
      <c r="V49" s="67"/>
    </row>
    <row r="50">
      <c r="A50" s="66"/>
      <c r="B50" s="66"/>
      <c r="C50" s="66"/>
      <c r="D50" s="66"/>
      <c r="G50" s="67"/>
      <c r="P50" s="77"/>
      <c r="S50" s="66"/>
      <c r="V50" s="67"/>
    </row>
    <row r="51">
      <c r="A51" s="66"/>
      <c r="B51" s="66"/>
      <c r="C51" s="66"/>
      <c r="D51" s="66"/>
      <c r="G51" s="67"/>
      <c r="P51" s="76"/>
      <c r="S51" s="66"/>
      <c r="V51" s="67"/>
    </row>
    <row r="52">
      <c r="A52" s="66"/>
      <c r="B52" s="66"/>
      <c r="C52" s="66"/>
      <c r="D52" s="66"/>
      <c r="G52" s="67"/>
      <c r="P52" s="77"/>
      <c r="S52" s="66"/>
      <c r="V52" s="67"/>
    </row>
    <row r="53">
      <c r="A53" s="66"/>
      <c r="B53" s="66"/>
      <c r="C53" s="66"/>
      <c r="D53" s="66"/>
      <c r="G53" s="67"/>
      <c r="S53" s="66"/>
      <c r="V53" s="67"/>
    </row>
    <row r="54">
      <c r="A54" s="66"/>
      <c r="B54" s="66"/>
      <c r="C54" s="66"/>
      <c r="D54" s="66"/>
      <c r="G54" s="67"/>
      <c r="P54" s="76"/>
      <c r="S54" s="66"/>
      <c r="V54" s="67"/>
    </row>
    <row r="55">
      <c r="A55" s="66"/>
      <c r="B55" s="66"/>
      <c r="C55" s="66"/>
      <c r="D55" s="66"/>
      <c r="G55" s="67"/>
      <c r="P55" s="76"/>
      <c r="S55" s="66"/>
      <c r="V55" s="67"/>
    </row>
    <row r="56">
      <c r="A56" s="66"/>
      <c r="B56" s="66"/>
      <c r="C56" s="66"/>
      <c r="D56" s="66"/>
      <c r="G56" s="67"/>
      <c r="P56" s="76"/>
      <c r="S56" s="66"/>
      <c r="V56" s="67"/>
    </row>
    <row r="57">
      <c r="A57" s="66"/>
      <c r="B57" s="66"/>
      <c r="C57" s="66"/>
      <c r="D57" s="66"/>
      <c r="G57" s="67"/>
      <c r="P57" s="77"/>
      <c r="S57" s="66"/>
      <c r="V57" s="67"/>
    </row>
    <row r="58">
      <c r="A58" s="66"/>
      <c r="B58" s="66"/>
      <c r="C58" s="66"/>
      <c r="D58" s="66"/>
      <c r="G58" s="67"/>
      <c r="P58" s="76"/>
      <c r="S58" s="66"/>
      <c r="V58" s="67"/>
    </row>
    <row r="59">
      <c r="A59" s="66"/>
      <c r="B59" s="66"/>
      <c r="C59" s="66"/>
      <c r="D59" s="66"/>
      <c r="G59" s="67"/>
      <c r="P59" s="77"/>
      <c r="S59" s="66"/>
      <c r="V59" s="67"/>
    </row>
    <row r="60">
      <c r="A60" s="66"/>
      <c r="B60" s="66"/>
      <c r="C60" s="66"/>
      <c r="D60" s="66"/>
      <c r="G60" s="67"/>
      <c r="S60" s="66"/>
      <c r="V60" s="67"/>
    </row>
    <row r="61">
      <c r="A61" s="66"/>
      <c r="B61" s="66"/>
      <c r="C61" s="66"/>
      <c r="D61" s="66"/>
      <c r="G61" s="67"/>
      <c r="P61" s="76"/>
      <c r="S61" s="66"/>
      <c r="V61" s="67"/>
    </row>
    <row r="62">
      <c r="A62" s="66"/>
      <c r="B62" s="66"/>
      <c r="C62" s="66"/>
      <c r="D62" s="66"/>
      <c r="G62" s="67"/>
      <c r="P62" s="76"/>
      <c r="S62" s="66"/>
      <c r="V62" s="67"/>
    </row>
    <row r="63">
      <c r="A63" s="66"/>
      <c r="B63" s="66"/>
      <c r="C63" s="66"/>
      <c r="D63" s="66"/>
      <c r="G63" s="67"/>
      <c r="P63" s="76"/>
      <c r="S63" s="66"/>
      <c r="V63" s="67"/>
    </row>
    <row r="64">
      <c r="A64" s="66"/>
      <c r="B64" s="66"/>
      <c r="C64" s="66"/>
      <c r="D64" s="66"/>
      <c r="G64" s="67"/>
      <c r="S64" s="66"/>
      <c r="V64" s="67"/>
    </row>
    <row r="65">
      <c r="A65" s="66"/>
      <c r="B65" s="66"/>
      <c r="C65" s="66"/>
      <c r="D65" s="66"/>
      <c r="G65" s="67"/>
      <c r="S65" s="66"/>
      <c r="V65" s="67"/>
    </row>
    <row r="66">
      <c r="A66" s="66"/>
      <c r="B66" s="66"/>
      <c r="C66" s="66"/>
      <c r="D66" s="66"/>
      <c r="G66" s="67"/>
      <c r="S66" s="66"/>
      <c r="V66" s="67"/>
    </row>
    <row r="67">
      <c r="A67" s="66"/>
      <c r="B67" s="66"/>
      <c r="C67" s="66"/>
      <c r="D67" s="66"/>
      <c r="G67" s="67"/>
      <c r="S67" s="66"/>
      <c r="V67" s="67"/>
    </row>
    <row r="68">
      <c r="A68" s="66"/>
      <c r="B68" s="66"/>
      <c r="C68" s="66"/>
      <c r="D68" s="66"/>
      <c r="G68" s="67"/>
      <c r="S68" s="66"/>
      <c r="V68" s="67"/>
    </row>
    <row r="69">
      <c r="A69" s="66"/>
      <c r="B69" s="66"/>
      <c r="C69" s="66"/>
      <c r="D69" s="66"/>
      <c r="G69" s="67"/>
      <c r="S69" s="66"/>
      <c r="V69" s="67"/>
    </row>
    <row r="70">
      <c r="A70" s="66"/>
      <c r="B70" s="66"/>
      <c r="C70" s="66"/>
      <c r="D70" s="66"/>
      <c r="G70" s="67"/>
      <c r="S70" s="66"/>
      <c r="V70" s="67"/>
    </row>
    <row r="71">
      <c r="A71" s="66"/>
      <c r="B71" s="66"/>
      <c r="C71" s="66"/>
      <c r="D71" s="66"/>
      <c r="G71" s="67"/>
      <c r="S71" s="66"/>
      <c r="V71" s="67"/>
    </row>
    <row r="72">
      <c r="A72" s="66"/>
      <c r="B72" s="66"/>
      <c r="C72" s="66"/>
      <c r="D72" s="66"/>
      <c r="G72" s="67"/>
      <c r="S72" s="66"/>
      <c r="V72" s="67"/>
    </row>
    <row r="73">
      <c r="A73" s="66"/>
      <c r="B73" s="66"/>
      <c r="C73" s="66"/>
      <c r="D73" s="66"/>
      <c r="G73" s="67"/>
      <c r="S73" s="66"/>
      <c r="V73" s="67"/>
    </row>
    <row r="74">
      <c r="A74" s="66"/>
      <c r="B74" s="66"/>
      <c r="C74" s="66"/>
      <c r="D74" s="66"/>
      <c r="G74" s="67"/>
      <c r="S74" s="66"/>
      <c r="V74" s="67"/>
    </row>
    <row r="75">
      <c r="A75" s="66"/>
      <c r="B75" s="66"/>
      <c r="C75" s="66"/>
      <c r="D75" s="66"/>
      <c r="G75" s="67"/>
      <c r="S75" s="66"/>
      <c r="V75" s="67"/>
    </row>
    <row r="76">
      <c r="A76" s="66"/>
      <c r="B76" s="66"/>
      <c r="C76" s="66"/>
      <c r="D76" s="66"/>
      <c r="G76" s="67"/>
      <c r="S76" s="66"/>
      <c r="V76" s="67"/>
    </row>
    <row r="77">
      <c r="A77" s="66"/>
      <c r="B77" s="66"/>
      <c r="C77" s="66"/>
      <c r="D77" s="66"/>
      <c r="G77" s="67"/>
      <c r="S77" s="66"/>
      <c r="V77" s="67"/>
    </row>
    <row r="78">
      <c r="A78" s="66"/>
      <c r="B78" s="66"/>
      <c r="C78" s="66"/>
      <c r="D78" s="66"/>
      <c r="G78" s="67"/>
      <c r="S78" s="66"/>
      <c r="V78" s="67"/>
    </row>
    <row r="79">
      <c r="A79" s="66"/>
      <c r="B79" s="66"/>
      <c r="C79" s="66"/>
      <c r="D79" s="66"/>
      <c r="G79" s="67"/>
      <c r="S79" s="66"/>
      <c r="V79" s="67"/>
    </row>
    <row r="80">
      <c r="A80" s="66"/>
      <c r="B80" s="66"/>
      <c r="C80" s="66"/>
      <c r="D80" s="66"/>
      <c r="G80" s="67"/>
      <c r="S80" s="66"/>
      <c r="V80" s="67"/>
    </row>
    <row r="81">
      <c r="A81" s="66"/>
      <c r="B81" s="66"/>
      <c r="C81" s="66"/>
      <c r="D81" s="66"/>
      <c r="G81" s="67"/>
      <c r="S81" s="66"/>
      <c r="V81" s="67"/>
    </row>
    <row r="82">
      <c r="A82" s="66"/>
      <c r="B82" s="66"/>
      <c r="C82" s="66"/>
      <c r="D82" s="66"/>
      <c r="G82" s="67"/>
      <c r="S82" s="66"/>
      <c r="V82" s="67"/>
    </row>
    <row r="83">
      <c r="A83" s="66"/>
      <c r="B83" s="66"/>
      <c r="C83" s="66"/>
      <c r="D83" s="66"/>
      <c r="G83" s="67"/>
      <c r="S83" s="66"/>
      <c r="V83" s="67"/>
    </row>
    <row r="84">
      <c r="A84" s="66"/>
      <c r="B84" s="66"/>
      <c r="C84" s="66"/>
      <c r="D84" s="66"/>
      <c r="G84" s="67"/>
      <c r="S84" s="66"/>
      <c r="V84" s="67"/>
    </row>
    <row r="85">
      <c r="A85" s="66"/>
      <c r="B85" s="66"/>
      <c r="C85" s="66"/>
      <c r="D85" s="66"/>
      <c r="G85" s="67"/>
      <c r="S85" s="66"/>
      <c r="V85" s="67"/>
    </row>
    <row r="86">
      <c r="A86" s="66"/>
      <c r="B86" s="66"/>
      <c r="C86" s="66"/>
      <c r="D86" s="66"/>
      <c r="G86" s="67"/>
      <c r="S86" s="66"/>
      <c r="V86" s="67"/>
    </row>
    <row r="87">
      <c r="A87" s="66"/>
      <c r="B87" s="66"/>
      <c r="C87" s="66"/>
      <c r="D87" s="66"/>
      <c r="G87" s="67"/>
      <c r="S87" s="66"/>
      <c r="V87" s="67"/>
    </row>
    <row r="88">
      <c r="A88" s="66"/>
      <c r="B88" s="66"/>
      <c r="C88" s="66"/>
      <c r="D88" s="66"/>
      <c r="G88" s="67"/>
      <c r="S88" s="66"/>
      <c r="V88" s="67"/>
    </row>
    <row r="89">
      <c r="A89" s="66"/>
      <c r="B89" s="66"/>
      <c r="C89" s="66"/>
      <c r="D89" s="66"/>
      <c r="G89" s="67"/>
      <c r="S89" s="66"/>
      <c r="V89" s="67"/>
    </row>
    <row r="90">
      <c r="A90" s="66"/>
      <c r="B90" s="66"/>
      <c r="C90" s="66"/>
      <c r="D90" s="66"/>
      <c r="G90" s="67"/>
      <c r="S90" s="66"/>
      <c r="V90" s="67"/>
    </row>
    <row r="91">
      <c r="A91" s="66"/>
      <c r="B91" s="66"/>
      <c r="C91" s="66"/>
      <c r="D91" s="66"/>
      <c r="G91" s="67"/>
      <c r="S91" s="66"/>
      <c r="V91" s="67"/>
    </row>
    <row r="92">
      <c r="A92" s="66"/>
      <c r="B92" s="66"/>
      <c r="C92" s="66"/>
      <c r="D92" s="66"/>
      <c r="G92" s="67"/>
      <c r="S92" s="66"/>
      <c r="V92" s="67"/>
    </row>
    <row r="93">
      <c r="A93" s="66"/>
      <c r="B93" s="66"/>
      <c r="C93" s="66"/>
      <c r="D93" s="66"/>
      <c r="G93" s="67"/>
      <c r="S93" s="66"/>
      <c r="V93" s="67"/>
    </row>
    <row r="94">
      <c r="A94" s="66"/>
      <c r="B94" s="66"/>
      <c r="C94" s="66"/>
      <c r="D94" s="66"/>
      <c r="G94" s="67"/>
      <c r="S94" s="66"/>
      <c r="V94" s="67"/>
    </row>
    <row r="95">
      <c r="A95" s="66"/>
      <c r="B95" s="66"/>
      <c r="C95" s="66"/>
      <c r="D95" s="66"/>
      <c r="G95" s="67"/>
      <c r="S95" s="66"/>
      <c r="V95" s="67"/>
    </row>
    <row r="96">
      <c r="A96" s="66"/>
      <c r="B96" s="66"/>
      <c r="C96" s="66"/>
      <c r="D96" s="66"/>
      <c r="G96" s="67"/>
      <c r="S96" s="66"/>
      <c r="V96" s="67"/>
    </row>
    <row r="97">
      <c r="A97" s="66"/>
      <c r="B97" s="66"/>
      <c r="C97" s="66"/>
      <c r="D97" s="66"/>
      <c r="G97" s="67"/>
      <c r="S97" s="66"/>
      <c r="V97" s="67"/>
    </row>
    <row r="98">
      <c r="A98" s="66"/>
      <c r="B98" s="66"/>
      <c r="C98" s="66"/>
      <c r="D98" s="66"/>
      <c r="G98" s="67"/>
      <c r="S98" s="66"/>
      <c r="V98" s="67"/>
    </row>
    <row r="99">
      <c r="A99" s="66"/>
      <c r="B99" s="66"/>
      <c r="C99" s="66"/>
      <c r="D99" s="66"/>
      <c r="G99" s="67"/>
      <c r="S99" s="66"/>
      <c r="V99" s="67"/>
    </row>
    <row r="100">
      <c r="A100" s="66"/>
      <c r="B100" s="66"/>
      <c r="C100" s="66"/>
      <c r="D100" s="66"/>
      <c r="G100" s="67"/>
      <c r="S100" s="66"/>
      <c r="V100" s="67"/>
    </row>
    <row r="101">
      <c r="A101" s="66"/>
      <c r="B101" s="66"/>
      <c r="C101" s="66"/>
      <c r="D101" s="66"/>
      <c r="G101" s="67"/>
      <c r="S101" s="66"/>
      <c r="V101" s="67"/>
    </row>
    <row r="102">
      <c r="A102" s="66"/>
      <c r="B102" s="66"/>
      <c r="C102" s="66"/>
      <c r="D102" s="66"/>
      <c r="G102" s="67"/>
      <c r="S102" s="66"/>
      <c r="V102" s="67"/>
    </row>
    <row r="103">
      <c r="A103" s="66"/>
      <c r="B103" s="66"/>
      <c r="C103" s="66"/>
      <c r="D103" s="66"/>
      <c r="G103" s="67"/>
      <c r="S103" s="66"/>
      <c r="V103" s="67"/>
    </row>
    <row r="104">
      <c r="A104" s="66"/>
      <c r="B104" s="66"/>
      <c r="C104" s="66"/>
      <c r="D104" s="66"/>
      <c r="G104" s="67"/>
      <c r="S104" s="66"/>
      <c r="V104" s="67"/>
    </row>
    <row r="105">
      <c r="A105" s="66"/>
      <c r="B105" s="66"/>
      <c r="C105" s="66"/>
      <c r="D105" s="66"/>
      <c r="G105" s="67"/>
      <c r="S105" s="66"/>
      <c r="V105" s="67"/>
    </row>
    <row r="106">
      <c r="A106" s="66"/>
      <c r="B106" s="66"/>
      <c r="C106" s="66"/>
      <c r="D106" s="66"/>
      <c r="G106" s="67"/>
      <c r="S106" s="66"/>
      <c r="V106" s="67"/>
    </row>
    <row r="107">
      <c r="A107" s="66"/>
      <c r="B107" s="66"/>
      <c r="C107" s="66"/>
      <c r="D107" s="66"/>
      <c r="G107" s="67"/>
      <c r="S107" s="66"/>
      <c r="V107" s="67"/>
    </row>
    <row r="108">
      <c r="A108" s="66"/>
      <c r="B108" s="66"/>
      <c r="C108" s="66"/>
      <c r="D108" s="66"/>
      <c r="G108" s="67"/>
      <c r="S108" s="66"/>
      <c r="V108" s="67"/>
    </row>
    <row r="109">
      <c r="A109" s="66"/>
      <c r="B109" s="66"/>
      <c r="C109" s="66"/>
      <c r="D109" s="66"/>
      <c r="G109" s="67"/>
      <c r="S109" s="66"/>
      <c r="V109" s="67"/>
    </row>
    <row r="110">
      <c r="A110" s="66"/>
      <c r="B110" s="66"/>
      <c r="C110" s="66"/>
      <c r="D110" s="66"/>
      <c r="G110" s="67"/>
      <c r="S110" s="66"/>
      <c r="V110" s="67"/>
    </row>
    <row r="111">
      <c r="A111" s="66"/>
      <c r="B111" s="66"/>
      <c r="C111" s="66"/>
      <c r="D111" s="66"/>
      <c r="G111" s="67"/>
      <c r="S111" s="66"/>
      <c r="V111" s="67"/>
    </row>
    <row r="112">
      <c r="A112" s="66"/>
      <c r="B112" s="66"/>
      <c r="C112" s="66"/>
      <c r="D112" s="66"/>
      <c r="G112" s="67"/>
      <c r="S112" s="66"/>
      <c r="V112" s="67"/>
    </row>
    <row r="113">
      <c r="A113" s="66"/>
      <c r="B113" s="66"/>
      <c r="C113" s="66"/>
      <c r="D113" s="66"/>
      <c r="G113" s="67"/>
      <c r="S113" s="66"/>
      <c r="V113" s="67"/>
    </row>
    <row r="114">
      <c r="A114" s="66"/>
      <c r="B114" s="66"/>
      <c r="C114" s="66"/>
      <c r="D114" s="66"/>
      <c r="G114" s="67"/>
      <c r="S114" s="66"/>
      <c r="V114" s="67"/>
    </row>
    <row r="115">
      <c r="A115" s="66"/>
      <c r="B115" s="66"/>
      <c r="C115" s="66"/>
      <c r="D115" s="66"/>
      <c r="G115" s="67"/>
      <c r="S115" s="66"/>
      <c r="V115" s="67"/>
    </row>
    <row r="116">
      <c r="A116" s="66"/>
      <c r="B116" s="66"/>
      <c r="C116" s="66"/>
      <c r="D116" s="66"/>
      <c r="G116" s="67"/>
      <c r="S116" s="66"/>
      <c r="V116" s="67"/>
    </row>
    <row r="117">
      <c r="A117" s="66"/>
      <c r="B117" s="66"/>
      <c r="C117" s="66"/>
      <c r="D117" s="66"/>
      <c r="G117" s="67"/>
      <c r="S117" s="66"/>
      <c r="V117" s="67"/>
    </row>
    <row r="118">
      <c r="A118" s="66"/>
      <c r="B118" s="66"/>
      <c r="C118" s="66"/>
      <c r="D118" s="66"/>
      <c r="G118" s="67"/>
      <c r="S118" s="66"/>
      <c r="V118" s="67"/>
    </row>
    <row r="119">
      <c r="A119" s="66"/>
      <c r="B119" s="66"/>
      <c r="C119" s="66"/>
      <c r="D119" s="66"/>
      <c r="G119" s="67"/>
      <c r="S119" s="66"/>
      <c r="V119" s="67"/>
    </row>
    <row r="120">
      <c r="A120" s="66"/>
      <c r="B120" s="66"/>
      <c r="C120" s="66"/>
      <c r="D120" s="66"/>
      <c r="G120" s="67"/>
      <c r="S120" s="66"/>
      <c r="V120" s="67"/>
    </row>
    <row r="121">
      <c r="A121" s="66"/>
      <c r="B121" s="66"/>
      <c r="C121" s="66"/>
      <c r="D121" s="66"/>
      <c r="G121" s="67"/>
      <c r="S121" s="66"/>
      <c r="V121" s="67"/>
    </row>
    <row r="122">
      <c r="A122" s="66"/>
      <c r="B122" s="66"/>
      <c r="C122" s="66"/>
      <c r="D122" s="66"/>
      <c r="G122" s="67"/>
      <c r="S122" s="66"/>
      <c r="V122" s="67"/>
    </row>
    <row r="123">
      <c r="A123" s="66"/>
      <c r="B123" s="66"/>
      <c r="C123" s="66"/>
      <c r="D123" s="66"/>
      <c r="G123" s="67"/>
      <c r="S123" s="66"/>
      <c r="V123" s="67"/>
    </row>
    <row r="124">
      <c r="A124" s="66"/>
      <c r="B124" s="66"/>
      <c r="C124" s="66"/>
      <c r="D124" s="66"/>
      <c r="G124" s="67"/>
      <c r="S124" s="66"/>
      <c r="V124" s="67"/>
    </row>
    <row r="125">
      <c r="A125" s="66"/>
      <c r="B125" s="66"/>
      <c r="C125" s="66"/>
      <c r="D125" s="66"/>
      <c r="G125" s="67"/>
      <c r="S125" s="66"/>
      <c r="V125" s="67"/>
    </row>
    <row r="126">
      <c r="A126" s="66"/>
      <c r="B126" s="66"/>
      <c r="C126" s="66"/>
      <c r="D126" s="66"/>
      <c r="G126" s="67"/>
      <c r="S126" s="66"/>
      <c r="V126" s="67"/>
    </row>
    <row r="127">
      <c r="A127" s="66"/>
      <c r="B127" s="66"/>
      <c r="C127" s="66"/>
      <c r="D127" s="66"/>
      <c r="G127" s="67"/>
      <c r="S127" s="66"/>
      <c r="V127" s="67"/>
    </row>
    <row r="128">
      <c r="A128" s="66"/>
      <c r="B128" s="66"/>
      <c r="C128" s="66"/>
      <c r="D128" s="66"/>
      <c r="G128" s="67"/>
      <c r="S128" s="66"/>
      <c r="V128" s="67"/>
    </row>
    <row r="129">
      <c r="A129" s="66"/>
      <c r="B129" s="66"/>
      <c r="C129" s="66"/>
      <c r="D129" s="66"/>
      <c r="G129" s="67"/>
      <c r="S129" s="66"/>
      <c r="V129" s="67"/>
    </row>
    <row r="130">
      <c r="A130" s="66"/>
      <c r="B130" s="66"/>
      <c r="C130" s="66"/>
      <c r="D130" s="66"/>
      <c r="G130" s="67"/>
      <c r="S130" s="66"/>
      <c r="V130" s="67"/>
    </row>
    <row r="131">
      <c r="A131" s="66"/>
      <c r="B131" s="66"/>
      <c r="C131" s="66"/>
      <c r="D131" s="66"/>
      <c r="G131" s="67"/>
      <c r="S131" s="66"/>
      <c r="V131" s="67"/>
    </row>
    <row r="132">
      <c r="A132" s="66"/>
      <c r="B132" s="66"/>
      <c r="C132" s="66"/>
      <c r="D132" s="66"/>
      <c r="G132" s="67"/>
      <c r="S132" s="66"/>
      <c r="V132" s="67"/>
    </row>
    <row r="133">
      <c r="A133" s="66"/>
      <c r="B133" s="66"/>
      <c r="C133" s="66"/>
      <c r="D133" s="66"/>
      <c r="G133" s="67"/>
      <c r="S133" s="66"/>
      <c r="V133" s="67"/>
    </row>
    <row r="134">
      <c r="A134" s="66"/>
      <c r="B134" s="66"/>
      <c r="C134" s="66"/>
      <c r="D134" s="66"/>
      <c r="G134" s="67"/>
      <c r="S134" s="66"/>
      <c r="V134" s="67"/>
    </row>
    <row r="135">
      <c r="A135" s="66"/>
      <c r="B135" s="66"/>
      <c r="C135" s="66"/>
      <c r="D135" s="66"/>
      <c r="G135" s="67"/>
      <c r="S135" s="66"/>
      <c r="V135" s="67"/>
    </row>
    <row r="136">
      <c r="A136" s="66"/>
      <c r="B136" s="66"/>
      <c r="C136" s="66"/>
      <c r="D136" s="66"/>
      <c r="G136" s="67"/>
      <c r="S136" s="66"/>
      <c r="V136" s="67"/>
    </row>
    <row r="137">
      <c r="A137" s="66"/>
      <c r="B137" s="66"/>
      <c r="C137" s="66"/>
      <c r="D137" s="66"/>
      <c r="G137" s="67"/>
      <c r="S137" s="66"/>
      <c r="V137" s="67"/>
    </row>
    <row r="138">
      <c r="A138" s="66"/>
      <c r="B138" s="66"/>
      <c r="C138" s="66"/>
      <c r="D138" s="66"/>
      <c r="G138" s="67"/>
      <c r="S138" s="66"/>
      <c r="V138" s="67"/>
    </row>
    <row r="139">
      <c r="A139" s="66"/>
      <c r="B139" s="66"/>
      <c r="C139" s="66"/>
      <c r="D139" s="66"/>
      <c r="G139" s="67"/>
      <c r="S139" s="66"/>
      <c r="V139" s="67"/>
    </row>
    <row r="140">
      <c r="A140" s="66"/>
      <c r="B140" s="66"/>
      <c r="C140" s="66"/>
      <c r="D140" s="66"/>
      <c r="G140" s="67"/>
      <c r="S140" s="66"/>
      <c r="V140" s="67"/>
    </row>
    <row r="141">
      <c r="A141" s="66"/>
      <c r="B141" s="66"/>
      <c r="C141" s="66"/>
      <c r="D141" s="66"/>
      <c r="G141" s="67"/>
      <c r="S141" s="66"/>
      <c r="V141" s="67"/>
    </row>
    <row r="142">
      <c r="A142" s="66"/>
      <c r="B142" s="66"/>
      <c r="C142" s="66"/>
      <c r="D142" s="66"/>
      <c r="G142" s="67"/>
      <c r="S142" s="66"/>
      <c r="V142" s="67"/>
    </row>
    <row r="143">
      <c r="A143" s="66"/>
      <c r="B143" s="66"/>
      <c r="C143" s="66"/>
      <c r="D143" s="66"/>
      <c r="G143" s="67"/>
      <c r="S143" s="66"/>
      <c r="V143" s="67"/>
    </row>
    <row r="144">
      <c r="A144" s="66"/>
      <c r="B144" s="66"/>
      <c r="C144" s="66"/>
      <c r="D144" s="66"/>
      <c r="G144" s="67"/>
      <c r="S144" s="66"/>
      <c r="V144" s="67"/>
    </row>
    <row r="145">
      <c r="A145" s="66"/>
      <c r="B145" s="66"/>
      <c r="C145" s="66"/>
      <c r="D145" s="66"/>
      <c r="G145" s="67"/>
      <c r="S145" s="66"/>
      <c r="V145" s="67"/>
    </row>
    <row r="146">
      <c r="A146" s="66"/>
      <c r="B146" s="66"/>
      <c r="C146" s="66"/>
      <c r="D146" s="66"/>
      <c r="G146" s="67"/>
      <c r="S146" s="66"/>
      <c r="V146" s="67"/>
    </row>
    <row r="147">
      <c r="A147" s="66"/>
      <c r="B147" s="66"/>
      <c r="C147" s="66"/>
      <c r="D147" s="66"/>
      <c r="G147" s="67"/>
      <c r="S147" s="66"/>
      <c r="V147" s="67"/>
    </row>
    <row r="148">
      <c r="A148" s="66"/>
      <c r="B148" s="66"/>
      <c r="C148" s="66"/>
      <c r="D148" s="66"/>
      <c r="G148" s="67"/>
      <c r="S148" s="66"/>
      <c r="V148" s="67"/>
    </row>
    <row r="149">
      <c r="A149" s="66"/>
      <c r="B149" s="66"/>
      <c r="C149" s="66"/>
      <c r="D149" s="66"/>
      <c r="G149" s="67"/>
      <c r="S149" s="66"/>
      <c r="V149" s="67"/>
    </row>
    <row r="150">
      <c r="A150" s="66"/>
      <c r="B150" s="66"/>
      <c r="C150" s="66"/>
      <c r="D150" s="66"/>
      <c r="G150" s="67"/>
      <c r="S150" s="66"/>
      <c r="V150" s="67"/>
    </row>
    <row r="151">
      <c r="A151" s="66"/>
      <c r="B151" s="66"/>
      <c r="C151" s="66"/>
      <c r="D151" s="66"/>
      <c r="G151" s="67"/>
      <c r="S151" s="66"/>
      <c r="V151" s="67"/>
    </row>
    <row r="152">
      <c r="A152" s="66"/>
      <c r="B152" s="66"/>
      <c r="C152" s="66"/>
      <c r="D152" s="66"/>
      <c r="G152" s="67"/>
      <c r="S152" s="66"/>
      <c r="V152" s="67"/>
    </row>
    <row r="153">
      <c r="A153" s="66"/>
      <c r="B153" s="66"/>
      <c r="C153" s="66"/>
      <c r="D153" s="66"/>
      <c r="G153" s="67"/>
      <c r="S153" s="66"/>
      <c r="V153" s="67"/>
    </row>
    <row r="154">
      <c r="A154" s="66"/>
      <c r="B154" s="66"/>
      <c r="C154" s="66"/>
      <c r="D154" s="66"/>
      <c r="G154" s="67"/>
      <c r="S154" s="66"/>
      <c r="V154" s="67"/>
    </row>
    <row r="155">
      <c r="A155" s="66"/>
      <c r="B155" s="66"/>
      <c r="C155" s="66"/>
      <c r="D155" s="66"/>
      <c r="G155" s="67"/>
      <c r="S155" s="66"/>
      <c r="V155" s="67"/>
    </row>
    <row r="156">
      <c r="A156" s="66"/>
      <c r="B156" s="66"/>
      <c r="C156" s="66"/>
      <c r="D156" s="66"/>
      <c r="G156" s="67"/>
      <c r="S156" s="66"/>
      <c r="V156" s="67"/>
    </row>
    <row r="157">
      <c r="A157" s="66"/>
      <c r="B157" s="66"/>
      <c r="C157" s="66"/>
      <c r="D157" s="66"/>
      <c r="G157" s="67"/>
      <c r="S157" s="66"/>
      <c r="V157" s="67"/>
    </row>
    <row r="158">
      <c r="A158" s="66"/>
      <c r="B158" s="66"/>
      <c r="C158" s="66"/>
      <c r="D158" s="66"/>
      <c r="G158" s="67"/>
      <c r="S158" s="66"/>
      <c r="V158" s="67"/>
    </row>
    <row r="159">
      <c r="A159" s="66"/>
      <c r="B159" s="66"/>
      <c r="C159" s="66"/>
      <c r="D159" s="66"/>
      <c r="G159" s="67"/>
      <c r="S159" s="66"/>
      <c r="V159" s="67"/>
    </row>
    <row r="160">
      <c r="A160" s="66"/>
      <c r="B160" s="66"/>
      <c r="C160" s="66"/>
      <c r="D160" s="66"/>
      <c r="G160" s="67"/>
      <c r="S160" s="66"/>
      <c r="V160" s="67"/>
    </row>
    <row r="161">
      <c r="A161" s="66"/>
      <c r="B161" s="66"/>
      <c r="C161" s="66"/>
      <c r="D161" s="66"/>
      <c r="G161" s="67"/>
      <c r="S161" s="66"/>
      <c r="V161" s="67"/>
    </row>
    <row r="162">
      <c r="A162" s="66"/>
      <c r="B162" s="66"/>
      <c r="C162" s="66"/>
      <c r="D162" s="66"/>
      <c r="G162" s="67"/>
      <c r="S162" s="66"/>
      <c r="V162" s="67"/>
    </row>
    <row r="163">
      <c r="A163" s="66"/>
      <c r="B163" s="66"/>
      <c r="C163" s="66"/>
      <c r="D163" s="66"/>
      <c r="G163" s="67"/>
      <c r="S163" s="66"/>
      <c r="V163" s="67"/>
    </row>
    <row r="164">
      <c r="A164" s="66"/>
      <c r="B164" s="66"/>
      <c r="C164" s="66"/>
      <c r="D164" s="66"/>
      <c r="G164" s="67"/>
      <c r="S164" s="66"/>
      <c r="V164" s="67"/>
    </row>
    <row r="165">
      <c r="A165" s="66"/>
      <c r="B165" s="66"/>
      <c r="C165" s="66"/>
      <c r="D165" s="66"/>
      <c r="G165" s="67"/>
      <c r="S165" s="66"/>
      <c r="V165" s="67"/>
    </row>
    <row r="166">
      <c r="A166" s="66"/>
      <c r="B166" s="66"/>
      <c r="C166" s="66"/>
      <c r="D166" s="66"/>
      <c r="G166" s="67"/>
      <c r="S166" s="66"/>
      <c r="V166" s="67"/>
    </row>
    <row r="167">
      <c r="A167" s="66"/>
      <c r="B167" s="66"/>
      <c r="C167" s="66"/>
      <c r="D167" s="66"/>
      <c r="G167" s="67"/>
      <c r="S167" s="66"/>
      <c r="V167" s="67"/>
    </row>
    <row r="168">
      <c r="A168" s="66"/>
      <c r="B168" s="66"/>
      <c r="C168" s="66"/>
      <c r="D168" s="66"/>
      <c r="G168" s="67"/>
      <c r="S168" s="66"/>
      <c r="V168" s="67"/>
    </row>
    <row r="169">
      <c r="A169" s="66"/>
      <c r="B169" s="66"/>
      <c r="C169" s="66"/>
      <c r="D169" s="66"/>
      <c r="G169" s="67"/>
      <c r="S169" s="66"/>
      <c r="V169" s="67"/>
    </row>
    <row r="170">
      <c r="A170" s="66"/>
      <c r="B170" s="66"/>
      <c r="C170" s="66"/>
      <c r="D170" s="66"/>
      <c r="G170" s="67"/>
      <c r="S170" s="66"/>
      <c r="V170" s="67"/>
    </row>
    <row r="171">
      <c r="A171" s="66"/>
      <c r="B171" s="66"/>
      <c r="C171" s="66"/>
      <c r="D171" s="66"/>
      <c r="G171" s="67"/>
      <c r="S171" s="66"/>
      <c r="V171" s="67"/>
    </row>
    <row r="172">
      <c r="A172" s="66"/>
      <c r="B172" s="66"/>
      <c r="C172" s="66"/>
      <c r="D172" s="66"/>
      <c r="G172" s="67"/>
      <c r="S172" s="66"/>
      <c r="V172" s="67"/>
    </row>
    <row r="173">
      <c r="A173" s="66"/>
      <c r="B173" s="66"/>
      <c r="C173" s="66"/>
      <c r="D173" s="66"/>
      <c r="G173" s="67"/>
      <c r="S173" s="66"/>
      <c r="V173" s="67"/>
    </row>
    <row r="174">
      <c r="A174" s="66"/>
      <c r="B174" s="66"/>
      <c r="C174" s="66"/>
      <c r="D174" s="66"/>
      <c r="G174" s="67"/>
      <c r="S174" s="66"/>
      <c r="V174" s="67"/>
    </row>
    <row r="175">
      <c r="A175" s="66"/>
      <c r="B175" s="66"/>
      <c r="C175" s="66"/>
      <c r="D175" s="66"/>
      <c r="G175" s="67"/>
      <c r="S175" s="66"/>
      <c r="V175" s="67"/>
    </row>
    <row r="176">
      <c r="A176" s="66"/>
      <c r="B176" s="66"/>
      <c r="C176" s="66"/>
      <c r="D176" s="66"/>
      <c r="G176" s="67"/>
      <c r="S176" s="66"/>
      <c r="V176" s="67"/>
    </row>
    <row r="177">
      <c r="A177" s="66"/>
      <c r="B177" s="66"/>
      <c r="C177" s="66"/>
      <c r="D177" s="66"/>
      <c r="G177" s="67"/>
      <c r="S177" s="66"/>
      <c r="V177" s="67"/>
    </row>
    <row r="178">
      <c r="A178" s="66"/>
      <c r="B178" s="66"/>
      <c r="C178" s="66"/>
      <c r="D178" s="66"/>
      <c r="G178" s="67"/>
      <c r="S178" s="66"/>
      <c r="V178" s="67"/>
    </row>
    <row r="179">
      <c r="A179" s="66"/>
      <c r="B179" s="66"/>
      <c r="C179" s="66"/>
      <c r="D179" s="66"/>
      <c r="G179" s="67"/>
      <c r="S179" s="66"/>
      <c r="V179" s="67"/>
    </row>
    <row r="180">
      <c r="A180" s="66"/>
      <c r="B180" s="66"/>
      <c r="C180" s="66"/>
      <c r="D180" s="66"/>
      <c r="G180" s="67"/>
      <c r="S180" s="66"/>
      <c r="V180" s="67"/>
    </row>
    <row r="181">
      <c r="A181" s="66"/>
      <c r="B181" s="66"/>
      <c r="C181" s="66"/>
      <c r="D181" s="66"/>
      <c r="G181" s="67"/>
      <c r="S181" s="66"/>
      <c r="V181" s="67"/>
    </row>
    <row r="182">
      <c r="A182" s="66"/>
      <c r="B182" s="66"/>
      <c r="C182" s="66"/>
      <c r="D182" s="66"/>
      <c r="G182" s="67"/>
      <c r="S182" s="66"/>
      <c r="V182" s="67"/>
    </row>
    <row r="183">
      <c r="A183" s="66"/>
      <c r="B183" s="66"/>
      <c r="C183" s="66"/>
      <c r="D183" s="66"/>
      <c r="G183" s="67"/>
      <c r="S183" s="66"/>
      <c r="V183" s="67"/>
    </row>
    <row r="184">
      <c r="A184" s="66"/>
      <c r="B184" s="66"/>
      <c r="C184" s="66"/>
      <c r="D184" s="66"/>
      <c r="G184" s="67"/>
      <c r="S184" s="66"/>
      <c r="V184" s="67"/>
    </row>
    <row r="185">
      <c r="A185" s="66"/>
      <c r="B185" s="66"/>
      <c r="C185" s="66"/>
      <c r="D185" s="66"/>
      <c r="G185" s="67"/>
      <c r="S185" s="66"/>
      <c r="V185" s="67"/>
    </row>
    <row r="186">
      <c r="A186" s="66"/>
      <c r="B186" s="66"/>
      <c r="C186" s="66"/>
      <c r="D186" s="66"/>
      <c r="G186" s="67"/>
      <c r="S186" s="66"/>
      <c r="V186" s="67"/>
    </row>
    <row r="187">
      <c r="A187" s="66"/>
      <c r="B187" s="66"/>
      <c r="C187" s="66"/>
      <c r="D187" s="66"/>
      <c r="G187" s="67"/>
      <c r="S187" s="66"/>
      <c r="V187" s="67"/>
    </row>
    <row r="188">
      <c r="A188" s="66"/>
      <c r="B188" s="66"/>
      <c r="C188" s="66"/>
      <c r="D188" s="66"/>
      <c r="G188" s="67"/>
      <c r="S188" s="66"/>
      <c r="V188" s="67"/>
    </row>
    <row r="189">
      <c r="A189" s="66"/>
      <c r="B189" s="66"/>
      <c r="C189" s="66"/>
      <c r="D189" s="66"/>
      <c r="G189" s="67"/>
      <c r="S189" s="66"/>
      <c r="V189" s="67"/>
    </row>
    <row r="190">
      <c r="A190" s="66"/>
      <c r="B190" s="66"/>
      <c r="C190" s="66"/>
      <c r="D190" s="66"/>
      <c r="G190" s="67"/>
      <c r="S190" s="66"/>
      <c r="V190" s="67"/>
    </row>
    <row r="191">
      <c r="A191" s="66"/>
      <c r="B191" s="66"/>
      <c r="C191" s="66"/>
      <c r="D191" s="66"/>
      <c r="G191" s="67"/>
      <c r="S191" s="66"/>
      <c r="V191" s="67"/>
    </row>
    <row r="192">
      <c r="A192" s="66"/>
      <c r="B192" s="66"/>
      <c r="C192" s="66"/>
      <c r="D192" s="66"/>
      <c r="G192" s="67"/>
      <c r="S192" s="66"/>
      <c r="V192" s="67"/>
    </row>
    <row r="193">
      <c r="A193" s="66"/>
      <c r="B193" s="66"/>
      <c r="C193" s="66"/>
      <c r="D193" s="66"/>
      <c r="G193" s="67"/>
      <c r="S193" s="66"/>
      <c r="V193" s="67"/>
    </row>
    <row r="194">
      <c r="A194" s="66"/>
      <c r="B194" s="66"/>
      <c r="C194" s="66"/>
      <c r="D194" s="66"/>
      <c r="G194" s="67"/>
      <c r="S194" s="66"/>
      <c r="V194" s="67"/>
    </row>
    <row r="195">
      <c r="A195" s="66"/>
      <c r="B195" s="66"/>
      <c r="C195" s="66"/>
      <c r="D195" s="66"/>
      <c r="G195" s="67"/>
      <c r="S195" s="66"/>
      <c r="V195" s="67"/>
    </row>
    <row r="196">
      <c r="A196" s="66"/>
      <c r="B196" s="66"/>
      <c r="C196" s="66"/>
      <c r="D196" s="66"/>
      <c r="G196" s="67"/>
      <c r="S196" s="66"/>
      <c r="V196" s="67"/>
    </row>
    <row r="197">
      <c r="A197" s="66"/>
      <c r="B197" s="66"/>
      <c r="C197" s="66"/>
      <c r="D197" s="66"/>
      <c r="G197" s="67"/>
      <c r="S197" s="66"/>
      <c r="V197" s="67"/>
    </row>
    <row r="198">
      <c r="A198" s="66"/>
      <c r="B198" s="66"/>
      <c r="C198" s="66"/>
      <c r="D198" s="66"/>
      <c r="G198" s="67"/>
      <c r="S198" s="66"/>
      <c r="V198" s="67"/>
    </row>
    <row r="199">
      <c r="A199" s="66"/>
      <c r="B199" s="66"/>
      <c r="C199" s="66"/>
      <c r="D199" s="66"/>
      <c r="G199" s="67"/>
      <c r="S199" s="66"/>
      <c r="V199" s="67"/>
    </row>
    <row r="200">
      <c r="A200" s="66"/>
      <c r="B200" s="66"/>
      <c r="C200" s="66"/>
      <c r="D200" s="66"/>
      <c r="G200" s="67"/>
      <c r="S200" s="66"/>
      <c r="V200" s="67"/>
    </row>
    <row r="201">
      <c r="A201" s="66"/>
      <c r="B201" s="66"/>
      <c r="C201" s="66"/>
      <c r="D201" s="66"/>
      <c r="G201" s="67"/>
      <c r="S201" s="66"/>
      <c r="V201" s="67"/>
    </row>
    <row r="202">
      <c r="A202" s="66"/>
      <c r="B202" s="66"/>
      <c r="C202" s="66"/>
      <c r="D202" s="66"/>
      <c r="G202" s="67"/>
      <c r="S202" s="66"/>
      <c r="V202" s="67"/>
    </row>
    <row r="203">
      <c r="A203" s="66"/>
      <c r="B203" s="66"/>
      <c r="C203" s="66"/>
      <c r="D203" s="66"/>
      <c r="G203" s="67"/>
      <c r="S203" s="66"/>
      <c r="V203" s="67"/>
    </row>
    <row r="204">
      <c r="A204" s="66"/>
      <c r="B204" s="66"/>
      <c r="C204" s="66"/>
      <c r="D204" s="66"/>
      <c r="G204" s="67"/>
      <c r="S204" s="66"/>
      <c r="V204" s="67"/>
    </row>
    <row r="205">
      <c r="A205" s="66"/>
      <c r="B205" s="66"/>
      <c r="C205" s="66"/>
      <c r="D205" s="66"/>
      <c r="G205" s="67"/>
      <c r="S205" s="66"/>
      <c r="V205" s="67"/>
    </row>
    <row r="206">
      <c r="A206" s="66"/>
      <c r="B206" s="66"/>
      <c r="C206" s="66"/>
      <c r="D206" s="66"/>
      <c r="G206" s="67"/>
      <c r="S206" s="66"/>
      <c r="V206" s="67"/>
    </row>
    <row r="207">
      <c r="A207" s="66"/>
      <c r="B207" s="66"/>
      <c r="C207" s="66"/>
      <c r="D207" s="66"/>
      <c r="G207" s="67"/>
      <c r="S207" s="66"/>
      <c r="V207" s="67"/>
    </row>
    <row r="208">
      <c r="A208" s="66"/>
      <c r="B208" s="66"/>
      <c r="C208" s="66"/>
      <c r="D208" s="66"/>
      <c r="G208" s="67"/>
      <c r="S208" s="66"/>
      <c r="V208" s="67"/>
    </row>
    <row r="209">
      <c r="A209" s="66"/>
      <c r="B209" s="66"/>
      <c r="C209" s="66"/>
      <c r="D209" s="66"/>
      <c r="G209" s="67"/>
      <c r="S209" s="66"/>
      <c r="V209" s="67"/>
    </row>
    <row r="210">
      <c r="A210" s="66"/>
      <c r="B210" s="66"/>
      <c r="C210" s="66"/>
      <c r="D210" s="66"/>
      <c r="G210" s="67"/>
      <c r="S210" s="66"/>
      <c r="V210" s="67"/>
    </row>
    <row r="211">
      <c r="A211" s="66"/>
      <c r="B211" s="66"/>
      <c r="C211" s="66"/>
      <c r="D211" s="66"/>
      <c r="G211" s="67"/>
      <c r="S211" s="66"/>
      <c r="V211" s="67"/>
    </row>
    <row r="212">
      <c r="A212" s="66"/>
      <c r="B212" s="66"/>
      <c r="C212" s="66"/>
      <c r="D212" s="66"/>
      <c r="G212" s="67"/>
      <c r="S212" s="66"/>
      <c r="V212" s="67"/>
    </row>
    <row r="213">
      <c r="A213" s="66"/>
      <c r="B213" s="66"/>
      <c r="C213" s="66"/>
      <c r="D213" s="66"/>
      <c r="G213" s="67"/>
      <c r="S213" s="66"/>
      <c r="V213" s="67"/>
    </row>
    <row r="214">
      <c r="A214" s="66"/>
      <c r="B214" s="66"/>
      <c r="C214" s="66"/>
      <c r="D214" s="66"/>
      <c r="G214" s="67"/>
      <c r="S214" s="66"/>
      <c r="V214" s="67"/>
    </row>
    <row r="215">
      <c r="A215" s="66"/>
      <c r="B215" s="66"/>
      <c r="C215" s="66"/>
      <c r="D215" s="66"/>
      <c r="G215" s="67"/>
      <c r="S215" s="66"/>
      <c r="V215" s="67"/>
    </row>
    <row r="216">
      <c r="A216" s="66"/>
      <c r="B216" s="66"/>
      <c r="C216" s="66"/>
      <c r="D216" s="66"/>
      <c r="G216" s="67"/>
      <c r="S216" s="66"/>
      <c r="V216" s="67"/>
    </row>
    <row r="217">
      <c r="A217" s="66"/>
      <c r="B217" s="66"/>
      <c r="C217" s="66"/>
      <c r="D217" s="66"/>
      <c r="G217" s="67"/>
      <c r="S217" s="66"/>
      <c r="V217" s="67"/>
    </row>
    <row r="218">
      <c r="A218" s="66"/>
      <c r="B218" s="66"/>
      <c r="C218" s="66"/>
      <c r="D218" s="66"/>
      <c r="G218" s="67"/>
      <c r="S218" s="66"/>
      <c r="V218" s="67"/>
    </row>
    <row r="219">
      <c r="A219" s="66"/>
      <c r="B219" s="66"/>
      <c r="C219" s="66"/>
      <c r="D219" s="66"/>
      <c r="G219" s="67"/>
      <c r="S219" s="66"/>
      <c r="V219" s="67"/>
    </row>
    <row r="220">
      <c r="A220" s="66"/>
      <c r="B220" s="66"/>
      <c r="C220" s="66"/>
      <c r="D220" s="66"/>
      <c r="G220" s="67"/>
      <c r="S220" s="66"/>
      <c r="V220" s="67"/>
    </row>
    <row r="221">
      <c r="A221" s="66"/>
      <c r="B221" s="66"/>
      <c r="C221" s="66"/>
      <c r="D221" s="66"/>
      <c r="G221" s="67"/>
      <c r="S221" s="66"/>
      <c r="V221" s="67"/>
    </row>
    <row r="222">
      <c r="A222" s="66"/>
      <c r="B222" s="66"/>
      <c r="C222" s="66"/>
      <c r="D222" s="66"/>
      <c r="G222" s="67"/>
      <c r="S222" s="66"/>
      <c r="V222" s="67"/>
    </row>
    <row r="223">
      <c r="A223" s="66"/>
      <c r="B223" s="66"/>
      <c r="C223" s="66"/>
      <c r="D223" s="66"/>
      <c r="G223" s="67"/>
      <c r="S223" s="66"/>
      <c r="V223" s="67"/>
    </row>
    <row r="224">
      <c r="A224" s="66"/>
      <c r="B224" s="66"/>
      <c r="C224" s="66"/>
      <c r="D224" s="66"/>
      <c r="G224" s="67"/>
      <c r="S224" s="66"/>
      <c r="V224" s="67"/>
    </row>
    <row r="225">
      <c r="A225" s="66"/>
      <c r="B225" s="66"/>
      <c r="C225" s="66"/>
      <c r="D225" s="66"/>
      <c r="G225" s="67"/>
      <c r="S225" s="66"/>
      <c r="V225" s="67"/>
    </row>
    <row r="226">
      <c r="A226" s="66"/>
      <c r="B226" s="66"/>
      <c r="C226" s="66"/>
      <c r="D226" s="66"/>
      <c r="G226" s="67"/>
      <c r="S226" s="66"/>
      <c r="V226" s="67"/>
    </row>
    <row r="227">
      <c r="A227" s="66"/>
      <c r="B227" s="66"/>
      <c r="C227" s="66"/>
      <c r="D227" s="66"/>
      <c r="G227" s="67"/>
      <c r="S227" s="66"/>
      <c r="V227" s="67"/>
    </row>
    <row r="228">
      <c r="A228" s="66"/>
      <c r="B228" s="66"/>
      <c r="C228" s="66"/>
      <c r="D228" s="66"/>
      <c r="G228" s="67"/>
      <c r="S228" s="66"/>
      <c r="V228" s="67"/>
    </row>
    <row r="229">
      <c r="A229" s="66"/>
      <c r="B229" s="66"/>
      <c r="C229" s="66"/>
      <c r="D229" s="66"/>
      <c r="G229" s="67"/>
      <c r="S229" s="66"/>
      <c r="V229" s="67"/>
    </row>
    <row r="230">
      <c r="A230" s="66"/>
      <c r="B230" s="66"/>
      <c r="C230" s="66"/>
      <c r="D230" s="66"/>
      <c r="G230" s="67"/>
      <c r="S230" s="66"/>
      <c r="V230" s="67"/>
    </row>
    <row r="231">
      <c r="A231" s="66"/>
      <c r="B231" s="66"/>
      <c r="C231" s="66"/>
      <c r="D231" s="66"/>
      <c r="G231" s="67"/>
      <c r="S231" s="66"/>
      <c r="V231" s="67"/>
    </row>
    <row r="232">
      <c r="A232" s="66"/>
      <c r="B232" s="66"/>
      <c r="C232" s="66"/>
      <c r="D232" s="66"/>
      <c r="G232" s="67"/>
      <c r="S232" s="66"/>
      <c r="V232" s="67"/>
    </row>
    <row r="233">
      <c r="A233" s="66"/>
      <c r="B233" s="66"/>
      <c r="C233" s="66"/>
      <c r="D233" s="66"/>
      <c r="G233" s="67"/>
      <c r="S233" s="66"/>
      <c r="V233" s="67"/>
    </row>
    <row r="234">
      <c r="A234" s="66"/>
      <c r="B234" s="66"/>
      <c r="C234" s="66"/>
      <c r="D234" s="66"/>
      <c r="G234" s="67"/>
      <c r="S234" s="66"/>
      <c r="V234" s="67"/>
    </row>
    <row r="235">
      <c r="A235" s="66"/>
      <c r="B235" s="66"/>
      <c r="C235" s="66"/>
      <c r="D235" s="66"/>
      <c r="G235" s="67"/>
      <c r="S235" s="66"/>
      <c r="V235" s="67"/>
    </row>
    <row r="236">
      <c r="A236" s="66"/>
      <c r="B236" s="66"/>
      <c r="C236" s="66"/>
      <c r="D236" s="66"/>
      <c r="G236" s="67"/>
      <c r="S236" s="66"/>
      <c r="V236" s="67"/>
    </row>
    <row r="237">
      <c r="A237" s="66"/>
      <c r="B237" s="66"/>
      <c r="C237" s="66"/>
      <c r="D237" s="66"/>
      <c r="G237" s="67"/>
      <c r="S237" s="66"/>
      <c r="V237" s="67"/>
    </row>
    <row r="238">
      <c r="A238" s="66"/>
      <c r="B238" s="66"/>
      <c r="C238" s="66"/>
      <c r="D238" s="66"/>
      <c r="G238" s="67"/>
      <c r="S238" s="66"/>
      <c r="V238" s="67"/>
    </row>
    <row r="239">
      <c r="A239" s="66"/>
      <c r="B239" s="66"/>
      <c r="C239" s="66"/>
      <c r="D239" s="66"/>
      <c r="G239" s="67"/>
      <c r="S239" s="66"/>
      <c r="V239" s="67"/>
    </row>
    <row r="240">
      <c r="A240" s="66"/>
      <c r="B240" s="66"/>
      <c r="C240" s="66"/>
      <c r="D240" s="66"/>
      <c r="G240" s="67"/>
      <c r="S240" s="66"/>
      <c r="V240" s="67"/>
    </row>
    <row r="241">
      <c r="A241" s="66"/>
      <c r="B241" s="66"/>
      <c r="C241" s="66"/>
      <c r="D241" s="66"/>
      <c r="G241" s="67"/>
      <c r="S241" s="66"/>
      <c r="V241" s="67"/>
    </row>
    <row r="242">
      <c r="A242" s="66"/>
      <c r="B242" s="66"/>
      <c r="C242" s="66"/>
      <c r="D242" s="66"/>
      <c r="G242" s="67"/>
      <c r="S242" s="66"/>
      <c r="V242" s="67"/>
    </row>
    <row r="243">
      <c r="A243" s="66"/>
      <c r="B243" s="66"/>
      <c r="C243" s="66"/>
      <c r="D243" s="66"/>
      <c r="G243" s="67"/>
      <c r="S243" s="66"/>
      <c r="V243" s="67"/>
    </row>
    <row r="244">
      <c r="A244" s="66"/>
      <c r="B244" s="66"/>
      <c r="C244" s="66"/>
      <c r="D244" s="66"/>
      <c r="G244" s="67"/>
      <c r="S244" s="66"/>
      <c r="V244" s="67"/>
    </row>
    <row r="245">
      <c r="A245" s="66"/>
      <c r="B245" s="66"/>
      <c r="C245" s="66"/>
      <c r="D245" s="66"/>
      <c r="G245" s="67"/>
      <c r="S245" s="66"/>
      <c r="V245" s="67"/>
    </row>
    <row r="246">
      <c r="A246" s="66"/>
      <c r="B246" s="66"/>
      <c r="C246" s="66"/>
      <c r="D246" s="66"/>
      <c r="G246" s="67"/>
      <c r="S246" s="66"/>
      <c r="V246" s="67"/>
    </row>
    <row r="247">
      <c r="A247" s="66"/>
      <c r="B247" s="66"/>
      <c r="C247" s="66"/>
      <c r="D247" s="66"/>
      <c r="G247" s="67"/>
      <c r="S247" s="66"/>
      <c r="V247" s="67"/>
    </row>
    <row r="248">
      <c r="A248" s="66"/>
      <c r="B248" s="66"/>
      <c r="C248" s="66"/>
      <c r="D248" s="66"/>
      <c r="G248" s="67"/>
      <c r="S248" s="66"/>
      <c r="V248" s="67"/>
    </row>
    <row r="249">
      <c r="A249" s="66"/>
      <c r="B249" s="66"/>
      <c r="C249" s="66"/>
      <c r="D249" s="66"/>
      <c r="G249" s="67"/>
      <c r="S249" s="66"/>
      <c r="V249" s="67"/>
    </row>
    <row r="250">
      <c r="A250" s="66"/>
      <c r="B250" s="66"/>
      <c r="C250" s="66"/>
      <c r="D250" s="66"/>
      <c r="G250" s="67"/>
      <c r="S250" s="66"/>
      <c r="V250" s="67"/>
    </row>
    <row r="251">
      <c r="A251" s="66"/>
      <c r="B251" s="66"/>
      <c r="C251" s="66"/>
      <c r="D251" s="66"/>
      <c r="G251" s="67"/>
      <c r="S251" s="66"/>
      <c r="V251" s="67"/>
    </row>
    <row r="252">
      <c r="A252" s="66"/>
      <c r="B252" s="66"/>
      <c r="C252" s="66"/>
      <c r="D252" s="66"/>
      <c r="G252" s="67"/>
      <c r="S252" s="66"/>
      <c r="V252" s="67"/>
    </row>
    <row r="253">
      <c r="A253" s="66"/>
      <c r="B253" s="66"/>
      <c r="C253" s="66"/>
      <c r="D253" s="66"/>
      <c r="G253" s="67"/>
      <c r="S253" s="66"/>
      <c r="V253" s="67"/>
    </row>
    <row r="254">
      <c r="A254" s="66"/>
      <c r="B254" s="66"/>
      <c r="C254" s="66"/>
      <c r="D254" s="66"/>
      <c r="G254" s="67"/>
      <c r="S254" s="66"/>
      <c r="V254" s="67"/>
    </row>
    <row r="255">
      <c r="A255" s="66"/>
      <c r="B255" s="66"/>
      <c r="C255" s="66"/>
      <c r="D255" s="66"/>
      <c r="G255" s="67"/>
      <c r="S255" s="66"/>
      <c r="V255" s="67"/>
    </row>
    <row r="256">
      <c r="A256" s="66"/>
      <c r="B256" s="66"/>
      <c r="C256" s="66"/>
      <c r="D256" s="66"/>
      <c r="G256" s="67"/>
      <c r="S256" s="66"/>
      <c r="V256" s="67"/>
    </row>
    <row r="257">
      <c r="A257" s="66"/>
      <c r="B257" s="66"/>
      <c r="C257" s="66"/>
      <c r="D257" s="66"/>
      <c r="G257" s="67"/>
      <c r="S257" s="66"/>
      <c r="V257" s="67"/>
    </row>
    <row r="258">
      <c r="A258" s="66"/>
      <c r="B258" s="66"/>
      <c r="C258" s="66"/>
      <c r="D258" s="66"/>
      <c r="G258" s="67"/>
      <c r="S258" s="66"/>
      <c r="V258" s="67"/>
    </row>
    <row r="259">
      <c r="A259" s="66"/>
      <c r="B259" s="66"/>
      <c r="C259" s="66"/>
      <c r="D259" s="66"/>
      <c r="G259" s="67"/>
      <c r="S259" s="66"/>
      <c r="V259" s="67"/>
    </row>
    <row r="260">
      <c r="A260" s="66"/>
      <c r="B260" s="66"/>
      <c r="C260" s="66"/>
      <c r="D260" s="66"/>
      <c r="G260" s="67"/>
      <c r="S260" s="66"/>
      <c r="V260" s="67"/>
    </row>
    <row r="261">
      <c r="A261" s="66"/>
      <c r="B261" s="66"/>
      <c r="C261" s="66"/>
      <c r="D261" s="66"/>
      <c r="G261" s="67"/>
      <c r="S261" s="66"/>
      <c r="V261" s="67"/>
    </row>
    <row r="262">
      <c r="A262" s="66"/>
      <c r="B262" s="66"/>
      <c r="C262" s="66"/>
      <c r="D262" s="66"/>
      <c r="G262" s="67"/>
      <c r="S262" s="66"/>
      <c r="V262" s="67"/>
    </row>
    <row r="263">
      <c r="A263" s="66"/>
      <c r="B263" s="66"/>
      <c r="C263" s="66"/>
      <c r="D263" s="66"/>
      <c r="G263" s="67"/>
      <c r="S263" s="66"/>
      <c r="V263" s="67"/>
    </row>
    <row r="264">
      <c r="A264" s="66"/>
      <c r="B264" s="66"/>
      <c r="C264" s="66"/>
      <c r="D264" s="66"/>
      <c r="G264" s="67"/>
      <c r="S264" s="66"/>
      <c r="V264" s="67"/>
    </row>
    <row r="265">
      <c r="A265" s="66"/>
      <c r="B265" s="66"/>
      <c r="C265" s="66"/>
      <c r="D265" s="66"/>
      <c r="G265" s="67"/>
      <c r="S265" s="66"/>
      <c r="V265" s="67"/>
    </row>
    <row r="266">
      <c r="A266" s="66"/>
      <c r="B266" s="66"/>
      <c r="C266" s="66"/>
      <c r="D266" s="66"/>
      <c r="G266" s="67"/>
      <c r="S266" s="66"/>
      <c r="V266" s="67"/>
    </row>
    <row r="267">
      <c r="A267" s="66"/>
      <c r="B267" s="66"/>
      <c r="C267" s="66"/>
      <c r="D267" s="66"/>
      <c r="G267" s="67"/>
      <c r="S267" s="66"/>
      <c r="V267" s="67"/>
    </row>
    <row r="268">
      <c r="A268" s="66"/>
      <c r="B268" s="66"/>
      <c r="C268" s="66"/>
      <c r="D268" s="66"/>
      <c r="G268" s="67"/>
      <c r="S268" s="66"/>
      <c r="V268" s="67"/>
    </row>
    <row r="269">
      <c r="A269" s="66"/>
      <c r="B269" s="66"/>
      <c r="C269" s="66"/>
      <c r="D269" s="66"/>
      <c r="G269" s="67"/>
      <c r="S269" s="66"/>
      <c r="V269" s="67"/>
    </row>
    <row r="270">
      <c r="A270" s="66"/>
      <c r="B270" s="66"/>
      <c r="C270" s="66"/>
      <c r="D270" s="66"/>
      <c r="G270" s="67"/>
      <c r="S270" s="66"/>
      <c r="V270" s="67"/>
    </row>
    <row r="271">
      <c r="A271" s="66"/>
      <c r="B271" s="66"/>
      <c r="C271" s="66"/>
      <c r="D271" s="66"/>
      <c r="G271" s="67"/>
      <c r="S271" s="66"/>
      <c r="V271" s="67"/>
    </row>
    <row r="272">
      <c r="A272" s="66"/>
      <c r="B272" s="66"/>
      <c r="C272" s="66"/>
      <c r="D272" s="66"/>
      <c r="G272" s="67"/>
      <c r="S272" s="66"/>
      <c r="V272" s="67"/>
    </row>
    <row r="273">
      <c r="A273" s="66"/>
      <c r="B273" s="66"/>
      <c r="C273" s="66"/>
      <c r="D273" s="66"/>
      <c r="G273" s="67"/>
      <c r="S273" s="66"/>
      <c r="V273" s="67"/>
    </row>
    <row r="274">
      <c r="A274" s="66"/>
      <c r="B274" s="66"/>
      <c r="C274" s="66"/>
      <c r="D274" s="66"/>
      <c r="G274" s="67"/>
      <c r="S274" s="66"/>
      <c r="V274" s="67"/>
    </row>
    <row r="275">
      <c r="A275" s="66"/>
      <c r="B275" s="66"/>
      <c r="C275" s="66"/>
      <c r="D275" s="66"/>
      <c r="G275" s="67"/>
      <c r="S275" s="66"/>
      <c r="V275" s="67"/>
    </row>
    <row r="276">
      <c r="A276" s="66"/>
      <c r="B276" s="66"/>
      <c r="C276" s="66"/>
      <c r="D276" s="66"/>
      <c r="G276" s="67"/>
      <c r="S276" s="66"/>
      <c r="V276" s="67"/>
    </row>
    <row r="277">
      <c r="A277" s="66"/>
      <c r="B277" s="66"/>
      <c r="C277" s="66"/>
      <c r="D277" s="66"/>
      <c r="G277" s="67"/>
      <c r="S277" s="66"/>
      <c r="V277" s="67"/>
    </row>
    <row r="278">
      <c r="A278" s="66"/>
      <c r="B278" s="66"/>
      <c r="C278" s="66"/>
      <c r="D278" s="66"/>
      <c r="G278" s="67"/>
      <c r="S278" s="66"/>
      <c r="V278" s="67"/>
    </row>
    <row r="279">
      <c r="A279" s="66"/>
      <c r="B279" s="66"/>
      <c r="C279" s="66"/>
      <c r="D279" s="66"/>
      <c r="G279" s="67"/>
      <c r="S279" s="66"/>
      <c r="V279" s="67"/>
    </row>
    <row r="280">
      <c r="A280" s="66"/>
      <c r="B280" s="66"/>
      <c r="C280" s="66"/>
      <c r="D280" s="66"/>
      <c r="G280" s="67"/>
      <c r="S280" s="66"/>
      <c r="V280" s="67"/>
    </row>
    <row r="281">
      <c r="A281" s="66"/>
      <c r="B281" s="66"/>
      <c r="C281" s="66"/>
      <c r="D281" s="66"/>
      <c r="G281" s="67"/>
      <c r="S281" s="66"/>
      <c r="V281" s="67"/>
    </row>
    <row r="282">
      <c r="A282" s="66"/>
      <c r="B282" s="66"/>
      <c r="C282" s="66"/>
      <c r="D282" s="66"/>
      <c r="G282" s="67"/>
      <c r="S282" s="66"/>
      <c r="V282" s="67"/>
    </row>
    <row r="283">
      <c r="A283" s="66"/>
      <c r="B283" s="66"/>
      <c r="C283" s="66"/>
      <c r="D283" s="66"/>
      <c r="G283" s="67"/>
      <c r="S283" s="66"/>
      <c r="V283" s="67"/>
    </row>
    <row r="284">
      <c r="A284" s="66"/>
      <c r="B284" s="66"/>
      <c r="C284" s="66"/>
      <c r="D284" s="66"/>
      <c r="G284" s="67"/>
      <c r="S284" s="66"/>
      <c r="V284" s="67"/>
    </row>
    <row r="285">
      <c r="A285" s="66"/>
      <c r="B285" s="66"/>
      <c r="C285" s="66"/>
      <c r="D285" s="66"/>
      <c r="G285" s="67"/>
      <c r="S285" s="66"/>
      <c r="V285" s="67"/>
    </row>
    <row r="286">
      <c r="A286" s="66"/>
      <c r="B286" s="66"/>
      <c r="C286" s="66"/>
      <c r="D286" s="66"/>
      <c r="G286" s="67"/>
      <c r="S286" s="66"/>
      <c r="V286" s="67"/>
    </row>
    <row r="287">
      <c r="A287" s="66"/>
      <c r="B287" s="66"/>
      <c r="C287" s="66"/>
      <c r="D287" s="66"/>
      <c r="G287" s="67"/>
      <c r="S287" s="66"/>
      <c r="V287" s="67"/>
    </row>
    <row r="288">
      <c r="A288" s="66"/>
      <c r="B288" s="66"/>
      <c r="C288" s="66"/>
      <c r="D288" s="66"/>
      <c r="G288" s="67"/>
      <c r="S288" s="66"/>
      <c r="V288" s="67"/>
    </row>
    <row r="289">
      <c r="A289" s="66"/>
      <c r="B289" s="66"/>
      <c r="C289" s="66"/>
      <c r="D289" s="66"/>
      <c r="G289" s="67"/>
      <c r="S289" s="66"/>
      <c r="V289" s="67"/>
    </row>
    <row r="290">
      <c r="A290" s="66"/>
      <c r="B290" s="66"/>
      <c r="C290" s="66"/>
      <c r="D290" s="66"/>
      <c r="G290" s="67"/>
      <c r="S290" s="66"/>
      <c r="V290" s="67"/>
    </row>
    <row r="291">
      <c r="A291" s="66"/>
      <c r="B291" s="66"/>
      <c r="C291" s="66"/>
      <c r="D291" s="66"/>
      <c r="G291" s="67"/>
      <c r="S291" s="66"/>
      <c r="V291" s="67"/>
    </row>
    <row r="292">
      <c r="A292" s="66"/>
      <c r="B292" s="66"/>
      <c r="C292" s="66"/>
      <c r="D292" s="66"/>
      <c r="G292" s="67"/>
      <c r="S292" s="66"/>
      <c r="V292" s="67"/>
    </row>
    <row r="293">
      <c r="A293" s="66"/>
      <c r="B293" s="66"/>
      <c r="C293" s="66"/>
      <c r="D293" s="66"/>
      <c r="G293" s="67"/>
      <c r="S293" s="66"/>
      <c r="V293" s="67"/>
    </row>
    <row r="294">
      <c r="A294" s="66"/>
      <c r="B294" s="66"/>
      <c r="C294" s="66"/>
      <c r="D294" s="66"/>
      <c r="G294" s="67"/>
      <c r="S294" s="66"/>
      <c r="V294" s="67"/>
    </row>
    <row r="295">
      <c r="A295" s="66"/>
      <c r="B295" s="66"/>
      <c r="C295" s="66"/>
      <c r="D295" s="66"/>
      <c r="G295" s="67"/>
      <c r="S295" s="66"/>
      <c r="V295" s="67"/>
    </row>
    <row r="296">
      <c r="A296" s="66"/>
      <c r="B296" s="66"/>
      <c r="C296" s="66"/>
      <c r="D296" s="66"/>
      <c r="G296" s="67"/>
      <c r="S296" s="66"/>
      <c r="V296" s="67"/>
    </row>
    <row r="297">
      <c r="A297" s="66"/>
      <c r="B297" s="66"/>
      <c r="C297" s="66"/>
      <c r="D297" s="66"/>
      <c r="G297" s="67"/>
      <c r="S297" s="66"/>
      <c r="V297" s="67"/>
    </row>
    <row r="298">
      <c r="A298" s="66"/>
      <c r="B298" s="66"/>
      <c r="C298" s="66"/>
      <c r="D298" s="66"/>
      <c r="G298" s="67"/>
      <c r="S298" s="66"/>
      <c r="V298" s="67"/>
    </row>
    <row r="299">
      <c r="A299" s="66"/>
      <c r="B299" s="66"/>
      <c r="C299" s="66"/>
      <c r="D299" s="66"/>
      <c r="G299" s="67"/>
      <c r="S299" s="66"/>
      <c r="V299" s="67"/>
    </row>
    <row r="300">
      <c r="A300" s="66"/>
      <c r="B300" s="66"/>
      <c r="C300" s="66"/>
      <c r="D300" s="66"/>
      <c r="G300" s="67"/>
      <c r="S300" s="66"/>
      <c r="V300" s="67"/>
    </row>
    <row r="301">
      <c r="A301" s="66"/>
      <c r="B301" s="66"/>
      <c r="C301" s="66"/>
      <c r="D301" s="66"/>
      <c r="G301" s="67"/>
      <c r="S301" s="66"/>
      <c r="V301" s="67"/>
    </row>
    <row r="302">
      <c r="A302" s="66"/>
      <c r="B302" s="66"/>
      <c r="C302" s="66"/>
      <c r="D302" s="66"/>
      <c r="G302" s="67"/>
      <c r="S302" s="66"/>
      <c r="V302" s="67"/>
    </row>
    <row r="303">
      <c r="A303" s="66"/>
      <c r="B303" s="66"/>
      <c r="C303" s="66"/>
      <c r="D303" s="66"/>
      <c r="G303" s="67"/>
      <c r="S303" s="66"/>
      <c r="V303" s="67"/>
    </row>
    <row r="304">
      <c r="A304" s="66"/>
      <c r="B304" s="66"/>
      <c r="C304" s="66"/>
      <c r="D304" s="66"/>
      <c r="G304" s="67"/>
      <c r="S304" s="66"/>
      <c r="V304" s="67"/>
    </row>
    <row r="305">
      <c r="A305" s="66"/>
      <c r="B305" s="66"/>
      <c r="C305" s="66"/>
      <c r="D305" s="66"/>
      <c r="G305" s="67"/>
      <c r="S305" s="66"/>
      <c r="V305" s="67"/>
    </row>
    <row r="306">
      <c r="A306" s="66"/>
      <c r="B306" s="66"/>
      <c r="C306" s="66"/>
      <c r="D306" s="66"/>
      <c r="G306" s="67"/>
      <c r="S306" s="66"/>
      <c r="V306" s="67"/>
    </row>
    <row r="307">
      <c r="A307" s="66"/>
      <c r="B307" s="66"/>
      <c r="C307" s="66"/>
      <c r="D307" s="66"/>
      <c r="G307" s="67"/>
      <c r="S307" s="66"/>
      <c r="V307" s="67"/>
    </row>
    <row r="308">
      <c r="A308" s="66"/>
      <c r="B308" s="66"/>
      <c r="C308" s="66"/>
      <c r="D308" s="66"/>
      <c r="G308" s="67"/>
      <c r="S308" s="66"/>
      <c r="V308" s="67"/>
    </row>
    <row r="309">
      <c r="A309" s="66"/>
      <c r="B309" s="66"/>
      <c r="C309" s="66"/>
      <c r="D309" s="66"/>
      <c r="G309" s="67"/>
      <c r="S309" s="66"/>
      <c r="V309" s="67"/>
    </row>
    <row r="310">
      <c r="A310" s="66"/>
      <c r="B310" s="66"/>
      <c r="C310" s="66"/>
      <c r="D310" s="66"/>
      <c r="G310" s="67"/>
      <c r="S310" s="66"/>
      <c r="V310" s="67"/>
    </row>
    <row r="311">
      <c r="A311" s="66"/>
      <c r="B311" s="66"/>
      <c r="C311" s="66"/>
      <c r="D311" s="66"/>
      <c r="G311" s="67"/>
      <c r="S311" s="66"/>
      <c r="V311" s="67"/>
    </row>
    <row r="312">
      <c r="A312" s="66"/>
      <c r="B312" s="66"/>
      <c r="C312" s="66"/>
      <c r="D312" s="66"/>
      <c r="G312" s="67"/>
      <c r="S312" s="66"/>
      <c r="V312" s="67"/>
    </row>
    <row r="313">
      <c r="A313" s="66"/>
      <c r="B313" s="66"/>
      <c r="C313" s="66"/>
      <c r="D313" s="66"/>
      <c r="G313" s="67"/>
      <c r="S313" s="66"/>
      <c r="V313" s="67"/>
    </row>
    <row r="314">
      <c r="A314" s="66"/>
      <c r="B314" s="66"/>
      <c r="C314" s="66"/>
      <c r="D314" s="66"/>
      <c r="G314" s="67"/>
      <c r="S314" s="66"/>
      <c r="V314" s="67"/>
    </row>
    <row r="315">
      <c r="A315" s="66"/>
      <c r="B315" s="66"/>
      <c r="C315" s="66"/>
      <c r="D315" s="66"/>
      <c r="G315" s="67"/>
      <c r="S315" s="66"/>
      <c r="V315" s="67"/>
    </row>
    <row r="316">
      <c r="A316" s="66"/>
      <c r="B316" s="66"/>
      <c r="C316" s="66"/>
      <c r="D316" s="66"/>
      <c r="G316" s="67"/>
      <c r="S316" s="66"/>
      <c r="V316" s="67"/>
    </row>
    <row r="317">
      <c r="A317" s="66"/>
      <c r="B317" s="66"/>
      <c r="C317" s="66"/>
      <c r="D317" s="66"/>
      <c r="G317" s="67"/>
      <c r="S317" s="66"/>
      <c r="V317" s="67"/>
    </row>
    <row r="318">
      <c r="A318" s="66"/>
      <c r="B318" s="66"/>
      <c r="C318" s="66"/>
      <c r="D318" s="66"/>
      <c r="G318" s="67"/>
      <c r="S318" s="66"/>
      <c r="V318" s="67"/>
    </row>
    <row r="319">
      <c r="A319" s="66"/>
      <c r="B319" s="66"/>
      <c r="C319" s="66"/>
      <c r="D319" s="66"/>
      <c r="G319" s="67"/>
      <c r="S319" s="66"/>
      <c r="V319" s="67"/>
    </row>
    <row r="320">
      <c r="A320" s="66"/>
      <c r="B320" s="66"/>
      <c r="C320" s="66"/>
      <c r="D320" s="66"/>
      <c r="G320" s="67"/>
      <c r="S320" s="66"/>
      <c r="V320" s="67"/>
    </row>
    <row r="321">
      <c r="A321" s="66"/>
      <c r="B321" s="66"/>
      <c r="C321" s="66"/>
      <c r="D321" s="66"/>
      <c r="G321" s="67"/>
      <c r="S321" s="66"/>
      <c r="V321" s="67"/>
    </row>
    <row r="322">
      <c r="A322" s="66"/>
      <c r="B322" s="66"/>
      <c r="C322" s="66"/>
      <c r="D322" s="66"/>
      <c r="G322" s="67"/>
      <c r="S322" s="66"/>
      <c r="V322" s="67"/>
    </row>
    <row r="323">
      <c r="A323" s="66"/>
      <c r="B323" s="66"/>
      <c r="C323" s="66"/>
      <c r="D323" s="66"/>
      <c r="G323" s="67"/>
      <c r="S323" s="66"/>
      <c r="V323" s="67"/>
    </row>
    <row r="324">
      <c r="A324" s="66"/>
      <c r="B324" s="66"/>
      <c r="C324" s="66"/>
      <c r="D324" s="66"/>
      <c r="G324" s="67"/>
      <c r="S324" s="66"/>
      <c r="V324" s="67"/>
    </row>
    <row r="325">
      <c r="A325" s="66"/>
      <c r="B325" s="66"/>
      <c r="C325" s="66"/>
      <c r="D325" s="66"/>
      <c r="G325" s="67"/>
      <c r="S325" s="66"/>
      <c r="V325" s="67"/>
    </row>
    <row r="326">
      <c r="A326" s="66"/>
      <c r="B326" s="66"/>
      <c r="C326" s="66"/>
      <c r="D326" s="66"/>
      <c r="G326" s="67"/>
      <c r="S326" s="66"/>
      <c r="V326" s="67"/>
    </row>
    <row r="327">
      <c r="A327" s="66"/>
      <c r="B327" s="66"/>
      <c r="C327" s="66"/>
      <c r="D327" s="66"/>
      <c r="G327" s="67"/>
      <c r="S327" s="66"/>
      <c r="V327" s="67"/>
    </row>
    <row r="328">
      <c r="A328" s="66"/>
      <c r="B328" s="66"/>
      <c r="C328" s="66"/>
      <c r="D328" s="66"/>
      <c r="G328" s="67"/>
      <c r="S328" s="66"/>
      <c r="V328" s="67"/>
    </row>
    <row r="329">
      <c r="A329" s="66"/>
      <c r="B329" s="66"/>
      <c r="C329" s="66"/>
      <c r="D329" s="66"/>
      <c r="G329" s="67"/>
      <c r="S329" s="66"/>
      <c r="V329" s="67"/>
    </row>
    <row r="330">
      <c r="A330" s="66"/>
      <c r="B330" s="66"/>
      <c r="C330" s="66"/>
      <c r="D330" s="66"/>
      <c r="G330" s="67"/>
      <c r="S330" s="66"/>
      <c r="V330" s="67"/>
    </row>
    <row r="331">
      <c r="A331" s="66"/>
      <c r="B331" s="66"/>
      <c r="C331" s="66"/>
      <c r="D331" s="66"/>
      <c r="G331" s="67"/>
      <c r="S331" s="66"/>
      <c r="V331" s="67"/>
    </row>
    <row r="332">
      <c r="A332" s="66"/>
      <c r="B332" s="66"/>
      <c r="C332" s="66"/>
      <c r="D332" s="66"/>
      <c r="G332" s="67"/>
      <c r="S332" s="66"/>
      <c r="V332" s="67"/>
    </row>
    <row r="333">
      <c r="A333" s="66"/>
      <c r="B333" s="66"/>
      <c r="C333" s="66"/>
      <c r="D333" s="66"/>
      <c r="G333" s="67"/>
      <c r="S333" s="66"/>
      <c r="V333" s="67"/>
    </row>
    <row r="334">
      <c r="A334" s="66"/>
      <c r="B334" s="66"/>
      <c r="C334" s="66"/>
      <c r="D334" s="66"/>
      <c r="G334" s="67"/>
      <c r="S334" s="66"/>
      <c r="V334" s="67"/>
    </row>
    <row r="335">
      <c r="A335" s="66"/>
      <c r="B335" s="66"/>
      <c r="C335" s="66"/>
      <c r="D335" s="66"/>
      <c r="G335" s="67"/>
      <c r="S335" s="66"/>
      <c r="V335" s="67"/>
    </row>
    <row r="336">
      <c r="A336" s="66"/>
      <c r="B336" s="66"/>
      <c r="C336" s="66"/>
      <c r="D336" s="66"/>
      <c r="G336" s="67"/>
      <c r="S336" s="66"/>
      <c r="V336" s="67"/>
    </row>
    <row r="337">
      <c r="A337" s="66"/>
      <c r="B337" s="66"/>
      <c r="C337" s="66"/>
      <c r="D337" s="66"/>
      <c r="G337" s="67"/>
      <c r="S337" s="66"/>
      <c r="V337" s="67"/>
    </row>
    <row r="338">
      <c r="A338" s="66"/>
      <c r="B338" s="66"/>
      <c r="C338" s="66"/>
      <c r="D338" s="66"/>
      <c r="G338" s="67"/>
      <c r="S338" s="66"/>
      <c r="V338" s="67"/>
    </row>
    <row r="339">
      <c r="A339" s="66"/>
      <c r="B339" s="66"/>
      <c r="C339" s="66"/>
      <c r="D339" s="66"/>
      <c r="G339" s="67"/>
      <c r="S339" s="66"/>
      <c r="V339" s="67"/>
    </row>
    <row r="340">
      <c r="A340" s="66"/>
      <c r="B340" s="66"/>
      <c r="C340" s="66"/>
      <c r="D340" s="66"/>
      <c r="G340" s="67"/>
      <c r="S340" s="66"/>
      <c r="V340" s="67"/>
    </row>
    <row r="341">
      <c r="A341" s="66"/>
      <c r="B341" s="66"/>
      <c r="C341" s="66"/>
      <c r="D341" s="66"/>
      <c r="G341" s="67"/>
      <c r="S341" s="66"/>
      <c r="V341" s="67"/>
    </row>
    <row r="342">
      <c r="A342" s="66"/>
      <c r="B342" s="66"/>
      <c r="C342" s="66"/>
      <c r="D342" s="66"/>
      <c r="G342" s="67"/>
      <c r="S342" s="66"/>
      <c r="V342" s="67"/>
    </row>
    <row r="343">
      <c r="A343" s="66"/>
      <c r="B343" s="66"/>
      <c r="C343" s="66"/>
      <c r="D343" s="66"/>
      <c r="G343" s="67"/>
      <c r="S343" s="66"/>
      <c r="V343" s="67"/>
    </row>
    <row r="344">
      <c r="A344" s="66"/>
      <c r="B344" s="66"/>
      <c r="C344" s="66"/>
      <c r="D344" s="66"/>
      <c r="G344" s="67"/>
      <c r="S344" s="66"/>
      <c r="V344" s="67"/>
    </row>
    <row r="345">
      <c r="A345" s="66"/>
      <c r="B345" s="66"/>
      <c r="C345" s="66"/>
      <c r="D345" s="66"/>
      <c r="G345" s="67"/>
      <c r="S345" s="66"/>
      <c r="V345" s="67"/>
    </row>
    <row r="346">
      <c r="A346" s="66"/>
      <c r="B346" s="66"/>
      <c r="C346" s="66"/>
      <c r="D346" s="66"/>
      <c r="G346" s="67"/>
      <c r="S346" s="66"/>
      <c r="V346" s="67"/>
    </row>
    <row r="347">
      <c r="A347" s="66"/>
      <c r="B347" s="66"/>
      <c r="C347" s="66"/>
      <c r="D347" s="66"/>
      <c r="G347" s="67"/>
      <c r="S347" s="66"/>
      <c r="V347" s="67"/>
    </row>
    <row r="348">
      <c r="A348" s="66"/>
      <c r="B348" s="66"/>
      <c r="C348" s="66"/>
      <c r="D348" s="66"/>
      <c r="G348" s="67"/>
      <c r="S348" s="66"/>
      <c r="V348" s="67"/>
    </row>
    <row r="349">
      <c r="A349" s="66"/>
      <c r="B349" s="66"/>
      <c r="C349" s="66"/>
      <c r="D349" s="66"/>
      <c r="G349" s="67"/>
      <c r="S349" s="66"/>
      <c r="V349" s="67"/>
    </row>
    <row r="350">
      <c r="A350" s="66"/>
      <c r="B350" s="66"/>
      <c r="C350" s="66"/>
      <c r="D350" s="66"/>
      <c r="G350" s="67"/>
      <c r="S350" s="66"/>
      <c r="V350" s="67"/>
    </row>
    <row r="351">
      <c r="A351" s="66"/>
      <c r="B351" s="66"/>
      <c r="C351" s="66"/>
      <c r="D351" s="66"/>
      <c r="G351" s="67"/>
      <c r="S351" s="66"/>
      <c r="V351" s="67"/>
    </row>
    <row r="352">
      <c r="A352" s="66"/>
      <c r="B352" s="66"/>
      <c r="C352" s="66"/>
      <c r="D352" s="66"/>
      <c r="G352" s="67"/>
      <c r="S352" s="66"/>
      <c r="V352" s="67"/>
    </row>
    <row r="353">
      <c r="A353" s="66"/>
      <c r="B353" s="66"/>
      <c r="C353" s="66"/>
      <c r="D353" s="66"/>
      <c r="G353" s="67"/>
      <c r="S353" s="66"/>
      <c r="V353" s="67"/>
    </row>
    <row r="354">
      <c r="A354" s="66"/>
      <c r="B354" s="66"/>
      <c r="C354" s="66"/>
      <c r="D354" s="66"/>
      <c r="G354" s="67"/>
      <c r="S354" s="66"/>
      <c r="V354" s="67"/>
    </row>
    <row r="355">
      <c r="A355" s="66"/>
      <c r="B355" s="66"/>
      <c r="C355" s="66"/>
      <c r="D355" s="66"/>
      <c r="G355" s="67"/>
      <c r="S355" s="66"/>
      <c r="V355" s="67"/>
    </row>
    <row r="356">
      <c r="A356" s="66"/>
      <c r="B356" s="66"/>
      <c r="C356" s="66"/>
      <c r="D356" s="66"/>
      <c r="G356" s="67"/>
      <c r="S356" s="66"/>
      <c r="V356" s="67"/>
    </row>
    <row r="357">
      <c r="A357" s="66"/>
      <c r="B357" s="66"/>
      <c r="C357" s="66"/>
      <c r="D357" s="66"/>
      <c r="G357" s="67"/>
      <c r="S357" s="66"/>
      <c r="V357" s="67"/>
    </row>
    <row r="358">
      <c r="A358" s="66"/>
      <c r="B358" s="66"/>
      <c r="C358" s="66"/>
      <c r="D358" s="66"/>
      <c r="G358" s="67"/>
      <c r="S358" s="66"/>
      <c r="V358" s="67"/>
    </row>
    <row r="359">
      <c r="A359" s="66"/>
      <c r="B359" s="66"/>
      <c r="C359" s="66"/>
      <c r="D359" s="66"/>
      <c r="G359" s="67"/>
      <c r="S359" s="66"/>
      <c r="V359" s="67"/>
    </row>
    <row r="360">
      <c r="A360" s="66"/>
      <c r="B360" s="66"/>
      <c r="C360" s="66"/>
      <c r="D360" s="66"/>
      <c r="G360" s="67"/>
      <c r="S360" s="66"/>
      <c r="V360" s="67"/>
    </row>
    <row r="361">
      <c r="A361" s="66"/>
      <c r="B361" s="66"/>
      <c r="C361" s="66"/>
      <c r="D361" s="66"/>
      <c r="G361" s="67"/>
      <c r="S361" s="66"/>
      <c r="V361" s="67"/>
    </row>
    <row r="362">
      <c r="A362" s="66"/>
      <c r="B362" s="66"/>
      <c r="C362" s="66"/>
      <c r="D362" s="66"/>
      <c r="G362" s="67"/>
      <c r="S362" s="66"/>
      <c r="V362" s="67"/>
    </row>
    <row r="363">
      <c r="A363" s="66"/>
      <c r="B363" s="66"/>
      <c r="C363" s="66"/>
      <c r="D363" s="66"/>
      <c r="G363" s="67"/>
      <c r="S363" s="66"/>
      <c r="V363" s="67"/>
    </row>
    <row r="364">
      <c r="A364" s="66"/>
      <c r="B364" s="66"/>
      <c r="C364" s="66"/>
      <c r="D364" s="66"/>
      <c r="G364" s="67"/>
      <c r="S364" s="66"/>
      <c r="V364" s="67"/>
    </row>
    <row r="365">
      <c r="A365" s="66"/>
      <c r="B365" s="66"/>
      <c r="C365" s="66"/>
      <c r="D365" s="66"/>
      <c r="G365" s="67"/>
      <c r="S365" s="66"/>
      <c r="V365" s="67"/>
    </row>
    <row r="366">
      <c r="A366" s="66"/>
      <c r="B366" s="66"/>
      <c r="C366" s="66"/>
      <c r="D366" s="66"/>
      <c r="G366" s="67"/>
      <c r="S366" s="66"/>
      <c r="V366" s="67"/>
    </row>
    <row r="367">
      <c r="A367" s="66"/>
      <c r="B367" s="66"/>
      <c r="C367" s="66"/>
      <c r="D367" s="66"/>
      <c r="G367" s="67"/>
      <c r="S367" s="66"/>
      <c r="V367" s="67"/>
    </row>
    <row r="368">
      <c r="A368" s="66"/>
      <c r="B368" s="66"/>
      <c r="C368" s="66"/>
      <c r="D368" s="66"/>
      <c r="G368" s="67"/>
      <c r="S368" s="66"/>
      <c r="V368" s="67"/>
    </row>
    <row r="369">
      <c r="A369" s="66"/>
      <c r="B369" s="66"/>
      <c r="C369" s="66"/>
      <c r="D369" s="66"/>
      <c r="G369" s="67"/>
      <c r="S369" s="66"/>
      <c r="V369" s="67"/>
    </row>
    <row r="370">
      <c r="A370" s="66"/>
      <c r="B370" s="66"/>
      <c r="C370" s="66"/>
      <c r="D370" s="66"/>
      <c r="G370" s="67"/>
      <c r="S370" s="66"/>
      <c r="V370" s="67"/>
    </row>
    <row r="371">
      <c r="A371" s="66"/>
      <c r="B371" s="66"/>
      <c r="C371" s="66"/>
      <c r="D371" s="66"/>
      <c r="G371" s="67"/>
      <c r="S371" s="66"/>
      <c r="V371" s="67"/>
    </row>
    <row r="372">
      <c r="A372" s="66"/>
      <c r="B372" s="66"/>
      <c r="C372" s="66"/>
      <c r="D372" s="66"/>
      <c r="G372" s="67"/>
      <c r="S372" s="66"/>
      <c r="V372" s="67"/>
    </row>
    <row r="373">
      <c r="A373" s="66"/>
      <c r="B373" s="66"/>
      <c r="C373" s="66"/>
      <c r="D373" s="66"/>
      <c r="G373" s="67"/>
      <c r="S373" s="66"/>
      <c r="V373" s="67"/>
    </row>
    <row r="374">
      <c r="A374" s="66"/>
      <c r="B374" s="66"/>
      <c r="C374" s="66"/>
      <c r="D374" s="66"/>
      <c r="G374" s="67"/>
      <c r="S374" s="66"/>
      <c r="V374" s="67"/>
    </row>
    <row r="375">
      <c r="A375" s="66"/>
      <c r="B375" s="66"/>
      <c r="C375" s="66"/>
      <c r="D375" s="66"/>
      <c r="G375" s="67"/>
      <c r="S375" s="66"/>
      <c r="V375" s="67"/>
    </row>
    <row r="376">
      <c r="A376" s="66"/>
      <c r="B376" s="66"/>
      <c r="C376" s="66"/>
      <c r="D376" s="66"/>
      <c r="G376" s="67"/>
      <c r="S376" s="66"/>
      <c r="V376" s="67"/>
    </row>
    <row r="377">
      <c r="A377" s="66"/>
      <c r="B377" s="66"/>
      <c r="C377" s="66"/>
      <c r="D377" s="66"/>
      <c r="G377" s="67"/>
      <c r="S377" s="66"/>
      <c r="V377" s="67"/>
    </row>
    <row r="378">
      <c r="A378" s="66"/>
      <c r="B378" s="66"/>
      <c r="C378" s="66"/>
      <c r="D378" s="66"/>
      <c r="G378" s="67"/>
      <c r="S378" s="66"/>
      <c r="V378" s="67"/>
    </row>
    <row r="379">
      <c r="A379" s="66"/>
      <c r="B379" s="66"/>
      <c r="C379" s="66"/>
      <c r="D379" s="66"/>
      <c r="G379" s="67"/>
      <c r="S379" s="66"/>
      <c r="V379" s="67"/>
    </row>
    <row r="380">
      <c r="A380" s="66"/>
      <c r="B380" s="66"/>
      <c r="C380" s="66"/>
      <c r="D380" s="66"/>
      <c r="G380" s="67"/>
      <c r="S380" s="66"/>
      <c r="V380" s="67"/>
    </row>
    <row r="381">
      <c r="A381" s="66"/>
      <c r="B381" s="66"/>
      <c r="C381" s="66"/>
      <c r="D381" s="66"/>
      <c r="G381" s="67"/>
      <c r="S381" s="66"/>
      <c r="V381" s="67"/>
    </row>
    <row r="382">
      <c r="A382" s="66"/>
      <c r="B382" s="66"/>
      <c r="C382" s="66"/>
      <c r="D382" s="66"/>
      <c r="G382" s="67"/>
      <c r="S382" s="66"/>
      <c r="V382" s="67"/>
    </row>
    <row r="383">
      <c r="A383" s="66"/>
      <c r="B383" s="66"/>
      <c r="C383" s="66"/>
      <c r="D383" s="66"/>
      <c r="G383" s="67"/>
      <c r="S383" s="66"/>
      <c r="V383" s="67"/>
    </row>
    <row r="384">
      <c r="A384" s="66"/>
      <c r="B384" s="66"/>
      <c r="C384" s="66"/>
      <c r="D384" s="66"/>
      <c r="G384" s="67"/>
      <c r="S384" s="66"/>
      <c r="V384" s="67"/>
    </row>
    <row r="385">
      <c r="A385" s="66"/>
      <c r="B385" s="66"/>
      <c r="C385" s="66"/>
      <c r="D385" s="66"/>
      <c r="G385" s="67"/>
      <c r="S385" s="66"/>
      <c r="V385" s="67"/>
    </row>
    <row r="386">
      <c r="A386" s="66"/>
      <c r="B386" s="66"/>
      <c r="C386" s="66"/>
      <c r="D386" s="66"/>
      <c r="G386" s="67"/>
      <c r="S386" s="66"/>
      <c r="V386" s="67"/>
    </row>
    <row r="387">
      <c r="A387" s="66"/>
      <c r="B387" s="66"/>
      <c r="C387" s="66"/>
      <c r="D387" s="66"/>
      <c r="G387" s="67"/>
      <c r="S387" s="66"/>
      <c r="V387" s="67"/>
    </row>
    <row r="388">
      <c r="A388" s="66"/>
      <c r="B388" s="66"/>
      <c r="C388" s="66"/>
      <c r="D388" s="66"/>
      <c r="G388" s="67"/>
      <c r="S388" s="66"/>
      <c r="V388" s="67"/>
    </row>
    <row r="389">
      <c r="A389" s="66"/>
      <c r="B389" s="66"/>
      <c r="C389" s="66"/>
      <c r="D389" s="66"/>
      <c r="G389" s="67"/>
      <c r="S389" s="66"/>
      <c r="V389" s="67"/>
    </row>
    <row r="390">
      <c r="A390" s="66"/>
      <c r="B390" s="66"/>
      <c r="C390" s="66"/>
      <c r="D390" s="66"/>
      <c r="G390" s="67"/>
      <c r="S390" s="66"/>
      <c r="V390" s="67"/>
    </row>
    <row r="391">
      <c r="A391" s="66"/>
      <c r="B391" s="66"/>
      <c r="C391" s="66"/>
      <c r="D391" s="66"/>
      <c r="G391" s="67"/>
      <c r="S391" s="66"/>
      <c r="V391" s="67"/>
    </row>
    <row r="392">
      <c r="A392" s="66"/>
      <c r="B392" s="66"/>
      <c r="C392" s="66"/>
      <c r="D392" s="66"/>
      <c r="G392" s="67"/>
      <c r="S392" s="66"/>
      <c r="V392" s="67"/>
    </row>
    <row r="393">
      <c r="A393" s="66"/>
      <c r="B393" s="66"/>
      <c r="C393" s="66"/>
      <c r="D393" s="66"/>
      <c r="G393" s="67"/>
      <c r="S393" s="66"/>
      <c r="V393" s="67"/>
    </row>
    <row r="394">
      <c r="A394" s="66"/>
      <c r="B394" s="66"/>
      <c r="C394" s="66"/>
      <c r="D394" s="66"/>
      <c r="G394" s="67"/>
      <c r="S394" s="66"/>
      <c r="V394" s="67"/>
    </row>
    <row r="395">
      <c r="A395" s="66"/>
      <c r="B395" s="66"/>
      <c r="C395" s="66"/>
      <c r="D395" s="66"/>
      <c r="G395" s="67"/>
      <c r="S395" s="66"/>
      <c r="V395" s="67"/>
    </row>
    <row r="396">
      <c r="A396" s="66"/>
      <c r="B396" s="66"/>
      <c r="C396" s="66"/>
      <c r="D396" s="66"/>
      <c r="G396" s="67"/>
      <c r="S396" s="66"/>
      <c r="V396" s="67"/>
    </row>
    <row r="397">
      <c r="A397" s="66"/>
      <c r="B397" s="66"/>
      <c r="C397" s="66"/>
      <c r="D397" s="66"/>
      <c r="G397" s="67"/>
      <c r="S397" s="66"/>
      <c r="V397" s="67"/>
    </row>
    <row r="398">
      <c r="A398" s="66"/>
      <c r="B398" s="66"/>
      <c r="C398" s="66"/>
      <c r="D398" s="66"/>
      <c r="G398" s="67"/>
      <c r="S398" s="66"/>
      <c r="V398" s="67"/>
    </row>
    <row r="399">
      <c r="A399" s="66"/>
      <c r="B399" s="66"/>
      <c r="C399" s="66"/>
      <c r="D399" s="66"/>
      <c r="G399" s="67"/>
      <c r="S399" s="66"/>
      <c r="V399" s="67"/>
    </row>
    <row r="400">
      <c r="A400" s="66"/>
      <c r="B400" s="66"/>
      <c r="C400" s="66"/>
      <c r="D400" s="66"/>
      <c r="G400" s="67"/>
      <c r="S400" s="66"/>
      <c r="V400" s="67"/>
    </row>
    <row r="401">
      <c r="A401" s="66"/>
      <c r="B401" s="66"/>
      <c r="C401" s="66"/>
      <c r="D401" s="66"/>
      <c r="G401" s="67"/>
      <c r="S401" s="66"/>
      <c r="V401" s="67"/>
    </row>
    <row r="402">
      <c r="A402" s="66"/>
      <c r="B402" s="66"/>
      <c r="C402" s="66"/>
      <c r="D402" s="66"/>
      <c r="G402" s="67"/>
      <c r="S402" s="66"/>
      <c r="V402" s="67"/>
    </row>
    <row r="403">
      <c r="A403" s="66"/>
      <c r="B403" s="66"/>
      <c r="C403" s="66"/>
      <c r="D403" s="66"/>
      <c r="G403" s="67"/>
      <c r="S403" s="66"/>
      <c r="V403" s="67"/>
    </row>
    <row r="404">
      <c r="A404" s="66"/>
      <c r="B404" s="66"/>
      <c r="C404" s="66"/>
      <c r="D404" s="66"/>
      <c r="G404" s="67"/>
      <c r="S404" s="66"/>
      <c r="V404" s="67"/>
    </row>
    <row r="405">
      <c r="A405" s="66"/>
      <c r="B405" s="66"/>
      <c r="C405" s="66"/>
      <c r="D405" s="66"/>
      <c r="G405" s="67"/>
      <c r="S405" s="66"/>
      <c r="V405" s="67"/>
    </row>
    <row r="406">
      <c r="A406" s="66"/>
      <c r="B406" s="66"/>
      <c r="C406" s="66"/>
      <c r="D406" s="66"/>
      <c r="G406" s="67"/>
      <c r="S406" s="66"/>
      <c r="V406" s="67"/>
    </row>
    <row r="407">
      <c r="A407" s="66"/>
      <c r="B407" s="66"/>
      <c r="C407" s="66"/>
      <c r="D407" s="66"/>
      <c r="G407" s="67"/>
      <c r="S407" s="66"/>
      <c r="V407" s="67"/>
    </row>
    <row r="408">
      <c r="A408" s="66"/>
      <c r="B408" s="66"/>
      <c r="C408" s="66"/>
      <c r="D408" s="66"/>
      <c r="G408" s="67"/>
      <c r="S408" s="66"/>
      <c r="V408" s="67"/>
    </row>
    <row r="409">
      <c r="A409" s="66"/>
      <c r="B409" s="66"/>
      <c r="C409" s="66"/>
      <c r="D409" s="66"/>
      <c r="G409" s="67"/>
      <c r="S409" s="66"/>
      <c r="V409" s="67"/>
    </row>
    <row r="410">
      <c r="A410" s="66"/>
      <c r="B410" s="66"/>
      <c r="C410" s="66"/>
      <c r="D410" s="66"/>
      <c r="G410" s="67"/>
      <c r="S410" s="66"/>
      <c r="V410" s="67"/>
    </row>
    <row r="411">
      <c r="A411" s="66"/>
      <c r="B411" s="66"/>
      <c r="C411" s="66"/>
      <c r="D411" s="66"/>
      <c r="G411" s="67"/>
      <c r="S411" s="66"/>
      <c r="V411" s="67"/>
    </row>
    <row r="412">
      <c r="A412" s="66"/>
      <c r="B412" s="66"/>
      <c r="C412" s="66"/>
      <c r="D412" s="66"/>
      <c r="G412" s="67"/>
      <c r="S412" s="66"/>
      <c r="V412" s="67"/>
    </row>
    <row r="413">
      <c r="A413" s="66"/>
      <c r="B413" s="66"/>
      <c r="C413" s="66"/>
      <c r="D413" s="66"/>
      <c r="G413" s="67"/>
      <c r="S413" s="66"/>
      <c r="V413" s="67"/>
    </row>
    <row r="414">
      <c r="A414" s="66"/>
      <c r="B414" s="66"/>
      <c r="C414" s="66"/>
      <c r="D414" s="66"/>
      <c r="G414" s="67"/>
      <c r="S414" s="66"/>
      <c r="V414" s="67"/>
    </row>
    <row r="415">
      <c r="A415" s="66"/>
      <c r="B415" s="66"/>
      <c r="C415" s="66"/>
      <c r="D415" s="66"/>
      <c r="G415" s="67"/>
      <c r="S415" s="66"/>
      <c r="V415" s="67"/>
    </row>
    <row r="416">
      <c r="A416" s="66"/>
      <c r="B416" s="66"/>
      <c r="C416" s="66"/>
      <c r="D416" s="66"/>
      <c r="G416" s="67"/>
      <c r="S416" s="66"/>
      <c r="V416" s="67"/>
    </row>
    <row r="417">
      <c r="A417" s="66"/>
      <c r="B417" s="66"/>
      <c r="C417" s="66"/>
      <c r="D417" s="66"/>
      <c r="G417" s="67"/>
      <c r="S417" s="66"/>
      <c r="V417" s="67"/>
    </row>
    <row r="418">
      <c r="A418" s="66"/>
      <c r="B418" s="66"/>
      <c r="C418" s="66"/>
      <c r="D418" s="66"/>
      <c r="G418" s="67"/>
      <c r="S418" s="66"/>
      <c r="V418" s="67"/>
    </row>
    <row r="419">
      <c r="A419" s="66"/>
      <c r="B419" s="66"/>
      <c r="C419" s="66"/>
      <c r="D419" s="66"/>
      <c r="G419" s="67"/>
      <c r="S419" s="66"/>
      <c r="V419" s="67"/>
    </row>
    <row r="420">
      <c r="A420" s="66"/>
      <c r="B420" s="66"/>
      <c r="C420" s="66"/>
      <c r="D420" s="66"/>
      <c r="G420" s="67"/>
      <c r="S420" s="66"/>
      <c r="V420" s="67"/>
    </row>
    <row r="421">
      <c r="A421" s="66"/>
      <c r="B421" s="66"/>
      <c r="C421" s="66"/>
      <c r="D421" s="66"/>
      <c r="G421" s="67"/>
      <c r="S421" s="66"/>
      <c r="V421" s="67"/>
    </row>
    <row r="422">
      <c r="A422" s="66"/>
      <c r="B422" s="66"/>
      <c r="C422" s="66"/>
      <c r="D422" s="66"/>
      <c r="G422" s="67"/>
      <c r="S422" s="66"/>
      <c r="V422" s="67"/>
    </row>
    <row r="423">
      <c r="A423" s="66"/>
      <c r="B423" s="66"/>
      <c r="C423" s="66"/>
      <c r="D423" s="66"/>
      <c r="G423" s="67"/>
      <c r="S423" s="66"/>
      <c r="V423" s="67"/>
    </row>
    <row r="424">
      <c r="A424" s="66"/>
      <c r="B424" s="66"/>
      <c r="C424" s="66"/>
      <c r="D424" s="66"/>
      <c r="G424" s="67"/>
      <c r="S424" s="66"/>
      <c r="V424" s="67"/>
    </row>
    <row r="425">
      <c r="A425" s="66"/>
      <c r="B425" s="66"/>
      <c r="C425" s="66"/>
      <c r="D425" s="66"/>
      <c r="G425" s="67"/>
      <c r="S425" s="66"/>
      <c r="V425" s="67"/>
    </row>
    <row r="426">
      <c r="A426" s="66"/>
      <c r="B426" s="66"/>
      <c r="C426" s="66"/>
      <c r="D426" s="66"/>
      <c r="G426" s="67"/>
      <c r="S426" s="66"/>
      <c r="V426" s="67"/>
    </row>
    <row r="427">
      <c r="A427" s="66"/>
      <c r="B427" s="66"/>
      <c r="C427" s="66"/>
      <c r="D427" s="66"/>
      <c r="G427" s="67"/>
      <c r="S427" s="66"/>
      <c r="V427" s="67"/>
    </row>
    <row r="428">
      <c r="A428" s="66"/>
      <c r="B428" s="66"/>
      <c r="C428" s="66"/>
      <c r="D428" s="66"/>
      <c r="G428" s="67"/>
      <c r="S428" s="66"/>
      <c r="V428" s="67"/>
    </row>
    <row r="429">
      <c r="A429" s="66"/>
      <c r="B429" s="66"/>
      <c r="C429" s="66"/>
      <c r="D429" s="66"/>
      <c r="G429" s="67"/>
      <c r="S429" s="66"/>
      <c r="V429" s="67"/>
    </row>
    <row r="430">
      <c r="A430" s="66"/>
      <c r="B430" s="66"/>
      <c r="C430" s="66"/>
      <c r="D430" s="66"/>
      <c r="G430" s="67"/>
      <c r="S430" s="66"/>
      <c r="V430" s="67"/>
    </row>
    <row r="431">
      <c r="A431" s="66"/>
      <c r="B431" s="66"/>
      <c r="C431" s="66"/>
      <c r="D431" s="66"/>
      <c r="G431" s="67"/>
      <c r="S431" s="66"/>
      <c r="V431" s="67"/>
    </row>
    <row r="432">
      <c r="A432" s="66"/>
      <c r="B432" s="66"/>
      <c r="C432" s="66"/>
      <c r="D432" s="66"/>
      <c r="G432" s="67"/>
      <c r="S432" s="66"/>
      <c r="V432" s="67"/>
    </row>
    <row r="433">
      <c r="A433" s="66"/>
      <c r="B433" s="66"/>
      <c r="C433" s="66"/>
      <c r="D433" s="66"/>
      <c r="G433" s="67"/>
      <c r="S433" s="66"/>
      <c r="V433" s="67"/>
    </row>
    <row r="434">
      <c r="A434" s="66"/>
      <c r="B434" s="66"/>
      <c r="C434" s="66"/>
      <c r="D434" s="66"/>
      <c r="G434" s="67"/>
      <c r="S434" s="66"/>
      <c r="V434" s="67"/>
    </row>
    <row r="435">
      <c r="A435" s="66"/>
      <c r="B435" s="66"/>
      <c r="C435" s="66"/>
      <c r="D435" s="66"/>
      <c r="G435" s="67"/>
      <c r="S435" s="66"/>
      <c r="V435" s="67"/>
    </row>
    <row r="436">
      <c r="A436" s="66"/>
      <c r="B436" s="66"/>
      <c r="C436" s="66"/>
      <c r="D436" s="66"/>
      <c r="G436" s="67"/>
      <c r="S436" s="66"/>
      <c r="V436" s="67"/>
    </row>
    <row r="437">
      <c r="A437" s="66"/>
      <c r="B437" s="66"/>
      <c r="C437" s="66"/>
      <c r="D437" s="66"/>
      <c r="G437" s="67"/>
      <c r="S437" s="66"/>
      <c r="V437" s="67"/>
    </row>
    <row r="438">
      <c r="A438" s="66"/>
      <c r="B438" s="66"/>
      <c r="C438" s="66"/>
      <c r="D438" s="66"/>
      <c r="G438" s="67"/>
      <c r="S438" s="66"/>
      <c r="V438" s="67"/>
    </row>
    <row r="439">
      <c r="A439" s="66"/>
      <c r="B439" s="66"/>
      <c r="C439" s="66"/>
      <c r="D439" s="66"/>
      <c r="G439" s="67"/>
      <c r="S439" s="66"/>
      <c r="V439" s="67"/>
    </row>
    <row r="440">
      <c r="A440" s="66"/>
      <c r="B440" s="66"/>
      <c r="C440" s="66"/>
      <c r="D440" s="66"/>
      <c r="G440" s="67"/>
      <c r="S440" s="66"/>
      <c r="V440" s="67"/>
    </row>
    <row r="441">
      <c r="A441" s="66"/>
      <c r="B441" s="66"/>
      <c r="C441" s="66"/>
      <c r="D441" s="66"/>
      <c r="G441" s="67"/>
      <c r="S441" s="66"/>
      <c r="V441" s="67"/>
    </row>
    <row r="442">
      <c r="A442" s="66"/>
      <c r="B442" s="66"/>
      <c r="C442" s="66"/>
      <c r="D442" s="66"/>
      <c r="G442" s="67"/>
      <c r="S442" s="66"/>
      <c r="V442" s="67"/>
    </row>
    <row r="443">
      <c r="A443" s="66"/>
      <c r="B443" s="66"/>
      <c r="C443" s="66"/>
      <c r="D443" s="66"/>
      <c r="G443" s="67"/>
      <c r="S443" s="66"/>
      <c r="V443" s="67"/>
    </row>
    <row r="444">
      <c r="A444" s="66"/>
      <c r="B444" s="66"/>
      <c r="C444" s="66"/>
      <c r="D444" s="66"/>
      <c r="G444" s="67"/>
      <c r="S444" s="66"/>
      <c r="V444" s="67"/>
    </row>
    <row r="445">
      <c r="A445" s="66"/>
      <c r="B445" s="66"/>
      <c r="C445" s="66"/>
      <c r="D445" s="66"/>
      <c r="G445" s="67"/>
      <c r="S445" s="66"/>
      <c r="V445" s="67"/>
    </row>
    <row r="446">
      <c r="A446" s="66"/>
      <c r="B446" s="66"/>
      <c r="C446" s="66"/>
      <c r="D446" s="66"/>
      <c r="G446" s="67"/>
      <c r="S446" s="66"/>
      <c r="V446" s="67"/>
    </row>
    <row r="447">
      <c r="A447" s="66"/>
      <c r="B447" s="66"/>
      <c r="C447" s="66"/>
      <c r="D447" s="66"/>
      <c r="G447" s="67"/>
      <c r="S447" s="66"/>
      <c r="V447" s="67"/>
    </row>
    <row r="448">
      <c r="A448" s="66"/>
      <c r="B448" s="66"/>
      <c r="C448" s="66"/>
      <c r="D448" s="66"/>
      <c r="G448" s="67"/>
      <c r="S448" s="66"/>
      <c r="V448" s="67"/>
    </row>
    <row r="449">
      <c r="A449" s="66"/>
      <c r="B449" s="66"/>
      <c r="C449" s="66"/>
      <c r="D449" s="66"/>
      <c r="G449" s="67"/>
      <c r="S449" s="66"/>
      <c r="V449" s="67"/>
    </row>
    <row r="450">
      <c r="A450" s="66"/>
      <c r="B450" s="66"/>
      <c r="C450" s="66"/>
      <c r="D450" s="66"/>
      <c r="G450" s="67"/>
      <c r="S450" s="66"/>
      <c r="V450" s="67"/>
    </row>
    <row r="451">
      <c r="A451" s="66"/>
      <c r="B451" s="66"/>
      <c r="C451" s="66"/>
      <c r="D451" s="66"/>
      <c r="G451" s="67"/>
      <c r="S451" s="66"/>
      <c r="V451" s="67"/>
    </row>
    <row r="452">
      <c r="A452" s="66"/>
      <c r="B452" s="66"/>
      <c r="C452" s="66"/>
      <c r="D452" s="66"/>
      <c r="G452" s="67"/>
      <c r="S452" s="66"/>
      <c r="V452" s="67"/>
    </row>
    <row r="453">
      <c r="A453" s="66"/>
      <c r="B453" s="66"/>
      <c r="C453" s="66"/>
      <c r="D453" s="66"/>
      <c r="G453" s="67"/>
      <c r="S453" s="66"/>
      <c r="V453" s="67"/>
    </row>
    <row r="454">
      <c r="A454" s="66"/>
      <c r="B454" s="66"/>
      <c r="C454" s="66"/>
      <c r="D454" s="66"/>
      <c r="G454" s="67"/>
      <c r="S454" s="66"/>
      <c r="V454" s="67"/>
    </row>
    <row r="455">
      <c r="A455" s="66"/>
      <c r="B455" s="66"/>
      <c r="C455" s="66"/>
      <c r="D455" s="66"/>
      <c r="G455" s="67"/>
      <c r="S455" s="66"/>
      <c r="V455" s="67"/>
    </row>
    <row r="456">
      <c r="A456" s="66"/>
      <c r="B456" s="66"/>
      <c r="C456" s="66"/>
      <c r="D456" s="66"/>
      <c r="G456" s="67"/>
      <c r="S456" s="66"/>
      <c r="V456" s="67"/>
    </row>
    <row r="457">
      <c r="A457" s="66"/>
      <c r="B457" s="66"/>
      <c r="C457" s="66"/>
      <c r="D457" s="66"/>
      <c r="G457" s="67"/>
      <c r="S457" s="66"/>
      <c r="V457" s="67"/>
    </row>
    <row r="458">
      <c r="A458" s="66"/>
      <c r="B458" s="66"/>
      <c r="C458" s="66"/>
      <c r="D458" s="66"/>
      <c r="G458" s="67"/>
      <c r="S458" s="66"/>
      <c r="V458" s="67"/>
    </row>
    <row r="459">
      <c r="A459" s="66"/>
      <c r="B459" s="66"/>
      <c r="C459" s="66"/>
      <c r="D459" s="66"/>
      <c r="G459" s="67"/>
      <c r="S459" s="66"/>
      <c r="V459" s="67"/>
    </row>
    <row r="460">
      <c r="A460" s="66"/>
      <c r="B460" s="66"/>
      <c r="C460" s="66"/>
      <c r="D460" s="66"/>
      <c r="G460" s="67"/>
      <c r="S460" s="66"/>
      <c r="V460" s="67"/>
    </row>
    <row r="461">
      <c r="A461" s="66"/>
      <c r="B461" s="66"/>
      <c r="C461" s="66"/>
      <c r="D461" s="66"/>
      <c r="G461" s="67"/>
      <c r="S461" s="66"/>
      <c r="V461" s="67"/>
    </row>
    <row r="462">
      <c r="A462" s="66"/>
      <c r="B462" s="66"/>
      <c r="C462" s="66"/>
      <c r="D462" s="66"/>
      <c r="G462" s="67"/>
      <c r="S462" s="66"/>
      <c r="V462" s="67"/>
    </row>
    <row r="463">
      <c r="A463" s="66"/>
      <c r="B463" s="66"/>
      <c r="C463" s="66"/>
      <c r="D463" s="66"/>
      <c r="G463" s="67"/>
      <c r="S463" s="66"/>
      <c r="V463" s="67"/>
    </row>
    <row r="464">
      <c r="A464" s="66"/>
      <c r="B464" s="66"/>
      <c r="C464" s="66"/>
      <c r="D464" s="66"/>
      <c r="G464" s="67"/>
      <c r="S464" s="66"/>
      <c r="V464" s="67"/>
    </row>
    <row r="465">
      <c r="A465" s="66"/>
      <c r="B465" s="66"/>
      <c r="C465" s="66"/>
      <c r="D465" s="66"/>
      <c r="G465" s="67"/>
      <c r="S465" s="66"/>
      <c r="V465" s="67"/>
    </row>
    <row r="466">
      <c r="A466" s="66"/>
      <c r="B466" s="66"/>
      <c r="C466" s="66"/>
      <c r="D466" s="66"/>
      <c r="G466" s="67"/>
      <c r="S466" s="66"/>
      <c r="V466" s="67"/>
    </row>
    <row r="467">
      <c r="A467" s="66"/>
      <c r="B467" s="66"/>
      <c r="C467" s="66"/>
      <c r="D467" s="66"/>
      <c r="G467" s="67"/>
      <c r="S467" s="66"/>
      <c r="V467" s="67"/>
    </row>
    <row r="468">
      <c r="A468" s="66"/>
      <c r="B468" s="66"/>
      <c r="C468" s="66"/>
      <c r="D468" s="66"/>
      <c r="G468" s="67"/>
      <c r="S468" s="66"/>
      <c r="V468" s="67"/>
    </row>
    <row r="469">
      <c r="A469" s="66"/>
      <c r="B469" s="66"/>
      <c r="C469" s="66"/>
      <c r="D469" s="66"/>
      <c r="G469" s="67"/>
      <c r="S469" s="66"/>
      <c r="V469" s="67"/>
    </row>
    <row r="470">
      <c r="A470" s="66"/>
      <c r="B470" s="66"/>
      <c r="C470" s="66"/>
      <c r="D470" s="66"/>
      <c r="G470" s="67"/>
      <c r="S470" s="66"/>
      <c r="V470" s="67"/>
    </row>
    <row r="471">
      <c r="A471" s="66"/>
      <c r="B471" s="66"/>
      <c r="C471" s="66"/>
      <c r="D471" s="66"/>
      <c r="G471" s="67"/>
      <c r="S471" s="66"/>
      <c r="V471" s="67"/>
    </row>
    <row r="472">
      <c r="A472" s="66"/>
      <c r="B472" s="66"/>
      <c r="C472" s="66"/>
      <c r="D472" s="66"/>
      <c r="G472" s="67"/>
      <c r="S472" s="66"/>
      <c r="V472" s="67"/>
    </row>
    <row r="473">
      <c r="A473" s="66"/>
      <c r="B473" s="66"/>
      <c r="C473" s="66"/>
      <c r="D473" s="66"/>
      <c r="G473" s="67"/>
      <c r="S473" s="66"/>
      <c r="V473" s="67"/>
    </row>
    <row r="474">
      <c r="A474" s="66"/>
      <c r="B474" s="66"/>
      <c r="C474" s="66"/>
      <c r="D474" s="66"/>
      <c r="G474" s="67"/>
      <c r="S474" s="66"/>
      <c r="V474" s="67"/>
    </row>
    <row r="475">
      <c r="A475" s="66"/>
      <c r="B475" s="66"/>
      <c r="C475" s="66"/>
      <c r="D475" s="66"/>
      <c r="G475" s="67"/>
      <c r="S475" s="66"/>
      <c r="V475" s="67"/>
    </row>
    <row r="476">
      <c r="A476" s="66"/>
      <c r="B476" s="66"/>
      <c r="C476" s="66"/>
      <c r="D476" s="66"/>
      <c r="G476" s="67"/>
      <c r="S476" s="66"/>
      <c r="V476" s="67"/>
    </row>
    <row r="477">
      <c r="A477" s="66"/>
      <c r="B477" s="66"/>
      <c r="C477" s="66"/>
      <c r="D477" s="66"/>
      <c r="G477" s="67"/>
      <c r="S477" s="66"/>
      <c r="V477" s="67"/>
    </row>
    <row r="478">
      <c r="A478" s="66"/>
      <c r="B478" s="66"/>
      <c r="C478" s="66"/>
      <c r="D478" s="66"/>
      <c r="G478" s="67"/>
      <c r="S478" s="66"/>
      <c r="V478" s="67"/>
    </row>
    <row r="479">
      <c r="A479" s="66"/>
      <c r="B479" s="66"/>
      <c r="C479" s="66"/>
      <c r="D479" s="66"/>
      <c r="G479" s="67"/>
      <c r="S479" s="66"/>
      <c r="V479" s="67"/>
    </row>
    <row r="480">
      <c r="A480" s="66"/>
      <c r="B480" s="66"/>
      <c r="C480" s="66"/>
      <c r="D480" s="66"/>
      <c r="G480" s="67"/>
      <c r="S480" s="66"/>
      <c r="V480" s="67"/>
    </row>
    <row r="481">
      <c r="A481" s="66"/>
      <c r="B481" s="66"/>
      <c r="C481" s="66"/>
      <c r="D481" s="66"/>
      <c r="G481" s="67"/>
      <c r="S481" s="66"/>
      <c r="V481" s="67"/>
    </row>
    <row r="482">
      <c r="A482" s="66"/>
      <c r="B482" s="66"/>
      <c r="C482" s="66"/>
      <c r="D482" s="66"/>
      <c r="G482" s="67"/>
      <c r="S482" s="66"/>
      <c r="V482" s="67"/>
    </row>
    <row r="483">
      <c r="A483" s="66"/>
      <c r="B483" s="66"/>
      <c r="C483" s="66"/>
      <c r="D483" s="66"/>
      <c r="G483" s="67"/>
      <c r="S483" s="66"/>
      <c r="V483" s="67"/>
    </row>
    <row r="484">
      <c r="A484" s="66"/>
      <c r="B484" s="66"/>
      <c r="C484" s="66"/>
      <c r="D484" s="66"/>
      <c r="G484" s="67"/>
      <c r="S484" s="66"/>
      <c r="V484" s="67"/>
    </row>
    <row r="485">
      <c r="A485" s="66"/>
      <c r="B485" s="66"/>
      <c r="C485" s="66"/>
      <c r="D485" s="66"/>
      <c r="G485" s="67"/>
      <c r="S485" s="66"/>
      <c r="V485" s="67"/>
    </row>
    <row r="486">
      <c r="A486" s="66"/>
      <c r="B486" s="66"/>
      <c r="C486" s="66"/>
      <c r="D486" s="66"/>
      <c r="G486" s="67"/>
      <c r="S486" s="66"/>
      <c r="V486" s="67"/>
    </row>
    <row r="487">
      <c r="A487" s="66"/>
      <c r="B487" s="66"/>
      <c r="C487" s="66"/>
      <c r="D487" s="66"/>
      <c r="G487" s="67"/>
      <c r="S487" s="66"/>
      <c r="V487" s="67"/>
    </row>
    <row r="488">
      <c r="A488" s="66"/>
      <c r="B488" s="66"/>
      <c r="C488" s="66"/>
      <c r="D488" s="66"/>
      <c r="G488" s="67"/>
      <c r="S488" s="66"/>
      <c r="V488" s="67"/>
    </row>
    <row r="489">
      <c r="A489" s="66"/>
      <c r="B489" s="66"/>
      <c r="C489" s="66"/>
      <c r="D489" s="66"/>
      <c r="G489" s="67"/>
      <c r="S489" s="66"/>
      <c r="V489" s="67"/>
    </row>
    <row r="490">
      <c r="A490" s="66"/>
      <c r="B490" s="66"/>
      <c r="C490" s="66"/>
      <c r="D490" s="66"/>
      <c r="G490" s="67"/>
      <c r="S490" s="66"/>
      <c r="V490" s="67"/>
    </row>
    <row r="491">
      <c r="A491" s="66"/>
      <c r="B491" s="66"/>
      <c r="C491" s="66"/>
      <c r="D491" s="66"/>
      <c r="G491" s="67"/>
      <c r="S491" s="66"/>
      <c r="V491" s="67"/>
    </row>
    <row r="492">
      <c r="A492" s="66"/>
      <c r="B492" s="66"/>
      <c r="C492" s="66"/>
      <c r="D492" s="66"/>
      <c r="G492" s="67"/>
      <c r="S492" s="66"/>
      <c r="V492" s="67"/>
    </row>
    <row r="493">
      <c r="A493" s="66"/>
      <c r="B493" s="66"/>
      <c r="C493" s="66"/>
      <c r="D493" s="66"/>
      <c r="G493" s="67"/>
      <c r="S493" s="66"/>
      <c r="V493" s="67"/>
    </row>
    <row r="494">
      <c r="A494" s="66"/>
      <c r="B494" s="66"/>
      <c r="C494" s="66"/>
      <c r="D494" s="66"/>
      <c r="G494" s="67"/>
      <c r="S494" s="66"/>
      <c r="V494" s="67"/>
    </row>
    <row r="495">
      <c r="A495" s="66"/>
      <c r="B495" s="66"/>
      <c r="C495" s="66"/>
      <c r="D495" s="66"/>
      <c r="G495" s="67"/>
      <c r="S495" s="66"/>
      <c r="V495" s="67"/>
    </row>
    <row r="496">
      <c r="A496" s="66"/>
      <c r="B496" s="66"/>
      <c r="C496" s="66"/>
      <c r="D496" s="66"/>
      <c r="G496" s="67"/>
      <c r="S496" s="66"/>
      <c r="V496" s="67"/>
    </row>
    <row r="497">
      <c r="A497" s="66"/>
      <c r="B497" s="66"/>
      <c r="C497" s="66"/>
      <c r="D497" s="66"/>
      <c r="G497" s="67"/>
      <c r="S497" s="66"/>
      <c r="V497" s="67"/>
    </row>
    <row r="498">
      <c r="A498" s="66"/>
      <c r="B498" s="66"/>
      <c r="C498" s="66"/>
      <c r="D498" s="66"/>
      <c r="G498" s="67"/>
      <c r="S498" s="66"/>
      <c r="V498" s="67"/>
    </row>
    <row r="499">
      <c r="A499" s="66"/>
      <c r="B499" s="66"/>
      <c r="C499" s="66"/>
      <c r="D499" s="66"/>
      <c r="G499" s="67"/>
      <c r="S499" s="66"/>
      <c r="V499" s="67"/>
    </row>
    <row r="500">
      <c r="A500" s="66"/>
      <c r="B500" s="66"/>
      <c r="C500" s="66"/>
      <c r="D500" s="66"/>
      <c r="G500" s="67"/>
      <c r="S500" s="66"/>
      <c r="V500" s="67"/>
    </row>
    <row r="501">
      <c r="A501" s="66"/>
      <c r="B501" s="66"/>
      <c r="C501" s="66"/>
      <c r="D501" s="66"/>
      <c r="G501" s="67"/>
      <c r="S501" s="66"/>
      <c r="V501" s="67"/>
    </row>
    <row r="502">
      <c r="A502" s="66"/>
      <c r="B502" s="66"/>
      <c r="C502" s="66"/>
      <c r="D502" s="66"/>
      <c r="G502" s="67"/>
      <c r="S502" s="66"/>
      <c r="V502" s="67"/>
    </row>
    <row r="503">
      <c r="A503" s="66"/>
      <c r="B503" s="66"/>
      <c r="C503" s="66"/>
      <c r="D503" s="66"/>
      <c r="G503" s="67"/>
      <c r="S503" s="66"/>
      <c r="V503" s="67"/>
    </row>
    <row r="504">
      <c r="A504" s="66"/>
      <c r="B504" s="66"/>
      <c r="C504" s="66"/>
      <c r="D504" s="66"/>
      <c r="G504" s="67"/>
      <c r="S504" s="66"/>
      <c r="V504" s="67"/>
    </row>
    <row r="505">
      <c r="A505" s="66"/>
      <c r="B505" s="66"/>
      <c r="C505" s="66"/>
      <c r="D505" s="66"/>
      <c r="G505" s="67"/>
      <c r="S505" s="66"/>
      <c r="V505" s="67"/>
    </row>
    <row r="506">
      <c r="A506" s="66"/>
      <c r="B506" s="66"/>
      <c r="C506" s="66"/>
      <c r="D506" s="66"/>
      <c r="G506" s="67"/>
      <c r="S506" s="66"/>
      <c r="V506" s="67"/>
    </row>
    <row r="507">
      <c r="A507" s="66"/>
      <c r="B507" s="66"/>
      <c r="C507" s="66"/>
      <c r="D507" s="66"/>
      <c r="G507" s="67"/>
      <c r="S507" s="66"/>
      <c r="V507" s="67"/>
    </row>
    <row r="508">
      <c r="A508" s="66"/>
      <c r="B508" s="66"/>
      <c r="C508" s="66"/>
      <c r="D508" s="66"/>
      <c r="G508" s="67"/>
      <c r="S508" s="66"/>
      <c r="V508" s="67"/>
    </row>
    <row r="509">
      <c r="A509" s="66"/>
      <c r="B509" s="66"/>
      <c r="C509" s="66"/>
      <c r="D509" s="66"/>
      <c r="G509" s="67"/>
      <c r="S509" s="66"/>
      <c r="V509" s="67"/>
    </row>
    <row r="510">
      <c r="A510" s="66"/>
      <c r="B510" s="66"/>
      <c r="C510" s="66"/>
      <c r="D510" s="66"/>
      <c r="G510" s="67"/>
      <c r="S510" s="66"/>
      <c r="V510" s="67"/>
    </row>
    <row r="511">
      <c r="A511" s="66"/>
      <c r="B511" s="66"/>
      <c r="C511" s="66"/>
      <c r="D511" s="66"/>
      <c r="G511" s="67"/>
      <c r="S511" s="66"/>
      <c r="V511" s="67"/>
    </row>
    <row r="512">
      <c r="A512" s="66"/>
      <c r="B512" s="66"/>
      <c r="C512" s="66"/>
      <c r="D512" s="66"/>
      <c r="G512" s="67"/>
      <c r="S512" s="66"/>
      <c r="V512" s="67"/>
    </row>
    <row r="513">
      <c r="A513" s="66"/>
      <c r="B513" s="66"/>
      <c r="C513" s="66"/>
      <c r="D513" s="66"/>
      <c r="G513" s="67"/>
      <c r="S513" s="66"/>
      <c r="V513" s="67"/>
    </row>
    <row r="514">
      <c r="A514" s="66"/>
      <c r="B514" s="66"/>
      <c r="C514" s="66"/>
      <c r="D514" s="66"/>
      <c r="G514" s="67"/>
      <c r="S514" s="66"/>
      <c r="V514" s="67"/>
    </row>
    <row r="515">
      <c r="A515" s="66"/>
      <c r="B515" s="66"/>
      <c r="C515" s="66"/>
      <c r="D515" s="66"/>
      <c r="G515" s="67"/>
      <c r="S515" s="66"/>
      <c r="V515" s="67"/>
    </row>
    <row r="516">
      <c r="A516" s="66"/>
      <c r="B516" s="66"/>
      <c r="C516" s="66"/>
      <c r="D516" s="66"/>
      <c r="G516" s="67"/>
      <c r="S516" s="66"/>
      <c r="V516" s="67"/>
    </row>
    <row r="517">
      <c r="A517" s="66"/>
      <c r="B517" s="66"/>
      <c r="C517" s="66"/>
      <c r="D517" s="66"/>
      <c r="G517" s="67"/>
      <c r="S517" s="66"/>
      <c r="V517" s="67"/>
    </row>
    <row r="518">
      <c r="A518" s="66"/>
      <c r="B518" s="66"/>
      <c r="C518" s="66"/>
      <c r="D518" s="66"/>
      <c r="G518" s="67"/>
      <c r="S518" s="66"/>
      <c r="V518" s="67"/>
    </row>
    <row r="519">
      <c r="A519" s="66"/>
      <c r="B519" s="66"/>
      <c r="C519" s="66"/>
      <c r="D519" s="66"/>
      <c r="G519" s="67"/>
      <c r="S519" s="66"/>
      <c r="V519" s="67"/>
    </row>
    <row r="520">
      <c r="A520" s="66"/>
      <c r="B520" s="66"/>
      <c r="C520" s="66"/>
      <c r="D520" s="66"/>
      <c r="G520" s="67"/>
      <c r="S520" s="66"/>
      <c r="V520" s="67"/>
    </row>
    <row r="521">
      <c r="A521" s="66"/>
      <c r="B521" s="66"/>
      <c r="C521" s="66"/>
      <c r="D521" s="66"/>
      <c r="G521" s="67"/>
      <c r="S521" s="66"/>
      <c r="V521" s="67"/>
    </row>
    <row r="522">
      <c r="A522" s="66"/>
      <c r="B522" s="66"/>
      <c r="C522" s="66"/>
      <c r="D522" s="66"/>
      <c r="G522" s="67"/>
      <c r="S522" s="66"/>
      <c r="V522" s="67"/>
    </row>
    <row r="523">
      <c r="A523" s="66"/>
      <c r="B523" s="66"/>
      <c r="C523" s="66"/>
      <c r="D523" s="66"/>
      <c r="G523" s="67"/>
      <c r="S523" s="66"/>
      <c r="V523" s="67"/>
    </row>
    <row r="524">
      <c r="A524" s="66"/>
      <c r="B524" s="66"/>
      <c r="C524" s="66"/>
      <c r="D524" s="66"/>
      <c r="G524" s="67"/>
      <c r="S524" s="66"/>
      <c r="V524" s="67"/>
    </row>
    <row r="525">
      <c r="A525" s="66"/>
      <c r="B525" s="66"/>
      <c r="C525" s="66"/>
      <c r="D525" s="66"/>
      <c r="G525" s="67"/>
      <c r="S525" s="66"/>
      <c r="V525" s="67"/>
    </row>
    <row r="526">
      <c r="A526" s="66"/>
      <c r="B526" s="66"/>
      <c r="C526" s="66"/>
      <c r="D526" s="66"/>
      <c r="G526" s="67"/>
      <c r="S526" s="66"/>
      <c r="V526" s="67"/>
    </row>
    <row r="527">
      <c r="A527" s="66"/>
      <c r="B527" s="66"/>
      <c r="C527" s="66"/>
      <c r="D527" s="66"/>
      <c r="G527" s="67"/>
      <c r="S527" s="66"/>
      <c r="V527" s="67"/>
    </row>
    <row r="528">
      <c r="A528" s="66"/>
      <c r="B528" s="66"/>
      <c r="C528" s="66"/>
      <c r="D528" s="66"/>
      <c r="G528" s="67"/>
      <c r="S528" s="66"/>
      <c r="V528" s="67"/>
    </row>
    <row r="529">
      <c r="A529" s="66"/>
      <c r="B529" s="66"/>
      <c r="C529" s="66"/>
      <c r="D529" s="66"/>
      <c r="G529" s="67"/>
      <c r="S529" s="66"/>
      <c r="V529" s="67"/>
    </row>
    <row r="530">
      <c r="A530" s="66"/>
      <c r="B530" s="66"/>
      <c r="C530" s="66"/>
      <c r="D530" s="66"/>
      <c r="G530" s="67"/>
      <c r="S530" s="66"/>
      <c r="V530" s="67"/>
    </row>
    <row r="531">
      <c r="A531" s="66"/>
      <c r="B531" s="66"/>
      <c r="C531" s="66"/>
      <c r="D531" s="66"/>
      <c r="G531" s="67"/>
      <c r="S531" s="66"/>
      <c r="V531" s="67"/>
    </row>
    <row r="532">
      <c r="A532" s="66"/>
      <c r="B532" s="66"/>
      <c r="C532" s="66"/>
      <c r="D532" s="66"/>
      <c r="G532" s="67"/>
      <c r="S532" s="66"/>
      <c r="V532" s="67"/>
    </row>
    <row r="533">
      <c r="A533" s="66"/>
      <c r="B533" s="66"/>
      <c r="C533" s="66"/>
      <c r="D533" s="66"/>
      <c r="G533" s="67"/>
      <c r="S533" s="66"/>
      <c r="V533" s="67"/>
    </row>
    <row r="534">
      <c r="A534" s="66"/>
      <c r="B534" s="66"/>
      <c r="C534" s="66"/>
      <c r="D534" s="66"/>
      <c r="G534" s="67"/>
      <c r="S534" s="66"/>
      <c r="V534" s="67"/>
    </row>
    <row r="535">
      <c r="A535" s="66"/>
      <c r="B535" s="66"/>
      <c r="C535" s="66"/>
      <c r="D535" s="66"/>
      <c r="G535" s="67"/>
      <c r="S535" s="66"/>
      <c r="V535" s="67"/>
    </row>
    <row r="536">
      <c r="A536" s="66"/>
      <c r="B536" s="66"/>
      <c r="C536" s="66"/>
      <c r="D536" s="66"/>
      <c r="G536" s="67"/>
      <c r="S536" s="66"/>
      <c r="V536" s="67"/>
    </row>
    <row r="537">
      <c r="A537" s="66"/>
      <c r="B537" s="66"/>
      <c r="C537" s="66"/>
      <c r="D537" s="66"/>
      <c r="G537" s="67"/>
      <c r="S537" s="66"/>
      <c r="V537" s="67"/>
    </row>
    <row r="538">
      <c r="A538" s="66"/>
      <c r="B538" s="66"/>
      <c r="C538" s="66"/>
      <c r="D538" s="66"/>
      <c r="G538" s="67"/>
      <c r="S538" s="66"/>
      <c r="V538" s="67"/>
    </row>
    <row r="539">
      <c r="A539" s="66"/>
      <c r="B539" s="66"/>
      <c r="C539" s="66"/>
      <c r="D539" s="66"/>
      <c r="G539" s="67"/>
      <c r="S539" s="66"/>
      <c r="V539" s="67"/>
    </row>
    <row r="540">
      <c r="A540" s="66"/>
      <c r="B540" s="66"/>
      <c r="C540" s="66"/>
      <c r="D540" s="66"/>
      <c r="G540" s="67"/>
      <c r="S540" s="66"/>
      <c r="V540" s="67"/>
    </row>
    <row r="541">
      <c r="A541" s="66"/>
      <c r="B541" s="66"/>
      <c r="C541" s="66"/>
      <c r="D541" s="66"/>
      <c r="G541" s="67"/>
      <c r="S541" s="66"/>
      <c r="V541" s="67"/>
    </row>
    <row r="542">
      <c r="A542" s="66"/>
      <c r="B542" s="66"/>
      <c r="C542" s="66"/>
      <c r="D542" s="66"/>
      <c r="G542" s="67"/>
      <c r="S542" s="66"/>
      <c r="V542" s="67"/>
    </row>
    <row r="543">
      <c r="A543" s="66"/>
      <c r="B543" s="66"/>
      <c r="C543" s="66"/>
      <c r="D543" s="66"/>
      <c r="G543" s="67"/>
      <c r="S543" s="66"/>
      <c r="V543" s="67"/>
    </row>
    <row r="544">
      <c r="A544" s="66"/>
      <c r="B544" s="66"/>
      <c r="C544" s="66"/>
      <c r="D544" s="66"/>
      <c r="G544" s="67"/>
      <c r="S544" s="66"/>
      <c r="V544" s="67"/>
    </row>
    <row r="545">
      <c r="A545" s="66"/>
      <c r="B545" s="66"/>
      <c r="C545" s="66"/>
      <c r="D545" s="66"/>
      <c r="G545" s="67"/>
      <c r="S545" s="66"/>
      <c r="V545" s="67"/>
    </row>
    <row r="546">
      <c r="A546" s="66"/>
      <c r="B546" s="66"/>
      <c r="C546" s="66"/>
      <c r="D546" s="66"/>
      <c r="G546" s="67"/>
      <c r="S546" s="66"/>
      <c r="V546" s="67"/>
    </row>
    <row r="547">
      <c r="A547" s="66"/>
      <c r="B547" s="66"/>
      <c r="C547" s="66"/>
      <c r="D547" s="66"/>
      <c r="G547" s="67"/>
      <c r="S547" s="66"/>
      <c r="V547" s="67"/>
    </row>
    <row r="548">
      <c r="A548" s="66"/>
      <c r="B548" s="66"/>
      <c r="C548" s="66"/>
      <c r="D548" s="66"/>
      <c r="G548" s="67"/>
      <c r="S548" s="66"/>
      <c r="V548" s="67"/>
    </row>
    <row r="549">
      <c r="A549" s="66"/>
      <c r="B549" s="66"/>
      <c r="C549" s="66"/>
      <c r="D549" s="66"/>
      <c r="G549" s="67"/>
      <c r="S549" s="66"/>
      <c r="V549" s="67"/>
    </row>
    <row r="550">
      <c r="A550" s="66"/>
      <c r="B550" s="66"/>
      <c r="C550" s="66"/>
      <c r="D550" s="66"/>
      <c r="G550" s="67"/>
      <c r="S550" s="66"/>
      <c r="V550" s="67"/>
    </row>
    <row r="551">
      <c r="A551" s="66"/>
      <c r="B551" s="66"/>
      <c r="C551" s="66"/>
      <c r="D551" s="66"/>
      <c r="G551" s="67"/>
      <c r="S551" s="66"/>
      <c r="V551" s="67"/>
    </row>
    <row r="552">
      <c r="A552" s="66"/>
      <c r="B552" s="66"/>
      <c r="C552" s="66"/>
      <c r="D552" s="66"/>
      <c r="G552" s="67"/>
      <c r="S552" s="66"/>
      <c r="V552" s="67"/>
    </row>
    <row r="553">
      <c r="A553" s="66"/>
      <c r="B553" s="66"/>
      <c r="C553" s="66"/>
      <c r="D553" s="66"/>
      <c r="G553" s="67"/>
      <c r="S553" s="66"/>
      <c r="V553" s="67"/>
    </row>
    <row r="554">
      <c r="A554" s="66"/>
      <c r="B554" s="66"/>
      <c r="C554" s="66"/>
      <c r="D554" s="66"/>
      <c r="G554" s="67"/>
      <c r="S554" s="66"/>
      <c r="V554" s="67"/>
    </row>
    <row r="555">
      <c r="A555" s="66"/>
      <c r="B555" s="66"/>
      <c r="C555" s="66"/>
      <c r="D555" s="66"/>
      <c r="G555" s="67"/>
      <c r="S555" s="66"/>
      <c r="V555" s="67"/>
    </row>
    <row r="556">
      <c r="A556" s="66"/>
      <c r="B556" s="66"/>
      <c r="C556" s="66"/>
      <c r="D556" s="66"/>
      <c r="G556" s="67"/>
      <c r="S556" s="66"/>
      <c r="V556" s="67"/>
    </row>
    <row r="557">
      <c r="A557" s="66"/>
      <c r="B557" s="66"/>
      <c r="C557" s="66"/>
      <c r="D557" s="66"/>
      <c r="G557" s="67"/>
      <c r="S557" s="66"/>
      <c r="V557" s="67"/>
    </row>
    <row r="558">
      <c r="A558" s="66"/>
      <c r="B558" s="66"/>
      <c r="C558" s="66"/>
      <c r="D558" s="66"/>
      <c r="G558" s="67"/>
      <c r="S558" s="66"/>
      <c r="V558" s="67"/>
    </row>
    <row r="559">
      <c r="A559" s="66"/>
      <c r="B559" s="66"/>
      <c r="C559" s="66"/>
      <c r="D559" s="66"/>
      <c r="G559" s="67"/>
      <c r="S559" s="66"/>
      <c r="V559" s="67"/>
    </row>
    <row r="560">
      <c r="A560" s="66"/>
      <c r="B560" s="66"/>
      <c r="C560" s="66"/>
      <c r="D560" s="66"/>
      <c r="G560" s="67"/>
      <c r="S560" s="66"/>
      <c r="V560" s="67"/>
    </row>
    <row r="561">
      <c r="A561" s="66"/>
      <c r="B561" s="66"/>
      <c r="C561" s="66"/>
      <c r="D561" s="66"/>
      <c r="G561" s="67"/>
      <c r="S561" s="66"/>
      <c r="V561" s="67"/>
    </row>
    <row r="562">
      <c r="A562" s="66"/>
      <c r="B562" s="66"/>
      <c r="C562" s="66"/>
      <c r="D562" s="66"/>
      <c r="G562" s="67"/>
      <c r="S562" s="66"/>
      <c r="V562" s="67"/>
    </row>
    <row r="563">
      <c r="A563" s="66"/>
      <c r="B563" s="66"/>
      <c r="C563" s="66"/>
      <c r="D563" s="66"/>
      <c r="G563" s="67"/>
      <c r="S563" s="66"/>
      <c r="V563" s="67"/>
    </row>
    <row r="564">
      <c r="A564" s="66"/>
      <c r="B564" s="66"/>
      <c r="C564" s="66"/>
      <c r="D564" s="66"/>
      <c r="G564" s="67"/>
      <c r="S564" s="66"/>
      <c r="V564" s="67"/>
    </row>
    <row r="565">
      <c r="A565" s="66"/>
      <c r="B565" s="66"/>
      <c r="C565" s="66"/>
      <c r="D565" s="66"/>
      <c r="G565" s="67"/>
      <c r="S565" s="66"/>
      <c r="V565" s="67"/>
    </row>
    <row r="566">
      <c r="A566" s="66"/>
      <c r="B566" s="66"/>
      <c r="C566" s="66"/>
      <c r="D566" s="66"/>
      <c r="G566" s="67"/>
      <c r="S566" s="66"/>
      <c r="V566" s="67"/>
    </row>
    <row r="567">
      <c r="A567" s="66"/>
      <c r="B567" s="66"/>
      <c r="C567" s="66"/>
      <c r="D567" s="66"/>
      <c r="G567" s="67"/>
      <c r="S567" s="66"/>
      <c r="V567" s="67"/>
    </row>
    <row r="568">
      <c r="A568" s="66"/>
      <c r="B568" s="66"/>
      <c r="C568" s="66"/>
      <c r="D568" s="66"/>
      <c r="G568" s="67"/>
      <c r="S568" s="66"/>
      <c r="V568" s="67"/>
    </row>
    <row r="569">
      <c r="A569" s="66"/>
      <c r="B569" s="66"/>
      <c r="C569" s="66"/>
      <c r="D569" s="66"/>
      <c r="G569" s="67"/>
      <c r="S569" s="66"/>
      <c r="V569" s="67"/>
    </row>
    <row r="570">
      <c r="A570" s="66"/>
      <c r="B570" s="66"/>
      <c r="C570" s="66"/>
      <c r="D570" s="66"/>
      <c r="G570" s="67"/>
      <c r="S570" s="66"/>
      <c r="V570" s="67"/>
    </row>
    <row r="571">
      <c r="A571" s="66"/>
      <c r="B571" s="66"/>
      <c r="C571" s="66"/>
      <c r="D571" s="66"/>
      <c r="G571" s="67"/>
      <c r="S571" s="66"/>
      <c r="V571" s="67"/>
    </row>
    <row r="572">
      <c r="A572" s="66"/>
      <c r="B572" s="66"/>
      <c r="C572" s="66"/>
      <c r="D572" s="66"/>
      <c r="G572" s="67"/>
      <c r="S572" s="66"/>
      <c r="V572" s="67"/>
    </row>
    <row r="573">
      <c r="A573" s="66"/>
      <c r="B573" s="66"/>
      <c r="C573" s="66"/>
      <c r="D573" s="66"/>
      <c r="G573" s="67"/>
      <c r="S573" s="66"/>
      <c r="V573" s="67"/>
    </row>
    <row r="574">
      <c r="A574" s="66"/>
      <c r="B574" s="66"/>
      <c r="C574" s="66"/>
      <c r="D574" s="66"/>
      <c r="G574" s="67"/>
      <c r="S574" s="66"/>
      <c r="V574" s="67"/>
    </row>
    <row r="575">
      <c r="A575" s="66"/>
      <c r="B575" s="66"/>
      <c r="C575" s="66"/>
      <c r="D575" s="66"/>
      <c r="G575" s="67"/>
      <c r="S575" s="66"/>
      <c r="V575" s="67"/>
    </row>
    <row r="576">
      <c r="A576" s="66"/>
      <c r="B576" s="66"/>
      <c r="C576" s="66"/>
      <c r="D576" s="66"/>
      <c r="G576" s="67"/>
      <c r="S576" s="66"/>
      <c r="V576" s="67"/>
    </row>
    <row r="577">
      <c r="A577" s="66"/>
      <c r="B577" s="66"/>
      <c r="C577" s="66"/>
      <c r="D577" s="66"/>
      <c r="G577" s="67"/>
      <c r="S577" s="66"/>
      <c r="V577" s="67"/>
    </row>
    <row r="578">
      <c r="A578" s="66"/>
      <c r="B578" s="66"/>
      <c r="C578" s="66"/>
      <c r="D578" s="66"/>
      <c r="G578" s="67"/>
      <c r="S578" s="66"/>
      <c r="V578" s="67"/>
    </row>
    <row r="579">
      <c r="A579" s="66"/>
      <c r="B579" s="66"/>
      <c r="C579" s="66"/>
      <c r="D579" s="66"/>
      <c r="G579" s="67"/>
      <c r="S579" s="66"/>
      <c r="V579" s="67"/>
    </row>
    <row r="580">
      <c r="A580" s="66"/>
      <c r="B580" s="66"/>
      <c r="C580" s="66"/>
      <c r="D580" s="66"/>
      <c r="G580" s="67"/>
      <c r="S580" s="66"/>
      <c r="V580" s="67"/>
    </row>
    <row r="581">
      <c r="A581" s="66"/>
      <c r="B581" s="66"/>
      <c r="C581" s="66"/>
      <c r="D581" s="66"/>
      <c r="G581" s="67"/>
      <c r="S581" s="66"/>
      <c r="V581" s="67"/>
    </row>
    <row r="582">
      <c r="A582" s="66"/>
      <c r="B582" s="66"/>
      <c r="C582" s="66"/>
      <c r="D582" s="66"/>
      <c r="G582" s="67"/>
      <c r="S582" s="66"/>
      <c r="V582" s="67"/>
    </row>
    <row r="583">
      <c r="A583" s="66"/>
      <c r="B583" s="66"/>
      <c r="C583" s="66"/>
      <c r="D583" s="66"/>
      <c r="G583" s="67"/>
      <c r="S583" s="66"/>
      <c r="V583" s="67"/>
    </row>
    <row r="584">
      <c r="A584" s="66"/>
      <c r="B584" s="66"/>
      <c r="C584" s="66"/>
      <c r="D584" s="66"/>
      <c r="G584" s="67"/>
      <c r="S584" s="66"/>
      <c r="V584" s="67"/>
    </row>
    <row r="585">
      <c r="A585" s="66"/>
      <c r="B585" s="66"/>
      <c r="C585" s="66"/>
      <c r="D585" s="66"/>
      <c r="G585" s="67"/>
      <c r="S585" s="66"/>
      <c r="V585" s="67"/>
    </row>
    <row r="586">
      <c r="A586" s="66"/>
      <c r="B586" s="66"/>
      <c r="C586" s="66"/>
      <c r="D586" s="66"/>
      <c r="G586" s="67"/>
      <c r="S586" s="66"/>
      <c r="V586" s="67"/>
    </row>
    <row r="587">
      <c r="A587" s="66"/>
      <c r="B587" s="66"/>
      <c r="C587" s="66"/>
      <c r="D587" s="66"/>
      <c r="G587" s="67"/>
      <c r="S587" s="66"/>
      <c r="V587" s="67"/>
    </row>
    <row r="588">
      <c r="A588" s="66"/>
      <c r="B588" s="66"/>
      <c r="C588" s="66"/>
      <c r="D588" s="66"/>
      <c r="G588" s="67"/>
      <c r="S588" s="66"/>
      <c r="V588" s="67"/>
    </row>
    <row r="589">
      <c r="A589" s="66"/>
      <c r="B589" s="66"/>
      <c r="C589" s="66"/>
      <c r="D589" s="66"/>
      <c r="G589" s="67"/>
      <c r="S589" s="66"/>
      <c r="V589" s="67"/>
    </row>
    <row r="590">
      <c r="A590" s="66"/>
      <c r="B590" s="66"/>
      <c r="C590" s="66"/>
      <c r="D590" s="66"/>
      <c r="G590" s="67"/>
      <c r="S590" s="66"/>
      <c r="V590" s="67"/>
    </row>
    <row r="591">
      <c r="A591" s="66"/>
      <c r="B591" s="66"/>
      <c r="C591" s="66"/>
      <c r="D591" s="66"/>
      <c r="G591" s="67"/>
      <c r="S591" s="66"/>
      <c r="V591" s="67"/>
    </row>
    <row r="592">
      <c r="A592" s="66"/>
      <c r="B592" s="66"/>
      <c r="C592" s="66"/>
      <c r="D592" s="66"/>
      <c r="G592" s="67"/>
      <c r="S592" s="66"/>
      <c r="V592" s="67"/>
    </row>
    <row r="593">
      <c r="A593" s="66"/>
      <c r="B593" s="66"/>
      <c r="C593" s="66"/>
      <c r="D593" s="66"/>
      <c r="G593" s="67"/>
      <c r="S593" s="66"/>
      <c r="V593" s="67"/>
    </row>
    <row r="594">
      <c r="A594" s="66"/>
      <c r="B594" s="66"/>
      <c r="C594" s="66"/>
      <c r="D594" s="66"/>
      <c r="G594" s="67"/>
      <c r="S594" s="66"/>
      <c r="V594" s="67"/>
    </row>
    <row r="595">
      <c r="A595" s="66"/>
      <c r="B595" s="66"/>
      <c r="C595" s="66"/>
      <c r="D595" s="66"/>
      <c r="G595" s="67"/>
      <c r="S595" s="66"/>
      <c r="V595" s="67"/>
    </row>
    <row r="596">
      <c r="A596" s="66"/>
      <c r="B596" s="66"/>
      <c r="C596" s="66"/>
      <c r="D596" s="66"/>
      <c r="G596" s="67"/>
      <c r="S596" s="66"/>
      <c r="V596" s="67"/>
    </row>
    <row r="597">
      <c r="A597" s="66"/>
      <c r="B597" s="66"/>
      <c r="C597" s="66"/>
      <c r="D597" s="66"/>
      <c r="G597" s="67"/>
      <c r="S597" s="66"/>
      <c r="V597" s="67"/>
    </row>
    <row r="598">
      <c r="A598" s="66"/>
      <c r="B598" s="66"/>
      <c r="C598" s="66"/>
      <c r="D598" s="66"/>
      <c r="G598" s="67"/>
      <c r="S598" s="66"/>
      <c r="V598" s="67"/>
    </row>
    <row r="599">
      <c r="A599" s="66"/>
      <c r="B599" s="66"/>
      <c r="C599" s="66"/>
      <c r="D599" s="66"/>
      <c r="G599" s="67"/>
      <c r="S599" s="66"/>
      <c r="V599" s="67"/>
    </row>
    <row r="600">
      <c r="A600" s="66"/>
      <c r="B600" s="66"/>
      <c r="C600" s="66"/>
      <c r="D600" s="66"/>
      <c r="G600" s="67"/>
      <c r="S600" s="66"/>
      <c r="V600" s="67"/>
    </row>
    <row r="601">
      <c r="A601" s="66"/>
      <c r="B601" s="66"/>
      <c r="C601" s="66"/>
      <c r="D601" s="66"/>
      <c r="G601" s="67"/>
      <c r="S601" s="66"/>
      <c r="V601" s="67"/>
    </row>
    <row r="602">
      <c r="A602" s="66"/>
      <c r="B602" s="66"/>
      <c r="C602" s="66"/>
      <c r="D602" s="66"/>
      <c r="G602" s="67"/>
      <c r="S602" s="66"/>
      <c r="V602" s="67"/>
    </row>
    <row r="603">
      <c r="A603" s="66"/>
      <c r="B603" s="66"/>
      <c r="C603" s="66"/>
      <c r="D603" s="66"/>
      <c r="G603" s="67"/>
      <c r="S603" s="66"/>
      <c r="V603" s="67"/>
    </row>
    <row r="604">
      <c r="A604" s="66"/>
      <c r="B604" s="66"/>
      <c r="C604" s="66"/>
      <c r="D604" s="66"/>
      <c r="G604" s="67"/>
      <c r="S604" s="66"/>
      <c r="V604" s="67"/>
    </row>
    <row r="605">
      <c r="A605" s="66"/>
      <c r="B605" s="66"/>
      <c r="C605" s="66"/>
      <c r="D605" s="66"/>
      <c r="G605" s="67"/>
      <c r="S605" s="66"/>
      <c r="V605" s="67"/>
    </row>
    <row r="606">
      <c r="A606" s="66"/>
      <c r="B606" s="66"/>
      <c r="C606" s="66"/>
      <c r="D606" s="66"/>
      <c r="G606" s="67"/>
      <c r="S606" s="66"/>
      <c r="V606" s="67"/>
    </row>
    <row r="607">
      <c r="A607" s="66"/>
      <c r="B607" s="66"/>
      <c r="C607" s="66"/>
      <c r="D607" s="66"/>
      <c r="G607" s="67"/>
      <c r="S607" s="66"/>
      <c r="V607" s="67"/>
    </row>
    <row r="608">
      <c r="A608" s="66"/>
      <c r="B608" s="66"/>
      <c r="C608" s="66"/>
      <c r="D608" s="66"/>
      <c r="G608" s="67"/>
      <c r="S608" s="66"/>
      <c r="V608" s="67"/>
    </row>
    <row r="609">
      <c r="A609" s="66"/>
      <c r="B609" s="66"/>
      <c r="C609" s="66"/>
      <c r="D609" s="66"/>
      <c r="G609" s="67"/>
      <c r="S609" s="66"/>
      <c r="V609" s="67"/>
    </row>
    <row r="610">
      <c r="A610" s="66"/>
      <c r="B610" s="66"/>
      <c r="C610" s="66"/>
      <c r="D610" s="66"/>
      <c r="G610" s="67"/>
      <c r="S610" s="66"/>
      <c r="V610" s="67"/>
    </row>
    <row r="611">
      <c r="A611" s="66"/>
      <c r="B611" s="66"/>
      <c r="C611" s="66"/>
      <c r="D611" s="66"/>
      <c r="G611" s="67"/>
      <c r="S611" s="66"/>
      <c r="V611" s="67"/>
    </row>
    <row r="612">
      <c r="A612" s="66"/>
      <c r="B612" s="66"/>
      <c r="C612" s="66"/>
      <c r="D612" s="66"/>
      <c r="G612" s="67"/>
      <c r="S612" s="66"/>
      <c r="V612" s="67"/>
    </row>
    <row r="613">
      <c r="A613" s="66"/>
      <c r="B613" s="66"/>
      <c r="C613" s="66"/>
      <c r="D613" s="66"/>
      <c r="G613" s="67"/>
      <c r="S613" s="66"/>
      <c r="V613" s="67"/>
    </row>
    <row r="614">
      <c r="A614" s="66"/>
      <c r="B614" s="66"/>
      <c r="C614" s="66"/>
      <c r="D614" s="66"/>
      <c r="G614" s="67"/>
      <c r="S614" s="66"/>
      <c r="V614" s="67"/>
    </row>
    <row r="615">
      <c r="A615" s="66"/>
      <c r="B615" s="66"/>
      <c r="C615" s="66"/>
      <c r="D615" s="66"/>
      <c r="G615" s="67"/>
      <c r="S615" s="66"/>
      <c r="V615" s="67"/>
    </row>
    <row r="616">
      <c r="A616" s="66"/>
      <c r="B616" s="66"/>
      <c r="C616" s="66"/>
      <c r="D616" s="66"/>
      <c r="G616" s="67"/>
      <c r="S616" s="66"/>
      <c r="V616" s="67"/>
    </row>
    <row r="617">
      <c r="A617" s="66"/>
      <c r="B617" s="66"/>
      <c r="C617" s="66"/>
      <c r="D617" s="66"/>
      <c r="G617" s="67"/>
      <c r="S617" s="66"/>
      <c r="V617" s="67"/>
    </row>
    <row r="618">
      <c r="A618" s="66"/>
      <c r="B618" s="66"/>
      <c r="C618" s="66"/>
      <c r="D618" s="66"/>
      <c r="G618" s="67"/>
      <c r="S618" s="66"/>
      <c r="V618" s="67"/>
    </row>
    <row r="619">
      <c r="A619" s="66"/>
      <c r="B619" s="66"/>
      <c r="C619" s="66"/>
      <c r="D619" s="66"/>
      <c r="G619" s="67"/>
      <c r="S619" s="66"/>
      <c r="V619" s="67"/>
    </row>
    <row r="620">
      <c r="A620" s="66"/>
      <c r="B620" s="66"/>
      <c r="C620" s="66"/>
      <c r="D620" s="66"/>
      <c r="G620" s="67"/>
      <c r="S620" s="66"/>
      <c r="V620" s="67"/>
    </row>
    <row r="621">
      <c r="A621" s="66"/>
      <c r="B621" s="66"/>
      <c r="C621" s="66"/>
      <c r="D621" s="66"/>
      <c r="G621" s="67"/>
      <c r="S621" s="66"/>
      <c r="V621" s="67"/>
    </row>
    <row r="622">
      <c r="A622" s="66"/>
      <c r="B622" s="66"/>
      <c r="C622" s="66"/>
      <c r="D622" s="66"/>
      <c r="G622" s="67"/>
      <c r="S622" s="66"/>
      <c r="V622" s="67"/>
    </row>
    <row r="623">
      <c r="A623" s="66"/>
      <c r="B623" s="66"/>
      <c r="C623" s="66"/>
      <c r="D623" s="66"/>
      <c r="G623" s="67"/>
      <c r="S623" s="66"/>
      <c r="V623" s="67"/>
    </row>
    <row r="624">
      <c r="A624" s="66"/>
      <c r="B624" s="66"/>
      <c r="C624" s="66"/>
      <c r="D624" s="66"/>
      <c r="G624" s="67"/>
      <c r="S624" s="66"/>
      <c r="V624" s="67"/>
    </row>
    <row r="625">
      <c r="A625" s="66"/>
      <c r="B625" s="66"/>
      <c r="C625" s="66"/>
      <c r="D625" s="66"/>
      <c r="G625" s="67"/>
      <c r="S625" s="66"/>
      <c r="V625" s="67"/>
    </row>
    <row r="626">
      <c r="A626" s="66"/>
      <c r="B626" s="66"/>
      <c r="C626" s="66"/>
      <c r="D626" s="66"/>
      <c r="G626" s="67"/>
      <c r="S626" s="66"/>
      <c r="V626" s="67"/>
    </row>
    <row r="627">
      <c r="A627" s="66"/>
      <c r="B627" s="66"/>
      <c r="C627" s="66"/>
      <c r="D627" s="66"/>
      <c r="G627" s="67"/>
      <c r="S627" s="66"/>
      <c r="V627" s="67"/>
    </row>
    <row r="628">
      <c r="A628" s="66"/>
      <c r="B628" s="66"/>
      <c r="C628" s="66"/>
      <c r="D628" s="66"/>
      <c r="G628" s="67"/>
      <c r="S628" s="66"/>
      <c r="V628" s="67"/>
    </row>
    <row r="629">
      <c r="A629" s="66"/>
      <c r="B629" s="66"/>
      <c r="C629" s="66"/>
      <c r="D629" s="66"/>
      <c r="G629" s="67"/>
      <c r="S629" s="66"/>
      <c r="V629" s="67"/>
    </row>
    <row r="630">
      <c r="A630" s="66"/>
      <c r="B630" s="66"/>
      <c r="C630" s="66"/>
      <c r="D630" s="66"/>
      <c r="G630" s="67"/>
      <c r="S630" s="66"/>
      <c r="V630" s="67"/>
    </row>
    <row r="631">
      <c r="A631" s="66"/>
      <c r="B631" s="66"/>
      <c r="C631" s="66"/>
      <c r="D631" s="66"/>
      <c r="G631" s="67"/>
      <c r="S631" s="66"/>
      <c r="V631" s="67"/>
    </row>
    <row r="632">
      <c r="A632" s="66"/>
      <c r="B632" s="66"/>
      <c r="C632" s="66"/>
      <c r="D632" s="66"/>
      <c r="G632" s="67"/>
      <c r="S632" s="66"/>
      <c r="V632" s="67"/>
    </row>
    <row r="633">
      <c r="A633" s="66"/>
      <c r="B633" s="66"/>
      <c r="C633" s="66"/>
      <c r="D633" s="66"/>
      <c r="G633" s="67"/>
      <c r="S633" s="66"/>
      <c r="V633" s="67"/>
    </row>
    <row r="634">
      <c r="A634" s="66"/>
      <c r="B634" s="66"/>
      <c r="C634" s="66"/>
      <c r="D634" s="66"/>
      <c r="G634" s="67"/>
      <c r="S634" s="66"/>
      <c r="V634" s="67"/>
    </row>
    <row r="635">
      <c r="A635" s="66"/>
      <c r="B635" s="66"/>
      <c r="C635" s="66"/>
      <c r="D635" s="66"/>
      <c r="G635" s="67"/>
      <c r="S635" s="66"/>
      <c r="V635" s="67"/>
    </row>
    <row r="636">
      <c r="A636" s="66"/>
      <c r="B636" s="66"/>
      <c r="C636" s="66"/>
      <c r="D636" s="66"/>
      <c r="G636" s="67"/>
      <c r="S636" s="66"/>
      <c r="V636" s="67"/>
    </row>
    <row r="637">
      <c r="A637" s="66"/>
      <c r="B637" s="66"/>
      <c r="C637" s="66"/>
      <c r="D637" s="66"/>
      <c r="G637" s="67"/>
      <c r="S637" s="66"/>
      <c r="V637" s="67"/>
    </row>
    <row r="638">
      <c r="A638" s="66"/>
      <c r="B638" s="66"/>
      <c r="C638" s="66"/>
      <c r="D638" s="66"/>
      <c r="G638" s="67"/>
      <c r="S638" s="66"/>
      <c r="V638" s="67"/>
    </row>
    <row r="639">
      <c r="A639" s="66"/>
      <c r="B639" s="66"/>
      <c r="C639" s="66"/>
      <c r="D639" s="66"/>
      <c r="G639" s="67"/>
      <c r="S639" s="66"/>
      <c r="V639" s="67"/>
    </row>
    <row r="640">
      <c r="A640" s="66"/>
      <c r="B640" s="66"/>
      <c r="C640" s="66"/>
      <c r="D640" s="66"/>
      <c r="G640" s="67"/>
      <c r="S640" s="66"/>
      <c r="V640" s="67"/>
    </row>
    <row r="641">
      <c r="A641" s="66"/>
      <c r="B641" s="66"/>
      <c r="C641" s="66"/>
      <c r="D641" s="66"/>
      <c r="G641" s="67"/>
      <c r="S641" s="66"/>
      <c r="V641" s="67"/>
    </row>
    <row r="642">
      <c r="A642" s="66"/>
      <c r="B642" s="66"/>
      <c r="C642" s="66"/>
      <c r="D642" s="66"/>
      <c r="G642" s="67"/>
      <c r="S642" s="66"/>
      <c r="V642" s="67"/>
    </row>
    <row r="643">
      <c r="A643" s="66"/>
      <c r="B643" s="66"/>
      <c r="C643" s="66"/>
      <c r="D643" s="66"/>
      <c r="G643" s="67"/>
      <c r="S643" s="66"/>
      <c r="V643" s="67"/>
    </row>
    <row r="644">
      <c r="A644" s="66"/>
      <c r="B644" s="66"/>
      <c r="C644" s="66"/>
      <c r="D644" s="66"/>
      <c r="G644" s="67"/>
      <c r="S644" s="66"/>
      <c r="V644" s="67"/>
    </row>
    <row r="645">
      <c r="A645" s="66"/>
      <c r="B645" s="66"/>
      <c r="C645" s="66"/>
      <c r="D645" s="66"/>
      <c r="G645" s="67"/>
      <c r="S645" s="66"/>
      <c r="V645" s="67"/>
    </row>
    <row r="646">
      <c r="A646" s="66"/>
      <c r="B646" s="66"/>
      <c r="C646" s="66"/>
      <c r="D646" s="66"/>
      <c r="G646" s="67"/>
      <c r="S646" s="66"/>
      <c r="V646" s="67"/>
    </row>
    <row r="647">
      <c r="A647" s="66"/>
      <c r="B647" s="66"/>
      <c r="C647" s="66"/>
      <c r="D647" s="66"/>
      <c r="G647" s="67"/>
      <c r="S647" s="66"/>
      <c r="V647" s="67"/>
    </row>
    <row r="648">
      <c r="A648" s="66"/>
      <c r="B648" s="66"/>
      <c r="C648" s="66"/>
      <c r="D648" s="66"/>
      <c r="G648" s="67"/>
      <c r="S648" s="66"/>
      <c r="V648" s="67"/>
    </row>
    <row r="649">
      <c r="A649" s="66"/>
      <c r="B649" s="66"/>
      <c r="C649" s="66"/>
      <c r="D649" s="66"/>
      <c r="G649" s="67"/>
      <c r="S649" s="66"/>
      <c r="V649" s="67"/>
    </row>
    <row r="650">
      <c r="A650" s="66"/>
      <c r="B650" s="66"/>
      <c r="C650" s="66"/>
      <c r="D650" s="66"/>
      <c r="G650" s="67"/>
      <c r="S650" s="66"/>
      <c r="V650" s="67"/>
    </row>
    <row r="651">
      <c r="A651" s="66"/>
      <c r="B651" s="66"/>
      <c r="C651" s="66"/>
      <c r="D651" s="66"/>
      <c r="G651" s="67"/>
      <c r="S651" s="66"/>
      <c r="V651" s="67"/>
    </row>
    <row r="652">
      <c r="A652" s="66"/>
      <c r="B652" s="66"/>
      <c r="C652" s="66"/>
      <c r="D652" s="66"/>
      <c r="G652" s="67"/>
      <c r="S652" s="66"/>
      <c r="V652" s="67"/>
    </row>
    <row r="653">
      <c r="A653" s="66"/>
      <c r="B653" s="66"/>
      <c r="C653" s="66"/>
      <c r="D653" s="66"/>
      <c r="G653" s="67"/>
      <c r="S653" s="66"/>
      <c r="V653" s="67"/>
    </row>
    <row r="654">
      <c r="A654" s="66"/>
      <c r="B654" s="66"/>
      <c r="C654" s="66"/>
      <c r="D654" s="66"/>
      <c r="G654" s="67"/>
      <c r="S654" s="66"/>
      <c r="V654" s="67"/>
    </row>
    <row r="655">
      <c r="A655" s="66"/>
      <c r="B655" s="66"/>
      <c r="C655" s="66"/>
      <c r="D655" s="66"/>
      <c r="G655" s="67"/>
      <c r="S655" s="66"/>
      <c r="V655" s="67"/>
    </row>
    <row r="656">
      <c r="A656" s="66"/>
      <c r="B656" s="66"/>
      <c r="C656" s="66"/>
      <c r="D656" s="66"/>
      <c r="G656" s="67"/>
      <c r="S656" s="66"/>
      <c r="V656" s="67"/>
    </row>
    <row r="657">
      <c r="A657" s="66"/>
      <c r="B657" s="66"/>
      <c r="C657" s="66"/>
      <c r="D657" s="66"/>
      <c r="G657" s="67"/>
      <c r="S657" s="66"/>
      <c r="V657" s="67"/>
    </row>
    <row r="658">
      <c r="A658" s="66"/>
      <c r="B658" s="66"/>
      <c r="C658" s="66"/>
      <c r="D658" s="66"/>
      <c r="G658" s="67"/>
      <c r="S658" s="66"/>
      <c r="V658" s="67"/>
    </row>
    <row r="659">
      <c r="A659" s="66"/>
      <c r="B659" s="66"/>
      <c r="C659" s="66"/>
      <c r="D659" s="66"/>
      <c r="G659" s="67"/>
      <c r="S659" s="66"/>
      <c r="V659" s="67"/>
    </row>
    <row r="660">
      <c r="A660" s="66"/>
      <c r="B660" s="66"/>
      <c r="C660" s="66"/>
      <c r="D660" s="66"/>
      <c r="G660" s="67"/>
      <c r="S660" s="66"/>
      <c r="V660" s="67"/>
    </row>
    <row r="661">
      <c r="A661" s="66"/>
      <c r="B661" s="66"/>
      <c r="C661" s="66"/>
      <c r="D661" s="66"/>
      <c r="G661" s="67"/>
      <c r="S661" s="66"/>
      <c r="V661" s="67"/>
    </row>
    <row r="662">
      <c r="A662" s="66"/>
      <c r="B662" s="66"/>
      <c r="C662" s="66"/>
      <c r="D662" s="66"/>
      <c r="G662" s="67"/>
      <c r="S662" s="66"/>
      <c r="V662" s="67"/>
    </row>
    <row r="663">
      <c r="A663" s="66"/>
      <c r="B663" s="66"/>
      <c r="C663" s="66"/>
      <c r="D663" s="66"/>
      <c r="G663" s="67"/>
      <c r="S663" s="66"/>
      <c r="V663" s="67"/>
    </row>
    <row r="664">
      <c r="A664" s="66"/>
      <c r="B664" s="66"/>
      <c r="C664" s="66"/>
      <c r="D664" s="66"/>
      <c r="G664" s="67"/>
      <c r="S664" s="66"/>
      <c r="V664" s="67"/>
    </row>
    <row r="665">
      <c r="A665" s="66"/>
      <c r="B665" s="66"/>
      <c r="C665" s="66"/>
      <c r="D665" s="66"/>
      <c r="G665" s="67"/>
      <c r="S665" s="66"/>
      <c r="V665" s="67"/>
    </row>
    <row r="666">
      <c r="A666" s="66"/>
      <c r="B666" s="66"/>
      <c r="C666" s="66"/>
      <c r="D666" s="66"/>
      <c r="G666" s="67"/>
      <c r="S666" s="66"/>
      <c r="V666" s="67"/>
    </row>
    <row r="667">
      <c r="A667" s="66"/>
      <c r="B667" s="66"/>
      <c r="C667" s="66"/>
      <c r="D667" s="66"/>
      <c r="G667" s="67"/>
      <c r="S667" s="66"/>
      <c r="V667" s="67"/>
    </row>
    <row r="668">
      <c r="A668" s="66"/>
      <c r="B668" s="66"/>
      <c r="C668" s="66"/>
      <c r="D668" s="66"/>
      <c r="G668" s="67"/>
      <c r="S668" s="66"/>
      <c r="V668" s="67"/>
    </row>
    <row r="669">
      <c r="A669" s="66"/>
      <c r="B669" s="66"/>
      <c r="C669" s="66"/>
      <c r="D669" s="66"/>
      <c r="G669" s="67"/>
      <c r="S669" s="66"/>
      <c r="V669" s="67"/>
    </row>
    <row r="670">
      <c r="A670" s="66"/>
      <c r="B670" s="66"/>
      <c r="C670" s="66"/>
      <c r="D670" s="66"/>
      <c r="G670" s="67"/>
      <c r="S670" s="66"/>
      <c r="V670" s="67"/>
    </row>
    <row r="671">
      <c r="A671" s="66"/>
      <c r="B671" s="66"/>
      <c r="C671" s="66"/>
      <c r="D671" s="66"/>
      <c r="G671" s="67"/>
      <c r="S671" s="66"/>
      <c r="V671" s="67"/>
    </row>
    <row r="672">
      <c r="A672" s="66"/>
      <c r="B672" s="66"/>
      <c r="C672" s="66"/>
      <c r="D672" s="66"/>
      <c r="G672" s="67"/>
      <c r="S672" s="66"/>
      <c r="V672" s="67"/>
    </row>
    <row r="673">
      <c r="A673" s="66"/>
      <c r="B673" s="66"/>
      <c r="C673" s="66"/>
      <c r="D673" s="66"/>
      <c r="G673" s="67"/>
      <c r="S673" s="66"/>
      <c r="V673" s="67"/>
    </row>
    <row r="674">
      <c r="A674" s="66"/>
      <c r="B674" s="66"/>
      <c r="C674" s="66"/>
      <c r="D674" s="66"/>
      <c r="G674" s="67"/>
      <c r="S674" s="66"/>
      <c r="V674" s="67"/>
    </row>
    <row r="675">
      <c r="A675" s="66"/>
      <c r="B675" s="66"/>
      <c r="C675" s="66"/>
      <c r="D675" s="66"/>
      <c r="G675" s="67"/>
      <c r="S675" s="66"/>
      <c r="V675" s="67"/>
    </row>
    <row r="676">
      <c r="A676" s="66"/>
      <c r="B676" s="66"/>
      <c r="C676" s="66"/>
      <c r="D676" s="66"/>
      <c r="G676" s="67"/>
      <c r="S676" s="66"/>
      <c r="V676" s="67"/>
    </row>
    <row r="677">
      <c r="A677" s="66"/>
      <c r="B677" s="66"/>
      <c r="C677" s="66"/>
      <c r="D677" s="66"/>
      <c r="G677" s="67"/>
      <c r="S677" s="66"/>
      <c r="V677" s="67"/>
    </row>
    <row r="678">
      <c r="A678" s="66"/>
      <c r="B678" s="66"/>
      <c r="C678" s="66"/>
      <c r="D678" s="66"/>
      <c r="G678" s="67"/>
      <c r="S678" s="66"/>
      <c r="V678" s="67"/>
    </row>
    <row r="679">
      <c r="A679" s="66"/>
      <c r="B679" s="66"/>
      <c r="C679" s="66"/>
      <c r="D679" s="66"/>
      <c r="G679" s="67"/>
      <c r="S679" s="66"/>
      <c r="V679" s="67"/>
    </row>
    <row r="680">
      <c r="A680" s="66"/>
      <c r="B680" s="66"/>
      <c r="C680" s="66"/>
      <c r="D680" s="66"/>
      <c r="G680" s="67"/>
      <c r="S680" s="66"/>
      <c r="V680" s="67"/>
    </row>
    <row r="681">
      <c r="A681" s="66"/>
      <c r="B681" s="66"/>
      <c r="C681" s="66"/>
      <c r="D681" s="66"/>
      <c r="G681" s="67"/>
      <c r="S681" s="66"/>
      <c r="V681" s="67"/>
    </row>
    <row r="682">
      <c r="A682" s="66"/>
      <c r="B682" s="66"/>
      <c r="C682" s="66"/>
      <c r="D682" s="66"/>
      <c r="G682" s="67"/>
      <c r="S682" s="66"/>
      <c r="V682" s="67"/>
    </row>
    <row r="683">
      <c r="A683" s="66"/>
      <c r="B683" s="66"/>
      <c r="C683" s="66"/>
      <c r="D683" s="66"/>
      <c r="G683" s="67"/>
      <c r="S683" s="66"/>
      <c r="V683" s="67"/>
    </row>
    <row r="684">
      <c r="A684" s="66"/>
      <c r="B684" s="66"/>
      <c r="C684" s="66"/>
      <c r="D684" s="66"/>
      <c r="G684" s="67"/>
      <c r="S684" s="66"/>
      <c r="V684" s="67"/>
    </row>
    <row r="685">
      <c r="A685" s="66"/>
      <c r="B685" s="66"/>
      <c r="C685" s="66"/>
      <c r="D685" s="66"/>
      <c r="G685" s="67"/>
      <c r="S685" s="66"/>
      <c r="V685" s="67"/>
    </row>
    <row r="686">
      <c r="A686" s="66"/>
      <c r="B686" s="66"/>
      <c r="C686" s="66"/>
      <c r="D686" s="66"/>
      <c r="G686" s="67"/>
      <c r="S686" s="66"/>
      <c r="V686" s="67"/>
    </row>
    <row r="687">
      <c r="A687" s="66"/>
      <c r="B687" s="66"/>
      <c r="C687" s="66"/>
      <c r="D687" s="66"/>
      <c r="G687" s="67"/>
      <c r="S687" s="66"/>
      <c r="V687" s="67"/>
    </row>
    <row r="688">
      <c r="A688" s="66"/>
      <c r="B688" s="66"/>
      <c r="C688" s="66"/>
      <c r="D688" s="66"/>
      <c r="G688" s="67"/>
      <c r="S688" s="66"/>
      <c r="V688" s="67"/>
    </row>
    <row r="689">
      <c r="A689" s="66"/>
      <c r="B689" s="66"/>
      <c r="C689" s="66"/>
      <c r="D689" s="66"/>
      <c r="G689" s="67"/>
      <c r="S689" s="66"/>
      <c r="V689" s="67"/>
    </row>
    <row r="690">
      <c r="A690" s="66"/>
      <c r="B690" s="66"/>
      <c r="C690" s="66"/>
      <c r="D690" s="66"/>
      <c r="G690" s="67"/>
      <c r="S690" s="66"/>
      <c r="V690" s="67"/>
    </row>
    <row r="691">
      <c r="A691" s="66"/>
      <c r="B691" s="66"/>
      <c r="C691" s="66"/>
      <c r="D691" s="66"/>
      <c r="G691" s="67"/>
      <c r="S691" s="66"/>
      <c r="V691" s="67"/>
    </row>
    <row r="692">
      <c r="A692" s="66"/>
      <c r="B692" s="66"/>
      <c r="C692" s="66"/>
      <c r="D692" s="66"/>
      <c r="G692" s="67"/>
      <c r="S692" s="66"/>
      <c r="V692" s="67"/>
    </row>
    <row r="693">
      <c r="A693" s="66"/>
      <c r="B693" s="66"/>
      <c r="C693" s="66"/>
      <c r="D693" s="66"/>
      <c r="G693" s="67"/>
      <c r="S693" s="66"/>
      <c r="V693" s="67"/>
    </row>
    <row r="694">
      <c r="A694" s="66"/>
      <c r="B694" s="66"/>
      <c r="C694" s="66"/>
      <c r="D694" s="66"/>
      <c r="G694" s="67"/>
      <c r="S694" s="66"/>
      <c r="V694" s="67"/>
    </row>
    <row r="695">
      <c r="A695" s="66"/>
      <c r="B695" s="66"/>
      <c r="C695" s="66"/>
      <c r="D695" s="66"/>
      <c r="G695" s="67"/>
      <c r="S695" s="66"/>
      <c r="V695" s="67"/>
    </row>
    <row r="696">
      <c r="A696" s="66"/>
      <c r="B696" s="66"/>
      <c r="C696" s="66"/>
      <c r="D696" s="66"/>
      <c r="G696" s="67"/>
      <c r="S696" s="66"/>
      <c r="V696" s="67"/>
    </row>
    <row r="697">
      <c r="A697" s="66"/>
      <c r="B697" s="66"/>
      <c r="C697" s="66"/>
      <c r="D697" s="66"/>
      <c r="G697" s="67"/>
      <c r="S697" s="66"/>
      <c r="V697" s="67"/>
    </row>
    <row r="698">
      <c r="A698" s="66"/>
      <c r="B698" s="66"/>
      <c r="C698" s="66"/>
      <c r="D698" s="66"/>
      <c r="G698" s="67"/>
      <c r="S698" s="66"/>
      <c r="V698" s="67"/>
    </row>
    <row r="699">
      <c r="A699" s="66"/>
      <c r="B699" s="66"/>
      <c r="C699" s="66"/>
      <c r="D699" s="66"/>
      <c r="G699" s="67"/>
      <c r="S699" s="66"/>
      <c r="V699" s="67"/>
    </row>
    <row r="700">
      <c r="A700" s="66"/>
      <c r="B700" s="66"/>
      <c r="C700" s="66"/>
      <c r="D700" s="66"/>
      <c r="G700" s="67"/>
      <c r="S700" s="66"/>
      <c r="V700" s="67"/>
    </row>
    <row r="701">
      <c r="A701" s="66"/>
      <c r="B701" s="66"/>
      <c r="C701" s="66"/>
      <c r="D701" s="66"/>
      <c r="G701" s="67"/>
      <c r="S701" s="66"/>
      <c r="V701" s="67"/>
    </row>
    <row r="702">
      <c r="A702" s="66"/>
      <c r="B702" s="66"/>
      <c r="C702" s="66"/>
      <c r="D702" s="66"/>
      <c r="G702" s="67"/>
      <c r="S702" s="66"/>
      <c r="V702" s="67"/>
    </row>
    <row r="703">
      <c r="A703" s="66"/>
      <c r="B703" s="66"/>
      <c r="C703" s="66"/>
      <c r="D703" s="66"/>
      <c r="G703" s="67"/>
      <c r="S703" s="66"/>
      <c r="V703" s="67"/>
    </row>
    <row r="704">
      <c r="A704" s="66"/>
      <c r="B704" s="66"/>
      <c r="C704" s="66"/>
      <c r="D704" s="66"/>
      <c r="G704" s="67"/>
      <c r="S704" s="66"/>
      <c r="V704" s="67"/>
    </row>
    <row r="705">
      <c r="A705" s="66"/>
      <c r="B705" s="66"/>
      <c r="C705" s="66"/>
      <c r="D705" s="66"/>
      <c r="G705" s="67"/>
      <c r="S705" s="66"/>
      <c r="V705" s="67"/>
    </row>
    <row r="706">
      <c r="A706" s="66"/>
      <c r="B706" s="66"/>
      <c r="C706" s="66"/>
      <c r="D706" s="66"/>
      <c r="G706" s="67"/>
      <c r="S706" s="66"/>
      <c r="V706" s="67"/>
    </row>
    <row r="707">
      <c r="A707" s="66"/>
      <c r="B707" s="66"/>
      <c r="C707" s="66"/>
      <c r="D707" s="66"/>
      <c r="G707" s="67"/>
      <c r="S707" s="66"/>
      <c r="V707" s="67"/>
    </row>
    <row r="708">
      <c r="A708" s="66"/>
      <c r="B708" s="66"/>
      <c r="C708" s="66"/>
      <c r="D708" s="66"/>
      <c r="G708" s="67"/>
      <c r="S708" s="66"/>
      <c r="V708" s="67"/>
    </row>
    <row r="709">
      <c r="A709" s="66"/>
      <c r="B709" s="66"/>
      <c r="C709" s="66"/>
      <c r="D709" s="66"/>
      <c r="G709" s="67"/>
      <c r="S709" s="66"/>
      <c r="V709" s="67"/>
    </row>
    <row r="710">
      <c r="A710" s="66"/>
      <c r="B710" s="66"/>
      <c r="C710" s="66"/>
      <c r="D710" s="66"/>
      <c r="G710" s="67"/>
      <c r="S710" s="66"/>
      <c r="V710" s="67"/>
    </row>
    <row r="711">
      <c r="A711" s="66"/>
      <c r="B711" s="66"/>
      <c r="C711" s="66"/>
      <c r="D711" s="66"/>
      <c r="G711" s="67"/>
      <c r="S711" s="66"/>
      <c r="V711" s="67"/>
    </row>
    <row r="712">
      <c r="A712" s="66"/>
      <c r="B712" s="66"/>
      <c r="C712" s="66"/>
      <c r="D712" s="66"/>
      <c r="G712" s="67"/>
      <c r="S712" s="66"/>
      <c r="V712" s="67"/>
    </row>
    <row r="713">
      <c r="A713" s="66"/>
      <c r="B713" s="66"/>
      <c r="C713" s="66"/>
      <c r="D713" s="66"/>
      <c r="G713" s="67"/>
      <c r="S713" s="66"/>
      <c r="V713" s="67"/>
    </row>
    <row r="714">
      <c r="A714" s="66"/>
      <c r="B714" s="66"/>
      <c r="C714" s="66"/>
      <c r="D714" s="66"/>
      <c r="G714" s="67"/>
      <c r="S714" s="66"/>
      <c r="V714" s="67"/>
    </row>
    <row r="715">
      <c r="A715" s="66"/>
      <c r="B715" s="66"/>
      <c r="C715" s="66"/>
      <c r="D715" s="66"/>
      <c r="G715" s="67"/>
      <c r="S715" s="66"/>
      <c r="V715" s="67"/>
    </row>
    <row r="716">
      <c r="A716" s="66"/>
      <c r="B716" s="66"/>
      <c r="C716" s="66"/>
      <c r="D716" s="66"/>
      <c r="G716" s="67"/>
      <c r="S716" s="66"/>
      <c r="V716" s="67"/>
    </row>
    <row r="717">
      <c r="A717" s="66"/>
      <c r="B717" s="66"/>
      <c r="C717" s="66"/>
      <c r="D717" s="66"/>
      <c r="G717" s="67"/>
      <c r="S717" s="66"/>
      <c r="V717" s="67"/>
    </row>
    <row r="718">
      <c r="A718" s="66"/>
      <c r="B718" s="66"/>
      <c r="C718" s="66"/>
      <c r="D718" s="66"/>
      <c r="G718" s="67"/>
      <c r="S718" s="66"/>
      <c r="V718" s="67"/>
    </row>
    <row r="719">
      <c r="A719" s="66"/>
      <c r="B719" s="66"/>
      <c r="C719" s="66"/>
      <c r="D719" s="66"/>
      <c r="G719" s="67"/>
      <c r="S719" s="66"/>
      <c r="V719" s="67"/>
    </row>
    <row r="720">
      <c r="A720" s="66"/>
      <c r="B720" s="66"/>
      <c r="C720" s="66"/>
      <c r="D720" s="66"/>
      <c r="G720" s="67"/>
      <c r="S720" s="66"/>
      <c r="V720" s="67"/>
    </row>
    <row r="721">
      <c r="A721" s="66"/>
      <c r="B721" s="66"/>
      <c r="C721" s="66"/>
      <c r="D721" s="66"/>
      <c r="G721" s="67"/>
      <c r="S721" s="66"/>
      <c r="V721" s="67"/>
    </row>
    <row r="722">
      <c r="A722" s="66"/>
      <c r="B722" s="66"/>
      <c r="C722" s="66"/>
      <c r="D722" s="66"/>
      <c r="G722" s="67"/>
      <c r="S722" s="66"/>
      <c r="V722" s="67"/>
    </row>
    <row r="723">
      <c r="A723" s="66"/>
      <c r="B723" s="66"/>
      <c r="C723" s="66"/>
      <c r="D723" s="66"/>
      <c r="G723" s="67"/>
      <c r="S723" s="66"/>
      <c r="V723" s="67"/>
    </row>
    <row r="724">
      <c r="A724" s="66"/>
      <c r="B724" s="66"/>
      <c r="C724" s="66"/>
      <c r="D724" s="66"/>
      <c r="G724" s="67"/>
      <c r="S724" s="66"/>
      <c r="V724" s="67"/>
    </row>
    <row r="725">
      <c r="A725" s="66"/>
      <c r="B725" s="66"/>
      <c r="C725" s="66"/>
      <c r="D725" s="66"/>
      <c r="G725" s="67"/>
      <c r="S725" s="66"/>
      <c r="V725" s="67"/>
    </row>
    <row r="726">
      <c r="A726" s="66"/>
      <c r="B726" s="66"/>
      <c r="C726" s="66"/>
      <c r="D726" s="66"/>
      <c r="G726" s="67"/>
      <c r="S726" s="66"/>
      <c r="V726" s="67"/>
    </row>
    <row r="727">
      <c r="A727" s="66"/>
      <c r="B727" s="66"/>
      <c r="C727" s="66"/>
      <c r="D727" s="66"/>
      <c r="G727" s="67"/>
      <c r="S727" s="66"/>
      <c r="V727" s="67"/>
    </row>
    <row r="728">
      <c r="A728" s="66"/>
      <c r="B728" s="66"/>
      <c r="C728" s="66"/>
      <c r="D728" s="66"/>
      <c r="G728" s="67"/>
      <c r="S728" s="66"/>
      <c r="V728" s="67"/>
    </row>
    <row r="729">
      <c r="A729" s="66"/>
      <c r="B729" s="66"/>
      <c r="C729" s="66"/>
      <c r="D729" s="66"/>
      <c r="G729" s="67"/>
      <c r="S729" s="66"/>
      <c r="V729" s="67"/>
    </row>
    <row r="730">
      <c r="A730" s="66"/>
      <c r="B730" s="66"/>
      <c r="C730" s="66"/>
      <c r="D730" s="66"/>
      <c r="G730" s="67"/>
      <c r="S730" s="66"/>
      <c r="V730" s="67"/>
    </row>
    <row r="731">
      <c r="A731" s="66"/>
      <c r="B731" s="66"/>
      <c r="C731" s="66"/>
      <c r="D731" s="66"/>
      <c r="G731" s="67"/>
      <c r="S731" s="66"/>
      <c r="V731" s="67"/>
    </row>
    <row r="732">
      <c r="A732" s="66"/>
      <c r="B732" s="66"/>
      <c r="C732" s="66"/>
      <c r="D732" s="66"/>
      <c r="G732" s="67"/>
      <c r="S732" s="66"/>
      <c r="V732" s="67"/>
    </row>
    <row r="733">
      <c r="A733" s="66"/>
      <c r="B733" s="66"/>
      <c r="C733" s="66"/>
      <c r="D733" s="66"/>
      <c r="G733" s="67"/>
      <c r="S733" s="66"/>
      <c r="V733" s="67"/>
    </row>
    <row r="734">
      <c r="A734" s="66"/>
      <c r="B734" s="66"/>
      <c r="C734" s="66"/>
      <c r="D734" s="66"/>
      <c r="G734" s="67"/>
      <c r="S734" s="66"/>
      <c r="V734" s="67"/>
    </row>
    <row r="735">
      <c r="A735" s="66"/>
      <c r="B735" s="66"/>
      <c r="C735" s="66"/>
      <c r="D735" s="66"/>
      <c r="G735" s="67"/>
      <c r="S735" s="66"/>
      <c r="V735" s="67"/>
    </row>
    <row r="736">
      <c r="A736" s="66"/>
      <c r="B736" s="66"/>
      <c r="C736" s="66"/>
      <c r="D736" s="66"/>
      <c r="G736" s="67"/>
      <c r="S736" s="66"/>
      <c r="V736" s="67"/>
    </row>
    <row r="737">
      <c r="A737" s="66"/>
      <c r="B737" s="66"/>
      <c r="C737" s="66"/>
      <c r="D737" s="66"/>
      <c r="G737" s="67"/>
      <c r="S737" s="66"/>
      <c r="V737" s="67"/>
    </row>
    <row r="738">
      <c r="A738" s="66"/>
      <c r="B738" s="66"/>
      <c r="C738" s="66"/>
      <c r="D738" s="66"/>
      <c r="G738" s="67"/>
      <c r="S738" s="66"/>
      <c r="V738" s="67"/>
    </row>
    <row r="739">
      <c r="A739" s="66"/>
      <c r="B739" s="66"/>
      <c r="C739" s="66"/>
      <c r="D739" s="66"/>
      <c r="G739" s="67"/>
      <c r="S739" s="66"/>
      <c r="V739" s="67"/>
    </row>
    <row r="740">
      <c r="A740" s="66"/>
      <c r="B740" s="66"/>
      <c r="C740" s="66"/>
      <c r="D740" s="66"/>
      <c r="G740" s="67"/>
      <c r="S740" s="66"/>
      <c r="V740" s="67"/>
    </row>
    <row r="741">
      <c r="A741" s="66"/>
      <c r="B741" s="66"/>
      <c r="C741" s="66"/>
      <c r="D741" s="66"/>
      <c r="G741" s="67"/>
      <c r="S741" s="66"/>
      <c r="V741" s="67"/>
    </row>
    <row r="742">
      <c r="A742" s="66"/>
      <c r="B742" s="66"/>
      <c r="C742" s="66"/>
      <c r="D742" s="66"/>
      <c r="G742" s="67"/>
      <c r="S742" s="66"/>
      <c r="V742" s="67"/>
    </row>
    <row r="743">
      <c r="A743" s="66"/>
      <c r="B743" s="66"/>
      <c r="C743" s="66"/>
      <c r="D743" s="66"/>
      <c r="G743" s="67"/>
      <c r="S743" s="66"/>
      <c r="V743" s="67"/>
    </row>
    <row r="744">
      <c r="A744" s="66"/>
      <c r="B744" s="66"/>
      <c r="C744" s="66"/>
      <c r="D744" s="66"/>
      <c r="G744" s="67"/>
      <c r="S744" s="66"/>
      <c r="V744" s="67"/>
    </row>
    <row r="745">
      <c r="A745" s="66"/>
      <c r="B745" s="66"/>
      <c r="C745" s="66"/>
      <c r="D745" s="66"/>
      <c r="G745" s="67"/>
      <c r="S745" s="66"/>
      <c r="V745" s="67"/>
    </row>
    <row r="746">
      <c r="A746" s="66"/>
      <c r="B746" s="66"/>
      <c r="C746" s="66"/>
      <c r="D746" s="66"/>
      <c r="G746" s="67"/>
      <c r="S746" s="66"/>
      <c r="V746" s="67"/>
    </row>
    <row r="747">
      <c r="A747" s="66"/>
      <c r="B747" s="66"/>
      <c r="C747" s="66"/>
      <c r="D747" s="66"/>
      <c r="G747" s="67"/>
      <c r="S747" s="66"/>
      <c r="V747" s="67"/>
    </row>
    <row r="748">
      <c r="A748" s="66"/>
      <c r="B748" s="66"/>
      <c r="C748" s="66"/>
      <c r="D748" s="66"/>
      <c r="G748" s="67"/>
      <c r="S748" s="66"/>
      <c r="V748" s="67"/>
    </row>
    <row r="749">
      <c r="A749" s="66"/>
      <c r="B749" s="66"/>
      <c r="C749" s="66"/>
      <c r="D749" s="66"/>
      <c r="G749" s="67"/>
      <c r="S749" s="66"/>
      <c r="V749" s="67"/>
    </row>
    <row r="750">
      <c r="A750" s="66"/>
      <c r="B750" s="66"/>
      <c r="C750" s="66"/>
      <c r="D750" s="66"/>
      <c r="G750" s="67"/>
      <c r="S750" s="66"/>
      <c r="V750" s="67"/>
    </row>
    <row r="751">
      <c r="A751" s="66"/>
      <c r="B751" s="66"/>
      <c r="C751" s="66"/>
      <c r="D751" s="66"/>
      <c r="G751" s="67"/>
      <c r="S751" s="66"/>
      <c r="V751" s="67"/>
    </row>
    <row r="752">
      <c r="A752" s="66"/>
      <c r="B752" s="66"/>
      <c r="C752" s="66"/>
      <c r="D752" s="66"/>
      <c r="G752" s="67"/>
      <c r="S752" s="66"/>
      <c r="V752" s="67"/>
    </row>
    <row r="753">
      <c r="A753" s="66"/>
      <c r="B753" s="66"/>
      <c r="C753" s="66"/>
      <c r="D753" s="66"/>
      <c r="G753" s="67"/>
      <c r="S753" s="66"/>
      <c r="V753" s="67"/>
    </row>
    <row r="754">
      <c r="A754" s="66"/>
      <c r="B754" s="66"/>
      <c r="C754" s="66"/>
      <c r="D754" s="66"/>
      <c r="G754" s="67"/>
      <c r="S754" s="66"/>
      <c r="V754" s="67"/>
    </row>
    <row r="755">
      <c r="A755" s="66"/>
      <c r="B755" s="66"/>
      <c r="C755" s="66"/>
      <c r="D755" s="66"/>
      <c r="G755" s="67"/>
      <c r="S755" s="66"/>
      <c r="V755" s="67"/>
    </row>
    <row r="756">
      <c r="A756" s="66"/>
      <c r="B756" s="66"/>
      <c r="C756" s="66"/>
      <c r="D756" s="66"/>
      <c r="G756" s="67"/>
      <c r="S756" s="66"/>
      <c r="V756" s="67"/>
    </row>
    <row r="757">
      <c r="A757" s="66"/>
      <c r="B757" s="66"/>
      <c r="C757" s="66"/>
      <c r="D757" s="66"/>
      <c r="G757" s="67"/>
      <c r="S757" s="66"/>
      <c r="V757" s="67"/>
    </row>
    <row r="758">
      <c r="A758" s="66"/>
      <c r="B758" s="66"/>
      <c r="C758" s="66"/>
      <c r="D758" s="66"/>
      <c r="G758" s="67"/>
      <c r="S758" s="66"/>
      <c r="V758" s="67"/>
    </row>
    <row r="759">
      <c r="A759" s="66"/>
      <c r="B759" s="66"/>
      <c r="C759" s="66"/>
      <c r="D759" s="66"/>
      <c r="G759" s="67"/>
      <c r="S759" s="66"/>
      <c r="V759" s="67"/>
    </row>
    <row r="760">
      <c r="A760" s="66"/>
      <c r="B760" s="66"/>
      <c r="C760" s="66"/>
      <c r="D760" s="66"/>
      <c r="G760" s="67"/>
      <c r="S760" s="66"/>
      <c r="V760" s="67"/>
    </row>
    <row r="761">
      <c r="A761" s="66"/>
      <c r="B761" s="66"/>
      <c r="C761" s="66"/>
      <c r="D761" s="66"/>
      <c r="G761" s="67"/>
      <c r="S761" s="66"/>
      <c r="V761" s="67"/>
    </row>
    <row r="762">
      <c r="A762" s="66"/>
      <c r="B762" s="66"/>
      <c r="C762" s="66"/>
      <c r="D762" s="66"/>
      <c r="G762" s="67"/>
      <c r="S762" s="66"/>
      <c r="V762" s="67"/>
    </row>
    <row r="763">
      <c r="A763" s="66"/>
      <c r="B763" s="66"/>
      <c r="C763" s="66"/>
      <c r="D763" s="66"/>
      <c r="G763" s="67"/>
      <c r="S763" s="66"/>
      <c r="V763" s="67"/>
    </row>
    <row r="764">
      <c r="A764" s="66"/>
      <c r="B764" s="66"/>
      <c r="C764" s="66"/>
      <c r="D764" s="66"/>
      <c r="G764" s="67"/>
      <c r="S764" s="66"/>
      <c r="V764" s="67"/>
    </row>
    <row r="765">
      <c r="A765" s="66"/>
      <c r="B765" s="66"/>
      <c r="C765" s="66"/>
      <c r="D765" s="66"/>
      <c r="G765" s="67"/>
      <c r="S765" s="66"/>
      <c r="V765" s="67"/>
    </row>
    <row r="766">
      <c r="A766" s="66"/>
      <c r="B766" s="66"/>
      <c r="C766" s="66"/>
      <c r="D766" s="66"/>
      <c r="G766" s="67"/>
      <c r="S766" s="66"/>
      <c r="V766" s="67"/>
    </row>
    <row r="767">
      <c r="A767" s="66"/>
      <c r="B767" s="66"/>
      <c r="C767" s="66"/>
      <c r="D767" s="66"/>
      <c r="G767" s="67"/>
      <c r="S767" s="66"/>
      <c r="V767" s="67"/>
    </row>
    <row r="768">
      <c r="A768" s="66"/>
      <c r="B768" s="66"/>
      <c r="C768" s="66"/>
      <c r="D768" s="66"/>
      <c r="G768" s="67"/>
      <c r="S768" s="66"/>
      <c r="V768" s="67"/>
    </row>
    <row r="769">
      <c r="A769" s="66"/>
      <c r="B769" s="66"/>
      <c r="C769" s="66"/>
      <c r="D769" s="66"/>
      <c r="G769" s="67"/>
      <c r="S769" s="66"/>
      <c r="V769" s="67"/>
    </row>
    <row r="770">
      <c r="A770" s="66"/>
      <c r="B770" s="66"/>
      <c r="C770" s="66"/>
      <c r="D770" s="66"/>
      <c r="G770" s="67"/>
      <c r="S770" s="66"/>
      <c r="V770" s="67"/>
    </row>
    <row r="771">
      <c r="A771" s="66"/>
      <c r="B771" s="66"/>
      <c r="C771" s="66"/>
      <c r="D771" s="66"/>
      <c r="G771" s="67"/>
      <c r="S771" s="66"/>
      <c r="V771" s="67"/>
    </row>
    <row r="772">
      <c r="A772" s="66"/>
      <c r="B772" s="66"/>
      <c r="C772" s="66"/>
      <c r="D772" s="66"/>
      <c r="G772" s="67"/>
      <c r="S772" s="66"/>
      <c r="V772" s="67"/>
    </row>
    <row r="773">
      <c r="A773" s="66"/>
      <c r="B773" s="66"/>
      <c r="C773" s="66"/>
      <c r="D773" s="66"/>
      <c r="G773" s="67"/>
      <c r="S773" s="66"/>
      <c r="V773" s="67"/>
    </row>
    <row r="774">
      <c r="A774" s="66"/>
      <c r="B774" s="66"/>
      <c r="C774" s="66"/>
      <c r="D774" s="66"/>
      <c r="G774" s="67"/>
      <c r="S774" s="66"/>
      <c r="V774" s="67"/>
    </row>
    <row r="775">
      <c r="A775" s="66"/>
      <c r="B775" s="66"/>
      <c r="C775" s="66"/>
      <c r="D775" s="66"/>
      <c r="G775" s="67"/>
      <c r="S775" s="66"/>
      <c r="V775" s="67"/>
    </row>
    <row r="776">
      <c r="A776" s="66"/>
      <c r="B776" s="66"/>
      <c r="C776" s="66"/>
      <c r="D776" s="66"/>
      <c r="G776" s="67"/>
      <c r="S776" s="66"/>
      <c r="V776" s="67"/>
    </row>
    <row r="777">
      <c r="A777" s="66"/>
      <c r="B777" s="66"/>
      <c r="C777" s="66"/>
      <c r="D777" s="66"/>
      <c r="G777" s="67"/>
      <c r="S777" s="66"/>
      <c r="V777" s="67"/>
    </row>
    <row r="778">
      <c r="A778" s="66"/>
      <c r="B778" s="66"/>
      <c r="C778" s="66"/>
      <c r="D778" s="66"/>
      <c r="G778" s="67"/>
      <c r="S778" s="66"/>
      <c r="V778" s="67"/>
    </row>
    <row r="779">
      <c r="A779" s="66"/>
      <c r="B779" s="66"/>
      <c r="C779" s="66"/>
      <c r="D779" s="66"/>
      <c r="G779" s="67"/>
      <c r="S779" s="66"/>
      <c r="V779" s="67"/>
    </row>
    <row r="780">
      <c r="A780" s="66"/>
      <c r="B780" s="66"/>
      <c r="C780" s="66"/>
      <c r="D780" s="66"/>
      <c r="G780" s="67"/>
      <c r="S780" s="66"/>
      <c r="V780" s="67"/>
    </row>
    <row r="781">
      <c r="A781" s="66"/>
      <c r="B781" s="66"/>
      <c r="C781" s="66"/>
      <c r="D781" s="66"/>
      <c r="G781" s="67"/>
      <c r="S781" s="66"/>
      <c r="V781" s="67"/>
    </row>
    <row r="782">
      <c r="A782" s="66"/>
      <c r="B782" s="66"/>
      <c r="C782" s="66"/>
      <c r="D782" s="66"/>
      <c r="G782" s="67"/>
      <c r="S782" s="66"/>
      <c r="V782" s="67"/>
    </row>
    <row r="783">
      <c r="A783" s="66"/>
      <c r="B783" s="66"/>
      <c r="C783" s="66"/>
      <c r="D783" s="66"/>
      <c r="G783" s="67"/>
      <c r="S783" s="66"/>
      <c r="V783" s="67"/>
    </row>
    <row r="784">
      <c r="A784" s="66"/>
      <c r="B784" s="66"/>
      <c r="C784" s="66"/>
      <c r="D784" s="66"/>
      <c r="G784" s="67"/>
      <c r="S784" s="66"/>
      <c r="V784" s="67"/>
    </row>
    <row r="785">
      <c r="A785" s="66"/>
      <c r="B785" s="66"/>
      <c r="C785" s="66"/>
      <c r="D785" s="66"/>
      <c r="G785" s="67"/>
      <c r="S785" s="66"/>
      <c r="V785" s="67"/>
    </row>
    <row r="786">
      <c r="A786" s="66"/>
      <c r="B786" s="66"/>
      <c r="C786" s="66"/>
      <c r="D786" s="66"/>
      <c r="G786" s="67"/>
      <c r="S786" s="66"/>
      <c r="V786" s="67"/>
    </row>
    <row r="787">
      <c r="A787" s="66"/>
      <c r="B787" s="66"/>
      <c r="C787" s="66"/>
      <c r="D787" s="66"/>
      <c r="G787" s="67"/>
      <c r="S787" s="66"/>
      <c r="V787" s="67"/>
    </row>
    <row r="788">
      <c r="A788" s="66"/>
      <c r="B788" s="66"/>
      <c r="C788" s="66"/>
      <c r="D788" s="66"/>
      <c r="G788" s="67"/>
      <c r="S788" s="66"/>
      <c r="V788" s="67"/>
    </row>
    <row r="789">
      <c r="A789" s="66"/>
      <c r="B789" s="66"/>
      <c r="C789" s="66"/>
      <c r="D789" s="66"/>
      <c r="G789" s="67"/>
      <c r="S789" s="66"/>
      <c r="V789" s="67"/>
    </row>
    <row r="790">
      <c r="A790" s="66"/>
      <c r="B790" s="66"/>
      <c r="C790" s="66"/>
      <c r="D790" s="66"/>
      <c r="G790" s="67"/>
      <c r="S790" s="66"/>
      <c r="V790" s="67"/>
    </row>
    <row r="791">
      <c r="A791" s="66"/>
      <c r="B791" s="66"/>
      <c r="C791" s="66"/>
      <c r="D791" s="66"/>
      <c r="G791" s="67"/>
      <c r="S791" s="66"/>
      <c r="V791" s="67"/>
    </row>
    <row r="792">
      <c r="A792" s="66"/>
      <c r="B792" s="66"/>
      <c r="C792" s="66"/>
      <c r="D792" s="66"/>
      <c r="G792" s="67"/>
      <c r="S792" s="66"/>
      <c r="V792" s="67"/>
    </row>
    <row r="793">
      <c r="A793" s="66"/>
      <c r="B793" s="66"/>
      <c r="C793" s="66"/>
      <c r="D793" s="66"/>
      <c r="G793" s="67"/>
      <c r="S793" s="66"/>
      <c r="V793" s="67"/>
    </row>
    <row r="794">
      <c r="A794" s="66"/>
      <c r="B794" s="66"/>
      <c r="C794" s="66"/>
      <c r="D794" s="66"/>
      <c r="G794" s="67"/>
      <c r="S794" s="66"/>
      <c r="V794" s="67"/>
    </row>
    <row r="795">
      <c r="A795" s="66"/>
      <c r="B795" s="66"/>
      <c r="C795" s="66"/>
      <c r="D795" s="66"/>
      <c r="G795" s="67"/>
      <c r="S795" s="66"/>
      <c r="V795" s="67"/>
    </row>
    <row r="796">
      <c r="A796" s="66"/>
      <c r="B796" s="66"/>
      <c r="C796" s="66"/>
      <c r="D796" s="66"/>
      <c r="G796" s="67"/>
      <c r="S796" s="66"/>
      <c r="V796" s="67"/>
    </row>
    <row r="797">
      <c r="A797" s="66"/>
      <c r="B797" s="66"/>
      <c r="C797" s="66"/>
      <c r="D797" s="66"/>
      <c r="G797" s="67"/>
      <c r="S797" s="66"/>
      <c r="V797" s="67"/>
    </row>
    <row r="798">
      <c r="A798" s="66"/>
      <c r="B798" s="66"/>
      <c r="C798" s="66"/>
      <c r="D798" s="66"/>
      <c r="G798" s="67"/>
      <c r="S798" s="66"/>
      <c r="V798" s="67"/>
    </row>
    <row r="799">
      <c r="A799" s="66"/>
      <c r="B799" s="66"/>
      <c r="C799" s="66"/>
      <c r="D799" s="66"/>
      <c r="G799" s="67"/>
      <c r="S799" s="66"/>
      <c r="V799" s="67"/>
    </row>
    <row r="800">
      <c r="A800" s="66"/>
      <c r="B800" s="66"/>
      <c r="C800" s="66"/>
      <c r="D800" s="66"/>
      <c r="G800" s="67"/>
      <c r="S800" s="66"/>
      <c r="V800" s="67"/>
    </row>
    <row r="801">
      <c r="A801" s="66"/>
      <c r="B801" s="66"/>
      <c r="C801" s="66"/>
      <c r="D801" s="66"/>
      <c r="G801" s="67"/>
      <c r="S801" s="66"/>
      <c r="V801" s="67"/>
    </row>
    <row r="802">
      <c r="A802" s="66"/>
      <c r="B802" s="66"/>
      <c r="C802" s="66"/>
      <c r="D802" s="66"/>
      <c r="G802" s="67"/>
      <c r="S802" s="66"/>
      <c r="V802" s="67"/>
    </row>
    <row r="803">
      <c r="A803" s="66"/>
      <c r="B803" s="66"/>
      <c r="C803" s="66"/>
      <c r="D803" s="66"/>
      <c r="G803" s="67"/>
      <c r="S803" s="66"/>
      <c r="V803" s="67"/>
    </row>
    <row r="804">
      <c r="A804" s="66"/>
      <c r="B804" s="66"/>
      <c r="C804" s="66"/>
      <c r="D804" s="66"/>
      <c r="G804" s="67"/>
      <c r="S804" s="66"/>
      <c r="V804" s="67"/>
    </row>
    <row r="805">
      <c r="A805" s="66"/>
      <c r="B805" s="66"/>
      <c r="C805" s="66"/>
      <c r="D805" s="66"/>
      <c r="G805" s="67"/>
      <c r="S805" s="66"/>
      <c r="V805" s="67"/>
    </row>
    <row r="806">
      <c r="A806" s="66"/>
      <c r="B806" s="66"/>
      <c r="C806" s="66"/>
      <c r="D806" s="66"/>
      <c r="G806" s="67"/>
      <c r="S806" s="66"/>
      <c r="V806" s="67"/>
    </row>
    <row r="807">
      <c r="A807" s="66"/>
      <c r="B807" s="66"/>
      <c r="C807" s="66"/>
      <c r="D807" s="66"/>
      <c r="G807" s="67"/>
      <c r="S807" s="66"/>
      <c r="V807" s="67"/>
    </row>
    <row r="808">
      <c r="A808" s="66"/>
      <c r="B808" s="66"/>
      <c r="C808" s="66"/>
      <c r="D808" s="66"/>
      <c r="G808" s="67"/>
      <c r="S808" s="66"/>
      <c r="V808" s="67"/>
    </row>
    <row r="809">
      <c r="A809" s="66"/>
      <c r="B809" s="66"/>
      <c r="C809" s="66"/>
      <c r="D809" s="66"/>
      <c r="G809" s="67"/>
      <c r="S809" s="66"/>
      <c r="V809" s="67"/>
    </row>
    <row r="810">
      <c r="A810" s="66"/>
      <c r="B810" s="66"/>
      <c r="C810" s="66"/>
      <c r="D810" s="66"/>
      <c r="G810" s="67"/>
      <c r="S810" s="66"/>
      <c r="V810" s="67"/>
    </row>
    <row r="811">
      <c r="A811" s="66"/>
      <c r="B811" s="66"/>
      <c r="C811" s="66"/>
      <c r="D811" s="66"/>
      <c r="G811" s="67"/>
      <c r="S811" s="66"/>
      <c r="V811" s="67"/>
    </row>
    <row r="812">
      <c r="A812" s="66"/>
      <c r="B812" s="66"/>
      <c r="C812" s="66"/>
      <c r="D812" s="66"/>
      <c r="G812" s="67"/>
      <c r="S812" s="66"/>
      <c r="V812" s="67"/>
    </row>
    <row r="813">
      <c r="A813" s="66"/>
      <c r="B813" s="66"/>
      <c r="C813" s="66"/>
      <c r="D813" s="66"/>
      <c r="G813" s="67"/>
      <c r="S813" s="66"/>
      <c r="V813" s="67"/>
    </row>
    <row r="814">
      <c r="A814" s="66"/>
      <c r="B814" s="66"/>
      <c r="C814" s="66"/>
      <c r="D814" s="66"/>
      <c r="G814" s="67"/>
      <c r="S814" s="66"/>
      <c r="V814" s="67"/>
    </row>
    <row r="815">
      <c r="A815" s="66"/>
      <c r="B815" s="66"/>
      <c r="C815" s="66"/>
      <c r="D815" s="66"/>
      <c r="G815" s="67"/>
      <c r="S815" s="66"/>
      <c r="V815" s="67"/>
    </row>
    <row r="816">
      <c r="A816" s="66"/>
      <c r="B816" s="66"/>
      <c r="C816" s="66"/>
      <c r="D816" s="66"/>
      <c r="G816" s="67"/>
      <c r="S816" s="66"/>
      <c r="V816" s="67"/>
    </row>
    <row r="817">
      <c r="A817" s="66"/>
      <c r="B817" s="66"/>
      <c r="C817" s="66"/>
      <c r="D817" s="66"/>
      <c r="G817" s="67"/>
      <c r="S817" s="66"/>
      <c r="V817" s="67"/>
    </row>
    <row r="818">
      <c r="A818" s="66"/>
      <c r="B818" s="66"/>
      <c r="C818" s="66"/>
      <c r="D818" s="66"/>
      <c r="G818" s="67"/>
      <c r="S818" s="66"/>
      <c r="V818" s="67"/>
    </row>
    <row r="819">
      <c r="A819" s="66"/>
      <c r="B819" s="66"/>
      <c r="C819" s="66"/>
      <c r="D819" s="66"/>
      <c r="G819" s="67"/>
      <c r="S819" s="66"/>
      <c r="V819" s="67"/>
    </row>
    <row r="820">
      <c r="A820" s="66"/>
      <c r="B820" s="66"/>
      <c r="C820" s="66"/>
      <c r="D820" s="66"/>
      <c r="G820" s="67"/>
      <c r="S820" s="66"/>
      <c r="V820" s="67"/>
    </row>
    <row r="821">
      <c r="A821" s="66"/>
      <c r="B821" s="66"/>
      <c r="C821" s="66"/>
      <c r="D821" s="66"/>
      <c r="G821" s="67"/>
      <c r="S821" s="66"/>
      <c r="V821" s="67"/>
    </row>
    <row r="822">
      <c r="A822" s="66"/>
      <c r="B822" s="66"/>
      <c r="C822" s="66"/>
      <c r="D822" s="66"/>
      <c r="G822" s="67"/>
      <c r="S822" s="66"/>
      <c r="V822" s="67"/>
    </row>
    <row r="823">
      <c r="A823" s="66"/>
      <c r="B823" s="66"/>
      <c r="C823" s="66"/>
      <c r="D823" s="66"/>
      <c r="G823" s="67"/>
      <c r="S823" s="66"/>
      <c r="V823" s="67"/>
    </row>
    <row r="824">
      <c r="A824" s="66"/>
      <c r="B824" s="66"/>
      <c r="C824" s="66"/>
      <c r="D824" s="66"/>
      <c r="G824" s="67"/>
      <c r="S824" s="66"/>
      <c r="V824" s="67"/>
    </row>
    <row r="825">
      <c r="A825" s="66"/>
      <c r="B825" s="66"/>
      <c r="C825" s="66"/>
      <c r="D825" s="66"/>
      <c r="G825" s="67"/>
      <c r="S825" s="66"/>
      <c r="V825" s="67"/>
    </row>
    <row r="826">
      <c r="A826" s="66"/>
      <c r="B826" s="66"/>
      <c r="C826" s="66"/>
      <c r="D826" s="66"/>
      <c r="G826" s="67"/>
      <c r="S826" s="66"/>
      <c r="V826" s="67"/>
    </row>
    <row r="827">
      <c r="A827" s="66"/>
      <c r="B827" s="66"/>
      <c r="C827" s="66"/>
      <c r="D827" s="66"/>
      <c r="G827" s="67"/>
      <c r="S827" s="66"/>
      <c r="V827" s="67"/>
    </row>
    <row r="828">
      <c r="A828" s="66"/>
      <c r="B828" s="66"/>
      <c r="C828" s="66"/>
      <c r="D828" s="66"/>
      <c r="G828" s="67"/>
      <c r="S828" s="66"/>
      <c r="V828" s="67"/>
    </row>
    <row r="829">
      <c r="A829" s="66"/>
      <c r="B829" s="66"/>
      <c r="C829" s="66"/>
      <c r="D829" s="66"/>
      <c r="G829" s="67"/>
      <c r="S829" s="66"/>
      <c r="V829" s="67"/>
    </row>
    <row r="830">
      <c r="A830" s="66"/>
      <c r="B830" s="66"/>
      <c r="C830" s="66"/>
      <c r="D830" s="66"/>
      <c r="G830" s="67"/>
      <c r="S830" s="66"/>
      <c r="V830" s="67"/>
    </row>
    <row r="831">
      <c r="A831" s="66"/>
      <c r="B831" s="66"/>
      <c r="C831" s="66"/>
      <c r="D831" s="66"/>
      <c r="G831" s="67"/>
      <c r="S831" s="66"/>
      <c r="V831" s="67"/>
    </row>
    <row r="832">
      <c r="A832" s="66"/>
      <c r="B832" s="66"/>
      <c r="C832" s="66"/>
      <c r="D832" s="66"/>
      <c r="G832" s="67"/>
      <c r="S832" s="66"/>
      <c r="V832" s="67"/>
    </row>
    <row r="833">
      <c r="A833" s="66"/>
      <c r="B833" s="66"/>
      <c r="C833" s="66"/>
      <c r="D833" s="66"/>
      <c r="G833" s="67"/>
      <c r="S833" s="66"/>
      <c r="V833" s="67"/>
    </row>
    <row r="834">
      <c r="A834" s="66"/>
      <c r="B834" s="66"/>
      <c r="C834" s="66"/>
      <c r="D834" s="66"/>
      <c r="G834" s="67"/>
      <c r="S834" s="66"/>
      <c r="V834" s="67"/>
    </row>
    <row r="835">
      <c r="A835" s="66"/>
      <c r="B835" s="66"/>
      <c r="C835" s="66"/>
      <c r="D835" s="66"/>
      <c r="G835" s="67"/>
      <c r="S835" s="66"/>
      <c r="V835" s="67"/>
    </row>
    <row r="836">
      <c r="A836" s="66"/>
      <c r="B836" s="66"/>
      <c r="C836" s="66"/>
      <c r="D836" s="66"/>
      <c r="G836" s="67"/>
      <c r="S836" s="66"/>
      <c r="V836" s="67"/>
    </row>
    <row r="837">
      <c r="A837" s="66"/>
      <c r="B837" s="66"/>
      <c r="C837" s="66"/>
      <c r="D837" s="66"/>
      <c r="G837" s="67"/>
      <c r="S837" s="66"/>
      <c r="V837" s="67"/>
    </row>
    <row r="838">
      <c r="A838" s="66"/>
      <c r="B838" s="66"/>
      <c r="C838" s="66"/>
      <c r="D838" s="66"/>
      <c r="G838" s="67"/>
      <c r="S838" s="66"/>
      <c r="V838" s="67"/>
    </row>
    <row r="839">
      <c r="A839" s="66"/>
      <c r="B839" s="66"/>
      <c r="C839" s="66"/>
      <c r="D839" s="66"/>
      <c r="G839" s="67"/>
      <c r="S839" s="66"/>
      <c r="V839" s="67"/>
    </row>
    <row r="840">
      <c r="A840" s="66"/>
      <c r="B840" s="66"/>
      <c r="C840" s="66"/>
      <c r="D840" s="66"/>
      <c r="G840" s="67"/>
      <c r="S840" s="66"/>
      <c r="V840" s="67"/>
    </row>
    <row r="841">
      <c r="A841" s="66"/>
      <c r="B841" s="66"/>
      <c r="C841" s="66"/>
      <c r="D841" s="66"/>
      <c r="G841" s="67"/>
      <c r="S841" s="66"/>
      <c r="V841" s="67"/>
    </row>
    <row r="842">
      <c r="A842" s="66"/>
      <c r="B842" s="66"/>
      <c r="C842" s="66"/>
      <c r="D842" s="66"/>
      <c r="G842" s="67"/>
      <c r="S842" s="66"/>
      <c r="V842" s="67"/>
    </row>
    <row r="843">
      <c r="A843" s="66"/>
      <c r="B843" s="66"/>
      <c r="C843" s="66"/>
      <c r="D843" s="66"/>
      <c r="G843" s="67"/>
      <c r="S843" s="66"/>
      <c r="V843" s="67"/>
    </row>
    <row r="844">
      <c r="A844" s="66"/>
      <c r="B844" s="66"/>
      <c r="C844" s="66"/>
      <c r="D844" s="66"/>
      <c r="G844" s="67"/>
      <c r="S844" s="66"/>
      <c r="V844" s="67"/>
    </row>
    <row r="845">
      <c r="A845" s="66"/>
      <c r="B845" s="66"/>
      <c r="C845" s="66"/>
      <c r="D845" s="66"/>
      <c r="G845" s="67"/>
      <c r="S845" s="66"/>
      <c r="V845" s="67"/>
    </row>
    <row r="846">
      <c r="A846" s="66"/>
      <c r="B846" s="66"/>
      <c r="C846" s="66"/>
      <c r="D846" s="66"/>
      <c r="G846" s="67"/>
      <c r="S846" s="66"/>
      <c r="V846" s="67"/>
    </row>
    <row r="847">
      <c r="A847" s="66"/>
      <c r="B847" s="66"/>
      <c r="C847" s="66"/>
      <c r="D847" s="66"/>
      <c r="G847" s="67"/>
      <c r="S847" s="66"/>
      <c r="V847" s="67"/>
    </row>
    <row r="848">
      <c r="A848" s="66"/>
      <c r="B848" s="66"/>
      <c r="C848" s="66"/>
      <c r="D848" s="66"/>
      <c r="G848" s="67"/>
      <c r="S848" s="66"/>
      <c r="V848" s="67"/>
    </row>
    <row r="849">
      <c r="A849" s="66"/>
      <c r="B849" s="66"/>
      <c r="C849" s="66"/>
      <c r="D849" s="66"/>
      <c r="G849" s="67"/>
      <c r="S849" s="66"/>
      <c r="V849" s="67"/>
    </row>
    <row r="850">
      <c r="A850" s="66"/>
      <c r="B850" s="66"/>
      <c r="C850" s="66"/>
      <c r="D850" s="66"/>
      <c r="G850" s="67"/>
      <c r="S850" s="66"/>
      <c r="V850" s="67"/>
    </row>
    <row r="851">
      <c r="A851" s="66"/>
      <c r="B851" s="66"/>
      <c r="C851" s="66"/>
      <c r="D851" s="66"/>
      <c r="G851" s="67"/>
      <c r="S851" s="66"/>
      <c r="V851" s="67"/>
    </row>
    <row r="852">
      <c r="A852" s="66"/>
      <c r="B852" s="66"/>
      <c r="C852" s="66"/>
      <c r="D852" s="66"/>
      <c r="G852" s="67"/>
      <c r="S852" s="66"/>
      <c r="V852" s="67"/>
    </row>
    <row r="853">
      <c r="A853" s="66"/>
      <c r="B853" s="66"/>
      <c r="C853" s="66"/>
      <c r="D853" s="66"/>
      <c r="G853" s="67"/>
      <c r="S853" s="66"/>
      <c r="V853" s="67"/>
    </row>
    <row r="854">
      <c r="A854" s="66"/>
      <c r="B854" s="66"/>
      <c r="C854" s="66"/>
      <c r="D854" s="66"/>
      <c r="G854" s="67"/>
      <c r="S854" s="66"/>
      <c r="V854" s="67"/>
    </row>
    <row r="855">
      <c r="A855" s="66"/>
      <c r="B855" s="66"/>
      <c r="C855" s="66"/>
      <c r="D855" s="66"/>
      <c r="G855" s="67"/>
      <c r="S855" s="66"/>
      <c r="V855" s="67"/>
    </row>
    <row r="856">
      <c r="A856" s="66"/>
      <c r="B856" s="66"/>
      <c r="C856" s="66"/>
      <c r="D856" s="66"/>
      <c r="G856" s="67"/>
      <c r="S856" s="66"/>
      <c r="V856" s="67"/>
    </row>
    <row r="857">
      <c r="A857" s="66"/>
      <c r="B857" s="66"/>
      <c r="C857" s="66"/>
      <c r="D857" s="66"/>
      <c r="G857" s="67"/>
      <c r="S857" s="66"/>
      <c r="V857" s="67"/>
    </row>
    <row r="858">
      <c r="A858" s="66"/>
      <c r="B858" s="66"/>
      <c r="C858" s="66"/>
      <c r="D858" s="66"/>
      <c r="G858" s="67"/>
      <c r="S858" s="66"/>
      <c r="V858" s="67"/>
    </row>
    <row r="859">
      <c r="A859" s="66"/>
      <c r="B859" s="66"/>
      <c r="C859" s="66"/>
      <c r="D859" s="66"/>
      <c r="G859" s="67"/>
      <c r="S859" s="66"/>
      <c r="V859" s="67"/>
    </row>
    <row r="860">
      <c r="A860" s="66"/>
      <c r="B860" s="66"/>
      <c r="C860" s="66"/>
      <c r="D860" s="66"/>
      <c r="G860" s="67"/>
      <c r="S860" s="66"/>
      <c r="V860" s="67"/>
    </row>
    <row r="861">
      <c r="A861" s="66"/>
      <c r="B861" s="66"/>
      <c r="C861" s="66"/>
      <c r="D861" s="66"/>
      <c r="G861" s="67"/>
      <c r="S861" s="66"/>
      <c r="V861" s="67"/>
    </row>
    <row r="862">
      <c r="A862" s="66"/>
      <c r="B862" s="66"/>
      <c r="C862" s="66"/>
      <c r="D862" s="66"/>
      <c r="G862" s="67"/>
      <c r="S862" s="66"/>
      <c r="V862" s="67"/>
    </row>
    <row r="863">
      <c r="A863" s="66"/>
      <c r="B863" s="66"/>
      <c r="C863" s="66"/>
      <c r="D863" s="66"/>
      <c r="G863" s="67"/>
      <c r="S863" s="66"/>
      <c r="V863" s="67"/>
    </row>
    <row r="864">
      <c r="A864" s="66"/>
      <c r="B864" s="66"/>
      <c r="C864" s="66"/>
      <c r="D864" s="66"/>
      <c r="G864" s="67"/>
      <c r="S864" s="66"/>
      <c r="V864" s="67"/>
    </row>
    <row r="865">
      <c r="A865" s="66"/>
      <c r="B865" s="66"/>
      <c r="C865" s="66"/>
      <c r="D865" s="66"/>
      <c r="G865" s="67"/>
      <c r="S865" s="66"/>
      <c r="V865" s="67"/>
    </row>
    <row r="866">
      <c r="A866" s="66"/>
      <c r="B866" s="66"/>
      <c r="C866" s="66"/>
      <c r="D866" s="66"/>
      <c r="G866" s="67"/>
      <c r="S866" s="66"/>
      <c r="V866" s="67"/>
    </row>
    <row r="867">
      <c r="A867" s="66"/>
      <c r="B867" s="66"/>
      <c r="C867" s="66"/>
      <c r="D867" s="66"/>
      <c r="G867" s="67"/>
      <c r="S867" s="66"/>
      <c r="V867" s="67"/>
    </row>
    <row r="868">
      <c r="A868" s="66"/>
      <c r="B868" s="66"/>
      <c r="C868" s="66"/>
      <c r="D868" s="66"/>
      <c r="G868" s="67"/>
      <c r="S868" s="66"/>
      <c r="V868" s="67"/>
    </row>
    <row r="869">
      <c r="A869" s="66"/>
      <c r="B869" s="66"/>
      <c r="C869" s="66"/>
      <c r="D869" s="66"/>
      <c r="G869" s="67"/>
      <c r="S869" s="66"/>
      <c r="V869" s="67"/>
    </row>
    <row r="870">
      <c r="A870" s="66"/>
      <c r="B870" s="66"/>
      <c r="C870" s="66"/>
      <c r="D870" s="66"/>
      <c r="G870" s="67"/>
      <c r="S870" s="66"/>
      <c r="V870" s="67"/>
    </row>
    <row r="871">
      <c r="A871" s="66"/>
      <c r="B871" s="66"/>
      <c r="C871" s="66"/>
      <c r="D871" s="66"/>
      <c r="G871" s="67"/>
      <c r="S871" s="66"/>
      <c r="V871" s="67"/>
    </row>
    <row r="872">
      <c r="A872" s="66"/>
      <c r="B872" s="66"/>
      <c r="C872" s="66"/>
      <c r="D872" s="66"/>
      <c r="G872" s="67"/>
      <c r="S872" s="66"/>
      <c r="V872" s="67"/>
    </row>
    <row r="873">
      <c r="A873" s="66"/>
      <c r="B873" s="66"/>
      <c r="C873" s="66"/>
      <c r="D873" s="66"/>
      <c r="G873" s="67"/>
      <c r="S873" s="66"/>
      <c r="V873" s="67"/>
    </row>
    <row r="874">
      <c r="A874" s="66"/>
      <c r="B874" s="66"/>
      <c r="C874" s="66"/>
      <c r="D874" s="66"/>
      <c r="G874" s="67"/>
      <c r="S874" s="66"/>
      <c r="V874" s="67"/>
    </row>
    <row r="875">
      <c r="A875" s="66"/>
      <c r="B875" s="66"/>
      <c r="C875" s="66"/>
      <c r="D875" s="66"/>
      <c r="G875" s="67"/>
      <c r="S875" s="66"/>
      <c r="V875" s="67"/>
    </row>
    <row r="876">
      <c r="A876" s="66"/>
      <c r="B876" s="66"/>
      <c r="C876" s="66"/>
      <c r="D876" s="66"/>
      <c r="G876" s="67"/>
      <c r="S876" s="66"/>
      <c r="V876" s="67"/>
    </row>
    <row r="877">
      <c r="A877" s="66"/>
      <c r="B877" s="66"/>
      <c r="C877" s="66"/>
      <c r="D877" s="66"/>
      <c r="G877" s="67"/>
      <c r="S877" s="66"/>
      <c r="V877" s="67"/>
    </row>
    <row r="878">
      <c r="A878" s="66"/>
      <c r="B878" s="66"/>
      <c r="C878" s="66"/>
      <c r="D878" s="66"/>
      <c r="G878" s="67"/>
      <c r="S878" s="66"/>
      <c r="V878" s="67"/>
    </row>
    <row r="879">
      <c r="A879" s="66"/>
      <c r="B879" s="66"/>
      <c r="C879" s="66"/>
      <c r="D879" s="66"/>
      <c r="G879" s="67"/>
      <c r="S879" s="66"/>
      <c r="V879" s="67"/>
    </row>
    <row r="880">
      <c r="A880" s="66"/>
      <c r="B880" s="66"/>
      <c r="C880" s="66"/>
      <c r="D880" s="66"/>
      <c r="G880" s="67"/>
      <c r="S880" s="66"/>
      <c r="V880" s="67"/>
    </row>
    <row r="881">
      <c r="A881" s="66"/>
      <c r="B881" s="66"/>
      <c r="C881" s="66"/>
      <c r="D881" s="66"/>
      <c r="G881" s="67"/>
      <c r="S881" s="66"/>
      <c r="V881" s="67"/>
    </row>
    <row r="882">
      <c r="A882" s="66"/>
      <c r="B882" s="66"/>
      <c r="C882" s="66"/>
      <c r="D882" s="66"/>
      <c r="G882" s="67"/>
      <c r="S882" s="66"/>
      <c r="V882" s="67"/>
    </row>
    <row r="883">
      <c r="A883" s="66"/>
      <c r="B883" s="66"/>
      <c r="C883" s="66"/>
      <c r="D883" s="66"/>
      <c r="G883" s="67"/>
      <c r="S883" s="66"/>
      <c r="V883" s="67"/>
    </row>
    <row r="884">
      <c r="A884" s="66"/>
      <c r="B884" s="66"/>
      <c r="C884" s="66"/>
      <c r="D884" s="66"/>
      <c r="G884" s="67"/>
      <c r="S884" s="66"/>
      <c r="V884" s="67"/>
    </row>
    <row r="885">
      <c r="A885" s="66"/>
      <c r="B885" s="66"/>
      <c r="C885" s="66"/>
      <c r="D885" s="66"/>
      <c r="G885" s="67"/>
      <c r="S885" s="66"/>
      <c r="V885" s="67"/>
    </row>
    <row r="886">
      <c r="A886" s="66"/>
      <c r="B886" s="66"/>
      <c r="C886" s="66"/>
      <c r="D886" s="66"/>
      <c r="G886" s="67"/>
      <c r="S886" s="66"/>
      <c r="V886" s="67"/>
    </row>
    <row r="887">
      <c r="A887" s="66"/>
      <c r="B887" s="66"/>
      <c r="C887" s="66"/>
      <c r="D887" s="66"/>
      <c r="G887" s="67"/>
      <c r="S887" s="66"/>
      <c r="V887" s="67"/>
    </row>
    <row r="888">
      <c r="A888" s="66"/>
      <c r="B888" s="66"/>
      <c r="C888" s="66"/>
      <c r="D888" s="66"/>
      <c r="G888" s="67"/>
      <c r="S888" s="66"/>
      <c r="V888" s="67"/>
    </row>
    <row r="889">
      <c r="A889" s="66"/>
      <c r="B889" s="66"/>
      <c r="C889" s="66"/>
      <c r="D889" s="66"/>
      <c r="G889" s="67"/>
      <c r="S889" s="66"/>
      <c r="V889" s="67"/>
    </row>
    <row r="890">
      <c r="A890" s="66"/>
      <c r="B890" s="66"/>
      <c r="C890" s="66"/>
      <c r="D890" s="66"/>
      <c r="G890" s="67"/>
      <c r="S890" s="66"/>
      <c r="V890" s="67"/>
    </row>
    <row r="891">
      <c r="A891" s="66"/>
      <c r="B891" s="66"/>
      <c r="C891" s="66"/>
      <c r="D891" s="66"/>
      <c r="G891" s="67"/>
      <c r="S891" s="66"/>
      <c r="V891" s="67"/>
    </row>
    <row r="892">
      <c r="A892" s="66"/>
      <c r="B892" s="66"/>
      <c r="C892" s="66"/>
      <c r="D892" s="66"/>
      <c r="G892" s="67"/>
      <c r="S892" s="66"/>
      <c r="V892" s="67"/>
    </row>
    <row r="893">
      <c r="A893" s="66"/>
      <c r="B893" s="66"/>
      <c r="C893" s="66"/>
      <c r="D893" s="66"/>
      <c r="G893" s="67"/>
      <c r="S893" s="66"/>
      <c r="V893" s="67"/>
    </row>
    <row r="894">
      <c r="A894" s="66"/>
      <c r="B894" s="66"/>
      <c r="C894" s="66"/>
      <c r="D894" s="66"/>
      <c r="G894" s="67"/>
      <c r="S894" s="66"/>
      <c r="V894" s="67"/>
    </row>
    <row r="895">
      <c r="A895" s="66"/>
      <c r="B895" s="66"/>
      <c r="C895" s="66"/>
      <c r="D895" s="66"/>
      <c r="G895" s="67"/>
      <c r="S895" s="66"/>
      <c r="V895" s="67"/>
    </row>
    <row r="896">
      <c r="A896" s="66"/>
      <c r="B896" s="66"/>
      <c r="C896" s="66"/>
      <c r="D896" s="66"/>
      <c r="G896" s="67"/>
      <c r="S896" s="66"/>
      <c r="V896" s="67"/>
    </row>
    <row r="897">
      <c r="A897" s="66"/>
      <c r="B897" s="66"/>
      <c r="C897" s="66"/>
      <c r="D897" s="66"/>
      <c r="G897" s="67"/>
      <c r="S897" s="66"/>
      <c r="V897" s="67"/>
    </row>
    <row r="898">
      <c r="A898" s="66"/>
      <c r="B898" s="66"/>
      <c r="C898" s="66"/>
      <c r="D898" s="66"/>
      <c r="G898" s="67"/>
      <c r="S898" s="66"/>
      <c r="V898" s="67"/>
    </row>
    <row r="899">
      <c r="A899" s="66"/>
      <c r="B899" s="66"/>
      <c r="C899" s="66"/>
      <c r="D899" s="66"/>
      <c r="G899" s="67"/>
      <c r="S899" s="66"/>
      <c r="V899" s="67"/>
    </row>
    <row r="900">
      <c r="A900" s="66"/>
      <c r="B900" s="66"/>
      <c r="C900" s="66"/>
      <c r="D900" s="66"/>
      <c r="G900" s="67"/>
      <c r="S900" s="66"/>
      <c r="V900" s="67"/>
    </row>
    <row r="901">
      <c r="A901" s="66"/>
      <c r="B901" s="66"/>
      <c r="C901" s="66"/>
      <c r="D901" s="66"/>
      <c r="G901" s="67"/>
      <c r="S901" s="66"/>
      <c r="V901" s="67"/>
    </row>
    <row r="902">
      <c r="A902" s="66"/>
      <c r="B902" s="66"/>
      <c r="C902" s="66"/>
      <c r="D902" s="66"/>
      <c r="G902" s="67"/>
      <c r="S902" s="66"/>
      <c r="V902" s="67"/>
    </row>
    <row r="903">
      <c r="A903" s="66"/>
      <c r="B903" s="66"/>
      <c r="C903" s="66"/>
      <c r="D903" s="66"/>
      <c r="G903" s="67"/>
      <c r="S903" s="66"/>
      <c r="V903" s="67"/>
    </row>
    <row r="904">
      <c r="A904" s="66"/>
      <c r="B904" s="66"/>
      <c r="C904" s="66"/>
      <c r="D904" s="66"/>
      <c r="G904" s="67"/>
      <c r="S904" s="66"/>
      <c r="V904" s="67"/>
    </row>
    <row r="905">
      <c r="A905" s="66"/>
      <c r="B905" s="66"/>
      <c r="C905" s="66"/>
      <c r="D905" s="66"/>
      <c r="G905" s="67"/>
      <c r="S905" s="66"/>
      <c r="V905" s="67"/>
    </row>
    <row r="906">
      <c r="A906" s="66"/>
      <c r="B906" s="66"/>
      <c r="C906" s="66"/>
      <c r="D906" s="66"/>
      <c r="G906" s="67"/>
      <c r="S906" s="66"/>
      <c r="V906" s="67"/>
    </row>
    <row r="907">
      <c r="A907" s="66"/>
      <c r="B907" s="66"/>
      <c r="C907" s="66"/>
      <c r="D907" s="66"/>
      <c r="G907" s="67"/>
      <c r="S907" s="66"/>
      <c r="V907" s="67"/>
    </row>
    <row r="908">
      <c r="A908" s="66"/>
      <c r="B908" s="66"/>
      <c r="C908" s="66"/>
      <c r="D908" s="66"/>
      <c r="G908" s="67"/>
      <c r="S908" s="66"/>
      <c r="V908" s="67"/>
    </row>
    <row r="909">
      <c r="A909" s="66"/>
      <c r="B909" s="66"/>
      <c r="C909" s="66"/>
      <c r="D909" s="66"/>
      <c r="G909" s="67"/>
      <c r="S909" s="66"/>
      <c r="V909" s="67"/>
    </row>
    <row r="910">
      <c r="A910" s="66"/>
      <c r="B910" s="66"/>
      <c r="C910" s="66"/>
      <c r="D910" s="66"/>
      <c r="G910" s="67"/>
      <c r="S910" s="66"/>
      <c r="V910" s="67"/>
    </row>
    <row r="911">
      <c r="A911" s="66"/>
      <c r="B911" s="66"/>
      <c r="C911" s="66"/>
      <c r="D911" s="66"/>
      <c r="G911" s="67"/>
      <c r="S911" s="66"/>
      <c r="V911" s="67"/>
    </row>
    <row r="912">
      <c r="A912" s="66"/>
      <c r="B912" s="66"/>
      <c r="C912" s="66"/>
      <c r="D912" s="66"/>
      <c r="G912" s="67"/>
      <c r="S912" s="66"/>
      <c r="V912" s="67"/>
    </row>
    <row r="913">
      <c r="A913" s="66"/>
      <c r="B913" s="66"/>
      <c r="C913" s="66"/>
      <c r="D913" s="66"/>
      <c r="G913" s="67"/>
      <c r="S913" s="66"/>
      <c r="V913" s="67"/>
    </row>
    <row r="914">
      <c r="A914" s="66"/>
      <c r="B914" s="66"/>
      <c r="C914" s="66"/>
      <c r="D914" s="66"/>
      <c r="G914" s="67"/>
      <c r="S914" s="66"/>
      <c r="V914" s="67"/>
    </row>
    <row r="915">
      <c r="A915" s="66"/>
      <c r="B915" s="66"/>
      <c r="C915" s="66"/>
      <c r="D915" s="66"/>
      <c r="G915" s="67"/>
      <c r="S915" s="66"/>
      <c r="V915" s="67"/>
    </row>
    <row r="916">
      <c r="A916" s="66"/>
      <c r="B916" s="66"/>
      <c r="C916" s="66"/>
      <c r="D916" s="66"/>
      <c r="G916" s="67"/>
      <c r="S916" s="66"/>
      <c r="V916" s="67"/>
    </row>
    <row r="917">
      <c r="A917" s="66"/>
      <c r="B917" s="66"/>
      <c r="C917" s="66"/>
      <c r="D917" s="66"/>
      <c r="G917" s="67"/>
      <c r="S917" s="66"/>
      <c r="V917" s="67"/>
    </row>
    <row r="918">
      <c r="A918" s="66"/>
      <c r="B918" s="66"/>
      <c r="C918" s="66"/>
      <c r="D918" s="66"/>
      <c r="G918" s="67"/>
      <c r="S918" s="66"/>
      <c r="V918" s="67"/>
    </row>
    <row r="919">
      <c r="A919" s="66"/>
      <c r="B919" s="66"/>
      <c r="C919" s="66"/>
      <c r="D919" s="66"/>
      <c r="G919" s="67"/>
      <c r="S919" s="66"/>
      <c r="V919" s="67"/>
    </row>
    <row r="920">
      <c r="A920" s="66"/>
      <c r="B920" s="66"/>
      <c r="C920" s="66"/>
      <c r="D920" s="66"/>
      <c r="G920" s="67"/>
      <c r="S920" s="66"/>
      <c r="V920" s="67"/>
    </row>
    <row r="921">
      <c r="A921" s="66"/>
      <c r="B921" s="66"/>
      <c r="C921" s="66"/>
      <c r="D921" s="66"/>
      <c r="G921" s="67"/>
      <c r="S921" s="66"/>
      <c r="V921" s="67"/>
    </row>
    <row r="922">
      <c r="A922" s="66"/>
      <c r="B922" s="66"/>
      <c r="C922" s="66"/>
      <c r="D922" s="66"/>
      <c r="G922" s="67"/>
      <c r="S922" s="66"/>
      <c r="V922" s="67"/>
    </row>
    <row r="923">
      <c r="A923" s="66"/>
      <c r="B923" s="66"/>
      <c r="C923" s="66"/>
      <c r="D923" s="66"/>
      <c r="G923" s="67"/>
      <c r="S923" s="66"/>
      <c r="V923" s="67"/>
    </row>
    <row r="924">
      <c r="A924" s="66"/>
      <c r="B924" s="66"/>
      <c r="C924" s="66"/>
      <c r="D924" s="66"/>
      <c r="G924" s="67"/>
      <c r="S924" s="66"/>
      <c r="V924" s="67"/>
    </row>
    <row r="925">
      <c r="A925" s="66"/>
      <c r="B925" s="66"/>
      <c r="C925" s="66"/>
      <c r="D925" s="66"/>
      <c r="G925" s="67"/>
      <c r="S925" s="66"/>
      <c r="V925" s="67"/>
    </row>
    <row r="926">
      <c r="A926" s="66"/>
      <c r="B926" s="66"/>
      <c r="C926" s="66"/>
      <c r="D926" s="66"/>
      <c r="G926" s="67"/>
      <c r="S926" s="66"/>
      <c r="V926" s="67"/>
    </row>
    <row r="927">
      <c r="A927" s="66"/>
      <c r="B927" s="66"/>
      <c r="C927" s="66"/>
      <c r="D927" s="66"/>
      <c r="G927" s="67"/>
      <c r="S927" s="66"/>
      <c r="V927" s="67"/>
    </row>
    <row r="928">
      <c r="A928" s="66"/>
      <c r="B928" s="66"/>
      <c r="C928" s="66"/>
      <c r="D928" s="66"/>
      <c r="G928" s="67"/>
      <c r="S928" s="66"/>
      <c r="V928" s="67"/>
    </row>
    <row r="929">
      <c r="A929" s="66"/>
      <c r="B929" s="66"/>
      <c r="C929" s="66"/>
      <c r="D929" s="66"/>
      <c r="G929" s="67"/>
      <c r="S929" s="66"/>
      <c r="V929" s="67"/>
    </row>
    <row r="930">
      <c r="A930" s="66"/>
      <c r="B930" s="66"/>
      <c r="C930" s="66"/>
      <c r="D930" s="66"/>
      <c r="G930" s="67"/>
      <c r="S930" s="66"/>
      <c r="V930" s="67"/>
    </row>
    <row r="931">
      <c r="A931" s="66"/>
      <c r="B931" s="66"/>
      <c r="C931" s="66"/>
      <c r="D931" s="66"/>
      <c r="G931" s="67"/>
      <c r="S931" s="66"/>
      <c r="V931" s="67"/>
    </row>
    <row r="932">
      <c r="A932" s="66"/>
      <c r="B932" s="66"/>
      <c r="C932" s="66"/>
      <c r="D932" s="66"/>
      <c r="G932" s="67"/>
      <c r="S932" s="66"/>
      <c r="V932" s="67"/>
    </row>
    <row r="933">
      <c r="A933" s="66"/>
      <c r="B933" s="66"/>
      <c r="C933" s="66"/>
      <c r="D933" s="66"/>
      <c r="G933" s="67"/>
      <c r="S933" s="66"/>
      <c r="V933" s="67"/>
    </row>
    <row r="934">
      <c r="A934" s="66"/>
      <c r="B934" s="66"/>
      <c r="C934" s="66"/>
      <c r="D934" s="66"/>
      <c r="G934" s="67"/>
      <c r="S934" s="66"/>
      <c r="V934" s="67"/>
    </row>
    <row r="935">
      <c r="A935" s="66"/>
      <c r="B935" s="66"/>
      <c r="C935" s="66"/>
      <c r="D935" s="66"/>
      <c r="G935" s="67"/>
      <c r="S935" s="66"/>
      <c r="V935" s="67"/>
    </row>
    <row r="936">
      <c r="A936" s="66"/>
      <c r="B936" s="66"/>
      <c r="C936" s="66"/>
      <c r="D936" s="66"/>
      <c r="G936" s="67"/>
      <c r="S936" s="66"/>
      <c r="V936" s="67"/>
    </row>
    <row r="937">
      <c r="A937" s="66"/>
      <c r="B937" s="66"/>
      <c r="C937" s="66"/>
      <c r="D937" s="66"/>
      <c r="G937" s="67"/>
      <c r="S937" s="66"/>
      <c r="V937" s="67"/>
    </row>
    <row r="938">
      <c r="A938" s="66"/>
      <c r="B938" s="66"/>
      <c r="C938" s="66"/>
      <c r="D938" s="66"/>
      <c r="G938" s="67"/>
      <c r="S938" s="66"/>
      <c r="V938" s="67"/>
    </row>
    <row r="939">
      <c r="A939" s="66"/>
      <c r="B939" s="66"/>
      <c r="C939" s="66"/>
      <c r="D939" s="66"/>
      <c r="G939" s="67"/>
      <c r="S939" s="66"/>
      <c r="V939" s="67"/>
    </row>
    <row r="940">
      <c r="A940" s="66"/>
      <c r="B940" s="66"/>
      <c r="C940" s="66"/>
      <c r="D940" s="66"/>
      <c r="G940" s="67"/>
      <c r="S940" s="66"/>
      <c r="V940" s="67"/>
    </row>
    <row r="941">
      <c r="A941" s="66"/>
      <c r="B941" s="66"/>
      <c r="C941" s="66"/>
      <c r="D941" s="66"/>
      <c r="G941" s="67"/>
      <c r="S941" s="66"/>
      <c r="V941" s="67"/>
    </row>
    <row r="942">
      <c r="A942" s="66"/>
      <c r="B942" s="66"/>
      <c r="C942" s="66"/>
      <c r="D942" s="66"/>
      <c r="G942" s="67"/>
      <c r="S942" s="66"/>
      <c r="V942" s="67"/>
    </row>
    <row r="943">
      <c r="A943" s="66"/>
      <c r="B943" s="66"/>
      <c r="C943" s="66"/>
      <c r="D943" s="66"/>
      <c r="G943" s="67"/>
      <c r="S943" s="66"/>
      <c r="V943" s="67"/>
    </row>
    <row r="944">
      <c r="A944" s="66"/>
      <c r="B944" s="66"/>
      <c r="C944" s="66"/>
      <c r="D944" s="66"/>
      <c r="G944" s="67"/>
      <c r="S944" s="66"/>
      <c r="V944" s="67"/>
    </row>
    <row r="945">
      <c r="A945" s="66"/>
      <c r="B945" s="66"/>
      <c r="C945" s="66"/>
      <c r="D945" s="66"/>
      <c r="G945" s="67"/>
      <c r="S945" s="66"/>
      <c r="V945" s="67"/>
    </row>
    <row r="946">
      <c r="A946" s="66"/>
      <c r="B946" s="66"/>
      <c r="C946" s="66"/>
      <c r="D946" s="66"/>
      <c r="G946" s="67"/>
      <c r="S946" s="66"/>
      <c r="V946" s="67"/>
    </row>
    <row r="947">
      <c r="A947" s="66"/>
      <c r="B947" s="66"/>
      <c r="C947" s="66"/>
      <c r="D947" s="66"/>
      <c r="G947" s="67"/>
      <c r="S947" s="66"/>
      <c r="V947" s="67"/>
    </row>
    <row r="948">
      <c r="A948" s="66"/>
      <c r="B948" s="66"/>
      <c r="C948" s="66"/>
      <c r="D948" s="66"/>
      <c r="G948" s="67"/>
      <c r="S948" s="66"/>
      <c r="V948" s="67"/>
    </row>
    <row r="949">
      <c r="A949" s="66"/>
      <c r="B949" s="66"/>
      <c r="C949" s="66"/>
      <c r="D949" s="66"/>
      <c r="G949" s="67"/>
      <c r="S949" s="66"/>
      <c r="V949" s="67"/>
    </row>
    <row r="950">
      <c r="A950" s="66"/>
      <c r="B950" s="66"/>
      <c r="C950" s="66"/>
      <c r="D950" s="66"/>
      <c r="G950" s="67"/>
      <c r="S950" s="66"/>
      <c r="V950" s="67"/>
    </row>
    <row r="951">
      <c r="A951" s="66"/>
      <c r="B951" s="66"/>
      <c r="C951" s="66"/>
      <c r="D951" s="66"/>
      <c r="G951" s="67"/>
      <c r="S951" s="66"/>
      <c r="V951" s="67"/>
    </row>
    <row r="952">
      <c r="A952" s="66"/>
      <c r="B952" s="66"/>
      <c r="C952" s="66"/>
      <c r="D952" s="66"/>
      <c r="G952" s="67"/>
      <c r="S952" s="66"/>
      <c r="V952" s="67"/>
    </row>
    <row r="953">
      <c r="A953" s="66"/>
      <c r="B953" s="66"/>
      <c r="C953" s="66"/>
      <c r="D953" s="66"/>
      <c r="G953" s="67"/>
      <c r="S953" s="66"/>
      <c r="V953" s="67"/>
    </row>
    <row r="954">
      <c r="A954" s="66"/>
      <c r="B954" s="66"/>
      <c r="C954" s="66"/>
      <c r="D954" s="66"/>
      <c r="G954" s="67"/>
      <c r="S954" s="66"/>
      <c r="V954" s="67"/>
    </row>
    <row r="955">
      <c r="A955" s="66"/>
      <c r="B955" s="66"/>
      <c r="C955" s="66"/>
      <c r="D955" s="66"/>
      <c r="G955" s="67"/>
      <c r="S955" s="66"/>
      <c r="V955" s="67"/>
    </row>
    <row r="956">
      <c r="A956" s="66"/>
      <c r="B956" s="66"/>
      <c r="C956" s="66"/>
      <c r="D956" s="66"/>
      <c r="G956" s="67"/>
      <c r="S956" s="66"/>
      <c r="V956" s="67"/>
    </row>
    <row r="957">
      <c r="A957" s="66"/>
      <c r="B957" s="66"/>
      <c r="C957" s="66"/>
      <c r="D957" s="66"/>
      <c r="G957" s="67"/>
      <c r="S957" s="66"/>
      <c r="V957" s="67"/>
    </row>
    <row r="958">
      <c r="A958" s="66"/>
      <c r="B958" s="66"/>
      <c r="C958" s="66"/>
      <c r="D958" s="66"/>
      <c r="G958" s="67"/>
      <c r="S958" s="66"/>
      <c r="V958" s="67"/>
    </row>
    <row r="959">
      <c r="A959" s="66"/>
      <c r="B959" s="66"/>
      <c r="C959" s="66"/>
      <c r="D959" s="66"/>
      <c r="G959" s="67"/>
      <c r="S959" s="66"/>
      <c r="V959" s="67"/>
    </row>
    <row r="960">
      <c r="A960" s="66"/>
      <c r="B960" s="66"/>
      <c r="C960" s="66"/>
      <c r="D960" s="66"/>
      <c r="G960" s="67"/>
      <c r="S960" s="66"/>
      <c r="V960" s="67"/>
    </row>
    <row r="961">
      <c r="A961" s="66"/>
      <c r="B961" s="66"/>
      <c r="C961" s="66"/>
      <c r="D961" s="66"/>
      <c r="G961" s="67"/>
      <c r="S961" s="66"/>
      <c r="V961" s="67"/>
    </row>
    <row r="962">
      <c r="A962" s="66"/>
      <c r="B962" s="66"/>
      <c r="C962" s="66"/>
      <c r="D962" s="66"/>
      <c r="G962" s="67"/>
      <c r="S962" s="66"/>
      <c r="V962" s="67"/>
    </row>
    <row r="963">
      <c r="A963" s="66"/>
      <c r="B963" s="66"/>
      <c r="C963" s="66"/>
      <c r="D963" s="66"/>
      <c r="G963" s="67"/>
      <c r="S963" s="66"/>
      <c r="V963" s="67"/>
    </row>
    <row r="964">
      <c r="A964" s="66"/>
      <c r="B964" s="66"/>
      <c r="C964" s="66"/>
      <c r="D964" s="66"/>
      <c r="G964" s="67"/>
      <c r="S964" s="66"/>
      <c r="V964" s="67"/>
    </row>
    <row r="965">
      <c r="A965" s="66"/>
      <c r="B965" s="66"/>
      <c r="C965" s="66"/>
      <c r="D965" s="66"/>
      <c r="G965" s="67"/>
      <c r="S965" s="66"/>
      <c r="V965" s="67"/>
    </row>
    <row r="966">
      <c r="A966" s="66"/>
      <c r="B966" s="66"/>
      <c r="C966" s="66"/>
      <c r="D966" s="66"/>
      <c r="G966" s="67"/>
      <c r="S966" s="66"/>
      <c r="V966" s="67"/>
    </row>
    <row r="967">
      <c r="A967" s="66"/>
      <c r="B967" s="66"/>
      <c r="C967" s="66"/>
      <c r="D967" s="66"/>
      <c r="G967" s="67"/>
      <c r="S967" s="66"/>
      <c r="V967" s="67"/>
    </row>
    <row r="968">
      <c r="A968" s="66"/>
      <c r="B968" s="66"/>
      <c r="C968" s="66"/>
      <c r="D968" s="66"/>
      <c r="G968" s="67"/>
      <c r="S968" s="66"/>
      <c r="V968" s="67"/>
    </row>
    <row r="969">
      <c r="A969" s="66"/>
      <c r="B969" s="66"/>
      <c r="C969" s="66"/>
      <c r="D969" s="66"/>
      <c r="G969" s="67"/>
      <c r="S969" s="66"/>
      <c r="V969" s="67"/>
    </row>
    <row r="970">
      <c r="A970" s="66"/>
      <c r="B970" s="66"/>
      <c r="C970" s="66"/>
      <c r="D970" s="66"/>
      <c r="G970" s="67"/>
      <c r="S970" s="66"/>
      <c r="V970" s="67"/>
    </row>
    <row r="971">
      <c r="A971" s="66"/>
      <c r="B971" s="66"/>
      <c r="C971" s="66"/>
      <c r="D971" s="66"/>
      <c r="G971" s="67"/>
      <c r="S971" s="66"/>
      <c r="V971" s="67"/>
    </row>
    <row r="972">
      <c r="A972" s="66"/>
      <c r="B972" s="66"/>
      <c r="C972" s="66"/>
      <c r="D972" s="66"/>
      <c r="G972" s="67"/>
      <c r="S972" s="66"/>
      <c r="V972" s="67"/>
    </row>
    <row r="973">
      <c r="A973" s="66"/>
      <c r="B973" s="66"/>
      <c r="C973" s="66"/>
      <c r="D973" s="66"/>
      <c r="G973" s="67"/>
      <c r="S973" s="66"/>
      <c r="V973" s="67"/>
    </row>
    <row r="974">
      <c r="A974" s="66"/>
      <c r="B974" s="66"/>
      <c r="C974" s="66"/>
      <c r="D974" s="66"/>
      <c r="G974" s="67"/>
      <c r="S974" s="66"/>
      <c r="V974" s="67"/>
    </row>
    <row r="975">
      <c r="A975" s="66"/>
      <c r="B975" s="66"/>
      <c r="C975" s="66"/>
      <c r="D975" s="66"/>
      <c r="G975" s="67"/>
      <c r="S975" s="66"/>
      <c r="V975" s="67"/>
    </row>
    <row r="976">
      <c r="A976" s="66"/>
      <c r="B976" s="66"/>
      <c r="C976" s="66"/>
      <c r="D976" s="66"/>
      <c r="G976" s="67"/>
      <c r="S976" s="66"/>
      <c r="V976" s="67"/>
    </row>
    <row r="977">
      <c r="A977" s="66"/>
      <c r="B977" s="66"/>
      <c r="C977" s="66"/>
      <c r="D977" s="66"/>
      <c r="G977" s="67"/>
      <c r="S977" s="66"/>
      <c r="V977" s="67"/>
    </row>
    <row r="978">
      <c r="A978" s="66"/>
      <c r="B978" s="66"/>
      <c r="C978" s="66"/>
      <c r="D978" s="66"/>
      <c r="G978" s="67"/>
      <c r="S978" s="66"/>
      <c r="V978" s="67"/>
    </row>
    <row r="979">
      <c r="A979" s="66"/>
      <c r="B979" s="66"/>
      <c r="C979" s="66"/>
      <c r="D979" s="66"/>
      <c r="G979" s="67"/>
      <c r="S979" s="66"/>
      <c r="V979" s="67"/>
    </row>
    <row r="980">
      <c r="A980" s="66"/>
      <c r="B980" s="66"/>
      <c r="C980" s="66"/>
      <c r="D980" s="66"/>
      <c r="G980" s="67"/>
      <c r="S980" s="66"/>
      <c r="V980" s="67"/>
    </row>
    <row r="981">
      <c r="A981" s="66"/>
      <c r="B981" s="66"/>
      <c r="C981" s="66"/>
      <c r="D981" s="66"/>
      <c r="G981" s="67"/>
      <c r="S981" s="66"/>
      <c r="V981" s="67"/>
    </row>
    <row r="982">
      <c r="A982" s="66"/>
      <c r="B982" s="66"/>
      <c r="C982" s="66"/>
      <c r="D982" s="66"/>
      <c r="G982" s="67"/>
      <c r="S982" s="66"/>
      <c r="V982" s="67"/>
    </row>
    <row r="983">
      <c r="A983" s="66"/>
      <c r="B983" s="66"/>
      <c r="C983" s="66"/>
      <c r="D983" s="66"/>
      <c r="G983" s="67"/>
      <c r="S983" s="66"/>
      <c r="V983" s="67"/>
    </row>
    <row r="984">
      <c r="A984" s="66"/>
      <c r="B984" s="66"/>
      <c r="C984" s="66"/>
      <c r="D984" s="66"/>
      <c r="G984" s="67"/>
      <c r="S984" s="66"/>
      <c r="V984" s="67"/>
    </row>
    <row r="985">
      <c r="A985" s="66"/>
      <c r="B985" s="66"/>
      <c r="C985" s="66"/>
      <c r="D985" s="66"/>
      <c r="G985" s="67"/>
      <c r="S985" s="66"/>
      <c r="V985" s="67"/>
    </row>
    <row r="986">
      <c r="A986" s="66"/>
      <c r="B986" s="66"/>
      <c r="C986" s="66"/>
      <c r="D986" s="66"/>
      <c r="G986" s="67"/>
      <c r="S986" s="66"/>
      <c r="V986" s="67"/>
    </row>
    <row r="987">
      <c r="A987" s="66"/>
      <c r="B987" s="66"/>
      <c r="C987" s="66"/>
      <c r="D987" s="66"/>
      <c r="G987" s="67"/>
      <c r="S987" s="66"/>
      <c r="V987" s="67"/>
    </row>
    <row r="988">
      <c r="A988" s="66"/>
      <c r="B988" s="66"/>
      <c r="C988" s="66"/>
      <c r="D988" s="66"/>
      <c r="G988" s="67"/>
      <c r="S988" s="66"/>
      <c r="V988" s="67"/>
    </row>
    <row r="989">
      <c r="A989" s="66"/>
      <c r="B989" s="66"/>
      <c r="C989" s="66"/>
      <c r="D989" s="66"/>
      <c r="G989" s="67"/>
      <c r="S989" s="66"/>
      <c r="V989" s="67"/>
    </row>
    <row r="990">
      <c r="A990" s="66"/>
      <c r="B990" s="66"/>
      <c r="C990" s="66"/>
      <c r="D990" s="66"/>
      <c r="G990" s="67"/>
      <c r="S990" s="66"/>
      <c r="V990" s="67"/>
    </row>
    <row r="991">
      <c r="A991" s="66"/>
      <c r="B991" s="66"/>
      <c r="C991" s="66"/>
      <c r="D991" s="66"/>
      <c r="G991" s="67"/>
      <c r="S991" s="66"/>
      <c r="V991" s="67"/>
    </row>
    <row r="992">
      <c r="A992" s="66"/>
      <c r="B992" s="66"/>
      <c r="C992" s="66"/>
      <c r="D992" s="66"/>
      <c r="G992" s="67"/>
      <c r="S992" s="66"/>
      <c r="V992" s="67"/>
    </row>
    <row r="993">
      <c r="A993" s="66"/>
      <c r="B993" s="66"/>
      <c r="C993" s="66"/>
      <c r="D993" s="66"/>
      <c r="G993" s="67"/>
      <c r="S993" s="66"/>
      <c r="V993" s="67"/>
    </row>
    <row r="994">
      <c r="A994" s="66"/>
      <c r="B994" s="66"/>
      <c r="C994" s="66"/>
      <c r="D994" s="66"/>
      <c r="G994" s="67"/>
      <c r="S994" s="66"/>
      <c r="V994" s="67"/>
    </row>
    <row r="995">
      <c r="A995" s="66"/>
      <c r="B995" s="66"/>
      <c r="C995" s="66"/>
      <c r="D995" s="66"/>
      <c r="G995" s="67"/>
      <c r="S995" s="66"/>
      <c r="V995" s="67"/>
    </row>
    <row r="996">
      <c r="A996" s="66"/>
      <c r="B996" s="66"/>
      <c r="C996" s="66"/>
      <c r="D996" s="66"/>
      <c r="G996" s="67"/>
      <c r="S996" s="66"/>
      <c r="V996" s="67"/>
    </row>
    <row r="997">
      <c r="A997" s="66"/>
      <c r="B997" s="66"/>
      <c r="C997" s="66"/>
      <c r="D997" s="66"/>
      <c r="G997" s="67"/>
      <c r="S997" s="66"/>
      <c r="V997" s="67"/>
    </row>
    <row r="998">
      <c r="A998" s="66"/>
      <c r="B998" s="66"/>
      <c r="C998" s="66"/>
      <c r="D998" s="66"/>
      <c r="G998" s="67"/>
      <c r="S998" s="66"/>
      <c r="V998" s="67"/>
    </row>
    <row r="999">
      <c r="A999" s="66"/>
      <c r="B999" s="66"/>
      <c r="C999" s="66"/>
      <c r="D999" s="66"/>
      <c r="G999" s="67"/>
      <c r="S999" s="66"/>
      <c r="V999" s="67"/>
    </row>
    <row r="1000">
      <c r="A1000" s="66"/>
      <c r="B1000" s="66"/>
      <c r="C1000" s="66"/>
      <c r="D1000" s="66"/>
      <c r="G1000" s="67"/>
      <c r="S1000" s="66"/>
      <c r="V1000" s="67"/>
    </row>
    <row r="1001">
      <c r="A1001" s="66"/>
      <c r="B1001" s="66"/>
      <c r="C1001" s="66"/>
      <c r="D1001" s="66"/>
      <c r="G1001" s="67"/>
      <c r="S1001" s="66"/>
      <c r="V1001" s="67"/>
    </row>
  </sheetData>
  <mergeCells count="4">
    <mergeCell ref="A1:D1"/>
    <mergeCell ref="F1:M1"/>
    <mergeCell ref="O1:T1"/>
    <mergeCell ref="V1:AB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15.0"/>
    <col customWidth="1" min="3" max="3" width="15.38"/>
    <col customWidth="1" min="4" max="4" width="174.75"/>
    <col customWidth="1" min="6" max="6" width="5.0"/>
    <col customWidth="1" min="7" max="7" width="15.63"/>
    <col customWidth="1" min="8" max="8" width="44.13"/>
    <col customWidth="1" min="15" max="15" width="14.75"/>
    <col customWidth="1" min="16" max="16" width="21.38"/>
    <col customWidth="1" min="17" max="17" width="104.75"/>
    <col customWidth="1" min="18" max="18" width="43.38"/>
    <col customWidth="1" min="22" max="22" width="5.0"/>
    <col customWidth="1" min="23" max="23" width="26.38"/>
    <col customWidth="1" min="24" max="24" width="117.25"/>
    <col customWidth="1" min="25" max="25" width="74.63"/>
    <col customWidth="1" min="26" max="26" width="12.13"/>
    <col customWidth="1" min="27" max="27" width="11.13"/>
  </cols>
  <sheetData>
    <row r="1">
      <c r="A1" s="1" t="s">
        <v>0</v>
      </c>
      <c r="B1" s="2"/>
      <c r="C1" s="2"/>
      <c r="D1" s="3"/>
      <c r="F1" s="4" t="s">
        <v>1</v>
      </c>
      <c r="G1" s="2"/>
      <c r="H1" s="2"/>
      <c r="I1" s="2"/>
      <c r="J1" s="2"/>
      <c r="K1" s="2"/>
      <c r="L1" s="2"/>
      <c r="M1" s="3"/>
      <c r="O1" s="5" t="s">
        <v>2</v>
      </c>
      <c r="P1" s="2"/>
      <c r="Q1" s="2"/>
      <c r="R1" s="2"/>
      <c r="S1" s="2"/>
      <c r="T1" s="3"/>
      <c r="V1" s="5" t="s">
        <v>3</v>
      </c>
      <c r="W1" s="2"/>
      <c r="X1" s="2"/>
      <c r="Y1" s="2"/>
      <c r="Z1" s="2"/>
      <c r="AA1" s="2"/>
      <c r="AB1" s="3"/>
    </row>
    <row r="2">
      <c r="A2" s="6" t="s">
        <v>4</v>
      </c>
      <c r="B2" s="6" t="s">
        <v>5</v>
      </c>
      <c r="C2" s="6" t="s">
        <v>6</v>
      </c>
      <c r="D2" s="6" t="s">
        <v>8</v>
      </c>
      <c r="F2" s="8" t="s">
        <v>4</v>
      </c>
      <c r="G2" s="9" t="s">
        <v>9</v>
      </c>
      <c r="H2" s="8" t="s">
        <v>11</v>
      </c>
      <c r="I2" s="8" t="s">
        <v>12</v>
      </c>
      <c r="J2" s="8" t="s">
        <v>13</v>
      </c>
      <c r="K2" s="8" t="s">
        <v>14</v>
      </c>
      <c r="L2" s="8" t="s">
        <v>15</v>
      </c>
      <c r="M2" s="8" t="s">
        <v>16</v>
      </c>
      <c r="O2" s="10" t="s">
        <v>17</v>
      </c>
      <c r="P2" s="10"/>
      <c r="Q2" s="10"/>
      <c r="R2" s="10"/>
      <c r="S2" s="12" t="s">
        <v>24</v>
      </c>
      <c r="T2" s="12" t="s">
        <v>25</v>
      </c>
      <c r="V2" s="10" t="s">
        <v>4</v>
      </c>
      <c r="W2" s="10" t="s">
        <v>26</v>
      </c>
      <c r="X2" s="10" t="s">
        <v>20</v>
      </c>
      <c r="Y2" s="10" t="s">
        <v>22</v>
      </c>
      <c r="Z2" s="12" t="s">
        <v>24</v>
      </c>
      <c r="AA2" s="12" t="s">
        <v>25</v>
      </c>
      <c r="AB2" s="12" t="s">
        <v>27</v>
      </c>
    </row>
    <row r="3">
      <c r="A3" s="13">
        <v>1.0</v>
      </c>
      <c r="B3" s="13">
        <v>12.0</v>
      </c>
      <c r="C3" s="13">
        <v>24.0</v>
      </c>
      <c r="D3" s="14" t="s">
        <v>1289</v>
      </c>
      <c r="F3" s="15">
        <v>1.0</v>
      </c>
      <c r="G3" s="16">
        <f t="shared" ref="G3:G6" si="1">+2</f>
        <v>2</v>
      </c>
      <c r="H3" s="15" t="s">
        <v>1290</v>
      </c>
      <c r="I3" s="15">
        <v>2.0</v>
      </c>
      <c r="J3" s="15" t="s">
        <v>42</v>
      </c>
      <c r="K3" s="15" t="s">
        <v>42</v>
      </c>
      <c r="L3" s="15" t="s">
        <v>42</v>
      </c>
      <c r="M3" s="15" t="s">
        <v>42</v>
      </c>
      <c r="O3" s="17">
        <v>1.0</v>
      </c>
      <c r="P3" s="18" t="s">
        <v>709</v>
      </c>
      <c r="Q3" s="19" t="s">
        <v>1291</v>
      </c>
      <c r="R3" s="20"/>
      <c r="S3" s="21"/>
      <c r="T3" s="21"/>
      <c r="V3" s="22">
        <v>1.0</v>
      </c>
      <c r="W3" s="24" t="s">
        <v>1290</v>
      </c>
      <c r="X3" s="25" t="s">
        <v>1292</v>
      </c>
      <c r="Y3" s="25" t="s">
        <v>1293</v>
      </c>
      <c r="Z3" s="22">
        <v>12.0</v>
      </c>
      <c r="AA3" s="22">
        <v>1.0</v>
      </c>
      <c r="AB3" s="103" t="s">
        <v>1294</v>
      </c>
    </row>
    <row r="4">
      <c r="A4" s="27">
        <v>2.0</v>
      </c>
      <c r="B4" s="28">
        <v>12.0</v>
      </c>
      <c r="C4" s="27">
        <v>24.0</v>
      </c>
      <c r="D4" s="28" t="s">
        <v>1295</v>
      </c>
      <c r="F4" s="29">
        <v>2.0</v>
      </c>
      <c r="G4" s="30">
        <f t="shared" si="1"/>
        <v>2</v>
      </c>
      <c r="H4" s="29" t="s">
        <v>1296</v>
      </c>
      <c r="I4" s="29">
        <v>3.0</v>
      </c>
      <c r="J4" s="29" t="s">
        <v>42</v>
      </c>
      <c r="K4" s="29" t="s">
        <v>42</v>
      </c>
      <c r="L4" s="29" t="s">
        <v>42</v>
      </c>
      <c r="M4" s="29" t="s">
        <v>42</v>
      </c>
      <c r="O4" s="53">
        <v>1.0</v>
      </c>
      <c r="P4" s="32" t="s">
        <v>370</v>
      </c>
      <c r="Q4" s="33" t="s">
        <v>1297</v>
      </c>
      <c r="R4" s="34"/>
      <c r="S4" s="35"/>
      <c r="T4" s="35"/>
      <c r="V4" s="53" t="s">
        <v>1298</v>
      </c>
      <c r="W4" s="113"/>
      <c r="X4" s="38" t="s">
        <v>1299</v>
      </c>
      <c r="Y4" s="38" t="s">
        <v>1300</v>
      </c>
      <c r="Z4" s="36">
        <v>4.0</v>
      </c>
      <c r="AA4" s="36">
        <v>1.0</v>
      </c>
      <c r="AB4" s="103" t="s">
        <v>1301</v>
      </c>
    </row>
    <row r="5">
      <c r="A5" s="13">
        <v>3.0</v>
      </c>
      <c r="B5" s="14">
        <v>12.0</v>
      </c>
      <c r="C5" s="13">
        <v>24.0</v>
      </c>
      <c r="D5" s="14" t="s">
        <v>1302</v>
      </c>
      <c r="F5" s="15">
        <v>3.0</v>
      </c>
      <c r="G5" s="16">
        <f t="shared" si="1"/>
        <v>2</v>
      </c>
      <c r="H5" s="15" t="s">
        <v>1303</v>
      </c>
      <c r="I5" s="15">
        <v>4.0</v>
      </c>
      <c r="J5" s="15">
        <v>2.0</v>
      </c>
      <c r="K5" s="15" t="s">
        <v>42</v>
      </c>
      <c r="L5" s="15" t="s">
        <v>42</v>
      </c>
      <c r="M5" s="15" t="s">
        <v>42</v>
      </c>
      <c r="O5" s="53">
        <v>1.0</v>
      </c>
      <c r="P5" s="32" t="s">
        <v>735</v>
      </c>
      <c r="Q5" s="33" t="s">
        <v>1304</v>
      </c>
      <c r="R5" s="34"/>
      <c r="S5" s="35"/>
      <c r="T5" s="35"/>
      <c r="V5" s="39">
        <v>2.0</v>
      </c>
      <c r="W5" s="40" t="s">
        <v>1296</v>
      </c>
      <c r="X5" s="41" t="s">
        <v>1305</v>
      </c>
      <c r="Y5" s="41" t="s">
        <v>1306</v>
      </c>
      <c r="Z5" s="39">
        <v>2.0</v>
      </c>
      <c r="AA5" s="39">
        <v>2.0</v>
      </c>
      <c r="AB5" s="103" t="s">
        <v>1307</v>
      </c>
    </row>
    <row r="6">
      <c r="A6" s="27">
        <v>4.0</v>
      </c>
      <c r="B6" s="28">
        <v>12.0</v>
      </c>
      <c r="C6" s="27">
        <v>24.0</v>
      </c>
      <c r="D6" s="28" t="s">
        <v>1308</v>
      </c>
      <c r="F6" s="29">
        <v>4.0</v>
      </c>
      <c r="G6" s="30">
        <f t="shared" si="1"/>
        <v>2</v>
      </c>
      <c r="H6" s="29" t="s">
        <v>76</v>
      </c>
      <c r="I6" s="29">
        <v>4.0</v>
      </c>
      <c r="J6" s="29">
        <v>2.0</v>
      </c>
      <c r="K6" s="29" t="s">
        <v>42</v>
      </c>
      <c r="L6" s="29" t="s">
        <v>42</v>
      </c>
      <c r="M6" s="29" t="s">
        <v>42</v>
      </c>
      <c r="O6" s="53">
        <v>2.0</v>
      </c>
      <c r="P6" s="32" t="s">
        <v>1309</v>
      </c>
      <c r="Q6" s="33" t="s">
        <v>1310</v>
      </c>
      <c r="R6" s="34"/>
      <c r="S6" s="35"/>
      <c r="T6" s="35"/>
      <c r="V6" s="50" t="s">
        <v>1298</v>
      </c>
      <c r="W6" s="113"/>
      <c r="X6" s="41" t="s">
        <v>1311</v>
      </c>
      <c r="Y6" s="41" t="s">
        <v>1312</v>
      </c>
      <c r="Z6" s="39">
        <v>6.0</v>
      </c>
      <c r="AA6" s="39">
        <v>1.0</v>
      </c>
      <c r="AB6" s="103" t="s">
        <v>42</v>
      </c>
    </row>
    <row r="7">
      <c r="A7" s="13">
        <v>5.0</v>
      </c>
      <c r="B7" s="14">
        <v>12.0</v>
      </c>
      <c r="C7" s="13">
        <v>36.0</v>
      </c>
      <c r="D7" s="14" t="s">
        <v>1313</v>
      </c>
      <c r="F7" s="15">
        <v>5.0</v>
      </c>
      <c r="G7" s="16">
        <f t="shared" ref="G7:G10" si="2">+3</f>
        <v>3</v>
      </c>
      <c r="H7" s="15" t="s">
        <v>1314</v>
      </c>
      <c r="I7" s="15">
        <v>4.0</v>
      </c>
      <c r="J7" s="15">
        <v>3.0</v>
      </c>
      <c r="K7" s="15">
        <v>1.0</v>
      </c>
      <c r="L7" s="15" t="s">
        <v>42</v>
      </c>
      <c r="M7" s="15" t="s">
        <v>42</v>
      </c>
      <c r="O7" s="53">
        <v>2.0</v>
      </c>
      <c r="P7" s="32" t="s">
        <v>1315</v>
      </c>
      <c r="Q7" s="33" t="s">
        <v>1316</v>
      </c>
      <c r="R7" s="34"/>
      <c r="S7" s="35"/>
      <c r="T7" s="35"/>
      <c r="V7" s="22">
        <v>3.0</v>
      </c>
      <c r="W7" s="24" t="s">
        <v>1303</v>
      </c>
      <c r="X7" s="25" t="s">
        <v>1317</v>
      </c>
      <c r="Y7" s="25" t="s">
        <v>1318</v>
      </c>
      <c r="Z7" s="22">
        <v>12.0</v>
      </c>
      <c r="AA7" s="22">
        <v>1.0</v>
      </c>
      <c r="AB7" s="103" t="s">
        <v>42</v>
      </c>
    </row>
    <row r="8">
      <c r="A8" s="27">
        <v>6.0</v>
      </c>
      <c r="B8" s="28">
        <v>12.0</v>
      </c>
      <c r="C8" s="27">
        <v>36.0</v>
      </c>
      <c r="D8" s="28" t="s">
        <v>1319</v>
      </c>
      <c r="F8" s="29">
        <v>6.0</v>
      </c>
      <c r="G8" s="30">
        <f t="shared" si="2"/>
        <v>3</v>
      </c>
      <c r="H8" s="29" t="s">
        <v>1320</v>
      </c>
      <c r="I8" s="29">
        <v>4.0</v>
      </c>
      <c r="J8" s="29">
        <v>3.0</v>
      </c>
      <c r="K8" s="29">
        <v>1.0</v>
      </c>
      <c r="L8" s="29" t="s">
        <v>42</v>
      </c>
      <c r="M8" s="29" t="s">
        <v>42</v>
      </c>
      <c r="O8" s="50">
        <v>2.0</v>
      </c>
      <c r="P8" s="45" t="s">
        <v>1321</v>
      </c>
      <c r="Q8" s="46" t="s">
        <v>1322</v>
      </c>
      <c r="R8" s="47"/>
      <c r="S8" s="48"/>
      <c r="T8" s="48"/>
      <c r="V8" s="53" t="s">
        <v>1298</v>
      </c>
      <c r="W8" s="113"/>
      <c r="X8" s="38" t="s">
        <v>1323</v>
      </c>
      <c r="Y8" s="38" t="s">
        <v>1324</v>
      </c>
      <c r="Z8" s="36"/>
      <c r="AA8" s="36"/>
      <c r="AB8" s="103" t="s">
        <v>1325</v>
      </c>
    </row>
    <row r="9">
      <c r="A9" s="13">
        <v>7.0</v>
      </c>
      <c r="B9" s="14">
        <v>12.0</v>
      </c>
      <c r="C9" s="13">
        <v>36.0</v>
      </c>
      <c r="D9" s="14" t="s">
        <v>1326</v>
      </c>
      <c r="F9" s="15">
        <v>7.0</v>
      </c>
      <c r="G9" s="16">
        <f t="shared" si="2"/>
        <v>3</v>
      </c>
      <c r="H9" s="15" t="s">
        <v>1327</v>
      </c>
      <c r="I9" s="15">
        <v>4.0</v>
      </c>
      <c r="J9" s="15">
        <v>3.0</v>
      </c>
      <c r="K9" s="15">
        <v>2.0</v>
      </c>
      <c r="L9" s="15" t="s">
        <v>42</v>
      </c>
      <c r="M9" s="15" t="s">
        <v>42</v>
      </c>
      <c r="O9" s="50">
        <v>3.0</v>
      </c>
      <c r="P9" s="45" t="s">
        <v>403</v>
      </c>
      <c r="Q9" s="46" t="s">
        <v>1328</v>
      </c>
      <c r="R9" s="47"/>
      <c r="S9" s="48"/>
      <c r="T9" s="48"/>
      <c r="V9" s="39">
        <v>4.0</v>
      </c>
      <c r="W9" s="40" t="s">
        <v>76</v>
      </c>
      <c r="X9" s="41" t="s">
        <v>116</v>
      </c>
      <c r="Y9" s="41" t="s">
        <v>1329</v>
      </c>
      <c r="Z9" s="39"/>
      <c r="AA9" s="39"/>
      <c r="AB9" s="103" t="s">
        <v>1330</v>
      </c>
    </row>
    <row r="10">
      <c r="A10" s="27">
        <v>8.0</v>
      </c>
      <c r="B10" s="28">
        <v>12.0</v>
      </c>
      <c r="C10" s="27">
        <v>36.0</v>
      </c>
      <c r="D10" s="28" t="s">
        <v>1308</v>
      </c>
      <c r="F10" s="29">
        <v>8.0</v>
      </c>
      <c r="G10" s="30">
        <f t="shared" si="2"/>
        <v>3</v>
      </c>
      <c r="H10" s="29" t="s">
        <v>76</v>
      </c>
      <c r="I10" s="29">
        <v>4.0</v>
      </c>
      <c r="J10" s="29">
        <v>3.0</v>
      </c>
      <c r="K10" s="29">
        <v>2.0</v>
      </c>
      <c r="L10" s="29" t="s">
        <v>42</v>
      </c>
      <c r="M10" s="29" t="s">
        <v>42</v>
      </c>
      <c r="O10" s="50">
        <v>3.0</v>
      </c>
      <c r="P10" s="45" t="s">
        <v>1331</v>
      </c>
      <c r="Q10" s="46" t="s">
        <v>1332</v>
      </c>
      <c r="R10" s="47"/>
      <c r="S10" s="48"/>
      <c r="T10" s="48"/>
      <c r="V10" s="39">
        <v>5.0</v>
      </c>
      <c r="W10" s="40" t="s">
        <v>1314</v>
      </c>
      <c r="X10" s="41" t="s">
        <v>1333</v>
      </c>
      <c r="Y10" s="41" t="s">
        <v>1334</v>
      </c>
      <c r="Z10" s="39" t="s">
        <v>1335</v>
      </c>
      <c r="AA10" s="39"/>
      <c r="AB10" s="103" t="s">
        <v>42</v>
      </c>
    </row>
    <row r="11">
      <c r="A11" s="13">
        <v>9.0</v>
      </c>
      <c r="B11" s="14">
        <v>12.0</v>
      </c>
      <c r="C11" s="13">
        <v>48.0</v>
      </c>
      <c r="D11" s="14" t="s">
        <v>1336</v>
      </c>
      <c r="F11" s="15">
        <v>9.0</v>
      </c>
      <c r="G11" s="16">
        <f t="shared" ref="G11:G14" si="3">+4</f>
        <v>4</v>
      </c>
      <c r="H11" s="15" t="s">
        <v>1337</v>
      </c>
      <c r="I11" s="15">
        <v>4.0</v>
      </c>
      <c r="J11" s="15">
        <v>3.0</v>
      </c>
      <c r="K11" s="15">
        <v>3.0</v>
      </c>
      <c r="L11" s="15">
        <v>1.0</v>
      </c>
      <c r="M11" s="15" t="s">
        <v>42</v>
      </c>
      <c r="O11" s="50">
        <v>4.0</v>
      </c>
      <c r="P11" s="45" t="s">
        <v>1338</v>
      </c>
      <c r="Q11" s="46" t="s">
        <v>1339</v>
      </c>
      <c r="R11" s="47"/>
      <c r="S11" s="48"/>
      <c r="T11" s="48"/>
      <c r="V11" s="22">
        <v>6.0</v>
      </c>
      <c r="W11" s="24" t="s">
        <v>1320</v>
      </c>
      <c r="X11" s="25" t="s">
        <v>1340</v>
      </c>
      <c r="Y11" s="25" t="s">
        <v>1341</v>
      </c>
      <c r="Z11" s="22"/>
      <c r="AA11" s="22"/>
      <c r="AB11" s="103" t="s">
        <v>1342</v>
      </c>
    </row>
    <row r="12">
      <c r="A12" s="27">
        <v>10.0</v>
      </c>
      <c r="B12" s="28">
        <v>12.0</v>
      </c>
      <c r="C12" s="27">
        <v>48.0</v>
      </c>
      <c r="D12" s="28" t="s">
        <v>1343</v>
      </c>
      <c r="F12" s="29">
        <v>10.0</v>
      </c>
      <c r="G12" s="30">
        <f t="shared" si="3"/>
        <v>4</v>
      </c>
      <c r="H12" s="29" t="s">
        <v>1344</v>
      </c>
      <c r="I12" s="29">
        <v>4.0</v>
      </c>
      <c r="J12" s="29">
        <v>3.0</v>
      </c>
      <c r="K12" s="29">
        <v>3.0</v>
      </c>
      <c r="L12" s="29">
        <v>1.0</v>
      </c>
      <c r="M12" s="29" t="s">
        <v>42</v>
      </c>
      <c r="O12" s="50">
        <v>4.0</v>
      </c>
      <c r="P12" s="45" t="s">
        <v>1345</v>
      </c>
      <c r="Q12" s="46" t="s">
        <v>1346</v>
      </c>
      <c r="R12" s="47"/>
      <c r="S12" s="48"/>
      <c r="T12" s="48"/>
      <c r="V12" s="36">
        <v>7.0</v>
      </c>
      <c r="W12" s="37" t="s">
        <v>1327</v>
      </c>
      <c r="X12" s="38" t="s">
        <v>1347</v>
      </c>
      <c r="Y12" s="38" t="s">
        <v>1348</v>
      </c>
      <c r="Z12" s="36">
        <v>6.0</v>
      </c>
      <c r="AA12" s="36">
        <v>1.0</v>
      </c>
      <c r="AB12" s="103" t="s">
        <v>1349</v>
      </c>
    </row>
    <row r="13">
      <c r="A13" s="13">
        <v>11.0</v>
      </c>
      <c r="B13" s="14">
        <v>12.0</v>
      </c>
      <c r="C13" s="13">
        <v>72.0</v>
      </c>
      <c r="D13" s="14" t="s">
        <v>1350</v>
      </c>
      <c r="F13" s="15">
        <v>11.0</v>
      </c>
      <c r="G13" s="16">
        <f t="shared" si="3"/>
        <v>4</v>
      </c>
      <c r="H13" s="15" t="s">
        <v>1351</v>
      </c>
      <c r="I13" s="15">
        <v>4.0</v>
      </c>
      <c r="J13" s="15">
        <v>3.0</v>
      </c>
      <c r="K13" s="15">
        <v>3.0</v>
      </c>
      <c r="L13" s="15">
        <v>2.0</v>
      </c>
      <c r="M13" s="15" t="s">
        <v>42</v>
      </c>
      <c r="O13" s="50">
        <v>5.0</v>
      </c>
      <c r="P13" s="45" t="s">
        <v>1352</v>
      </c>
      <c r="Q13" s="46" t="s">
        <v>1353</v>
      </c>
      <c r="R13" s="47"/>
      <c r="S13" s="48"/>
      <c r="T13" s="48"/>
      <c r="V13" s="50" t="s">
        <v>1298</v>
      </c>
      <c r="W13" s="113"/>
      <c r="X13" s="41" t="s">
        <v>1354</v>
      </c>
      <c r="Y13" s="41" t="s">
        <v>1348</v>
      </c>
      <c r="Z13" s="39">
        <v>6.0</v>
      </c>
      <c r="AA13" s="39">
        <v>1.0</v>
      </c>
      <c r="AB13" s="103" t="s">
        <v>1355</v>
      </c>
    </row>
    <row r="14">
      <c r="A14" s="27">
        <v>12.0</v>
      </c>
      <c r="B14" s="28">
        <v>12.0</v>
      </c>
      <c r="C14" s="27">
        <v>72.0</v>
      </c>
      <c r="D14" s="28" t="s">
        <v>1308</v>
      </c>
      <c r="F14" s="29">
        <v>12.0</v>
      </c>
      <c r="G14" s="30">
        <f t="shared" si="3"/>
        <v>4</v>
      </c>
      <c r="H14" s="29" t="s">
        <v>76</v>
      </c>
      <c r="I14" s="29">
        <v>4.0</v>
      </c>
      <c r="J14" s="29">
        <v>3.0</v>
      </c>
      <c r="K14" s="29">
        <v>3.0</v>
      </c>
      <c r="L14" s="29">
        <v>2.0</v>
      </c>
      <c r="M14" s="29" t="s">
        <v>42</v>
      </c>
      <c r="O14" s="53">
        <v>5.0</v>
      </c>
      <c r="P14" s="32" t="s">
        <v>770</v>
      </c>
      <c r="Q14" s="33" t="s">
        <v>1356</v>
      </c>
      <c r="R14" s="34"/>
      <c r="S14" s="35"/>
      <c r="T14" s="35"/>
      <c r="V14" s="39">
        <v>8.0</v>
      </c>
      <c r="W14" s="40" t="s">
        <v>76</v>
      </c>
      <c r="X14" s="41" t="s">
        <v>116</v>
      </c>
      <c r="Y14" s="41" t="s">
        <v>372</v>
      </c>
      <c r="Z14" s="39"/>
      <c r="AA14" s="39"/>
      <c r="AB14" s="103" t="s">
        <v>42</v>
      </c>
    </row>
    <row r="15">
      <c r="A15" s="13">
        <v>13.0</v>
      </c>
      <c r="B15" s="14">
        <v>12.0</v>
      </c>
      <c r="C15" s="13">
        <v>72.0</v>
      </c>
      <c r="D15" s="14" t="s">
        <v>1357</v>
      </c>
      <c r="F15" s="15">
        <v>13.0</v>
      </c>
      <c r="G15" s="16">
        <f t="shared" ref="G15:G18" si="4">+5</f>
        <v>5</v>
      </c>
      <c r="H15" s="15" t="s">
        <v>1358</v>
      </c>
      <c r="I15" s="15">
        <v>4.0</v>
      </c>
      <c r="J15" s="15">
        <v>3.0</v>
      </c>
      <c r="K15" s="15">
        <v>3.0</v>
      </c>
      <c r="L15" s="15">
        <v>2.0</v>
      </c>
      <c r="M15" s="15">
        <v>1.0</v>
      </c>
      <c r="O15" s="53"/>
      <c r="P15" s="32"/>
      <c r="Q15" s="33"/>
      <c r="R15" s="34"/>
      <c r="S15" s="35"/>
      <c r="T15" s="35"/>
      <c r="V15" s="22">
        <v>9.0</v>
      </c>
      <c r="W15" s="24" t="s">
        <v>1337</v>
      </c>
      <c r="X15" s="25" t="s">
        <v>1359</v>
      </c>
      <c r="Y15" s="25" t="s">
        <v>1360</v>
      </c>
      <c r="Z15" s="22" t="s">
        <v>1335</v>
      </c>
      <c r="AA15" s="22"/>
      <c r="AB15" s="103" t="s">
        <v>1307</v>
      </c>
    </row>
    <row r="16">
      <c r="A16" s="27">
        <v>14.0</v>
      </c>
      <c r="B16" s="28">
        <v>12.0</v>
      </c>
      <c r="C16" s="27">
        <v>72.0</v>
      </c>
      <c r="D16" s="28" t="s">
        <v>1361</v>
      </c>
      <c r="F16" s="29">
        <v>14.0</v>
      </c>
      <c r="G16" s="30">
        <f t="shared" si="4"/>
        <v>5</v>
      </c>
      <c r="H16" s="29" t="s">
        <v>773</v>
      </c>
      <c r="I16" s="29">
        <v>4.0</v>
      </c>
      <c r="J16" s="29">
        <v>3.0</v>
      </c>
      <c r="K16" s="29">
        <v>3.0</v>
      </c>
      <c r="L16" s="29">
        <v>3.0</v>
      </c>
      <c r="M16" s="29">
        <v>1.0</v>
      </c>
      <c r="O16" s="53"/>
      <c r="P16" s="32"/>
      <c r="Q16" s="33"/>
      <c r="R16" s="34"/>
      <c r="S16" s="35"/>
      <c r="T16" s="35"/>
      <c r="V16" s="53" t="s">
        <v>1298</v>
      </c>
      <c r="W16" s="113"/>
      <c r="X16" s="38" t="s">
        <v>1362</v>
      </c>
      <c r="Y16" s="38" t="s">
        <v>1363</v>
      </c>
      <c r="Z16" s="36">
        <v>12.0</v>
      </c>
      <c r="AA16" s="36">
        <v>2.0</v>
      </c>
      <c r="AB16" s="103" t="s">
        <v>1330</v>
      </c>
    </row>
    <row r="17">
      <c r="A17" s="13">
        <v>15.0</v>
      </c>
      <c r="B17" s="14">
        <v>12.0</v>
      </c>
      <c r="C17" s="13">
        <v>72.0</v>
      </c>
      <c r="D17" s="14" t="s">
        <v>1364</v>
      </c>
      <c r="F17" s="15">
        <v>15.0</v>
      </c>
      <c r="G17" s="16">
        <f t="shared" si="4"/>
        <v>5</v>
      </c>
      <c r="H17" s="15" t="s">
        <v>1365</v>
      </c>
      <c r="I17" s="15">
        <v>4.0</v>
      </c>
      <c r="J17" s="15">
        <v>3.0</v>
      </c>
      <c r="K17" s="15">
        <v>3.0</v>
      </c>
      <c r="L17" s="15">
        <v>3.0</v>
      </c>
      <c r="M17" s="15">
        <v>1.0</v>
      </c>
      <c r="O17" s="53"/>
      <c r="P17" s="32"/>
      <c r="Q17" s="33"/>
      <c r="R17" s="34"/>
      <c r="S17" s="35"/>
      <c r="T17" s="35"/>
      <c r="V17" s="39">
        <v>10.0</v>
      </c>
      <c r="W17" s="40" t="s">
        <v>1344</v>
      </c>
      <c r="X17" s="41" t="s">
        <v>1366</v>
      </c>
      <c r="Y17" s="41" t="s">
        <v>1367</v>
      </c>
      <c r="Z17" s="39">
        <v>1.0</v>
      </c>
      <c r="AA17" s="39">
        <v>6.0</v>
      </c>
      <c r="AB17" s="103" t="s">
        <v>1342</v>
      </c>
    </row>
    <row r="18">
      <c r="A18" s="27">
        <v>16.0</v>
      </c>
      <c r="B18" s="28">
        <v>12.0</v>
      </c>
      <c r="C18" s="27">
        <v>72.0</v>
      </c>
      <c r="D18" s="28" t="s">
        <v>1308</v>
      </c>
      <c r="F18" s="29">
        <v>16.0</v>
      </c>
      <c r="G18" s="30">
        <f t="shared" si="4"/>
        <v>5</v>
      </c>
      <c r="H18" s="29" t="s">
        <v>76</v>
      </c>
      <c r="I18" s="29">
        <v>4.0</v>
      </c>
      <c r="J18" s="29">
        <v>3.0</v>
      </c>
      <c r="K18" s="29">
        <v>3.0</v>
      </c>
      <c r="L18" s="29">
        <v>3.0</v>
      </c>
      <c r="M18" s="29">
        <v>2.0</v>
      </c>
      <c r="O18" s="53"/>
      <c r="P18" s="32"/>
      <c r="Q18" s="33"/>
      <c r="R18" s="34"/>
      <c r="S18" s="35"/>
      <c r="T18" s="35"/>
      <c r="V18" s="50" t="s">
        <v>1298</v>
      </c>
      <c r="W18" s="113"/>
      <c r="X18" s="41" t="s">
        <v>1368</v>
      </c>
      <c r="Y18" s="41" t="s">
        <v>1369</v>
      </c>
      <c r="Z18" s="39">
        <v>12.0</v>
      </c>
      <c r="AA18" s="39">
        <v>2.0</v>
      </c>
      <c r="AB18" s="103" t="s">
        <v>1370</v>
      </c>
    </row>
    <row r="19">
      <c r="A19" s="13">
        <v>17.0</v>
      </c>
      <c r="B19" s="14">
        <v>12.0</v>
      </c>
      <c r="C19" s="13">
        <v>84.0</v>
      </c>
      <c r="D19" s="14" t="s">
        <v>1371</v>
      </c>
      <c r="F19" s="15">
        <v>17.0</v>
      </c>
      <c r="G19" s="16">
        <f t="shared" ref="G19:G22" si="5">+6</f>
        <v>6</v>
      </c>
      <c r="H19" s="15" t="s">
        <v>1372</v>
      </c>
      <c r="I19" s="15">
        <v>4.0</v>
      </c>
      <c r="J19" s="15">
        <v>3.0</v>
      </c>
      <c r="K19" s="15">
        <v>3.0</v>
      </c>
      <c r="L19" s="15">
        <v>3.0</v>
      </c>
      <c r="M19" s="15">
        <v>2.0</v>
      </c>
      <c r="O19" s="50">
        <v>4.0</v>
      </c>
      <c r="P19" s="45"/>
      <c r="Q19" s="46"/>
      <c r="R19" s="47"/>
      <c r="S19" s="48"/>
      <c r="T19" s="48"/>
      <c r="V19" s="22">
        <v>11.0</v>
      </c>
      <c r="W19" s="24" t="s">
        <v>1351</v>
      </c>
      <c r="X19" s="25" t="s">
        <v>1373</v>
      </c>
      <c r="Y19" s="25" t="s">
        <v>1374</v>
      </c>
      <c r="Z19" s="22"/>
      <c r="AA19" s="22"/>
      <c r="AB19" s="103" t="s">
        <v>1342</v>
      </c>
    </row>
    <row r="20">
      <c r="A20" s="27">
        <v>18.0</v>
      </c>
      <c r="B20" s="28">
        <v>12.0</v>
      </c>
      <c r="C20" s="27">
        <v>84.0</v>
      </c>
      <c r="D20" s="28" t="s">
        <v>1375</v>
      </c>
      <c r="F20" s="29">
        <v>18.0</v>
      </c>
      <c r="G20" s="30">
        <f t="shared" si="5"/>
        <v>6</v>
      </c>
      <c r="H20" s="29" t="s">
        <v>773</v>
      </c>
      <c r="I20" s="29">
        <v>4.0</v>
      </c>
      <c r="J20" s="29">
        <v>3.0</v>
      </c>
      <c r="K20" s="29">
        <v>3.0</v>
      </c>
      <c r="L20" s="29">
        <v>3.0</v>
      </c>
      <c r="M20" s="29">
        <v>2.0</v>
      </c>
      <c r="O20" s="50"/>
      <c r="P20" s="45"/>
      <c r="Q20" s="46"/>
      <c r="R20" s="47"/>
      <c r="S20" s="48"/>
      <c r="T20" s="48"/>
      <c r="V20" s="36">
        <v>12.0</v>
      </c>
      <c r="W20" s="37" t="s">
        <v>76</v>
      </c>
      <c r="X20" s="38" t="s">
        <v>116</v>
      </c>
      <c r="Y20" s="38" t="s">
        <v>372</v>
      </c>
      <c r="Z20" s="36"/>
      <c r="AA20" s="36"/>
    </row>
    <row r="21">
      <c r="A21" s="13">
        <v>19.0</v>
      </c>
      <c r="B21" s="14">
        <v>12.0</v>
      </c>
      <c r="C21" s="13">
        <v>84.0</v>
      </c>
      <c r="D21" s="14" t="s">
        <v>1376</v>
      </c>
      <c r="F21" s="15">
        <v>19.0</v>
      </c>
      <c r="G21" s="16">
        <f t="shared" si="5"/>
        <v>6</v>
      </c>
      <c r="H21" s="15" t="s">
        <v>76</v>
      </c>
      <c r="I21" s="15">
        <v>4.0</v>
      </c>
      <c r="J21" s="15">
        <v>3.0</v>
      </c>
      <c r="K21" s="15">
        <v>3.0</v>
      </c>
      <c r="L21" s="15">
        <v>3.0</v>
      </c>
      <c r="M21" s="15">
        <v>2.0</v>
      </c>
      <c r="O21" s="50"/>
      <c r="P21" s="45"/>
      <c r="Q21" s="46"/>
      <c r="R21" s="47"/>
      <c r="S21" s="48"/>
      <c r="T21" s="48"/>
      <c r="V21" s="39">
        <v>13.0</v>
      </c>
      <c r="W21" s="40" t="s">
        <v>1358</v>
      </c>
      <c r="X21" s="41" t="s">
        <v>1377</v>
      </c>
      <c r="Y21" s="41" t="s">
        <v>1378</v>
      </c>
      <c r="Z21" s="39">
        <v>16.0</v>
      </c>
      <c r="AA21" s="39">
        <v>2.0</v>
      </c>
    </row>
    <row r="22">
      <c r="A22" s="60">
        <v>20.0</v>
      </c>
      <c r="B22" s="60">
        <v>12.0</v>
      </c>
      <c r="C22" s="60">
        <v>120.0</v>
      </c>
      <c r="D22" s="60" t="s">
        <v>1379</v>
      </c>
      <c r="F22" s="62">
        <v>20.0</v>
      </c>
      <c r="G22" s="63">
        <f t="shared" si="5"/>
        <v>6</v>
      </c>
      <c r="H22" s="62" t="s">
        <v>1380</v>
      </c>
      <c r="I22" s="62">
        <v>4.0</v>
      </c>
      <c r="J22" s="62">
        <v>3.0</v>
      </c>
      <c r="K22" s="62">
        <v>3.0</v>
      </c>
      <c r="L22" s="62">
        <v>3.0</v>
      </c>
      <c r="M22" s="62">
        <v>2.0</v>
      </c>
      <c r="O22" s="50"/>
      <c r="P22" s="45"/>
      <c r="Q22" s="46"/>
      <c r="R22" s="47"/>
      <c r="S22" s="48"/>
      <c r="T22" s="48"/>
      <c r="V22" s="50" t="s">
        <v>1298</v>
      </c>
      <c r="W22" s="113"/>
      <c r="X22" s="41" t="s">
        <v>1381</v>
      </c>
      <c r="Y22" s="41" t="s">
        <v>1382</v>
      </c>
      <c r="Z22" s="39">
        <v>1.0</v>
      </c>
      <c r="AA22" s="39"/>
    </row>
    <row r="23">
      <c r="A23" s="66"/>
      <c r="B23" s="66"/>
      <c r="C23" s="66"/>
      <c r="D23" s="66"/>
      <c r="G23" s="67"/>
      <c r="O23" s="53">
        <v>5.0</v>
      </c>
      <c r="P23" s="32"/>
      <c r="Q23" s="33"/>
      <c r="R23" s="34"/>
      <c r="S23" s="35"/>
      <c r="T23" s="35"/>
      <c r="V23" s="22">
        <v>14.0</v>
      </c>
      <c r="W23" s="24" t="s">
        <v>773</v>
      </c>
      <c r="X23" s="25" t="s">
        <v>1383</v>
      </c>
      <c r="Y23" s="25" t="s">
        <v>1384</v>
      </c>
      <c r="Z23" s="22"/>
      <c r="AA23" s="22"/>
    </row>
    <row r="24">
      <c r="A24" s="66"/>
      <c r="B24" s="66"/>
      <c r="C24" s="66"/>
      <c r="D24" s="66"/>
      <c r="G24" s="67"/>
      <c r="O24" s="53"/>
      <c r="P24" s="32"/>
      <c r="Q24" s="33"/>
      <c r="R24" s="34"/>
      <c r="S24" s="35"/>
      <c r="T24" s="35"/>
      <c r="V24" s="36">
        <v>15.0</v>
      </c>
      <c r="W24" s="37" t="s">
        <v>1365</v>
      </c>
      <c r="X24" s="38" t="s">
        <v>1385</v>
      </c>
      <c r="Y24" s="38" t="s">
        <v>1386</v>
      </c>
      <c r="Z24" s="36">
        <v>12.0</v>
      </c>
      <c r="AA24" s="36">
        <v>2.0</v>
      </c>
    </row>
    <row r="25">
      <c r="A25" s="66"/>
      <c r="B25" s="66"/>
      <c r="C25" s="66"/>
      <c r="D25" s="66"/>
      <c r="G25" s="67"/>
      <c r="O25" s="53"/>
      <c r="P25" s="32"/>
      <c r="Q25" s="33"/>
      <c r="R25" s="34"/>
      <c r="S25" s="35"/>
      <c r="T25" s="35"/>
      <c r="V25" s="50" t="s">
        <v>1298</v>
      </c>
      <c r="W25" s="113"/>
      <c r="X25" s="41" t="s">
        <v>1387</v>
      </c>
      <c r="Y25" s="41" t="s">
        <v>1388</v>
      </c>
      <c r="Z25" s="39">
        <v>18.0</v>
      </c>
      <c r="AA25" s="39">
        <v>3.0</v>
      </c>
    </row>
    <row r="26">
      <c r="A26" s="66"/>
      <c r="B26" s="66"/>
      <c r="C26" s="66"/>
      <c r="D26" s="66"/>
      <c r="G26" s="67"/>
      <c r="O26" s="53"/>
      <c r="P26" s="32"/>
      <c r="Q26" s="33"/>
      <c r="R26" s="34"/>
      <c r="S26" s="35"/>
      <c r="T26" s="35"/>
      <c r="V26" s="39">
        <v>16.0</v>
      </c>
      <c r="W26" s="40" t="s">
        <v>76</v>
      </c>
      <c r="X26" s="41" t="s">
        <v>116</v>
      </c>
      <c r="Y26" s="41" t="s">
        <v>372</v>
      </c>
      <c r="Z26" s="39"/>
      <c r="AA26" s="39"/>
    </row>
    <row r="27">
      <c r="A27" s="66"/>
      <c r="B27" s="66"/>
      <c r="C27" s="66"/>
      <c r="D27" s="66"/>
      <c r="G27" s="67"/>
      <c r="O27" s="71"/>
      <c r="P27" s="72"/>
      <c r="Q27" s="73"/>
      <c r="R27" s="74"/>
      <c r="S27" s="75"/>
      <c r="T27" s="75"/>
      <c r="V27" s="22">
        <v>17.0</v>
      </c>
      <c r="W27" s="24" t="s">
        <v>1389</v>
      </c>
      <c r="X27" s="25" t="s">
        <v>1390</v>
      </c>
      <c r="Y27" s="25" t="s">
        <v>1369</v>
      </c>
      <c r="Z27" s="22">
        <v>12.0</v>
      </c>
      <c r="AA27" s="22">
        <v>2.0</v>
      </c>
    </row>
    <row r="28">
      <c r="A28" s="66"/>
      <c r="B28" s="66"/>
      <c r="C28" s="66"/>
      <c r="D28" s="66"/>
      <c r="G28" s="67"/>
      <c r="P28" s="76"/>
      <c r="V28" s="36">
        <v>18.0</v>
      </c>
      <c r="W28" s="37" t="s">
        <v>1372</v>
      </c>
      <c r="X28" s="38" t="s">
        <v>1391</v>
      </c>
      <c r="Y28" s="38" t="s">
        <v>1392</v>
      </c>
      <c r="Z28" s="36"/>
      <c r="AA28" s="36"/>
    </row>
    <row r="29">
      <c r="A29" s="66"/>
      <c r="B29" s="66"/>
      <c r="C29" s="66"/>
      <c r="D29" s="66"/>
      <c r="G29" s="67"/>
      <c r="P29" s="77"/>
      <c r="V29" s="39">
        <v>19.0</v>
      </c>
      <c r="W29" s="40" t="s">
        <v>1393</v>
      </c>
      <c r="X29" s="41" t="s">
        <v>1394</v>
      </c>
      <c r="Y29" s="41" t="s">
        <v>1388</v>
      </c>
      <c r="Z29" s="39">
        <v>18.0</v>
      </c>
      <c r="AA29" s="39"/>
    </row>
    <row r="30">
      <c r="B30" s="66"/>
      <c r="C30" s="66"/>
      <c r="D30" s="66"/>
      <c r="G30" s="67"/>
      <c r="P30" s="76"/>
      <c r="V30" s="39">
        <v>20.0</v>
      </c>
      <c r="W30" s="40" t="s">
        <v>1380</v>
      </c>
      <c r="X30" s="41" t="s">
        <v>1395</v>
      </c>
      <c r="Y30" s="41" t="s">
        <v>1396</v>
      </c>
      <c r="Z30" s="39"/>
      <c r="AA30" s="39"/>
    </row>
    <row r="31">
      <c r="A31" s="66"/>
      <c r="B31" s="66"/>
      <c r="C31" s="66"/>
      <c r="D31" s="66"/>
      <c r="G31" s="67"/>
      <c r="P31" s="77"/>
      <c r="V31" s="22"/>
      <c r="W31" s="24"/>
      <c r="X31" s="25"/>
      <c r="Y31" s="25"/>
      <c r="Z31" s="22"/>
      <c r="AA31" s="22"/>
    </row>
    <row r="32">
      <c r="A32" s="66"/>
      <c r="B32" s="66"/>
      <c r="C32" s="66"/>
      <c r="D32" s="66"/>
      <c r="G32" s="67"/>
      <c r="P32" s="76"/>
      <c r="V32" s="36"/>
      <c r="W32" s="37"/>
      <c r="X32" s="38"/>
      <c r="Y32" s="38"/>
      <c r="Z32" s="36"/>
      <c r="AA32" s="36"/>
    </row>
    <row r="33">
      <c r="A33" s="66"/>
      <c r="B33" s="66"/>
      <c r="C33" s="66"/>
      <c r="D33" s="81"/>
      <c r="G33" s="67"/>
      <c r="P33" s="76"/>
      <c r="R33" s="82"/>
      <c r="V33" s="39"/>
      <c r="W33" s="40"/>
      <c r="X33" s="41"/>
      <c r="Y33" s="41"/>
      <c r="Z33" s="39"/>
      <c r="AA33" s="39"/>
    </row>
    <row r="34">
      <c r="A34" s="66"/>
      <c r="B34" s="66"/>
      <c r="C34" s="66"/>
      <c r="D34" s="81"/>
      <c r="G34" s="67"/>
      <c r="P34" s="76"/>
      <c r="R34" s="82"/>
      <c r="V34" s="39"/>
      <c r="W34" s="40"/>
      <c r="X34" s="41"/>
      <c r="Y34" s="41"/>
      <c r="Z34" s="39"/>
      <c r="AA34" s="39"/>
    </row>
    <row r="35">
      <c r="A35" s="66"/>
      <c r="B35" s="66"/>
      <c r="C35" s="66"/>
      <c r="D35" s="66"/>
      <c r="G35" s="67"/>
      <c r="P35" s="76"/>
      <c r="R35" s="82"/>
      <c r="V35" s="22"/>
      <c r="W35" s="24"/>
      <c r="X35" s="25"/>
      <c r="Y35" s="25"/>
      <c r="Z35" s="22"/>
      <c r="AA35" s="22"/>
    </row>
    <row r="36">
      <c r="A36" s="66"/>
      <c r="B36" s="66"/>
      <c r="C36" s="66"/>
      <c r="D36" s="66"/>
      <c r="G36" s="67"/>
      <c r="P36" s="77"/>
      <c r="R36" s="82"/>
      <c r="V36" s="36"/>
      <c r="W36" s="37"/>
      <c r="X36" s="38"/>
      <c r="Y36" s="38"/>
      <c r="Z36" s="36"/>
      <c r="AA36" s="36"/>
    </row>
    <row r="37">
      <c r="A37" s="66"/>
      <c r="B37" s="66"/>
      <c r="C37" s="66"/>
      <c r="D37" s="66"/>
      <c r="G37" s="67"/>
      <c r="P37" s="76"/>
      <c r="R37" s="82"/>
      <c r="V37" s="39"/>
      <c r="W37" s="40"/>
      <c r="X37" s="41"/>
      <c r="Y37" s="41"/>
      <c r="Z37" s="39"/>
      <c r="AA37" s="39"/>
    </row>
    <row r="38">
      <c r="A38" s="66"/>
      <c r="B38" s="66"/>
      <c r="C38" s="66"/>
      <c r="D38" s="66"/>
      <c r="G38" s="67"/>
      <c r="P38" s="77"/>
      <c r="R38" s="82"/>
      <c r="V38" s="39"/>
      <c r="W38" s="40"/>
      <c r="X38" s="41"/>
      <c r="Y38" s="41"/>
      <c r="Z38" s="39"/>
      <c r="AA38" s="39"/>
    </row>
    <row r="39">
      <c r="A39" s="66"/>
      <c r="C39" s="66"/>
      <c r="D39" s="66"/>
      <c r="G39" s="67"/>
      <c r="R39" s="82"/>
      <c r="V39" s="22"/>
      <c r="W39" s="24"/>
      <c r="X39" s="25"/>
      <c r="Y39" s="25"/>
      <c r="Z39" s="22"/>
      <c r="AA39" s="22"/>
    </row>
    <row r="40">
      <c r="A40" s="66"/>
      <c r="B40" s="66"/>
      <c r="C40" s="66"/>
      <c r="D40" s="66"/>
      <c r="G40" s="67"/>
      <c r="P40" s="76"/>
      <c r="R40" s="82"/>
      <c r="V40" s="36"/>
      <c r="W40" s="37"/>
      <c r="X40" s="38"/>
      <c r="Y40" s="38"/>
      <c r="Z40" s="36"/>
      <c r="AA40" s="36"/>
    </row>
    <row r="41">
      <c r="A41" s="66"/>
      <c r="B41" s="66"/>
      <c r="C41" s="66"/>
      <c r="D41" s="66"/>
      <c r="G41" s="67"/>
      <c r="P41" s="76"/>
      <c r="R41" s="82"/>
      <c r="V41" s="39"/>
      <c r="W41" s="40"/>
      <c r="X41" s="41"/>
      <c r="Y41" s="41"/>
      <c r="Z41" s="39"/>
      <c r="AA41" s="39"/>
    </row>
    <row r="42">
      <c r="A42" s="66"/>
      <c r="B42" s="66"/>
      <c r="C42" s="66"/>
      <c r="D42" s="66"/>
      <c r="G42" s="67"/>
      <c r="P42" s="76"/>
      <c r="V42" s="39"/>
      <c r="W42" s="40"/>
      <c r="X42" s="41"/>
      <c r="Y42" s="41"/>
      <c r="Z42" s="39"/>
      <c r="AA42" s="39"/>
    </row>
    <row r="43">
      <c r="A43" s="66"/>
      <c r="B43" s="66"/>
      <c r="C43" s="66"/>
      <c r="D43" s="66"/>
      <c r="G43" s="67"/>
      <c r="P43" s="77"/>
    </row>
    <row r="44">
      <c r="A44" s="66"/>
      <c r="B44" s="66"/>
      <c r="C44" s="66"/>
      <c r="D44" s="66"/>
      <c r="G44" s="67"/>
      <c r="P44" s="76"/>
    </row>
    <row r="45">
      <c r="A45" s="66"/>
      <c r="C45" s="66"/>
      <c r="D45" s="66"/>
      <c r="G45" s="67"/>
      <c r="P45" s="77"/>
    </row>
    <row r="46">
      <c r="A46" s="66"/>
      <c r="B46" s="66"/>
      <c r="C46" s="66"/>
      <c r="D46" s="66"/>
      <c r="G46" s="67"/>
    </row>
    <row r="47">
      <c r="A47" s="66"/>
      <c r="B47" s="66"/>
      <c r="C47" s="66"/>
      <c r="D47" s="66"/>
      <c r="G47" s="67"/>
      <c r="P47" s="76"/>
    </row>
    <row r="48">
      <c r="A48" s="66"/>
      <c r="B48" s="66"/>
      <c r="C48" s="66"/>
      <c r="D48" s="66"/>
      <c r="G48" s="67"/>
      <c r="P48" s="76"/>
      <c r="V48" s="67"/>
    </row>
    <row r="49">
      <c r="A49" s="66"/>
      <c r="B49" s="66"/>
      <c r="C49" s="66"/>
      <c r="D49" s="66"/>
      <c r="G49" s="67"/>
      <c r="P49" s="76"/>
      <c r="V49" s="67"/>
    </row>
    <row r="50">
      <c r="A50" s="66"/>
      <c r="B50" s="66"/>
      <c r="C50" s="66"/>
      <c r="D50" s="66"/>
      <c r="G50" s="67"/>
      <c r="P50" s="77"/>
      <c r="V50" s="67"/>
    </row>
    <row r="51">
      <c r="A51" s="66"/>
      <c r="B51" s="66"/>
      <c r="C51" s="66"/>
      <c r="D51" s="66"/>
      <c r="G51" s="67"/>
      <c r="P51" s="76"/>
      <c r="V51" s="67"/>
    </row>
    <row r="52">
      <c r="A52" s="66"/>
      <c r="B52" s="66"/>
      <c r="C52" s="66"/>
      <c r="D52" s="66"/>
      <c r="G52" s="67"/>
      <c r="P52" s="77"/>
      <c r="V52" s="67"/>
    </row>
    <row r="53">
      <c r="A53" s="66"/>
      <c r="B53" s="66"/>
      <c r="C53" s="66"/>
      <c r="D53" s="66"/>
      <c r="G53" s="67"/>
      <c r="V53" s="67"/>
    </row>
    <row r="54">
      <c r="A54" s="66"/>
      <c r="B54" s="66"/>
      <c r="C54" s="66"/>
      <c r="D54" s="66"/>
      <c r="G54" s="67"/>
      <c r="P54" s="76"/>
      <c r="V54" s="67"/>
    </row>
    <row r="55">
      <c r="A55" s="66"/>
      <c r="B55" s="66"/>
      <c r="C55" s="66"/>
      <c r="D55" s="66"/>
      <c r="G55" s="67"/>
      <c r="P55" s="76"/>
      <c r="V55" s="67"/>
    </row>
    <row r="56">
      <c r="A56" s="66"/>
      <c r="B56" s="66"/>
      <c r="C56" s="66"/>
      <c r="D56" s="66"/>
      <c r="G56" s="67"/>
      <c r="P56" s="76"/>
      <c r="V56" s="67"/>
    </row>
    <row r="57">
      <c r="A57" s="66"/>
      <c r="B57" s="66"/>
      <c r="C57" s="66"/>
      <c r="D57" s="66"/>
      <c r="G57" s="67"/>
      <c r="P57" s="77"/>
      <c r="V57" s="67"/>
    </row>
    <row r="58">
      <c r="A58" s="66"/>
      <c r="B58" s="66"/>
      <c r="C58" s="66"/>
      <c r="D58" s="66"/>
      <c r="G58" s="67"/>
      <c r="P58" s="76"/>
      <c r="V58" s="67"/>
    </row>
    <row r="59">
      <c r="A59" s="66"/>
      <c r="B59" s="66"/>
      <c r="C59" s="66"/>
      <c r="D59" s="66"/>
      <c r="G59" s="67"/>
      <c r="P59" s="77"/>
      <c r="V59" s="67"/>
    </row>
    <row r="60">
      <c r="A60" s="66"/>
      <c r="B60" s="66"/>
      <c r="C60" s="66"/>
      <c r="D60" s="66"/>
      <c r="G60" s="67"/>
      <c r="V60" s="67"/>
    </row>
    <row r="61">
      <c r="A61" s="66"/>
      <c r="B61" s="66"/>
      <c r="C61" s="66"/>
      <c r="D61" s="66"/>
      <c r="G61" s="67"/>
      <c r="P61" s="76"/>
      <c r="V61" s="67"/>
    </row>
    <row r="62">
      <c r="A62" s="66"/>
      <c r="B62" s="66"/>
      <c r="C62" s="66"/>
      <c r="D62" s="66"/>
      <c r="G62" s="67"/>
      <c r="P62" s="76"/>
      <c r="V62" s="67"/>
    </row>
    <row r="63">
      <c r="A63" s="66"/>
      <c r="B63" s="66"/>
      <c r="C63" s="66"/>
      <c r="D63" s="66"/>
      <c r="G63" s="67"/>
      <c r="P63" s="76"/>
      <c r="V63" s="67"/>
    </row>
    <row r="64">
      <c r="A64" s="66"/>
      <c r="B64" s="66"/>
      <c r="C64" s="66"/>
      <c r="D64" s="66"/>
      <c r="G64" s="67"/>
      <c r="V64" s="67"/>
    </row>
    <row r="65">
      <c r="A65" s="66"/>
      <c r="B65" s="66"/>
      <c r="C65" s="66"/>
      <c r="D65" s="66"/>
      <c r="G65" s="67"/>
      <c r="V65" s="67"/>
    </row>
    <row r="66">
      <c r="A66" s="66"/>
      <c r="B66" s="66"/>
      <c r="C66" s="66"/>
      <c r="D66" s="66"/>
      <c r="G66" s="67"/>
      <c r="V66" s="67"/>
    </row>
    <row r="67">
      <c r="A67" s="66"/>
      <c r="B67" s="66"/>
      <c r="C67" s="66"/>
      <c r="D67" s="66"/>
      <c r="G67" s="67"/>
      <c r="V67" s="67"/>
    </row>
    <row r="68">
      <c r="A68" s="66"/>
      <c r="B68" s="66"/>
      <c r="C68" s="66"/>
      <c r="D68" s="66"/>
      <c r="G68" s="67"/>
      <c r="V68" s="67"/>
    </row>
    <row r="69">
      <c r="A69" s="66"/>
      <c r="B69" s="66"/>
      <c r="C69" s="66"/>
      <c r="D69" s="66"/>
      <c r="G69" s="67"/>
      <c r="V69" s="67"/>
    </row>
    <row r="70">
      <c r="A70" s="66"/>
      <c r="B70" s="66"/>
      <c r="C70" s="66"/>
      <c r="D70" s="66"/>
      <c r="G70" s="67"/>
      <c r="V70" s="67"/>
    </row>
    <row r="71">
      <c r="A71" s="66"/>
      <c r="B71" s="66"/>
      <c r="C71" s="66"/>
      <c r="D71" s="66"/>
      <c r="G71" s="67"/>
      <c r="V71" s="67"/>
    </row>
    <row r="72">
      <c r="A72" s="66"/>
      <c r="B72" s="66"/>
      <c r="C72" s="66"/>
      <c r="D72" s="66"/>
      <c r="G72" s="67"/>
      <c r="V72" s="67"/>
    </row>
    <row r="73">
      <c r="A73" s="66"/>
      <c r="B73" s="66"/>
      <c r="C73" s="66"/>
      <c r="D73" s="66"/>
      <c r="G73" s="67"/>
      <c r="V73" s="67"/>
    </row>
    <row r="74">
      <c r="A74" s="66"/>
      <c r="B74" s="66"/>
      <c r="C74" s="66"/>
      <c r="D74" s="66"/>
      <c r="G74" s="67"/>
      <c r="V74" s="67"/>
    </row>
    <row r="75">
      <c r="A75" s="66"/>
      <c r="B75" s="66"/>
      <c r="C75" s="66"/>
      <c r="D75" s="66"/>
      <c r="G75" s="67"/>
      <c r="V75" s="67"/>
    </row>
    <row r="76">
      <c r="A76" s="66"/>
      <c r="B76" s="66"/>
      <c r="C76" s="66"/>
      <c r="D76" s="66"/>
      <c r="G76" s="67"/>
      <c r="V76" s="67"/>
    </row>
    <row r="77">
      <c r="A77" s="66"/>
      <c r="B77" s="66"/>
      <c r="C77" s="66"/>
      <c r="D77" s="66"/>
      <c r="G77" s="67"/>
      <c r="V77" s="67"/>
    </row>
    <row r="78">
      <c r="A78" s="66"/>
      <c r="B78" s="66"/>
      <c r="C78" s="66"/>
      <c r="D78" s="66"/>
      <c r="G78" s="67"/>
      <c r="V78" s="67"/>
    </row>
    <row r="79">
      <c r="A79" s="66"/>
      <c r="B79" s="66"/>
      <c r="C79" s="66"/>
      <c r="D79" s="66"/>
      <c r="G79" s="67"/>
      <c r="V79" s="67"/>
    </row>
    <row r="80">
      <c r="A80" s="66"/>
      <c r="B80" s="66"/>
      <c r="C80" s="66"/>
      <c r="D80" s="66"/>
      <c r="G80" s="67"/>
      <c r="V80" s="67"/>
    </row>
    <row r="81">
      <c r="A81" s="66"/>
      <c r="B81" s="66"/>
      <c r="C81" s="66"/>
      <c r="D81" s="66"/>
      <c r="G81" s="67"/>
      <c r="V81" s="67"/>
    </row>
    <row r="82">
      <c r="A82" s="66"/>
      <c r="B82" s="66"/>
      <c r="C82" s="66"/>
      <c r="D82" s="66"/>
      <c r="G82" s="67"/>
      <c r="V82" s="67"/>
    </row>
    <row r="83">
      <c r="A83" s="66"/>
      <c r="B83" s="66"/>
      <c r="C83" s="66"/>
      <c r="D83" s="66"/>
      <c r="G83" s="67"/>
      <c r="V83" s="67"/>
    </row>
    <row r="84">
      <c r="A84" s="66"/>
      <c r="B84" s="66"/>
      <c r="C84" s="66"/>
      <c r="D84" s="66"/>
      <c r="G84" s="67"/>
      <c r="V84" s="67"/>
    </row>
    <row r="85">
      <c r="A85" s="66"/>
      <c r="B85" s="66"/>
      <c r="C85" s="66"/>
      <c r="D85" s="66"/>
      <c r="G85" s="67"/>
      <c r="V85" s="67"/>
    </row>
    <row r="86">
      <c r="A86" s="66"/>
      <c r="B86" s="66"/>
      <c r="C86" s="66"/>
      <c r="D86" s="66"/>
      <c r="G86" s="67"/>
      <c r="V86" s="67"/>
    </row>
    <row r="87">
      <c r="A87" s="66"/>
      <c r="B87" s="66"/>
      <c r="C87" s="66"/>
      <c r="D87" s="66"/>
      <c r="G87" s="67"/>
      <c r="V87" s="67"/>
    </row>
    <row r="88">
      <c r="A88" s="66"/>
      <c r="B88" s="66"/>
      <c r="C88" s="66"/>
      <c r="D88" s="66"/>
      <c r="G88" s="67"/>
      <c r="V88" s="67"/>
    </row>
    <row r="89">
      <c r="A89" s="66"/>
      <c r="B89" s="66"/>
      <c r="C89" s="66"/>
      <c r="D89" s="66"/>
      <c r="G89" s="67"/>
      <c r="V89" s="67"/>
    </row>
    <row r="90">
      <c r="A90" s="66"/>
      <c r="B90" s="66"/>
      <c r="C90" s="66"/>
      <c r="D90" s="66"/>
      <c r="G90" s="67"/>
      <c r="V90" s="67"/>
    </row>
    <row r="91">
      <c r="A91" s="66"/>
      <c r="B91" s="66"/>
      <c r="C91" s="66"/>
      <c r="D91" s="66"/>
      <c r="G91" s="67"/>
      <c r="V91" s="67"/>
    </row>
    <row r="92">
      <c r="A92" s="66"/>
      <c r="B92" s="66"/>
      <c r="C92" s="66"/>
      <c r="D92" s="66"/>
      <c r="G92" s="67"/>
      <c r="V92" s="67"/>
    </row>
    <row r="93">
      <c r="A93" s="66"/>
      <c r="B93" s="66"/>
      <c r="C93" s="66"/>
      <c r="D93" s="66"/>
      <c r="G93" s="67"/>
      <c r="V93" s="67"/>
    </row>
    <row r="94">
      <c r="A94" s="66"/>
      <c r="B94" s="66"/>
      <c r="C94" s="66"/>
      <c r="D94" s="66"/>
      <c r="G94" s="67"/>
      <c r="V94" s="67"/>
    </row>
    <row r="95">
      <c r="A95" s="66"/>
      <c r="B95" s="66"/>
      <c r="C95" s="66"/>
      <c r="D95" s="66"/>
      <c r="G95" s="67"/>
      <c r="V95" s="67"/>
    </row>
    <row r="96">
      <c r="A96" s="66"/>
      <c r="B96" s="66"/>
      <c r="C96" s="66"/>
      <c r="D96" s="66"/>
      <c r="G96" s="67"/>
      <c r="V96" s="67"/>
    </row>
    <row r="97">
      <c r="A97" s="66"/>
      <c r="B97" s="66"/>
      <c r="C97" s="66"/>
      <c r="D97" s="66"/>
      <c r="G97" s="67"/>
      <c r="V97" s="67"/>
    </row>
    <row r="98">
      <c r="A98" s="66"/>
      <c r="B98" s="66"/>
      <c r="C98" s="66"/>
      <c r="D98" s="66"/>
      <c r="G98" s="67"/>
      <c r="V98" s="67"/>
    </row>
    <row r="99">
      <c r="A99" s="66"/>
      <c r="B99" s="66"/>
      <c r="C99" s="66"/>
      <c r="D99" s="66"/>
      <c r="G99" s="67"/>
      <c r="V99" s="67"/>
    </row>
    <row r="100">
      <c r="A100" s="66"/>
      <c r="B100" s="66"/>
      <c r="C100" s="66"/>
      <c r="D100" s="66"/>
      <c r="G100" s="67"/>
      <c r="V100" s="67"/>
    </row>
    <row r="101">
      <c r="A101" s="66"/>
      <c r="B101" s="66"/>
      <c r="C101" s="66"/>
      <c r="D101" s="66"/>
      <c r="G101" s="67"/>
      <c r="V101" s="67"/>
    </row>
    <row r="102">
      <c r="A102" s="66"/>
      <c r="B102" s="66"/>
      <c r="C102" s="66"/>
      <c r="D102" s="66"/>
      <c r="G102" s="67"/>
      <c r="V102" s="67"/>
    </row>
    <row r="103">
      <c r="A103" s="66"/>
      <c r="B103" s="66"/>
      <c r="C103" s="66"/>
      <c r="D103" s="66"/>
      <c r="G103" s="67"/>
      <c r="V103" s="67"/>
    </row>
    <row r="104">
      <c r="A104" s="66"/>
      <c r="B104" s="66"/>
      <c r="C104" s="66"/>
      <c r="D104" s="66"/>
      <c r="G104" s="67"/>
      <c r="V104" s="67"/>
    </row>
    <row r="105">
      <c r="A105" s="66"/>
      <c r="B105" s="66"/>
      <c r="C105" s="66"/>
      <c r="D105" s="66"/>
      <c r="G105" s="67"/>
      <c r="V105" s="67"/>
    </row>
    <row r="106">
      <c r="A106" s="66"/>
      <c r="B106" s="66"/>
      <c r="C106" s="66"/>
      <c r="D106" s="66"/>
      <c r="G106" s="67"/>
      <c r="V106" s="67"/>
    </row>
    <row r="107">
      <c r="A107" s="66"/>
      <c r="B107" s="66"/>
      <c r="C107" s="66"/>
      <c r="D107" s="66"/>
      <c r="G107" s="67"/>
      <c r="V107" s="67"/>
    </row>
    <row r="108">
      <c r="A108" s="66"/>
      <c r="B108" s="66"/>
      <c r="C108" s="66"/>
      <c r="D108" s="66"/>
      <c r="G108" s="67"/>
      <c r="V108" s="67"/>
    </row>
    <row r="109">
      <c r="A109" s="66"/>
      <c r="B109" s="66"/>
      <c r="C109" s="66"/>
      <c r="D109" s="66"/>
      <c r="G109" s="67"/>
      <c r="V109" s="67"/>
    </row>
    <row r="110">
      <c r="A110" s="66"/>
      <c r="B110" s="66"/>
      <c r="C110" s="66"/>
      <c r="D110" s="66"/>
      <c r="G110" s="67"/>
      <c r="V110" s="67"/>
    </row>
    <row r="111">
      <c r="A111" s="66"/>
      <c r="B111" s="66"/>
      <c r="C111" s="66"/>
      <c r="D111" s="66"/>
      <c r="G111" s="67"/>
      <c r="V111" s="67"/>
    </row>
    <row r="112">
      <c r="A112" s="66"/>
      <c r="B112" s="66"/>
      <c r="C112" s="66"/>
      <c r="D112" s="66"/>
      <c r="G112" s="67"/>
      <c r="V112" s="67"/>
    </row>
    <row r="113">
      <c r="A113" s="66"/>
      <c r="B113" s="66"/>
      <c r="C113" s="66"/>
      <c r="D113" s="66"/>
      <c r="G113" s="67"/>
      <c r="V113" s="67"/>
    </row>
    <row r="114">
      <c r="A114" s="66"/>
      <c r="B114" s="66"/>
      <c r="C114" s="66"/>
      <c r="D114" s="66"/>
      <c r="G114" s="67"/>
      <c r="V114" s="67"/>
    </row>
    <row r="115">
      <c r="A115" s="66"/>
      <c r="B115" s="66"/>
      <c r="C115" s="66"/>
      <c r="D115" s="66"/>
      <c r="G115" s="67"/>
      <c r="V115" s="67"/>
    </row>
    <row r="116">
      <c r="A116" s="66"/>
      <c r="B116" s="66"/>
      <c r="C116" s="66"/>
      <c r="D116" s="66"/>
      <c r="G116" s="67"/>
      <c r="V116" s="67"/>
    </row>
    <row r="117">
      <c r="A117" s="66"/>
      <c r="B117" s="66"/>
      <c r="C117" s="66"/>
      <c r="D117" s="66"/>
      <c r="G117" s="67"/>
      <c r="V117" s="67"/>
    </row>
    <row r="118">
      <c r="A118" s="66"/>
      <c r="B118" s="66"/>
      <c r="C118" s="66"/>
      <c r="D118" s="66"/>
      <c r="G118" s="67"/>
      <c r="V118" s="67"/>
    </row>
    <row r="119">
      <c r="A119" s="66"/>
      <c r="B119" s="66"/>
      <c r="C119" s="66"/>
      <c r="D119" s="66"/>
      <c r="G119" s="67"/>
      <c r="V119" s="67"/>
    </row>
    <row r="120">
      <c r="A120" s="66"/>
      <c r="B120" s="66"/>
      <c r="C120" s="66"/>
      <c r="D120" s="66"/>
      <c r="G120" s="67"/>
      <c r="V120" s="67"/>
    </row>
    <row r="121">
      <c r="A121" s="66"/>
      <c r="B121" s="66"/>
      <c r="C121" s="66"/>
      <c r="D121" s="66"/>
      <c r="G121" s="67"/>
      <c r="V121" s="67"/>
    </row>
    <row r="122">
      <c r="A122" s="66"/>
      <c r="B122" s="66"/>
      <c r="C122" s="66"/>
      <c r="D122" s="66"/>
      <c r="G122" s="67"/>
      <c r="V122" s="67"/>
    </row>
    <row r="123">
      <c r="A123" s="66"/>
      <c r="B123" s="66"/>
      <c r="C123" s="66"/>
      <c r="D123" s="66"/>
      <c r="G123" s="67"/>
      <c r="V123" s="67"/>
    </row>
    <row r="124">
      <c r="A124" s="66"/>
      <c r="B124" s="66"/>
      <c r="C124" s="66"/>
      <c r="D124" s="66"/>
      <c r="G124" s="67"/>
      <c r="V124" s="67"/>
    </row>
    <row r="125">
      <c r="A125" s="66"/>
      <c r="B125" s="66"/>
      <c r="C125" s="66"/>
      <c r="D125" s="66"/>
      <c r="G125" s="67"/>
      <c r="V125" s="67"/>
    </row>
    <row r="126">
      <c r="A126" s="66"/>
      <c r="B126" s="66"/>
      <c r="C126" s="66"/>
      <c r="D126" s="66"/>
      <c r="G126" s="67"/>
      <c r="V126" s="67"/>
    </row>
    <row r="127">
      <c r="A127" s="66"/>
      <c r="B127" s="66"/>
      <c r="C127" s="66"/>
      <c r="D127" s="66"/>
      <c r="G127" s="67"/>
      <c r="V127" s="67"/>
    </row>
    <row r="128">
      <c r="A128" s="66"/>
      <c r="B128" s="66"/>
      <c r="C128" s="66"/>
      <c r="D128" s="66"/>
      <c r="G128" s="67"/>
      <c r="V128" s="67"/>
    </row>
    <row r="129">
      <c r="A129" s="66"/>
      <c r="B129" s="66"/>
      <c r="C129" s="66"/>
      <c r="D129" s="66"/>
      <c r="G129" s="67"/>
      <c r="V129" s="67"/>
    </row>
    <row r="130">
      <c r="A130" s="66"/>
      <c r="B130" s="66"/>
      <c r="C130" s="66"/>
      <c r="D130" s="66"/>
      <c r="G130" s="67"/>
      <c r="V130" s="67"/>
    </row>
    <row r="131">
      <c r="A131" s="66"/>
      <c r="B131" s="66"/>
      <c r="C131" s="66"/>
      <c r="D131" s="66"/>
      <c r="G131" s="67"/>
      <c r="V131" s="67"/>
    </row>
    <row r="132">
      <c r="A132" s="66"/>
      <c r="B132" s="66"/>
      <c r="C132" s="66"/>
      <c r="D132" s="66"/>
      <c r="G132" s="67"/>
      <c r="V132" s="67"/>
    </row>
    <row r="133">
      <c r="A133" s="66"/>
      <c r="B133" s="66"/>
      <c r="C133" s="66"/>
      <c r="D133" s="66"/>
      <c r="G133" s="67"/>
      <c r="V133" s="67"/>
    </row>
    <row r="134">
      <c r="A134" s="66"/>
      <c r="B134" s="66"/>
      <c r="C134" s="66"/>
      <c r="D134" s="66"/>
      <c r="G134" s="67"/>
      <c r="V134" s="67"/>
    </row>
    <row r="135">
      <c r="A135" s="66"/>
      <c r="B135" s="66"/>
      <c r="C135" s="66"/>
      <c r="D135" s="66"/>
      <c r="G135" s="67"/>
      <c r="V135" s="67"/>
    </row>
    <row r="136">
      <c r="A136" s="66"/>
      <c r="B136" s="66"/>
      <c r="C136" s="66"/>
      <c r="D136" s="66"/>
      <c r="G136" s="67"/>
      <c r="V136" s="67"/>
    </row>
    <row r="137">
      <c r="A137" s="66"/>
      <c r="B137" s="66"/>
      <c r="C137" s="66"/>
      <c r="D137" s="66"/>
      <c r="G137" s="67"/>
      <c r="V137" s="67"/>
    </row>
    <row r="138">
      <c r="A138" s="66"/>
      <c r="B138" s="66"/>
      <c r="C138" s="66"/>
      <c r="D138" s="66"/>
      <c r="G138" s="67"/>
      <c r="V138" s="67"/>
    </row>
    <row r="139">
      <c r="A139" s="66"/>
      <c r="B139" s="66"/>
      <c r="C139" s="66"/>
      <c r="D139" s="66"/>
      <c r="G139" s="67"/>
      <c r="V139" s="67"/>
    </row>
    <row r="140">
      <c r="A140" s="66"/>
      <c r="B140" s="66"/>
      <c r="C140" s="66"/>
      <c r="D140" s="66"/>
      <c r="G140" s="67"/>
      <c r="V140" s="67"/>
    </row>
    <row r="141">
      <c r="A141" s="66"/>
      <c r="B141" s="66"/>
      <c r="C141" s="66"/>
      <c r="D141" s="66"/>
      <c r="G141" s="67"/>
      <c r="V141" s="67"/>
    </row>
    <row r="142">
      <c r="A142" s="66"/>
      <c r="B142" s="66"/>
      <c r="C142" s="66"/>
      <c r="D142" s="66"/>
      <c r="G142" s="67"/>
      <c r="V142" s="67"/>
    </row>
    <row r="143">
      <c r="A143" s="66"/>
      <c r="B143" s="66"/>
      <c r="C143" s="66"/>
      <c r="D143" s="66"/>
      <c r="G143" s="67"/>
      <c r="V143" s="67"/>
    </row>
    <row r="144">
      <c r="A144" s="66"/>
      <c r="B144" s="66"/>
      <c r="C144" s="66"/>
      <c r="D144" s="66"/>
      <c r="G144" s="67"/>
      <c r="V144" s="67"/>
    </row>
    <row r="145">
      <c r="A145" s="66"/>
      <c r="B145" s="66"/>
      <c r="C145" s="66"/>
      <c r="D145" s="66"/>
      <c r="G145" s="67"/>
      <c r="V145" s="67"/>
    </row>
    <row r="146">
      <c r="A146" s="66"/>
      <c r="B146" s="66"/>
      <c r="C146" s="66"/>
      <c r="D146" s="66"/>
      <c r="G146" s="67"/>
      <c r="V146" s="67"/>
    </row>
    <row r="147">
      <c r="A147" s="66"/>
      <c r="B147" s="66"/>
      <c r="C147" s="66"/>
      <c r="D147" s="66"/>
      <c r="G147" s="67"/>
      <c r="V147" s="67"/>
    </row>
    <row r="148">
      <c r="A148" s="66"/>
      <c r="B148" s="66"/>
      <c r="C148" s="66"/>
      <c r="D148" s="66"/>
      <c r="G148" s="67"/>
      <c r="V148" s="67"/>
    </row>
    <row r="149">
      <c r="A149" s="66"/>
      <c r="B149" s="66"/>
      <c r="C149" s="66"/>
      <c r="D149" s="66"/>
      <c r="G149" s="67"/>
      <c r="V149" s="67"/>
    </row>
    <row r="150">
      <c r="A150" s="66"/>
      <c r="B150" s="66"/>
      <c r="C150" s="66"/>
      <c r="D150" s="66"/>
      <c r="G150" s="67"/>
      <c r="V150" s="67"/>
    </row>
    <row r="151">
      <c r="A151" s="66"/>
      <c r="B151" s="66"/>
      <c r="C151" s="66"/>
      <c r="D151" s="66"/>
      <c r="G151" s="67"/>
      <c r="V151" s="67"/>
    </row>
    <row r="152">
      <c r="A152" s="66"/>
      <c r="B152" s="66"/>
      <c r="C152" s="66"/>
      <c r="D152" s="66"/>
      <c r="G152" s="67"/>
      <c r="V152" s="67"/>
    </row>
    <row r="153">
      <c r="A153" s="66"/>
      <c r="B153" s="66"/>
      <c r="C153" s="66"/>
      <c r="D153" s="66"/>
      <c r="G153" s="67"/>
      <c r="V153" s="67"/>
    </row>
    <row r="154">
      <c r="A154" s="66"/>
      <c r="B154" s="66"/>
      <c r="C154" s="66"/>
      <c r="D154" s="66"/>
      <c r="G154" s="67"/>
      <c r="V154" s="67"/>
    </row>
    <row r="155">
      <c r="A155" s="66"/>
      <c r="B155" s="66"/>
      <c r="C155" s="66"/>
      <c r="D155" s="66"/>
      <c r="G155" s="67"/>
      <c r="V155" s="67"/>
    </row>
    <row r="156">
      <c r="A156" s="66"/>
      <c r="B156" s="66"/>
      <c r="C156" s="66"/>
      <c r="D156" s="66"/>
      <c r="G156" s="67"/>
      <c r="V156" s="67"/>
    </row>
    <row r="157">
      <c r="A157" s="66"/>
      <c r="B157" s="66"/>
      <c r="C157" s="66"/>
      <c r="D157" s="66"/>
      <c r="G157" s="67"/>
      <c r="V157" s="67"/>
    </row>
    <row r="158">
      <c r="A158" s="66"/>
      <c r="B158" s="66"/>
      <c r="C158" s="66"/>
      <c r="D158" s="66"/>
      <c r="G158" s="67"/>
      <c r="V158" s="67"/>
    </row>
    <row r="159">
      <c r="A159" s="66"/>
      <c r="B159" s="66"/>
      <c r="C159" s="66"/>
      <c r="D159" s="66"/>
      <c r="G159" s="67"/>
      <c r="V159" s="67"/>
    </row>
    <row r="160">
      <c r="A160" s="66"/>
      <c r="B160" s="66"/>
      <c r="C160" s="66"/>
      <c r="D160" s="66"/>
      <c r="G160" s="67"/>
      <c r="V160" s="67"/>
    </row>
    <row r="161">
      <c r="A161" s="66"/>
      <c r="B161" s="66"/>
      <c r="C161" s="66"/>
      <c r="D161" s="66"/>
      <c r="G161" s="67"/>
      <c r="V161" s="67"/>
    </row>
    <row r="162">
      <c r="A162" s="66"/>
      <c r="B162" s="66"/>
      <c r="C162" s="66"/>
      <c r="D162" s="66"/>
      <c r="G162" s="67"/>
      <c r="V162" s="67"/>
    </row>
    <row r="163">
      <c r="A163" s="66"/>
      <c r="B163" s="66"/>
      <c r="C163" s="66"/>
      <c r="D163" s="66"/>
      <c r="G163" s="67"/>
      <c r="V163" s="67"/>
    </row>
    <row r="164">
      <c r="A164" s="66"/>
      <c r="B164" s="66"/>
      <c r="C164" s="66"/>
      <c r="D164" s="66"/>
      <c r="G164" s="67"/>
      <c r="V164" s="67"/>
    </row>
    <row r="165">
      <c r="A165" s="66"/>
      <c r="B165" s="66"/>
      <c r="C165" s="66"/>
      <c r="D165" s="66"/>
      <c r="G165" s="67"/>
      <c r="V165" s="67"/>
    </row>
    <row r="166">
      <c r="A166" s="66"/>
      <c r="B166" s="66"/>
      <c r="C166" s="66"/>
      <c r="D166" s="66"/>
      <c r="G166" s="67"/>
      <c r="V166" s="67"/>
    </row>
    <row r="167">
      <c r="A167" s="66"/>
      <c r="B167" s="66"/>
      <c r="C167" s="66"/>
      <c r="D167" s="66"/>
      <c r="G167" s="67"/>
      <c r="V167" s="67"/>
    </row>
    <row r="168">
      <c r="A168" s="66"/>
      <c r="B168" s="66"/>
      <c r="C168" s="66"/>
      <c r="D168" s="66"/>
      <c r="G168" s="67"/>
      <c r="V168" s="67"/>
    </row>
    <row r="169">
      <c r="A169" s="66"/>
      <c r="B169" s="66"/>
      <c r="C169" s="66"/>
      <c r="D169" s="66"/>
      <c r="G169" s="67"/>
      <c r="V169" s="67"/>
    </row>
    <row r="170">
      <c r="A170" s="66"/>
      <c r="B170" s="66"/>
      <c r="C170" s="66"/>
      <c r="D170" s="66"/>
      <c r="G170" s="67"/>
      <c r="V170" s="67"/>
    </row>
    <row r="171">
      <c r="A171" s="66"/>
      <c r="B171" s="66"/>
      <c r="C171" s="66"/>
      <c r="D171" s="66"/>
      <c r="G171" s="67"/>
      <c r="V171" s="67"/>
    </row>
    <row r="172">
      <c r="A172" s="66"/>
      <c r="B172" s="66"/>
      <c r="C172" s="66"/>
      <c r="D172" s="66"/>
      <c r="G172" s="67"/>
      <c r="V172" s="67"/>
    </row>
    <row r="173">
      <c r="A173" s="66"/>
      <c r="B173" s="66"/>
      <c r="C173" s="66"/>
      <c r="D173" s="66"/>
      <c r="G173" s="67"/>
      <c r="V173" s="67"/>
    </row>
    <row r="174">
      <c r="A174" s="66"/>
      <c r="B174" s="66"/>
      <c r="C174" s="66"/>
      <c r="D174" s="66"/>
      <c r="G174" s="67"/>
      <c r="V174" s="67"/>
    </row>
    <row r="175">
      <c r="A175" s="66"/>
      <c r="B175" s="66"/>
      <c r="C175" s="66"/>
      <c r="D175" s="66"/>
      <c r="G175" s="67"/>
      <c r="V175" s="67"/>
    </row>
    <row r="176">
      <c r="A176" s="66"/>
      <c r="B176" s="66"/>
      <c r="C176" s="66"/>
      <c r="D176" s="66"/>
      <c r="G176" s="67"/>
      <c r="V176" s="67"/>
    </row>
    <row r="177">
      <c r="A177" s="66"/>
      <c r="B177" s="66"/>
      <c r="C177" s="66"/>
      <c r="D177" s="66"/>
      <c r="G177" s="67"/>
      <c r="V177" s="67"/>
    </row>
    <row r="178">
      <c r="A178" s="66"/>
      <c r="B178" s="66"/>
      <c r="C178" s="66"/>
      <c r="D178" s="66"/>
      <c r="G178" s="67"/>
      <c r="V178" s="67"/>
    </row>
    <row r="179">
      <c r="A179" s="66"/>
      <c r="B179" s="66"/>
      <c r="C179" s="66"/>
      <c r="D179" s="66"/>
      <c r="G179" s="67"/>
      <c r="V179" s="67"/>
    </row>
    <row r="180">
      <c r="A180" s="66"/>
      <c r="B180" s="66"/>
      <c r="C180" s="66"/>
      <c r="D180" s="66"/>
      <c r="G180" s="67"/>
      <c r="V180" s="67"/>
    </row>
    <row r="181">
      <c r="A181" s="66"/>
      <c r="B181" s="66"/>
      <c r="C181" s="66"/>
      <c r="D181" s="66"/>
      <c r="G181" s="67"/>
      <c r="V181" s="67"/>
    </row>
    <row r="182">
      <c r="A182" s="66"/>
      <c r="B182" s="66"/>
      <c r="C182" s="66"/>
      <c r="D182" s="66"/>
      <c r="G182" s="67"/>
      <c r="V182" s="67"/>
    </row>
    <row r="183">
      <c r="A183" s="66"/>
      <c r="B183" s="66"/>
      <c r="C183" s="66"/>
      <c r="D183" s="66"/>
      <c r="G183" s="67"/>
      <c r="V183" s="67"/>
    </row>
    <row r="184">
      <c r="A184" s="66"/>
      <c r="B184" s="66"/>
      <c r="C184" s="66"/>
      <c r="D184" s="66"/>
      <c r="G184" s="67"/>
      <c r="V184" s="67"/>
    </row>
    <row r="185">
      <c r="A185" s="66"/>
      <c r="B185" s="66"/>
      <c r="C185" s="66"/>
      <c r="D185" s="66"/>
      <c r="G185" s="67"/>
      <c r="V185" s="67"/>
    </row>
    <row r="186">
      <c r="A186" s="66"/>
      <c r="B186" s="66"/>
      <c r="C186" s="66"/>
      <c r="D186" s="66"/>
      <c r="G186" s="67"/>
      <c r="V186" s="67"/>
    </row>
    <row r="187">
      <c r="A187" s="66"/>
      <c r="B187" s="66"/>
      <c r="C187" s="66"/>
      <c r="D187" s="66"/>
      <c r="G187" s="67"/>
      <c r="V187" s="67"/>
    </row>
    <row r="188">
      <c r="A188" s="66"/>
      <c r="B188" s="66"/>
      <c r="C188" s="66"/>
      <c r="D188" s="66"/>
      <c r="G188" s="67"/>
      <c r="V188" s="67"/>
    </row>
    <row r="189">
      <c r="A189" s="66"/>
      <c r="B189" s="66"/>
      <c r="C189" s="66"/>
      <c r="D189" s="66"/>
      <c r="G189" s="67"/>
      <c r="V189" s="67"/>
    </row>
    <row r="190">
      <c r="A190" s="66"/>
      <c r="B190" s="66"/>
      <c r="C190" s="66"/>
      <c r="D190" s="66"/>
      <c r="G190" s="67"/>
      <c r="V190" s="67"/>
    </row>
    <row r="191">
      <c r="A191" s="66"/>
      <c r="B191" s="66"/>
      <c r="C191" s="66"/>
      <c r="D191" s="66"/>
      <c r="G191" s="67"/>
      <c r="V191" s="67"/>
    </row>
    <row r="192">
      <c r="A192" s="66"/>
      <c r="B192" s="66"/>
      <c r="C192" s="66"/>
      <c r="D192" s="66"/>
      <c r="G192" s="67"/>
      <c r="V192" s="67"/>
    </row>
    <row r="193">
      <c r="A193" s="66"/>
      <c r="B193" s="66"/>
      <c r="C193" s="66"/>
      <c r="D193" s="66"/>
      <c r="G193" s="67"/>
      <c r="V193" s="67"/>
    </row>
    <row r="194">
      <c r="A194" s="66"/>
      <c r="B194" s="66"/>
      <c r="C194" s="66"/>
      <c r="D194" s="66"/>
      <c r="G194" s="67"/>
      <c r="V194" s="67"/>
    </row>
    <row r="195">
      <c r="A195" s="66"/>
      <c r="B195" s="66"/>
      <c r="C195" s="66"/>
      <c r="D195" s="66"/>
      <c r="G195" s="67"/>
      <c r="V195" s="67"/>
    </row>
    <row r="196">
      <c r="A196" s="66"/>
      <c r="B196" s="66"/>
      <c r="C196" s="66"/>
      <c r="D196" s="66"/>
      <c r="G196" s="67"/>
      <c r="V196" s="67"/>
    </row>
    <row r="197">
      <c r="A197" s="66"/>
      <c r="B197" s="66"/>
      <c r="C197" s="66"/>
      <c r="D197" s="66"/>
      <c r="G197" s="67"/>
      <c r="V197" s="67"/>
    </row>
    <row r="198">
      <c r="A198" s="66"/>
      <c r="B198" s="66"/>
      <c r="C198" s="66"/>
      <c r="D198" s="66"/>
      <c r="G198" s="67"/>
      <c r="V198" s="67"/>
    </row>
    <row r="199">
      <c r="A199" s="66"/>
      <c r="B199" s="66"/>
      <c r="C199" s="66"/>
      <c r="D199" s="66"/>
      <c r="G199" s="67"/>
      <c r="V199" s="67"/>
    </row>
    <row r="200">
      <c r="A200" s="66"/>
      <c r="B200" s="66"/>
      <c r="C200" s="66"/>
      <c r="D200" s="66"/>
      <c r="G200" s="67"/>
      <c r="V200" s="67"/>
    </row>
    <row r="201">
      <c r="A201" s="66"/>
      <c r="B201" s="66"/>
      <c r="C201" s="66"/>
      <c r="D201" s="66"/>
      <c r="G201" s="67"/>
      <c r="V201" s="67"/>
    </row>
    <row r="202">
      <c r="A202" s="66"/>
      <c r="B202" s="66"/>
      <c r="C202" s="66"/>
      <c r="D202" s="66"/>
      <c r="G202" s="67"/>
      <c r="V202" s="67"/>
    </row>
    <row r="203">
      <c r="A203" s="66"/>
      <c r="B203" s="66"/>
      <c r="C203" s="66"/>
      <c r="D203" s="66"/>
      <c r="G203" s="67"/>
      <c r="V203" s="67"/>
    </row>
    <row r="204">
      <c r="A204" s="66"/>
      <c r="B204" s="66"/>
      <c r="C204" s="66"/>
      <c r="D204" s="66"/>
      <c r="G204" s="67"/>
      <c r="V204" s="67"/>
    </row>
    <row r="205">
      <c r="A205" s="66"/>
      <c r="B205" s="66"/>
      <c r="C205" s="66"/>
      <c r="D205" s="66"/>
      <c r="G205" s="67"/>
      <c r="V205" s="67"/>
    </row>
    <row r="206">
      <c r="A206" s="66"/>
      <c r="B206" s="66"/>
      <c r="C206" s="66"/>
      <c r="D206" s="66"/>
      <c r="G206" s="67"/>
      <c r="V206" s="67"/>
    </row>
    <row r="207">
      <c r="A207" s="66"/>
      <c r="B207" s="66"/>
      <c r="C207" s="66"/>
      <c r="D207" s="66"/>
      <c r="G207" s="67"/>
      <c r="V207" s="67"/>
    </row>
    <row r="208">
      <c r="A208" s="66"/>
      <c r="B208" s="66"/>
      <c r="C208" s="66"/>
      <c r="D208" s="66"/>
      <c r="G208" s="67"/>
      <c r="V208" s="67"/>
    </row>
    <row r="209">
      <c r="A209" s="66"/>
      <c r="B209" s="66"/>
      <c r="C209" s="66"/>
      <c r="D209" s="66"/>
      <c r="G209" s="67"/>
      <c r="V209" s="67"/>
    </row>
    <row r="210">
      <c r="A210" s="66"/>
      <c r="B210" s="66"/>
      <c r="C210" s="66"/>
      <c r="D210" s="66"/>
      <c r="G210" s="67"/>
      <c r="V210" s="67"/>
    </row>
    <row r="211">
      <c r="A211" s="66"/>
      <c r="B211" s="66"/>
      <c r="C211" s="66"/>
      <c r="D211" s="66"/>
      <c r="G211" s="67"/>
      <c r="V211" s="67"/>
    </row>
    <row r="212">
      <c r="A212" s="66"/>
      <c r="B212" s="66"/>
      <c r="C212" s="66"/>
      <c r="D212" s="66"/>
      <c r="G212" s="67"/>
      <c r="V212" s="67"/>
    </row>
    <row r="213">
      <c r="A213" s="66"/>
      <c r="B213" s="66"/>
      <c r="C213" s="66"/>
      <c r="D213" s="66"/>
      <c r="G213" s="67"/>
      <c r="V213" s="67"/>
    </row>
    <row r="214">
      <c r="A214" s="66"/>
      <c r="B214" s="66"/>
      <c r="C214" s="66"/>
      <c r="D214" s="66"/>
      <c r="G214" s="67"/>
      <c r="V214" s="67"/>
    </row>
    <row r="215">
      <c r="A215" s="66"/>
      <c r="B215" s="66"/>
      <c r="C215" s="66"/>
      <c r="D215" s="66"/>
      <c r="G215" s="67"/>
      <c r="V215" s="67"/>
    </row>
    <row r="216">
      <c r="A216" s="66"/>
      <c r="B216" s="66"/>
      <c r="C216" s="66"/>
      <c r="D216" s="66"/>
      <c r="G216" s="67"/>
      <c r="V216" s="67"/>
    </row>
    <row r="217">
      <c r="A217" s="66"/>
      <c r="B217" s="66"/>
      <c r="C217" s="66"/>
      <c r="D217" s="66"/>
      <c r="G217" s="67"/>
      <c r="V217" s="67"/>
    </row>
    <row r="218">
      <c r="A218" s="66"/>
      <c r="B218" s="66"/>
      <c r="C218" s="66"/>
      <c r="D218" s="66"/>
      <c r="G218" s="67"/>
      <c r="V218" s="67"/>
    </row>
    <row r="219">
      <c r="A219" s="66"/>
      <c r="B219" s="66"/>
      <c r="C219" s="66"/>
      <c r="D219" s="66"/>
      <c r="G219" s="67"/>
      <c r="V219" s="67"/>
    </row>
    <row r="220">
      <c r="A220" s="66"/>
      <c r="B220" s="66"/>
      <c r="C220" s="66"/>
      <c r="D220" s="66"/>
      <c r="G220" s="67"/>
      <c r="V220" s="67"/>
    </row>
    <row r="221">
      <c r="A221" s="66"/>
      <c r="B221" s="66"/>
      <c r="C221" s="66"/>
      <c r="D221" s="66"/>
      <c r="G221" s="67"/>
      <c r="V221" s="67"/>
    </row>
    <row r="222">
      <c r="A222" s="66"/>
      <c r="B222" s="66"/>
      <c r="C222" s="66"/>
      <c r="D222" s="66"/>
      <c r="G222" s="67"/>
      <c r="V222" s="67"/>
    </row>
    <row r="223">
      <c r="A223" s="66"/>
      <c r="B223" s="66"/>
      <c r="C223" s="66"/>
      <c r="D223" s="66"/>
      <c r="G223" s="67"/>
      <c r="V223" s="67"/>
    </row>
    <row r="224">
      <c r="A224" s="66"/>
      <c r="B224" s="66"/>
      <c r="C224" s="66"/>
      <c r="D224" s="66"/>
      <c r="G224" s="67"/>
      <c r="V224" s="67"/>
    </row>
    <row r="225">
      <c r="A225" s="66"/>
      <c r="B225" s="66"/>
      <c r="C225" s="66"/>
      <c r="D225" s="66"/>
      <c r="G225" s="67"/>
      <c r="V225" s="67"/>
    </row>
    <row r="226">
      <c r="A226" s="66"/>
      <c r="B226" s="66"/>
      <c r="C226" s="66"/>
      <c r="D226" s="66"/>
      <c r="G226" s="67"/>
      <c r="V226" s="67"/>
    </row>
    <row r="227">
      <c r="A227" s="66"/>
      <c r="B227" s="66"/>
      <c r="C227" s="66"/>
      <c r="D227" s="66"/>
      <c r="G227" s="67"/>
      <c r="V227" s="67"/>
    </row>
    <row r="228">
      <c r="A228" s="66"/>
      <c r="B228" s="66"/>
      <c r="C228" s="66"/>
      <c r="D228" s="66"/>
      <c r="G228" s="67"/>
      <c r="V228" s="67"/>
    </row>
    <row r="229">
      <c r="A229" s="66"/>
      <c r="B229" s="66"/>
      <c r="C229" s="66"/>
      <c r="D229" s="66"/>
      <c r="G229" s="67"/>
      <c r="V229" s="67"/>
    </row>
    <row r="230">
      <c r="A230" s="66"/>
      <c r="B230" s="66"/>
      <c r="C230" s="66"/>
      <c r="D230" s="66"/>
      <c r="G230" s="67"/>
      <c r="V230" s="67"/>
    </row>
    <row r="231">
      <c r="A231" s="66"/>
      <c r="B231" s="66"/>
      <c r="C231" s="66"/>
      <c r="D231" s="66"/>
      <c r="G231" s="67"/>
      <c r="V231" s="67"/>
    </row>
    <row r="232">
      <c r="A232" s="66"/>
      <c r="B232" s="66"/>
      <c r="C232" s="66"/>
      <c r="D232" s="66"/>
      <c r="G232" s="67"/>
      <c r="V232" s="67"/>
    </row>
    <row r="233">
      <c r="A233" s="66"/>
      <c r="B233" s="66"/>
      <c r="C233" s="66"/>
      <c r="D233" s="66"/>
      <c r="G233" s="67"/>
      <c r="V233" s="67"/>
    </row>
    <row r="234">
      <c r="A234" s="66"/>
      <c r="B234" s="66"/>
      <c r="C234" s="66"/>
      <c r="D234" s="66"/>
      <c r="G234" s="67"/>
      <c r="V234" s="67"/>
    </row>
    <row r="235">
      <c r="A235" s="66"/>
      <c r="B235" s="66"/>
      <c r="C235" s="66"/>
      <c r="D235" s="66"/>
      <c r="G235" s="67"/>
      <c r="V235" s="67"/>
    </row>
    <row r="236">
      <c r="A236" s="66"/>
      <c r="B236" s="66"/>
      <c r="C236" s="66"/>
      <c r="D236" s="66"/>
      <c r="G236" s="67"/>
      <c r="V236" s="67"/>
    </row>
    <row r="237">
      <c r="A237" s="66"/>
      <c r="B237" s="66"/>
      <c r="C237" s="66"/>
      <c r="D237" s="66"/>
      <c r="G237" s="67"/>
      <c r="V237" s="67"/>
    </row>
    <row r="238">
      <c r="A238" s="66"/>
      <c r="B238" s="66"/>
      <c r="C238" s="66"/>
      <c r="D238" s="66"/>
      <c r="G238" s="67"/>
      <c r="V238" s="67"/>
    </row>
    <row r="239">
      <c r="A239" s="66"/>
      <c r="B239" s="66"/>
      <c r="C239" s="66"/>
      <c r="D239" s="66"/>
      <c r="G239" s="67"/>
      <c r="V239" s="67"/>
    </row>
    <row r="240">
      <c r="A240" s="66"/>
      <c r="B240" s="66"/>
      <c r="C240" s="66"/>
      <c r="D240" s="66"/>
      <c r="G240" s="67"/>
      <c r="V240" s="67"/>
    </row>
    <row r="241">
      <c r="A241" s="66"/>
      <c r="B241" s="66"/>
      <c r="C241" s="66"/>
      <c r="D241" s="66"/>
      <c r="G241" s="67"/>
      <c r="V241" s="67"/>
    </row>
    <row r="242">
      <c r="A242" s="66"/>
      <c r="B242" s="66"/>
      <c r="C242" s="66"/>
      <c r="D242" s="66"/>
      <c r="G242" s="67"/>
      <c r="V242" s="67"/>
    </row>
    <row r="243">
      <c r="A243" s="66"/>
      <c r="B243" s="66"/>
      <c r="C243" s="66"/>
      <c r="D243" s="66"/>
      <c r="G243" s="67"/>
      <c r="V243" s="67"/>
    </row>
    <row r="244">
      <c r="A244" s="66"/>
      <c r="B244" s="66"/>
      <c r="C244" s="66"/>
      <c r="D244" s="66"/>
      <c r="G244" s="67"/>
      <c r="V244" s="67"/>
    </row>
    <row r="245">
      <c r="A245" s="66"/>
      <c r="B245" s="66"/>
      <c r="C245" s="66"/>
      <c r="D245" s="66"/>
      <c r="G245" s="67"/>
      <c r="V245" s="67"/>
    </row>
    <row r="246">
      <c r="A246" s="66"/>
      <c r="B246" s="66"/>
      <c r="C246" s="66"/>
      <c r="D246" s="66"/>
      <c r="G246" s="67"/>
      <c r="V246" s="67"/>
    </row>
    <row r="247">
      <c r="A247" s="66"/>
      <c r="B247" s="66"/>
      <c r="C247" s="66"/>
      <c r="D247" s="66"/>
      <c r="G247" s="67"/>
      <c r="V247" s="67"/>
    </row>
    <row r="248">
      <c r="A248" s="66"/>
      <c r="B248" s="66"/>
      <c r="C248" s="66"/>
      <c r="D248" s="66"/>
      <c r="G248" s="67"/>
      <c r="V248" s="67"/>
    </row>
    <row r="249">
      <c r="A249" s="66"/>
      <c r="B249" s="66"/>
      <c r="C249" s="66"/>
      <c r="D249" s="66"/>
      <c r="G249" s="67"/>
      <c r="V249" s="67"/>
    </row>
    <row r="250">
      <c r="A250" s="66"/>
      <c r="B250" s="66"/>
      <c r="C250" s="66"/>
      <c r="D250" s="66"/>
      <c r="G250" s="67"/>
      <c r="V250" s="67"/>
    </row>
    <row r="251">
      <c r="A251" s="66"/>
      <c r="B251" s="66"/>
      <c r="C251" s="66"/>
      <c r="D251" s="66"/>
      <c r="G251" s="67"/>
      <c r="V251" s="67"/>
    </row>
    <row r="252">
      <c r="A252" s="66"/>
      <c r="B252" s="66"/>
      <c r="C252" s="66"/>
      <c r="D252" s="66"/>
      <c r="G252" s="67"/>
      <c r="V252" s="67"/>
    </row>
    <row r="253">
      <c r="A253" s="66"/>
      <c r="B253" s="66"/>
      <c r="C253" s="66"/>
      <c r="D253" s="66"/>
      <c r="G253" s="67"/>
      <c r="V253" s="67"/>
    </row>
    <row r="254">
      <c r="A254" s="66"/>
      <c r="B254" s="66"/>
      <c r="C254" s="66"/>
      <c r="D254" s="66"/>
      <c r="G254" s="67"/>
      <c r="V254" s="67"/>
    </row>
    <row r="255">
      <c r="A255" s="66"/>
      <c r="B255" s="66"/>
      <c r="C255" s="66"/>
      <c r="D255" s="66"/>
      <c r="G255" s="67"/>
      <c r="V255" s="67"/>
    </row>
    <row r="256">
      <c r="A256" s="66"/>
      <c r="B256" s="66"/>
      <c r="C256" s="66"/>
      <c r="D256" s="66"/>
      <c r="G256" s="67"/>
      <c r="V256" s="67"/>
    </row>
    <row r="257">
      <c r="A257" s="66"/>
      <c r="B257" s="66"/>
      <c r="C257" s="66"/>
      <c r="D257" s="66"/>
      <c r="G257" s="67"/>
      <c r="V257" s="67"/>
    </row>
    <row r="258">
      <c r="A258" s="66"/>
      <c r="B258" s="66"/>
      <c r="C258" s="66"/>
      <c r="D258" s="66"/>
      <c r="G258" s="67"/>
      <c r="V258" s="67"/>
    </row>
    <row r="259">
      <c r="A259" s="66"/>
      <c r="B259" s="66"/>
      <c r="C259" s="66"/>
      <c r="D259" s="66"/>
      <c r="G259" s="67"/>
      <c r="V259" s="67"/>
    </row>
    <row r="260">
      <c r="A260" s="66"/>
      <c r="B260" s="66"/>
      <c r="C260" s="66"/>
      <c r="D260" s="66"/>
      <c r="G260" s="67"/>
      <c r="V260" s="67"/>
    </row>
    <row r="261">
      <c r="A261" s="66"/>
      <c r="B261" s="66"/>
      <c r="C261" s="66"/>
      <c r="D261" s="66"/>
      <c r="G261" s="67"/>
      <c r="V261" s="67"/>
    </row>
    <row r="262">
      <c r="A262" s="66"/>
      <c r="B262" s="66"/>
      <c r="C262" s="66"/>
      <c r="D262" s="66"/>
      <c r="G262" s="67"/>
      <c r="V262" s="67"/>
    </row>
    <row r="263">
      <c r="A263" s="66"/>
      <c r="B263" s="66"/>
      <c r="C263" s="66"/>
      <c r="D263" s="66"/>
      <c r="G263" s="67"/>
      <c r="V263" s="67"/>
    </row>
    <row r="264">
      <c r="A264" s="66"/>
      <c r="B264" s="66"/>
      <c r="C264" s="66"/>
      <c r="D264" s="66"/>
      <c r="G264" s="67"/>
      <c r="V264" s="67"/>
    </row>
    <row r="265">
      <c r="A265" s="66"/>
      <c r="B265" s="66"/>
      <c r="C265" s="66"/>
      <c r="D265" s="66"/>
      <c r="G265" s="67"/>
      <c r="V265" s="67"/>
    </row>
    <row r="266">
      <c r="A266" s="66"/>
      <c r="B266" s="66"/>
      <c r="C266" s="66"/>
      <c r="D266" s="66"/>
      <c r="G266" s="67"/>
      <c r="V266" s="67"/>
    </row>
    <row r="267">
      <c r="A267" s="66"/>
      <c r="B267" s="66"/>
      <c r="C267" s="66"/>
      <c r="D267" s="66"/>
      <c r="G267" s="67"/>
      <c r="V267" s="67"/>
    </row>
    <row r="268">
      <c r="A268" s="66"/>
      <c r="B268" s="66"/>
      <c r="C268" s="66"/>
      <c r="D268" s="66"/>
      <c r="G268" s="67"/>
      <c r="V268" s="67"/>
    </row>
    <row r="269">
      <c r="A269" s="66"/>
      <c r="B269" s="66"/>
      <c r="C269" s="66"/>
      <c r="D269" s="66"/>
      <c r="G269" s="67"/>
      <c r="V269" s="67"/>
    </row>
    <row r="270">
      <c r="A270" s="66"/>
      <c r="B270" s="66"/>
      <c r="C270" s="66"/>
      <c r="D270" s="66"/>
      <c r="G270" s="67"/>
      <c r="V270" s="67"/>
    </row>
    <row r="271">
      <c r="A271" s="66"/>
      <c r="B271" s="66"/>
      <c r="C271" s="66"/>
      <c r="D271" s="66"/>
      <c r="G271" s="67"/>
      <c r="V271" s="67"/>
    </row>
    <row r="272">
      <c r="A272" s="66"/>
      <c r="B272" s="66"/>
      <c r="C272" s="66"/>
      <c r="D272" s="66"/>
      <c r="G272" s="67"/>
      <c r="V272" s="67"/>
    </row>
    <row r="273">
      <c r="A273" s="66"/>
      <c r="B273" s="66"/>
      <c r="C273" s="66"/>
      <c r="D273" s="66"/>
      <c r="G273" s="67"/>
      <c r="V273" s="67"/>
    </row>
    <row r="274">
      <c r="A274" s="66"/>
      <c r="B274" s="66"/>
      <c r="C274" s="66"/>
      <c r="D274" s="66"/>
      <c r="G274" s="67"/>
      <c r="V274" s="67"/>
    </row>
    <row r="275">
      <c r="A275" s="66"/>
      <c r="B275" s="66"/>
      <c r="C275" s="66"/>
      <c r="D275" s="66"/>
      <c r="G275" s="67"/>
      <c r="V275" s="67"/>
    </row>
    <row r="276">
      <c r="A276" s="66"/>
      <c r="B276" s="66"/>
      <c r="C276" s="66"/>
      <c r="D276" s="66"/>
      <c r="G276" s="67"/>
      <c r="V276" s="67"/>
    </row>
    <row r="277">
      <c r="A277" s="66"/>
      <c r="B277" s="66"/>
      <c r="C277" s="66"/>
      <c r="D277" s="66"/>
      <c r="G277" s="67"/>
      <c r="V277" s="67"/>
    </row>
    <row r="278">
      <c r="A278" s="66"/>
      <c r="B278" s="66"/>
      <c r="C278" s="66"/>
      <c r="D278" s="66"/>
      <c r="G278" s="67"/>
      <c r="V278" s="67"/>
    </row>
    <row r="279">
      <c r="A279" s="66"/>
      <c r="B279" s="66"/>
      <c r="C279" s="66"/>
      <c r="D279" s="66"/>
      <c r="G279" s="67"/>
      <c r="V279" s="67"/>
    </row>
    <row r="280">
      <c r="A280" s="66"/>
      <c r="B280" s="66"/>
      <c r="C280" s="66"/>
      <c r="D280" s="66"/>
      <c r="G280" s="67"/>
      <c r="V280" s="67"/>
    </row>
    <row r="281">
      <c r="A281" s="66"/>
      <c r="B281" s="66"/>
      <c r="C281" s="66"/>
      <c r="D281" s="66"/>
      <c r="G281" s="67"/>
      <c r="V281" s="67"/>
    </row>
    <row r="282">
      <c r="A282" s="66"/>
      <c r="B282" s="66"/>
      <c r="C282" s="66"/>
      <c r="D282" s="66"/>
      <c r="G282" s="67"/>
      <c r="V282" s="67"/>
    </row>
    <row r="283">
      <c r="A283" s="66"/>
      <c r="B283" s="66"/>
      <c r="C283" s="66"/>
      <c r="D283" s="66"/>
      <c r="G283" s="67"/>
      <c r="V283" s="67"/>
    </row>
    <row r="284">
      <c r="A284" s="66"/>
      <c r="B284" s="66"/>
      <c r="C284" s="66"/>
      <c r="D284" s="66"/>
      <c r="G284" s="67"/>
      <c r="V284" s="67"/>
    </row>
    <row r="285">
      <c r="A285" s="66"/>
      <c r="B285" s="66"/>
      <c r="C285" s="66"/>
      <c r="D285" s="66"/>
      <c r="G285" s="67"/>
      <c r="V285" s="67"/>
    </row>
    <row r="286">
      <c r="A286" s="66"/>
      <c r="B286" s="66"/>
      <c r="C286" s="66"/>
      <c r="D286" s="66"/>
      <c r="G286" s="67"/>
      <c r="V286" s="67"/>
    </row>
    <row r="287">
      <c r="A287" s="66"/>
      <c r="B287" s="66"/>
      <c r="C287" s="66"/>
      <c r="D287" s="66"/>
      <c r="G287" s="67"/>
      <c r="V287" s="67"/>
    </row>
    <row r="288">
      <c r="A288" s="66"/>
      <c r="B288" s="66"/>
      <c r="C288" s="66"/>
      <c r="D288" s="66"/>
      <c r="G288" s="67"/>
      <c r="V288" s="67"/>
    </row>
    <row r="289">
      <c r="A289" s="66"/>
      <c r="B289" s="66"/>
      <c r="C289" s="66"/>
      <c r="D289" s="66"/>
      <c r="G289" s="67"/>
      <c r="V289" s="67"/>
    </row>
    <row r="290">
      <c r="A290" s="66"/>
      <c r="B290" s="66"/>
      <c r="C290" s="66"/>
      <c r="D290" s="66"/>
      <c r="G290" s="67"/>
      <c r="V290" s="67"/>
    </row>
    <row r="291">
      <c r="A291" s="66"/>
      <c r="B291" s="66"/>
      <c r="C291" s="66"/>
      <c r="D291" s="66"/>
      <c r="G291" s="67"/>
      <c r="V291" s="67"/>
    </row>
    <row r="292">
      <c r="A292" s="66"/>
      <c r="B292" s="66"/>
      <c r="C292" s="66"/>
      <c r="D292" s="66"/>
      <c r="G292" s="67"/>
      <c r="V292" s="67"/>
    </row>
    <row r="293">
      <c r="A293" s="66"/>
      <c r="B293" s="66"/>
      <c r="C293" s="66"/>
      <c r="D293" s="66"/>
      <c r="G293" s="67"/>
      <c r="V293" s="67"/>
    </row>
    <row r="294">
      <c r="A294" s="66"/>
      <c r="B294" s="66"/>
      <c r="C294" s="66"/>
      <c r="D294" s="66"/>
      <c r="G294" s="67"/>
      <c r="V294" s="67"/>
    </row>
    <row r="295">
      <c r="A295" s="66"/>
      <c r="B295" s="66"/>
      <c r="C295" s="66"/>
      <c r="D295" s="66"/>
      <c r="G295" s="67"/>
      <c r="V295" s="67"/>
    </row>
    <row r="296">
      <c r="A296" s="66"/>
      <c r="B296" s="66"/>
      <c r="C296" s="66"/>
      <c r="D296" s="66"/>
      <c r="G296" s="67"/>
      <c r="V296" s="67"/>
    </row>
    <row r="297">
      <c r="A297" s="66"/>
      <c r="B297" s="66"/>
      <c r="C297" s="66"/>
      <c r="D297" s="66"/>
      <c r="G297" s="67"/>
      <c r="V297" s="67"/>
    </row>
    <row r="298">
      <c r="A298" s="66"/>
      <c r="B298" s="66"/>
      <c r="C298" s="66"/>
      <c r="D298" s="66"/>
      <c r="G298" s="67"/>
      <c r="V298" s="67"/>
    </row>
    <row r="299">
      <c r="A299" s="66"/>
      <c r="B299" s="66"/>
      <c r="C299" s="66"/>
      <c r="D299" s="66"/>
      <c r="G299" s="67"/>
      <c r="V299" s="67"/>
    </row>
    <row r="300">
      <c r="A300" s="66"/>
      <c r="B300" s="66"/>
      <c r="C300" s="66"/>
      <c r="D300" s="66"/>
      <c r="G300" s="67"/>
      <c r="V300" s="67"/>
    </row>
    <row r="301">
      <c r="A301" s="66"/>
      <c r="B301" s="66"/>
      <c r="C301" s="66"/>
      <c r="D301" s="66"/>
      <c r="G301" s="67"/>
      <c r="V301" s="67"/>
    </row>
    <row r="302">
      <c r="A302" s="66"/>
      <c r="B302" s="66"/>
      <c r="C302" s="66"/>
      <c r="D302" s="66"/>
      <c r="G302" s="67"/>
      <c r="V302" s="67"/>
    </row>
    <row r="303">
      <c r="A303" s="66"/>
      <c r="B303" s="66"/>
      <c r="C303" s="66"/>
      <c r="D303" s="66"/>
      <c r="G303" s="67"/>
      <c r="V303" s="67"/>
    </row>
    <row r="304">
      <c r="A304" s="66"/>
      <c r="B304" s="66"/>
      <c r="C304" s="66"/>
      <c r="D304" s="66"/>
      <c r="G304" s="67"/>
      <c r="V304" s="67"/>
    </row>
    <row r="305">
      <c r="A305" s="66"/>
      <c r="B305" s="66"/>
      <c r="C305" s="66"/>
      <c r="D305" s="66"/>
      <c r="G305" s="67"/>
      <c r="V305" s="67"/>
    </row>
    <row r="306">
      <c r="A306" s="66"/>
      <c r="B306" s="66"/>
      <c r="C306" s="66"/>
      <c r="D306" s="66"/>
      <c r="G306" s="67"/>
      <c r="V306" s="67"/>
    </row>
    <row r="307">
      <c r="A307" s="66"/>
      <c r="B307" s="66"/>
      <c r="C307" s="66"/>
      <c r="D307" s="66"/>
      <c r="G307" s="67"/>
      <c r="V307" s="67"/>
    </row>
    <row r="308">
      <c r="A308" s="66"/>
      <c r="B308" s="66"/>
      <c r="C308" s="66"/>
      <c r="D308" s="66"/>
      <c r="G308" s="67"/>
      <c r="V308" s="67"/>
    </row>
    <row r="309">
      <c r="A309" s="66"/>
      <c r="B309" s="66"/>
      <c r="C309" s="66"/>
      <c r="D309" s="66"/>
      <c r="G309" s="67"/>
      <c r="V309" s="67"/>
    </row>
    <row r="310">
      <c r="A310" s="66"/>
      <c r="B310" s="66"/>
      <c r="C310" s="66"/>
      <c r="D310" s="66"/>
      <c r="G310" s="67"/>
      <c r="V310" s="67"/>
    </row>
    <row r="311">
      <c r="A311" s="66"/>
      <c r="B311" s="66"/>
      <c r="C311" s="66"/>
      <c r="D311" s="66"/>
      <c r="G311" s="67"/>
      <c r="V311" s="67"/>
    </row>
    <row r="312">
      <c r="A312" s="66"/>
      <c r="B312" s="66"/>
      <c r="C312" s="66"/>
      <c r="D312" s="66"/>
      <c r="G312" s="67"/>
      <c r="V312" s="67"/>
    </row>
    <row r="313">
      <c r="A313" s="66"/>
      <c r="B313" s="66"/>
      <c r="C313" s="66"/>
      <c r="D313" s="66"/>
      <c r="G313" s="67"/>
      <c r="V313" s="67"/>
    </row>
    <row r="314">
      <c r="A314" s="66"/>
      <c r="B314" s="66"/>
      <c r="C314" s="66"/>
      <c r="D314" s="66"/>
      <c r="G314" s="67"/>
      <c r="V314" s="67"/>
    </row>
    <row r="315">
      <c r="A315" s="66"/>
      <c r="B315" s="66"/>
      <c r="C315" s="66"/>
      <c r="D315" s="66"/>
      <c r="G315" s="67"/>
      <c r="V315" s="67"/>
    </row>
    <row r="316">
      <c r="A316" s="66"/>
      <c r="B316" s="66"/>
      <c r="C316" s="66"/>
      <c r="D316" s="66"/>
      <c r="G316" s="67"/>
      <c r="V316" s="67"/>
    </row>
    <row r="317">
      <c r="A317" s="66"/>
      <c r="B317" s="66"/>
      <c r="C317" s="66"/>
      <c r="D317" s="66"/>
      <c r="G317" s="67"/>
      <c r="V317" s="67"/>
    </row>
    <row r="318">
      <c r="A318" s="66"/>
      <c r="B318" s="66"/>
      <c r="C318" s="66"/>
      <c r="D318" s="66"/>
      <c r="G318" s="67"/>
      <c r="V318" s="67"/>
    </row>
    <row r="319">
      <c r="A319" s="66"/>
      <c r="B319" s="66"/>
      <c r="C319" s="66"/>
      <c r="D319" s="66"/>
      <c r="G319" s="67"/>
      <c r="V319" s="67"/>
    </row>
    <row r="320">
      <c r="A320" s="66"/>
      <c r="B320" s="66"/>
      <c r="C320" s="66"/>
      <c r="D320" s="66"/>
      <c r="G320" s="67"/>
      <c r="V320" s="67"/>
    </row>
    <row r="321">
      <c r="A321" s="66"/>
      <c r="B321" s="66"/>
      <c r="C321" s="66"/>
      <c r="D321" s="66"/>
      <c r="G321" s="67"/>
      <c r="V321" s="67"/>
    </row>
    <row r="322">
      <c r="A322" s="66"/>
      <c r="B322" s="66"/>
      <c r="C322" s="66"/>
      <c r="D322" s="66"/>
      <c r="G322" s="67"/>
      <c r="V322" s="67"/>
    </row>
    <row r="323">
      <c r="A323" s="66"/>
      <c r="B323" s="66"/>
      <c r="C323" s="66"/>
      <c r="D323" s="66"/>
      <c r="G323" s="67"/>
      <c r="V323" s="67"/>
    </row>
    <row r="324">
      <c r="A324" s="66"/>
      <c r="B324" s="66"/>
      <c r="C324" s="66"/>
      <c r="D324" s="66"/>
      <c r="G324" s="67"/>
      <c r="V324" s="67"/>
    </row>
    <row r="325">
      <c r="A325" s="66"/>
      <c r="B325" s="66"/>
      <c r="C325" s="66"/>
      <c r="D325" s="66"/>
      <c r="G325" s="67"/>
      <c r="V325" s="67"/>
    </row>
    <row r="326">
      <c r="A326" s="66"/>
      <c r="B326" s="66"/>
      <c r="C326" s="66"/>
      <c r="D326" s="66"/>
      <c r="G326" s="67"/>
      <c r="V326" s="67"/>
    </row>
    <row r="327">
      <c r="A327" s="66"/>
      <c r="B327" s="66"/>
      <c r="C327" s="66"/>
      <c r="D327" s="66"/>
      <c r="G327" s="67"/>
      <c r="V327" s="67"/>
    </row>
    <row r="328">
      <c r="A328" s="66"/>
      <c r="B328" s="66"/>
      <c r="C328" s="66"/>
      <c r="D328" s="66"/>
      <c r="G328" s="67"/>
      <c r="V328" s="67"/>
    </row>
    <row r="329">
      <c r="A329" s="66"/>
      <c r="B329" s="66"/>
      <c r="C329" s="66"/>
      <c r="D329" s="66"/>
      <c r="G329" s="67"/>
      <c r="V329" s="67"/>
    </row>
    <row r="330">
      <c r="A330" s="66"/>
      <c r="B330" s="66"/>
      <c r="C330" s="66"/>
      <c r="D330" s="66"/>
      <c r="G330" s="67"/>
      <c r="V330" s="67"/>
    </row>
    <row r="331">
      <c r="A331" s="66"/>
      <c r="B331" s="66"/>
      <c r="C331" s="66"/>
      <c r="D331" s="66"/>
      <c r="G331" s="67"/>
      <c r="V331" s="67"/>
    </row>
    <row r="332">
      <c r="A332" s="66"/>
      <c r="B332" s="66"/>
      <c r="C332" s="66"/>
      <c r="D332" s="66"/>
      <c r="G332" s="67"/>
      <c r="V332" s="67"/>
    </row>
    <row r="333">
      <c r="A333" s="66"/>
      <c r="B333" s="66"/>
      <c r="C333" s="66"/>
      <c r="D333" s="66"/>
      <c r="G333" s="67"/>
      <c r="V333" s="67"/>
    </row>
    <row r="334">
      <c r="A334" s="66"/>
      <c r="B334" s="66"/>
      <c r="C334" s="66"/>
      <c r="D334" s="66"/>
      <c r="G334" s="67"/>
      <c r="V334" s="67"/>
    </row>
    <row r="335">
      <c r="A335" s="66"/>
      <c r="B335" s="66"/>
      <c r="C335" s="66"/>
      <c r="D335" s="66"/>
      <c r="G335" s="67"/>
      <c r="V335" s="67"/>
    </row>
    <row r="336">
      <c r="A336" s="66"/>
      <c r="B336" s="66"/>
      <c r="C336" s="66"/>
      <c r="D336" s="66"/>
      <c r="G336" s="67"/>
      <c r="V336" s="67"/>
    </row>
    <row r="337">
      <c r="A337" s="66"/>
      <c r="B337" s="66"/>
      <c r="C337" s="66"/>
      <c r="D337" s="66"/>
      <c r="G337" s="67"/>
      <c r="V337" s="67"/>
    </row>
    <row r="338">
      <c r="A338" s="66"/>
      <c r="B338" s="66"/>
      <c r="C338" s="66"/>
      <c r="D338" s="66"/>
      <c r="G338" s="67"/>
      <c r="V338" s="67"/>
    </row>
    <row r="339">
      <c r="A339" s="66"/>
      <c r="B339" s="66"/>
      <c r="C339" s="66"/>
      <c r="D339" s="66"/>
      <c r="G339" s="67"/>
      <c r="V339" s="67"/>
    </row>
    <row r="340">
      <c r="A340" s="66"/>
      <c r="B340" s="66"/>
      <c r="C340" s="66"/>
      <c r="D340" s="66"/>
      <c r="G340" s="67"/>
      <c r="V340" s="67"/>
    </row>
    <row r="341">
      <c r="A341" s="66"/>
      <c r="B341" s="66"/>
      <c r="C341" s="66"/>
      <c r="D341" s="66"/>
      <c r="G341" s="67"/>
      <c r="V341" s="67"/>
    </row>
    <row r="342">
      <c r="A342" s="66"/>
      <c r="B342" s="66"/>
      <c r="C342" s="66"/>
      <c r="D342" s="66"/>
      <c r="G342" s="67"/>
      <c r="V342" s="67"/>
    </row>
    <row r="343">
      <c r="A343" s="66"/>
      <c r="B343" s="66"/>
      <c r="C343" s="66"/>
      <c r="D343" s="66"/>
      <c r="G343" s="67"/>
      <c r="V343" s="67"/>
    </row>
    <row r="344">
      <c r="A344" s="66"/>
      <c r="B344" s="66"/>
      <c r="C344" s="66"/>
      <c r="D344" s="66"/>
      <c r="G344" s="67"/>
      <c r="V344" s="67"/>
    </row>
    <row r="345">
      <c r="A345" s="66"/>
      <c r="B345" s="66"/>
      <c r="C345" s="66"/>
      <c r="D345" s="66"/>
      <c r="G345" s="67"/>
      <c r="V345" s="67"/>
    </row>
    <row r="346">
      <c r="A346" s="66"/>
      <c r="B346" s="66"/>
      <c r="C346" s="66"/>
      <c r="D346" s="66"/>
      <c r="G346" s="67"/>
      <c r="V346" s="67"/>
    </row>
    <row r="347">
      <c r="A347" s="66"/>
      <c r="B347" s="66"/>
      <c r="C347" s="66"/>
      <c r="D347" s="66"/>
      <c r="G347" s="67"/>
      <c r="V347" s="67"/>
    </row>
    <row r="348">
      <c r="A348" s="66"/>
      <c r="B348" s="66"/>
      <c r="C348" s="66"/>
      <c r="D348" s="66"/>
      <c r="G348" s="67"/>
      <c r="V348" s="67"/>
    </row>
    <row r="349">
      <c r="A349" s="66"/>
      <c r="B349" s="66"/>
      <c r="C349" s="66"/>
      <c r="D349" s="66"/>
      <c r="G349" s="67"/>
      <c r="V349" s="67"/>
    </row>
    <row r="350">
      <c r="A350" s="66"/>
      <c r="B350" s="66"/>
      <c r="C350" s="66"/>
      <c r="D350" s="66"/>
      <c r="G350" s="67"/>
      <c r="V350" s="67"/>
    </row>
    <row r="351">
      <c r="A351" s="66"/>
      <c r="B351" s="66"/>
      <c r="C351" s="66"/>
      <c r="D351" s="66"/>
      <c r="G351" s="67"/>
      <c r="V351" s="67"/>
    </row>
    <row r="352">
      <c r="A352" s="66"/>
      <c r="B352" s="66"/>
      <c r="C352" s="66"/>
      <c r="D352" s="66"/>
      <c r="G352" s="67"/>
      <c r="V352" s="67"/>
    </row>
    <row r="353">
      <c r="A353" s="66"/>
      <c r="B353" s="66"/>
      <c r="C353" s="66"/>
      <c r="D353" s="66"/>
      <c r="G353" s="67"/>
      <c r="V353" s="67"/>
    </row>
    <row r="354">
      <c r="A354" s="66"/>
      <c r="B354" s="66"/>
      <c r="C354" s="66"/>
      <c r="D354" s="66"/>
      <c r="G354" s="67"/>
      <c r="V354" s="67"/>
    </row>
    <row r="355">
      <c r="A355" s="66"/>
      <c r="B355" s="66"/>
      <c r="C355" s="66"/>
      <c r="D355" s="66"/>
      <c r="G355" s="67"/>
      <c r="V355" s="67"/>
    </row>
    <row r="356">
      <c r="A356" s="66"/>
      <c r="B356" s="66"/>
      <c r="C356" s="66"/>
      <c r="D356" s="66"/>
      <c r="G356" s="67"/>
      <c r="V356" s="67"/>
    </row>
    <row r="357">
      <c r="A357" s="66"/>
      <c r="B357" s="66"/>
      <c r="C357" s="66"/>
      <c r="D357" s="66"/>
      <c r="G357" s="67"/>
      <c r="V357" s="67"/>
    </row>
    <row r="358">
      <c r="A358" s="66"/>
      <c r="B358" s="66"/>
      <c r="C358" s="66"/>
      <c r="D358" s="66"/>
      <c r="G358" s="67"/>
      <c r="V358" s="67"/>
    </row>
    <row r="359">
      <c r="A359" s="66"/>
      <c r="B359" s="66"/>
      <c r="C359" s="66"/>
      <c r="D359" s="66"/>
      <c r="G359" s="67"/>
      <c r="V359" s="67"/>
    </row>
    <row r="360">
      <c r="A360" s="66"/>
      <c r="B360" s="66"/>
      <c r="C360" s="66"/>
      <c r="D360" s="66"/>
      <c r="G360" s="67"/>
      <c r="V360" s="67"/>
    </row>
    <row r="361">
      <c r="A361" s="66"/>
      <c r="B361" s="66"/>
      <c r="C361" s="66"/>
      <c r="D361" s="66"/>
      <c r="G361" s="67"/>
      <c r="V361" s="67"/>
    </row>
    <row r="362">
      <c r="A362" s="66"/>
      <c r="B362" s="66"/>
      <c r="C362" s="66"/>
      <c r="D362" s="66"/>
      <c r="G362" s="67"/>
      <c r="V362" s="67"/>
    </row>
    <row r="363">
      <c r="A363" s="66"/>
      <c r="B363" s="66"/>
      <c r="C363" s="66"/>
      <c r="D363" s="66"/>
      <c r="G363" s="67"/>
      <c r="V363" s="67"/>
    </row>
    <row r="364">
      <c r="A364" s="66"/>
      <c r="B364" s="66"/>
      <c r="C364" s="66"/>
      <c r="D364" s="66"/>
      <c r="G364" s="67"/>
      <c r="V364" s="67"/>
    </row>
    <row r="365">
      <c r="A365" s="66"/>
      <c r="B365" s="66"/>
      <c r="C365" s="66"/>
      <c r="D365" s="66"/>
      <c r="G365" s="67"/>
      <c r="V365" s="67"/>
    </row>
    <row r="366">
      <c r="A366" s="66"/>
      <c r="B366" s="66"/>
      <c r="C366" s="66"/>
      <c r="D366" s="66"/>
      <c r="G366" s="67"/>
      <c r="V366" s="67"/>
    </row>
    <row r="367">
      <c r="A367" s="66"/>
      <c r="B367" s="66"/>
      <c r="C367" s="66"/>
      <c r="D367" s="66"/>
      <c r="G367" s="67"/>
      <c r="V367" s="67"/>
    </row>
    <row r="368">
      <c r="A368" s="66"/>
      <c r="B368" s="66"/>
      <c r="C368" s="66"/>
      <c r="D368" s="66"/>
      <c r="G368" s="67"/>
      <c r="V368" s="67"/>
    </row>
    <row r="369">
      <c r="A369" s="66"/>
      <c r="B369" s="66"/>
      <c r="C369" s="66"/>
      <c r="D369" s="66"/>
      <c r="G369" s="67"/>
      <c r="V369" s="67"/>
    </row>
    <row r="370">
      <c r="A370" s="66"/>
      <c r="B370" s="66"/>
      <c r="C370" s="66"/>
      <c r="D370" s="66"/>
      <c r="G370" s="67"/>
      <c r="V370" s="67"/>
    </row>
    <row r="371">
      <c r="A371" s="66"/>
      <c r="B371" s="66"/>
      <c r="C371" s="66"/>
      <c r="D371" s="66"/>
      <c r="G371" s="67"/>
      <c r="V371" s="67"/>
    </row>
    <row r="372">
      <c r="A372" s="66"/>
      <c r="B372" s="66"/>
      <c r="C372" s="66"/>
      <c r="D372" s="66"/>
      <c r="G372" s="67"/>
      <c r="V372" s="67"/>
    </row>
    <row r="373">
      <c r="A373" s="66"/>
      <c r="B373" s="66"/>
      <c r="C373" s="66"/>
      <c r="D373" s="66"/>
      <c r="G373" s="67"/>
      <c r="V373" s="67"/>
    </row>
    <row r="374">
      <c r="A374" s="66"/>
      <c r="B374" s="66"/>
      <c r="C374" s="66"/>
      <c r="D374" s="66"/>
      <c r="G374" s="67"/>
      <c r="V374" s="67"/>
    </row>
    <row r="375">
      <c r="A375" s="66"/>
      <c r="B375" s="66"/>
      <c r="C375" s="66"/>
      <c r="D375" s="66"/>
      <c r="G375" s="67"/>
      <c r="V375" s="67"/>
    </row>
    <row r="376">
      <c r="A376" s="66"/>
      <c r="B376" s="66"/>
      <c r="C376" s="66"/>
      <c r="D376" s="66"/>
      <c r="G376" s="67"/>
      <c r="V376" s="67"/>
    </row>
    <row r="377">
      <c r="A377" s="66"/>
      <c r="B377" s="66"/>
      <c r="C377" s="66"/>
      <c r="D377" s="66"/>
      <c r="G377" s="67"/>
      <c r="V377" s="67"/>
    </row>
    <row r="378">
      <c r="A378" s="66"/>
      <c r="B378" s="66"/>
      <c r="C378" s="66"/>
      <c r="D378" s="66"/>
      <c r="G378" s="67"/>
      <c r="V378" s="67"/>
    </row>
    <row r="379">
      <c r="A379" s="66"/>
      <c r="B379" s="66"/>
      <c r="C379" s="66"/>
      <c r="D379" s="66"/>
      <c r="G379" s="67"/>
      <c r="V379" s="67"/>
    </row>
    <row r="380">
      <c r="A380" s="66"/>
      <c r="B380" s="66"/>
      <c r="C380" s="66"/>
      <c r="D380" s="66"/>
      <c r="G380" s="67"/>
      <c r="V380" s="67"/>
    </row>
    <row r="381">
      <c r="A381" s="66"/>
      <c r="B381" s="66"/>
      <c r="C381" s="66"/>
      <c r="D381" s="66"/>
      <c r="G381" s="67"/>
      <c r="V381" s="67"/>
    </row>
    <row r="382">
      <c r="A382" s="66"/>
      <c r="B382" s="66"/>
      <c r="C382" s="66"/>
      <c r="D382" s="66"/>
      <c r="G382" s="67"/>
      <c r="V382" s="67"/>
    </row>
    <row r="383">
      <c r="A383" s="66"/>
      <c r="B383" s="66"/>
      <c r="C383" s="66"/>
      <c r="D383" s="66"/>
      <c r="G383" s="67"/>
      <c r="V383" s="67"/>
    </row>
    <row r="384">
      <c r="A384" s="66"/>
      <c r="B384" s="66"/>
      <c r="C384" s="66"/>
      <c r="D384" s="66"/>
      <c r="G384" s="67"/>
      <c r="V384" s="67"/>
    </row>
    <row r="385">
      <c r="A385" s="66"/>
      <c r="B385" s="66"/>
      <c r="C385" s="66"/>
      <c r="D385" s="66"/>
      <c r="G385" s="67"/>
      <c r="V385" s="67"/>
    </row>
    <row r="386">
      <c r="A386" s="66"/>
      <c r="B386" s="66"/>
      <c r="C386" s="66"/>
      <c r="D386" s="66"/>
      <c r="G386" s="67"/>
      <c r="V386" s="67"/>
    </row>
    <row r="387">
      <c r="A387" s="66"/>
      <c r="B387" s="66"/>
      <c r="C387" s="66"/>
      <c r="D387" s="66"/>
      <c r="G387" s="67"/>
      <c r="V387" s="67"/>
    </row>
    <row r="388">
      <c r="A388" s="66"/>
      <c r="B388" s="66"/>
      <c r="C388" s="66"/>
      <c r="D388" s="66"/>
      <c r="G388" s="67"/>
      <c r="V388" s="67"/>
    </row>
    <row r="389">
      <c r="A389" s="66"/>
      <c r="B389" s="66"/>
      <c r="C389" s="66"/>
      <c r="D389" s="66"/>
      <c r="G389" s="67"/>
      <c r="V389" s="67"/>
    </row>
    <row r="390">
      <c r="A390" s="66"/>
      <c r="B390" s="66"/>
      <c r="C390" s="66"/>
      <c r="D390" s="66"/>
      <c r="G390" s="67"/>
      <c r="V390" s="67"/>
    </row>
    <row r="391">
      <c r="A391" s="66"/>
      <c r="B391" s="66"/>
      <c r="C391" s="66"/>
      <c r="D391" s="66"/>
      <c r="G391" s="67"/>
      <c r="V391" s="67"/>
    </row>
    <row r="392">
      <c r="A392" s="66"/>
      <c r="B392" s="66"/>
      <c r="C392" s="66"/>
      <c r="D392" s="66"/>
      <c r="G392" s="67"/>
      <c r="V392" s="67"/>
    </row>
    <row r="393">
      <c r="A393" s="66"/>
      <c r="B393" s="66"/>
      <c r="C393" s="66"/>
      <c r="D393" s="66"/>
      <c r="G393" s="67"/>
      <c r="V393" s="67"/>
    </row>
    <row r="394">
      <c r="A394" s="66"/>
      <c r="B394" s="66"/>
      <c r="C394" s="66"/>
      <c r="D394" s="66"/>
      <c r="G394" s="67"/>
      <c r="V394" s="67"/>
    </row>
    <row r="395">
      <c r="A395" s="66"/>
      <c r="B395" s="66"/>
      <c r="C395" s="66"/>
      <c r="D395" s="66"/>
      <c r="G395" s="67"/>
      <c r="V395" s="67"/>
    </row>
    <row r="396">
      <c r="A396" s="66"/>
      <c r="B396" s="66"/>
      <c r="C396" s="66"/>
      <c r="D396" s="66"/>
      <c r="G396" s="67"/>
      <c r="V396" s="67"/>
    </row>
    <row r="397">
      <c r="A397" s="66"/>
      <c r="B397" s="66"/>
      <c r="C397" s="66"/>
      <c r="D397" s="66"/>
      <c r="G397" s="67"/>
      <c r="V397" s="67"/>
    </row>
    <row r="398">
      <c r="A398" s="66"/>
      <c r="B398" s="66"/>
      <c r="C398" s="66"/>
      <c r="D398" s="66"/>
      <c r="G398" s="67"/>
      <c r="V398" s="67"/>
    </row>
    <row r="399">
      <c r="A399" s="66"/>
      <c r="B399" s="66"/>
      <c r="C399" s="66"/>
      <c r="D399" s="66"/>
      <c r="G399" s="67"/>
      <c r="V399" s="67"/>
    </row>
    <row r="400">
      <c r="A400" s="66"/>
      <c r="B400" s="66"/>
      <c r="C400" s="66"/>
      <c r="D400" s="66"/>
      <c r="G400" s="67"/>
      <c r="V400" s="67"/>
    </row>
    <row r="401">
      <c r="A401" s="66"/>
      <c r="B401" s="66"/>
      <c r="C401" s="66"/>
      <c r="D401" s="66"/>
      <c r="G401" s="67"/>
      <c r="V401" s="67"/>
    </row>
    <row r="402">
      <c r="A402" s="66"/>
      <c r="B402" s="66"/>
      <c r="C402" s="66"/>
      <c r="D402" s="66"/>
      <c r="G402" s="67"/>
      <c r="V402" s="67"/>
    </row>
    <row r="403">
      <c r="A403" s="66"/>
      <c r="B403" s="66"/>
      <c r="C403" s="66"/>
      <c r="D403" s="66"/>
      <c r="G403" s="67"/>
      <c r="V403" s="67"/>
    </row>
    <row r="404">
      <c r="A404" s="66"/>
      <c r="B404" s="66"/>
      <c r="C404" s="66"/>
      <c r="D404" s="66"/>
      <c r="G404" s="67"/>
      <c r="V404" s="67"/>
    </row>
    <row r="405">
      <c r="A405" s="66"/>
      <c r="B405" s="66"/>
      <c r="C405" s="66"/>
      <c r="D405" s="66"/>
      <c r="G405" s="67"/>
      <c r="V405" s="67"/>
    </row>
    <row r="406">
      <c r="A406" s="66"/>
      <c r="B406" s="66"/>
      <c r="C406" s="66"/>
      <c r="D406" s="66"/>
      <c r="G406" s="67"/>
      <c r="V406" s="67"/>
    </row>
    <row r="407">
      <c r="A407" s="66"/>
      <c r="B407" s="66"/>
      <c r="C407" s="66"/>
      <c r="D407" s="66"/>
      <c r="G407" s="67"/>
      <c r="V407" s="67"/>
    </row>
    <row r="408">
      <c r="A408" s="66"/>
      <c r="B408" s="66"/>
      <c r="C408" s="66"/>
      <c r="D408" s="66"/>
      <c r="G408" s="67"/>
      <c r="V408" s="67"/>
    </row>
    <row r="409">
      <c r="A409" s="66"/>
      <c r="B409" s="66"/>
      <c r="C409" s="66"/>
      <c r="D409" s="66"/>
      <c r="G409" s="67"/>
      <c r="V409" s="67"/>
    </row>
    <row r="410">
      <c r="A410" s="66"/>
      <c r="B410" s="66"/>
      <c r="C410" s="66"/>
      <c r="D410" s="66"/>
      <c r="G410" s="67"/>
      <c r="V410" s="67"/>
    </row>
    <row r="411">
      <c r="A411" s="66"/>
      <c r="B411" s="66"/>
      <c r="C411" s="66"/>
      <c r="D411" s="66"/>
      <c r="G411" s="67"/>
      <c r="V411" s="67"/>
    </row>
    <row r="412">
      <c r="A412" s="66"/>
      <c r="B412" s="66"/>
      <c r="C412" s="66"/>
      <c r="D412" s="66"/>
      <c r="G412" s="67"/>
      <c r="V412" s="67"/>
    </row>
    <row r="413">
      <c r="A413" s="66"/>
      <c r="B413" s="66"/>
      <c r="C413" s="66"/>
      <c r="D413" s="66"/>
      <c r="G413" s="67"/>
      <c r="V413" s="67"/>
    </row>
    <row r="414">
      <c r="A414" s="66"/>
      <c r="B414" s="66"/>
      <c r="C414" s="66"/>
      <c r="D414" s="66"/>
      <c r="G414" s="67"/>
      <c r="V414" s="67"/>
    </row>
    <row r="415">
      <c r="A415" s="66"/>
      <c r="B415" s="66"/>
      <c r="C415" s="66"/>
      <c r="D415" s="66"/>
      <c r="G415" s="67"/>
      <c r="V415" s="67"/>
    </row>
    <row r="416">
      <c r="A416" s="66"/>
      <c r="B416" s="66"/>
      <c r="C416" s="66"/>
      <c r="D416" s="66"/>
      <c r="G416" s="67"/>
      <c r="V416" s="67"/>
    </row>
    <row r="417">
      <c r="A417" s="66"/>
      <c r="B417" s="66"/>
      <c r="C417" s="66"/>
      <c r="D417" s="66"/>
      <c r="G417" s="67"/>
      <c r="V417" s="67"/>
    </row>
    <row r="418">
      <c r="A418" s="66"/>
      <c r="B418" s="66"/>
      <c r="C418" s="66"/>
      <c r="D418" s="66"/>
      <c r="G418" s="67"/>
      <c r="V418" s="67"/>
    </row>
    <row r="419">
      <c r="A419" s="66"/>
      <c r="B419" s="66"/>
      <c r="C419" s="66"/>
      <c r="D419" s="66"/>
      <c r="G419" s="67"/>
      <c r="V419" s="67"/>
    </row>
    <row r="420">
      <c r="A420" s="66"/>
      <c r="B420" s="66"/>
      <c r="C420" s="66"/>
      <c r="D420" s="66"/>
      <c r="G420" s="67"/>
      <c r="V420" s="67"/>
    </row>
    <row r="421">
      <c r="A421" s="66"/>
      <c r="B421" s="66"/>
      <c r="C421" s="66"/>
      <c r="D421" s="66"/>
      <c r="G421" s="67"/>
      <c r="V421" s="67"/>
    </row>
    <row r="422">
      <c r="A422" s="66"/>
      <c r="B422" s="66"/>
      <c r="C422" s="66"/>
      <c r="D422" s="66"/>
      <c r="G422" s="67"/>
      <c r="V422" s="67"/>
    </row>
    <row r="423">
      <c r="A423" s="66"/>
      <c r="B423" s="66"/>
      <c r="C423" s="66"/>
      <c r="D423" s="66"/>
      <c r="G423" s="67"/>
      <c r="V423" s="67"/>
    </row>
    <row r="424">
      <c r="A424" s="66"/>
      <c r="B424" s="66"/>
      <c r="C424" s="66"/>
      <c r="D424" s="66"/>
      <c r="G424" s="67"/>
      <c r="V424" s="67"/>
    </row>
    <row r="425">
      <c r="A425" s="66"/>
      <c r="B425" s="66"/>
      <c r="C425" s="66"/>
      <c r="D425" s="66"/>
      <c r="G425" s="67"/>
      <c r="V425" s="67"/>
    </row>
    <row r="426">
      <c r="A426" s="66"/>
      <c r="B426" s="66"/>
      <c r="C426" s="66"/>
      <c r="D426" s="66"/>
      <c r="G426" s="67"/>
      <c r="V426" s="67"/>
    </row>
    <row r="427">
      <c r="A427" s="66"/>
      <c r="B427" s="66"/>
      <c r="C427" s="66"/>
      <c r="D427" s="66"/>
      <c r="G427" s="67"/>
      <c r="V427" s="67"/>
    </row>
    <row r="428">
      <c r="A428" s="66"/>
      <c r="B428" s="66"/>
      <c r="C428" s="66"/>
      <c r="D428" s="66"/>
      <c r="G428" s="67"/>
      <c r="V428" s="67"/>
    </row>
    <row r="429">
      <c r="A429" s="66"/>
      <c r="B429" s="66"/>
      <c r="C429" s="66"/>
      <c r="D429" s="66"/>
      <c r="G429" s="67"/>
      <c r="V429" s="67"/>
    </row>
    <row r="430">
      <c r="A430" s="66"/>
      <c r="B430" s="66"/>
      <c r="C430" s="66"/>
      <c r="D430" s="66"/>
      <c r="G430" s="67"/>
      <c r="V430" s="67"/>
    </row>
    <row r="431">
      <c r="A431" s="66"/>
      <c r="B431" s="66"/>
      <c r="C431" s="66"/>
      <c r="D431" s="66"/>
      <c r="G431" s="67"/>
      <c r="V431" s="67"/>
    </row>
    <row r="432">
      <c r="A432" s="66"/>
      <c r="B432" s="66"/>
      <c r="C432" s="66"/>
      <c r="D432" s="66"/>
      <c r="G432" s="67"/>
      <c r="V432" s="67"/>
    </row>
    <row r="433">
      <c r="A433" s="66"/>
      <c r="B433" s="66"/>
      <c r="C433" s="66"/>
      <c r="D433" s="66"/>
      <c r="G433" s="67"/>
      <c r="V433" s="67"/>
    </row>
    <row r="434">
      <c r="A434" s="66"/>
      <c r="B434" s="66"/>
      <c r="C434" s="66"/>
      <c r="D434" s="66"/>
      <c r="G434" s="67"/>
      <c r="V434" s="67"/>
    </row>
    <row r="435">
      <c r="A435" s="66"/>
      <c r="B435" s="66"/>
      <c r="C435" s="66"/>
      <c r="D435" s="66"/>
      <c r="G435" s="67"/>
      <c r="V435" s="67"/>
    </row>
    <row r="436">
      <c r="A436" s="66"/>
      <c r="B436" s="66"/>
      <c r="C436" s="66"/>
      <c r="D436" s="66"/>
      <c r="G436" s="67"/>
      <c r="V436" s="67"/>
    </row>
    <row r="437">
      <c r="A437" s="66"/>
      <c r="B437" s="66"/>
      <c r="C437" s="66"/>
      <c r="D437" s="66"/>
      <c r="G437" s="67"/>
      <c r="V437" s="67"/>
    </row>
    <row r="438">
      <c r="A438" s="66"/>
      <c r="B438" s="66"/>
      <c r="C438" s="66"/>
      <c r="D438" s="66"/>
      <c r="G438" s="67"/>
      <c r="V438" s="67"/>
    </row>
    <row r="439">
      <c r="A439" s="66"/>
      <c r="B439" s="66"/>
      <c r="C439" s="66"/>
      <c r="D439" s="66"/>
      <c r="G439" s="67"/>
      <c r="V439" s="67"/>
    </row>
    <row r="440">
      <c r="A440" s="66"/>
      <c r="B440" s="66"/>
      <c r="C440" s="66"/>
      <c r="D440" s="66"/>
      <c r="G440" s="67"/>
      <c r="V440" s="67"/>
    </row>
    <row r="441">
      <c r="A441" s="66"/>
      <c r="B441" s="66"/>
      <c r="C441" s="66"/>
      <c r="D441" s="66"/>
      <c r="G441" s="67"/>
      <c r="V441" s="67"/>
    </row>
    <row r="442">
      <c r="A442" s="66"/>
      <c r="B442" s="66"/>
      <c r="C442" s="66"/>
      <c r="D442" s="66"/>
      <c r="G442" s="67"/>
      <c r="V442" s="67"/>
    </row>
    <row r="443">
      <c r="A443" s="66"/>
      <c r="B443" s="66"/>
      <c r="C443" s="66"/>
      <c r="D443" s="66"/>
      <c r="G443" s="67"/>
      <c r="V443" s="67"/>
    </row>
    <row r="444">
      <c r="A444" s="66"/>
      <c r="B444" s="66"/>
      <c r="C444" s="66"/>
      <c r="D444" s="66"/>
      <c r="G444" s="67"/>
      <c r="V444" s="67"/>
    </row>
    <row r="445">
      <c r="A445" s="66"/>
      <c r="B445" s="66"/>
      <c r="C445" s="66"/>
      <c r="D445" s="66"/>
      <c r="G445" s="67"/>
      <c r="V445" s="67"/>
    </row>
    <row r="446">
      <c r="A446" s="66"/>
      <c r="B446" s="66"/>
      <c r="C446" s="66"/>
      <c r="D446" s="66"/>
      <c r="G446" s="67"/>
      <c r="V446" s="67"/>
    </row>
    <row r="447">
      <c r="A447" s="66"/>
      <c r="B447" s="66"/>
      <c r="C447" s="66"/>
      <c r="D447" s="66"/>
      <c r="G447" s="67"/>
      <c r="V447" s="67"/>
    </row>
    <row r="448">
      <c r="A448" s="66"/>
      <c r="B448" s="66"/>
      <c r="C448" s="66"/>
      <c r="D448" s="66"/>
      <c r="G448" s="67"/>
      <c r="V448" s="67"/>
    </row>
    <row r="449">
      <c r="A449" s="66"/>
      <c r="B449" s="66"/>
      <c r="C449" s="66"/>
      <c r="D449" s="66"/>
      <c r="G449" s="67"/>
      <c r="V449" s="67"/>
    </row>
    <row r="450">
      <c r="A450" s="66"/>
      <c r="B450" s="66"/>
      <c r="C450" s="66"/>
      <c r="D450" s="66"/>
      <c r="G450" s="67"/>
      <c r="V450" s="67"/>
    </row>
    <row r="451">
      <c r="A451" s="66"/>
      <c r="B451" s="66"/>
      <c r="C451" s="66"/>
      <c r="D451" s="66"/>
      <c r="G451" s="67"/>
      <c r="V451" s="67"/>
    </row>
    <row r="452">
      <c r="A452" s="66"/>
      <c r="B452" s="66"/>
      <c r="C452" s="66"/>
      <c r="D452" s="66"/>
      <c r="G452" s="67"/>
      <c r="V452" s="67"/>
    </row>
    <row r="453">
      <c r="A453" s="66"/>
      <c r="B453" s="66"/>
      <c r="C453" s="66"/>
      <c r="D453" s="66"/>
      <c r="G453" s="67"/>
      <c r="V453" s="67"/>
    </row>
    <row r="454">
      <c r="A454" s="66"/>
      <c r="B454" s="66"/>
      <c r="C454" s="66"/>
      <c r="D454" s="66"/>
      <c r="G454" s="67"/>
      <c r="V454" s="67"/>
    </row>
    <row r="455">
      <c r="A455" s="66"/>
      <c r="B455" s="66"/>
      <c r="C455" s="66"/>
      <c r="D455" s="66"/>
      <c r="G455" s="67"/>
      <c r="V455" s="67"/>
    </row>
    <row r="456">
      <c r="A456" s="66"/>
      <c r="B456" s="66"/>
      <c r="C456" s="66"/>
      <c r="D456" s="66"/>
      <c r="G456" s="67"/>
      <c r="V456" s="67"/>
    </row>
    <row r="457">
      <c r="A457" s="66"/>
      <c r="B457" s="66"/>
      <c r="C457" s="66"/>
      <c r="D457" s="66"/>
      <c r="G457" s="67"/>
      <c r="V457" s="67"/>
    </row>
    <row r="458">
      <c r="A458" s="66"/>
      <c r="B458" s="66"/>
      <c r="C458" s="66"/>
      <c r="D458" s="66"/>
      <c r="G458" s="67"/>
      <c r="V458" s="67"/>
    </row>
    <row r="459">
      <c r="A459" s="66"/>
      <c r="B459" s="66"/>
      <c r="C459" s="66"/>
      <c r="D459" s="66"/>
      <c r="G459" s="67"/>
      <c r="V459" s="67"/>
    </row>
    <row r="460">
      <c r="A460" s="66"/>
      <c r="B460" s="66"/>
      <c r="C460" s="66"/>
      <c r="D460" s="66"/>
      <c r="G460" s="67"/>
      <c r="V460" s="67"/>
    </row>
    <row r="461">
      <c r="A461" s="66"/>
      <c r="B461" s="66"/>
      <c r="C461" s="66"/>
      <c r="D461" s="66"/>
      <c r="G461" s="67"/>
      <c r="V461" s="67"/>
    </row>
    <row r="462">
      <c r="A462" s="66"/>
      <c r="B462" s="66"/>
      <c r="C462" s="66"/>
      <c r="D462" s="66"/>
      <c r="G462" s="67"/>
      <c r="V462" s="67"/>
    </row>
    <row r="463">
      <c r="A463" s="66"/>
      <c r="B463" s="66"/>
      <c r="C463" s="66"/>
      <c r="D463" s="66"/>
      <c r="G463" s="67"/>
      <c r="V463" s="67"/>
    </row>
    <row r="464">
      <c r="A464" s="66"/>
      <c r="B464" s="66"/>
      <c r="C464" s="66"/>
      <c r="D464" s="66"/>
      <c r="G464" s="67"/>
      <c r="V464" s="67"/>
    </row>
    <row r="465">
      <c r="A465" s="66"/>
      <c r="B465" s="66"/>
      <c r="C465" s="66"/>
      <c r="D465" s="66"/>
      <c r="G465" s="67"/>
      <c r="V465" s="67"/>
    </row>
    <row r="466">
      <c r="A466" s="66"/>
      <c r="B466" s="66"/>
      <c r="C466" s="66"/>
      <c r="D466" s="66"/>
      <c r="G466" s="67"/>
      <c r="V466" s="67"/>
    </row>
    <row r="467">
      <c r="A467" s="66"/>
      <c r="B467" s="66"/>
      <c r="C467" s="66"/>
      <c r="D467" s="66"/>
      <c r="G467" s="67"/>
      <c r="V467" s="67"/>
    </row>
    <row r="468">
      <c r="A468" s="66"/>
      <c r="B468" s="66"/>
      <c r="C468" s="66"/>
      <c r="D468" s="66"/>
      <c r="G468" s="67"/>
      <c r="V468" s="67"/>
    </row>
    <row r="469">
      <c r="A469" s="66"/>
      <c r="B469" s="66"/>
      <c r="C469" s="66"/>
      <c r="D469" s="66"/>
      <c r="G469" s="67"/>
      <c r="V469" s="67"/>
    </row>
    <row r="470">
      <c r="A470" s="66"/>
      <c r="B470" s="66"/>
      <c r="C470" s="66"/>
      <c r="D470" s="66"/>
      <c r="G470" s="67"/>
      <c r="V470" s="67"/>
    </row>
    <row r="471">
      <c r="A471" s="66"/>
      <c r="B471" s="66"/>
      <c r="C471" s="66"/>
      <c r="D471" s="66"/>
      <c r="G471" s="67"/>
      <c r="V471" s="67"/>
    </row>
    <row r="472">
      <c r="A472" s="66"/>
      <c r="B472" s="66"/>
      <c r="C472" s="66"/>
      <c r="D472" s="66"/>
      <c r="G472" s="67"/>
      <c r="V472" s="67"/>
    </row>
    <row r="473">
      <c r="A473" s="66"/>
      <c r="B473" s="66"/>
      <c r="C473" s="66"/>
      <c r="D473" s="66"/>
      <c r="G473" s="67"/>
      <c r="V473" s="67"/>
    </row>
    <row r="474">
      <c r="A474" s="66"/>
      <c r="B474" s="66"/>
      <c r="C474" s="66"/>
      <c r="D474" s="66"/>
      <c r="G474" s="67"/>
      <c r="V474" s="67"/>
    </row>
    <row r="475">
      <c r="A475" s="66"/>
      <c r="B475" s="66"/>
      <c r="C475" s="66"/>
      <c r="D475" s="66"/>
      <c r="G475" s="67"/>
      <c r="V475" s="67"/>
    </row>
    <row r="476">
      <c r="A476" s="66"/>
      <c r="B476" s="66"/>
      <c r="C476" s="66"/>
      <c r="D476" s="66"/>
      <c r="G476" s="67"/>
      <c r="V476" s="67"/>
    </row>
    <row r="477">
      <c r="A477" s="66"/>
      <c r="B477" s="66"/>
      <c r="C477" s="66"/>
      <c r="D477" s="66"/>
      <c r="G477" s="67"/>
      <c r="V477" s="67"/>
    </row>
    <row r="478">
      <c r="A478" s="66"/>
      <c r="B478" s="66"/>
      <c r="C478" s="66"/>
      <c r="D478" s="66"/>
      <c r="G478" s="67"/>
      <c r="V478" s="67"/>
    </row>
    <row r="479">
      <c r="A479" s="66"/>
      <c r="B479" s="66"/>
      <c r="C479" s="66"/>
      <c r="D479" s="66"/>
      <c r="G479" s="67"/>
      <c r="V479" s="67"/>
    </row>
    <row r="480">
      <c r="A480" s="66"/>
      <c r="B480" s="66"/>
      <c r="C480" s="66"/>
      <c r="D480" s="66"/>
      <c r="G480" s="67"/>
      <c r="V480" s="67"/>
    </row>
    <row r="481">
      <c r="A481" s="66"/>
      <c r="B481" s="66"/>
      <c r="C481" s="66"/>
      <c r="D481" s="66"/>
      <c r="G481" s="67"/>
      <c r="V481" s="67"/>
    </row>
    <row r="482">
      <c r="A482" s="66"/>
      <c r="B482" s="66"/>
      <c r="C482" s="66"/>
      <c r="D482" s="66"/>
      <c r="G482" s="67"/>
      <c r="V482" s="67"/>
    </row>
    <row r="483">
      <c r="A483" s="66"/>
      <c r="B483" s="66"/>
      <c r="C483" s="66"/>
      <c r="D483" s="66"/>
      <c r="G483" s="67"/>
      <c r="V483" s="67"/>
    </row>
    <row r="484">
      <c r="A484" s="66"/>
      <c r="B484" s="66"/>
      <c r="C484" s="66"/>
      <c r="D484" s="66"/>
      <c r="G484" s="67"/>
      <c r="V484" s="67"/>
    </row>
    <row r="485">
      <c r="A485" s="66"/>
      <c r="B485" s="66"/>
      <c r="C485" s="66"/>
      <c r="D485" s="66"/>
      <c r="G485" s="67"/>
      <c r="V485" s="67"/>
    </row>
    <row r="486">
      <c r="A486" s="66"/>
      <c r="B486" s="66"/>
      <c r="C486" s="66"/>
      <c r="D486" s="66"/>
      <c r="G486" s="67"/>
      <c r="V486" s="67"/>
    </row>
    <row r="487">
      <c r="A487" s="66"/>
      <c r="B487" s="66"/>
      <c r="C487" s="66"/>
      <c r="D487" s="66"/>
      <c r="G487" s="67"/>
      <c r="V487" s="67"/>
    </row>
    <row r="488">
      <c r="A488" s="66"/>
      <c r="B488" s="66"/>
      <c r="C488" s="66"/>
      <c r="D488" s="66"/>
      <c r="G488" s="67"/>
      <c r="V488" s="67"/>
    </row>
    <row r="489">
      <c r="A489" s="66"/>
      <c r="B489" s="66"/>
      <c r="C489" s="66"/>
      <c r="D489" s="66"/>
      <c r="G489" s="67"/>
      <c r="V489" s="67"/>
    </row>
    <row r="490">
      <c r="A490" s="66"/>
      <c r="B490" s="66"/>
      <c r="C490" s="66"/>
      <c r="D490" s="66"/>
      <c r="G490" s="67"/>
      <c r="V490" s="67"/>
    </row>
    <row r="491">
      <c r="A491" s="66"/>
      <c r="B491" s="66"/>
      <c r="C491" s="66"/>
      <c r="D491" s="66"/>
      <c r="G491" s="67"/>
      <c r="V491" s="67"/>
    </row>
    <row r="492">
      <c r="A492" s="66"/>
      <c r="B492" s="66"/>
      <c r="C492" s="66"/>
      <c r="D492" s="66"/>
      <c r="G492" s="67"/>
      <c r="V492" s="67"/>
    </row>
    <row r="493">
      <c r="A493" s="66"/>
      <c r="B493" s="66"/>
      <c r="C493" s="66"/>
      <c r="D493" s="66"/>
      <c r="G493" s="67"/>
      <c r="V493" s="67"/>
    </row>
    <row r="494">
      <c r="A494" s="66"/>
      <c r="B494" s="66"/>
      <c r="C494" s="66"/>
      <c r="D494" s="66"/>
      <c r="G494" s="67"/>
      <c r="V494" s="67"/>
    </row>
    <row r="495">
      <c r="A495" s="66"/>
      <c r="B495" s="66"/>
      <c r="C495" s="66"/>
      <c r="D495" s="66"/>
      <c r="G495" s="67"/>
      <c r="V495" s="67"/>
    </row>
    <row r="496">
      <c r="A496" s="66"/>
      <c r="B496" s="66"/>
      <c r="C496" s="66"/>
      <c r="D496" s="66"/>
      <c r="G496" s="67"/>
      <c r="V496" s="67"/>
    </row>
    <row r="497">
      <c r="A497" s="66"/>
      <c r="B497" s="66"/>
      <c r="C497" s="66"/>
      <c r="D497" s="66"/>
      <c r="G497" s="67"/>
      <c r="V497" s="67"/>
    </row>
    <row r="498">
      <c r="A498" s="66"/>
      <c r="B498" s="66"/>
      <c r="C498" s="66"/>
      <c r="D498" s="66"/>
      <c r="G498" s="67"/>
      <c r="V498" s="67"/>
    </row>
    <row r="499">
      <c r="A499" s="66"/>
      <c r="B499" s="66"/>
      <c r="C499" s="66"/>
      <c r="D499" s="66"/>
      <c r="G499" s="67"/>
      <c r="V499" s="67"/>
    </row>
    <row r="500">
      <c r="A500" s="66"/>
      <c r="B500" s="66"/>
      <c r="C500" s="66"/>
      <c r="D500" s="66"/>
      <c r="G500" s="67"/>
      <c r="V500" s="67"/>
    </row>
    <row r="501">
      <c r="A501" s="66"/>
      <c r="B501" s="66"/>
      <c r="C501" s="66"/>
      <c r="D501" s="66"/>
      <c r="G501" s="67"/>
      <c r="V501" s="67"/>
    </row>
    <row r="502">
      <c r="A502" s="66"/>
      <c r="B502" s="66"/>
      <c r="C502" s="66"/>
      <c r="D502" s="66"/>
      <c r="G502" s="67"/>
      <c r="V502" s="67"/>
    </row>
    <row r="503">
      <c r="A503" s="66"/>
      <c r="B503" s="66"/>
      <c r="C503" s="66"/>
      <c r="D503" s="66"/>
      <c r="G503" s="67"/>
      <c r="V503" s="67"/>
    </row>
    <row r="504">
      <c r="A504" s="66"/>
      <c r="B504" s="66"/>
      <c r="C504" s="66"/>
      <c r="D504" s="66"/>
      <c r="G504" s="67"/>
      <c r="V504" s="67"/>
    </row>
    <row r="505">
      <c r="A505" s="66"/>
      <c r="B505" s="66"/>
      <c r="C505" s="66"/>
      <c r="D505" s="66"/>
      <c r="G505" s="67"/>
      <c r="V505" s="67"/>
    </row>
    <row r="506">
      <c r="A506" s="66"/>
      <c r="B506" s="66"/>
      <c r="C506" s="66"/>
      <c r="D506" s="66"/>
      <c r="G506" s="67"/>
      <c r="V506" s="67"/>
    </row>
    <row r="507">
      <c r="A507" s="66"/>
      <c r="B507" s="66"/>
      <c r="C507" s="66"/>
      <c r="D507" s="66"/>
      <c r="G507" s="67"/>
      <c r="V507" s="67"/>
    </row>
    <row r="508">
      <c r="A508" s="66"/>
      <c r="B508" s="66"/>
      <c r="C508" s="66"/>
      <c r="D508" s="66"/>
      <c r="G508" s="67"/>
      <c r="V508" s="67"/>
    </row>
    <row r="509">
      <c r="A509" s="66"/>
      <c r="B509" s="66"/>
      <c r="C509" s="66"/>
      <c r="D509" s="66"/>
      <c r="G509" s="67"/>
      <c r="V509" s="67"/>
    </row>
    <row r="510">
      <c r="A510" s="66"/>
      <c r="B510" s="66"/>
      <c r="C510" s="66"/>
      <c r="D510" s="66"/>
      <c r="G510" s="67"/>
      <c r="V510" s="67"/>
    </row>
    <row r="511">
      <c r="A511" s="66"/>
      <c r="B511" s="66"/>
      <c r="C511" s="66"/>
      <c r="D511" s="66"/>
      <c r="G511" s="67"/>
      <c r="V511" s="67"/>
    </row>
    <row r="512">
      <c r="A512" s="66"/>
      <c r="B512" s="66"/>
      <c r="C512" s="66"/>
      <c r="D512" s="66"/>
      <c r="G512" s="67"/>
      <c r="V512" s="67"/>
    </row>
    <row r="513">
      <c r="A513" s="66"/>
      <c r="B513" s="66"/>
      <c r="C513" s="66"/>
      <c r="D513" s="66"/>
      <c r="G513" s="67"/>
      <c r="V513" s="67"/>
    </row>
    <row r="514">
      <c r="A514" s="66"/>
      <c r="B514" s="66"/>
      <c r="C514" s="66"/>
      <c r="D514" s="66"/>
      <c r="G514" s="67"/>
      <c r="V514" s="67"/>
    </row>
    <row r="515">
      <c r="A515" s="66"/>
      <c r="B515" s="66"/>
      <c r="C515" s="66"/>
      <c r="D515" s="66"/>
      <c r="G515" s="67"/>
      <c r="V515" s="67"/>
    </row>
    <row r="516">
      <c r="A516" s="66"/>
      <c r="B516" s="66"/>
      <c r="C516" s="66"/>
      <c r="D516" s="66"/>
      <c r="G516" s="67"/>
      <c r="V516" s="67"/>
    </row>
    <row r="517">
      <c r="A517" s="66"/>
      <c r="B517" s="66"/>
      <c r="C517" s="66"/>
      <c r="D517" s="66"/>
      <c r="G517" s="67"/>
      <c r="V517" s="67"/>
    </row>
    <row r="518">
      <c r="A518" s="66"/>
      <c r="B518" s="66"/>
      <c r="C518" s="66"/>
      <c r="D518" s="66"/>
      <c r="G518" s="67"/>
      <c r="V518" s="67"/>
    </row>
    <row r="519">
      <c r="A519" s="66"/>
      <c r="B519" s="66"/>
      <c r="C519" s="66"/>
      <c r="D519" s="66"/>
      <c r="G519" s="67"/>
      <c r="V519" s="67"/>
    </row>
    <row r="520">
      <c r="A520" s="66"/>
      <c r="B520" s="66"/>
      <c r="C520" s="66"/>
      <c r="D520" s="66"/>
      <c r="G520" s="67"/>
      <c r="V520" s="67"/>
    </row>
    <row r="521">
      <c r="A521" s="66"/>
      <c r="B521" s="66"/>
      <c r="C521" s="66"/>
      <c r="D521" s="66"/>
      <c r="G521" s="67"/>
      <c r="V521" s="67"/>
    </row>
    <row r="522">
      <c r="A522" s="66"/>
      <c r="B522" s="66"/>
      <c r="C522" s="66"/>
      <c r="D522" s="66"/>
      <c r="G522" s="67"/>
      <c r="V522" s="67"/>
    </row>
    <row r="523">
      <c r="A523" s="66"/>
      <c r="B523" s="66"/>
      <c r="C523" s="66"/>
      <c r="D523" s="66"/>
      <c r="G523" s="67"/>
      <c r="V523" s="67"/>
    </row>
    <row r="524">
      <c r="A524" s="66"/>
      <c r="B524" s="66"/>
      <c r="C524" s="66"/>
      <c r="D524" s="66"/>
      <c r="G524" s="67"/>
      <c r="V524" s="67"/>
    </row>
    <row r="525">
      <c r="A525" s="66"/>
      <c r="B525" s="66"/>
      <c r="C525" s="66"/>
      <c r="D525" s="66"/>
      <c r="G525" s="67"/>
      <c r="V525" s="67"/>
    </row>
    <row r="526">
      <c r="A526" s="66"/>
      <c r="B526" s="66"/>
      <c r="C526" s="66"/>
      <c r="D526" s="66"/>
      <c r="G526" s="67"/>
      <c r="V526" s="67"/>
    </row>
    <row r="527">
      <c r="A527" s="66"/>
      <c r="B527" s="66"/>
      <c r="C527" s="66"/>
      <c r="D527" s="66"/>
      <c r="G527" s="67"/>
      <c r="V527" s="67"/>
    </row>
    <row r="528">
      <c r="A528" s="66"/>
      <c r="B528" s="66"/>
      <c r="C528" s="66"/>
      <c r="D528" s="66"/>
      <c r="G528" s="67"/>
      <c r="V528" s="67"/>
    </row>
    <row r="529">
      <c r="A529" s="66"/>
      <c r="B529" s="66"/>
      <c r="C529" s="66"/>
      <c r="D529" s="66"/>
      <c r="G529" s="67"/>
      <c r="V529" s="67"/>
    </row>
    <row r="530">
      <c r="A530" s="66"/>
      <c r="B530" s="66"/>
      <c r="C530" s="66"/>
      <c r="D530" s="66"/>
      <c r="G530" s="67"/>
      <c r="V530" s="67"/>
    </row>
    <row r="531">
      <c r="A531" s="66"/>
      <c r="B531" s="66"/>
      <c r="C531" s="66"/>
      <c r="D531" s="66"/>
      <c r="G531" s="67"/>
      <c r="V531" s="67"/>
    </row>
    <row r="532">
      <c r="A532" s="66"/>
      <c r="B532" s="66"/>
      <c r="C532" s="66"/>
      <c r="D532" s="66"/>
      <c r="G532" s="67"/>
      <c r="V532" s="67"/>
    </row>
    <row r="533">
      <c r="A533" s="66"/>
      <c r="B533" s="66"/>
      <c r="C533" s="66"/>
      <c r="D533" s="66"/>
      <c r="G533" s="67"/>
      <c r="V533" s="67"/>
    </row>
    <row r="534">
      <c r="A534" s="66"/>
      <c r="B534" s="66"/>
      <c r="C534" s="66"/>
      <c r="D534" s="66"/>
      <c r="G534" s="67"/>
      <c r="V534" s="67"/>
    </row>
    <row r="535">
      <c r="A535" s="66"/>
      <c r="B535" s="66"/>
      <c r="C535" s="66"/>
      <c r="D535" s="66"/>
      <c r="G535" s="67"/>
      <c r="V535" s="67"/>
    </row>
    <row r="536">
      <c r="A536" s="66"/>
      <c r="B536" s="66"/>
      <c r="C536" s="66"/>
      <c r="D536" s="66"/>
      <c r="G536" s="67"/>
      <c r="V536" s="67"/>
    </row>
    <row r="537">
      <c r="A537" s="66"/>
      <c r="B537" s="66"/>
      <c r="C537" s="66"/>
      <c r="D537" s="66"/>
      <c r="G537" s="67"/>
      <c r="V537" s="67"/>
    </row>
    <row r="538">
      <c r="A538" s="66"/>
      <c r="B538" s="66"/>
      <c r="C538" s="66"/>
      <c r="D538" s="66"/>
      <c r="G538" s="67"/>
      <c r="V538" s="67"/>
    </row>
    <row r="539">
      <c r="A539" s="66"/>
      <c r="B539" s="66"/>
      <c r="C539" s="66"/>
      <c r="D539" s="66"/>
      <c r="G539" s="67"/>
      <c r="V539" s="67"/>
    </row>
    <row r="540">
      <c r="A540" s="66"/>
      <c r="B540" s="66"/>
      <c r="C540" s="66"/>
      <c r="D540" s="66"/>
      <c r="G540" s="67"/>
      <c r="V540" s="67"/>
    </row>
    <row r="541">
      <c r="A541" s="66"/>
      <c r="B541" s="66"/>
      <c r="C541" s="66"/>
      <c r="D541" s="66"/>
      <c r="G541" s="67"/>
      <c r="V541" s="67"/>
    </row>
    <row r="542">
      <c r="A542" s="66"/>
      <c r="B542" s="66"/>
      <c r="C542" s="66"/>
      <c r="D542" s="66"/>
      <c r="G542" s="67"/>
      <c r="V542" s="67"/>
    </row>
    <row r="543">
      <c r="A543" s="66"/>
      <c r="B543" s="66"/>
      <c r="C543" s="66"/>
      <c r="D543" s="66"/>
      <c r="G543" s="67"/>
      <c r="V543" s="67"/>
    </row>
    <row r="544">
      <c r="A544" s="66"/>
      <c r="B544" s="66"/>
      <c r="C544" s="66"/>
      <c r="D544" s="66"/>
      <c r="G544" s="67"/>
      <c r="V544" s="67"/>
    </row>
    <row r="545">
      <c r="A545" s="66"/>
      <c r="B545" s="66"/>
      <c r="C545" s="66"/>
      <c r="D545" s="66"/>
      <c r="G545" s="67"/>
      <c r="V545" s="67"/>
    </row>
    <row r="546">
      <c r="A546" s="66"/>
      <c r="B546" s="66"/>
      <c r="C546" s="66"/>
      <c r="D546" s="66"/>
      <c r="G546" s="67"/>
      <c r="V546" s="67"/>
    </row>
    <row r="547">
      <c r="A547" s="66"/>
      <c r="B547" s="66"/>
      <c r="C547" s="66"/>
      <c r="D547" s="66"/>
      <c r="G547" s="67"/>
      <c r="V547" s="67"/>
    </row>
    <row r="548">
      <c r="A548" s="66"/>
      <c r="B548" s="66"/>
      <c r="C548" s="66"/>
      <c r="D548" s="66"/>
      <c r="G548" s="67"/>
      <c r="V548" s="67"/>
    </row>
    <row r="549">
      <c r="A549" s="66"/>
      <c r="B549" s="66"/>
      <c r="C549" s="66"/>
      <c r="D549" s="66"/>
      <c r="G549" s="67"/>
      <c r="V549" s="67"/>
    </row>
    <row r="550">
      <c r="A550" s="66"/>
      <c r="B550" s="66"/>
      <c r="C550" s="66"/>
      <c r="D550" s="66"/>
      <c r="G550" s="67"/>
      <c r="V550" s="67"/>
    </row>
    <row r="551">
      <c r="A551" s="66"/>
      <c r="B551" s="66"/>
      <c r="C551" s="66"/>
      <c r="D551" s="66"/>
      <c r="G551" s="67"/>
      <c r="V551" s="67"/>
    </row>
    <row r="552">
      <c r="A552" s="66"/>
      <c r="B552" s="66"/>
      <c r="C552" s="66"/>
      <c r="D552" s="66"/>
      <c r="G552" s="67"/>
      <c r="V552" s="67"/>
    </row>
    <row r="553">
      <c r="A553" s="66"/>
      <c r="B553" s="66"/>
      <c r="C553" s="66"/>
      <c r="D553" s="66"/>
      <c r="G553" s="67"/>
      <c r="V553" s="67"/>
    </row>
    <row r="554">
      <c r="A554" s="66"/>
      <c r="B554" s="66"/>
      <c r="C554" s="66"/>
      <c r="D554" s="66"/>
      <c r="G554" s="67"/>
      <c r="V554" s="67"/>
    </row>
    <row r="555">
      <c r="A555" s="66"/>
      <c r="B555" s="66"/>
      <c r="C555" s="66"/>
      <c r="D555" s="66"/>
      <c r="G555" s="67"/>
      <c r="V555" s="67"/>
    </row>
    <row r="556">
      <c r="A556" s="66"/>
      <c r="B556" s="66"/>
      <c r="C556" s="66"/>
      <c r="D556" s="66"/>
      <c r="G556" s="67"/>
      <c r="V556" s="67"/>
    </row>
    <row r="557">
      <c r="A557" s="66"/>
      <c r="B557" s="66"/>
      <c r="C557" s="66"/>
      <c r="D557" s="66"/>
      <c r="G557" s="67"/>
      <c r="V557" s="67"/>
    </row>
    <row r="558">
      <c r="A558" s="66"/>
      <c r="B558" s="66"/>
      <c r="C558" s="66"/>
      <c r="D558" s="66"/>
      <c r="G558" s="67"/>
      <c r="V558" s="67"/>
    </row>
    <row r="559">
      <c r="A559" s="66"/>
      <c r="B559" s="66"/>
      <c r="C559" s="66"/>
      <c r="D559" s="66"/>
      <c r="G559" s="67"/>
      <c r="V559" s="67"/>
    </row>
    <row r="560">
      <c r="A560" s="66"/>
      <c r="B560" s="66"/>
      <c r="C560" s="66"/>
      <c r="D560" s="66"/>
      <c r="G560" s="67"/>
      <c r="V560" s="67"/>
    </row>
    <row r="561">
      <c r="A561" s="66"/>
      <c r="B561" s="66"/>
      <c r="C561" s="66"/>
      <c r="D561" s="66"/>
      <c r="G561" s="67"/>
      <c r="V561" s="67"/>
    </row>
    <row r="562">
      <c r="A562" s="66"/>
      <c r="B562" s="66"/>
      <c r="C562" s="66"/>
      <c r="D562" s="66"/>
      <c r="G562" s="67"/>
      <c r="V562" s="67"/>
    </row>
    <row r="563">
      <c r="A563" s="66"/>
      <c r="B563" s="66"/>
      <c r="C563" s="66"/>
      <c r="D563" s="66"/>
      <c r="G563" s="67"/>
      <c r="V563" s="67"/>
    </row>
    <row r="564">
      <c r="A564" s="66"/>
      <c r="B564" s="66"/>
      <c r="C564" s="66"/>
      <c r="D564" s="66"/>
      <c r="G564" s="67"/>
      <c r="V564" s="67"/>
    </row>
    <row r="565">
      <c r="A565" s="66"/>
      <c r="B565" s="66"/>
      <c r="C565" s="66"/>
      <c r="D565" s="66"/>
      <c r="G565" s="67"/>
      <c r="V565" s="67"/>
    </row>
    <row r="566">
      <c r="A566" s="66"/>
      <c r="B566" s="66"/>
      <c r="C566" s="66"/>
      <c r="D566" s="66"/>
      <c r="G566" s="67"/>
      <c r="V566" s="67"/>
    </row>
    <row r="567">
      <c r="A567" s="66"/>
      <c r="B567" s="66"/>
      <c r="C567" s="66"/>
      <c r="D567" s="66"/>
      <c r="G567" s="67"/>
      <c r="V567" s="67"/>
    </row>
    <row r="568">
      <c r="A568" s="66"/>
      <c r="B568" s="66"/>
      <c r="C568" s="66"/>
      <c r="D568" s="66"/>
      <c r="G568" s="67"/>
      <c r="V568" s="67"/>
    </row>
    <row r="569">
      <c r="A569" s="66"/>
      <c r="B569" s="66"/>
      <c r="C569" s="66"/>
      <c r="D569" s="66"/>
      <c r="G569" s="67"/>
      <c r="V569" s="67"/>
    </row>
    <row r="570">
      <c r="A570" s="66"/>
      <c r="B570" s="66"/>
      <c r="C570" s="66"/>
      <c r="D570" s="66"/>
      <c r="G570" s="67"/>
      <c r="V570" s="67"/>
    </row>
    <row r="571">
      <c r="A571" s="66"/>
      <c r="B571" s="66"/>
      <c r="C571" s="66"/>
      <c r="D571" s="66"/>
      <c r="G571" s="67"/>
      <c r="V571" s="67"/>
    </row>
    <row r="572">
      <c r="A572" s="66"/>
      <c r="B572" s="66"/>
      <c r="C572" s="66"/>
      <c r="D572" s="66"/>
      <c r="G572" s="67"/>
      <c r="V572" s="67"/>
    </row>
    <row r="573">
      <c r="A573" s="66"/>
      <c r="B573" s="66"/>
      <c r="C573" s="66"/>
      <c r="D573" s="66"/>
      <c r="G573" s="67"/>
      <c r="V573" s="67"/>
    </row>
    <row r="574">
      <c r="A574" s="66"/>
      <c r="B574" s="66"/>
      <c r="C574" s="66"/>
      <c r="D574" s="66"/>
      <c r="G574" s="67"/>
      <c r="V574" s="67"/>
    </row>
    <row r="575">
      <c r="A575" s="66"/>
      <c r="B575" s="66"/>
      <c r="C575" s="66"/>
      <c r="D575" s="66"/>
      <c r="G575" s="67"/>
      <c r="V575" s="67"/>
    </row>
    <row r="576">
      <c r="A576" s="66"/>
      <c r="B576" s="66"/>
      <c r="C576" s="66"/>
      <c r="D576" s="66"/>
      <c r="G576" s="67"/>
      <c r="V576" s="67"/>
    </row>
    <row r="577">
      <c r="A577" s="66"/>
      <c r="B577" s="66"/>
      <c r="C577" s="66"/>
      <c r="D577" s="66"/>
      <c r="G577" s="67"/>
      <c r="V577" s="67"/>
    </row>
    <row r="578">
      <c r="A578" s="66"/>
      <c r="B578" s="66"/>
      <c r="C578" s="66"/>
      <c r="D578" s="66"/>
      <c r="G578" s="67"/>
      <c r="V578" s="67"/>
    </row>
    <row r="579">
      <c r="A579" s="66"/>
      <c r="B579" s="66"/>
      <c r="C579" s="66"/>
      <c r="D579" s="66"/>
      <c r="G579" s="67"/>
      <c r="V579" s="67"/>
    </row>
    <row r="580">
      <c r="A580" s="66"/>
      <c r="B580" s="66"/>
      <c r="C580" s="66"/>
      <c r="D580" s="66"/>
      <c r="G580" s="67"/>
      <c r="V580" s="67"/>
    </row>
    <row r="581">
      <c r="A581" s="66"/>
      <c r="B581" s="66"/>
      <c r="C581" s="66"/>
      <c r="D581" s="66"/>
      <c r="G581" s="67"/>
      <c r="V581" s="67"/>
    </row>
    <row r="582">
      <c r="A582" s="66"/>
      <c r="B582" s="66"/>
      <c r="C582" s="66"/>
      <c r="D582" s="66"/>
      <c r="G582" s="67"/>
      <c r="V582" s="67"/>
    </row>
    <row r="583">
      <c r="A583" s="66"/>
      <c r="B583" s="66"/>
      <c r="C583" s="66"/>
      <c r="D583" s="66"/>
      <c r="G583" s="67"/>
      <c r="V583" s="67"/>
    </row>
    <row r="584">
      <c r="A584" s="66"/>
      <c r="B584" s="66"/>
      <c r="C584" s="66"/>
      <c r="D584" s="66"/>
      <c r="G584" s="67"/>
      <c r="V584" s="67"/>
    </row>
    <row r="585">
      <c r="A585" s="66"/>
      <c r="B585" s="66"/>
      <c r="C585" s="66"/>
      <c r="D585" s="66"/>
      <c r="G585" s="67"/>
      <c r="V585" s="67"/>
    </row>
    <row r="586">
      <c r="A586" s="66"/>
      <c r="B586" s="66"/>
      <c r="C586" s="66"/>
      <c r="D586" s="66"/>
      <c r="G586" s="67"/>
      <c r="V586" s="67"/>
    </row>
    <row r="587">
      <c r="A587" s="66"/>
      <c r="B587" s="66"/>
      <c r="C587" s="66"/>
      <c r="D587" s="66"/>
      <c r="G587" s="67"/>
      <c r="V587" s="67"/>
    </row>
    <row r="588">
      <c r="A588" s="66"/>
      <c r="B588" s="66"/>
      <c r="C588" s="66"/>
      <c r="D588" s="66"/>
      <c r="G588" s="67"/>
      <c r="V588" s="67"/>
    </row>
    <row r="589">
      <c r="A589" s="66"/>
      <c r="B589" s="66"/>
      <c r="C589" s="66"/>
      <c r="D589" s="66"/>
      <c r="G589" s="67"/>
      <c r="V589" s="67"/>
    </row>
    <row r="590">
      <c r="A590" s="66"/>
      <c r="B590" s="66"/>
      <c r="C590" s="66"/>
      <c r="D590" s="66"/>
      <c r="G590" s="67"/>
      <c r="V590" s="67"/>
    </row>
    <row r="591">
      <c r="A591" s="66"/>
      <c r="B591" s="66"/>
      <c r="C591" s="66"/>
      <c r="D591" s="66"/>
      <c r="G591" s="67"/>
      <c r="V591" s="67"/>
    </row>
    <row r="592">
      <c r="A592" s="66"/>
      <c r="B592" s="66"/>
      <c r="C592" s="66"/>
      <c r="D592" s="66"/>
      <c r="G592" s="67"/>
      <c r="V592" s="67"/>
    </row>
    <row r="593">
      <c r="A593" s="66"/>
      <c r="B593" s="66"/>
      <c r="C593" s="66"/>
      <c r="D593" s="66"/>
      <c r="G593" s="67"/>
      <c r="V593" s="67"/>
    </row>
    <row r="594">
      <c r="A594" s="66"/>
      <c r="B594" s="66"/>
      <c r="C594" s="66"/>
      <c r="D594" s="66"/>
      <c r="G594" s="67"/>
      <c r="V594" s="67"/>
    </row>
    <row r="595">
      <c r="A595" s="66"/>
      <c r="B595" s="66"/>
      <c r="C595" s="66"/>
      <c r="D595" s="66"/>
      <c r="G595" s="67"/>
      <c r="V595" s="67"/>
    </row>
    <row r="596">
      <c r="A596" s="66"/>
      <c r="B596" s="66"/>
      <c r="C596" s="66"/>
      <c r="D596" s="66"/>
      <c r="G596" s="67"/>
      <c r="V596" s="67"/>
    </row>
    <row r="597">
      <c r="A597" s="66"/>
      <c r="B597" s="66"/>
      <c r="C597" s="66"/>
      <c r="D597" s="66"/>
      <c r="G597" s="67"/>
      <c r="V597" s="67"/>
    </row>
    <row r="598">
      <c r="A598" s="66"/>
      <c r="B598" s="66"/>
      <c r="C598" s="66"/>
      <c r="D598" s="66"/>
      <c r="G598" s="67"/>
      <c r="V598" s="67"/>
    </row>
    <row r="599">
      <c r="A599" s="66"/>
      <c r="B599" s="66"/>
      <c r="C599" s="66"/>
      <c r="D599" s="66"/>
      <c r="G599" s="67"/>
      <c r="V599" s="67"/>
    </row>
    <row r="600">
      <c r="A600" s="66"/>
      <c r="B600" s="66"/>
      <c r="C600" s="66"/>
      <c r="D600" s="66"/>
      <c r="G600" s="67"/>
      <c r="V600" s="67"/>
    </row>
    <row r="601">
      <c r="A601" s="66"/>
      <c r="B601" s="66"/>
      <c r="C601" s="66"/>
      <c r="D601" s="66"/>
      <c r="G601" s="67"/>
      <c r="V601" s="67"/>
    </row>
    <row r="602">
      <c r="A602" s="66"/>
      <c r="B602" s="66"/>
      <c r="C602" s="66"/>
      <c r="D602" s="66"/>
      <c r="G602" s="67"/>
      <c r="V602" s="67"/>
    </row>
    <row r="603">
      <c r="A603" s="66"/>
      <c r="B603" s="66"/>
      <c r="C603" s="66"/>
      <c r="D603" s="66"/>
      <c r="G603" s="67"/>
      <c r="V603" s="67"/>
    </row>
    <row r="604">
      <c r="A604" s="66"/>
      <c r="B604" s="66"/>
      <c r="C604" s="66"/>
      <c r="D604" s="66"/>
      <c r="G604" s="67"/>
      <c r="V604" s="67"/>
    </row>
    <row r="605">
      <c r="A605" s="66"/>
      <c r="B605" s="66"/>
      <c r="C605" s="66"/>
      <c r="D605" s="66"/>
      <c r="G605" s="67"/>
      <c r="V605" s="67"/>
    </row>
    <row r="606">
      <c r="A606" s="66"/>
      <c r="B606" s="66"/>
      <c r="C606" s="66"/>
      <c r="D606" s="66"/>
      <c r="G606" s="67"/>
      <c r="V606" s="67"/>
    </row>
    <row r="607">
      <c r="A607" s="66"/>
      <c r="B607" s="66"/>
      <c r="C607" s="66"/>
      <c r="D607" s="66"/>
      <c r="G607" s="67"/>
      <c r="V607" s="67"/>
    </row>
    <row r="608">
      <c r="A608" s="66"/>
      <c r="B608" s="66"/>
      <c r="C608" s="66"/>
      <c r="D608" s="66"/>
      <c r="G608" s="67"/>
      <c r="V608" s="67"/>
    </row>
    <row r="609">
      <c r="A609" s="66"/>
      <c r="B609" s="66"/>
      <c r="C609" s="66"/>
      <c r="D609" s="66"/>
      <c r="G609" s="67"/>
      <c r="V609" s="67"/>
    </row>
    <row r="610">
      <c r="A610" s="66"/>
      <c r="B610" s="66"/>
      <c r="C610" s="66"/>
      <c r="D610" s="66"/>
      <c r="G610" s="67"/>
      <c r="V610" s="67"/>
    </row>
    <row r="611">
      <c r="A611" s="66"/>
      <c r="B611" s="66"/>
      <c r="C611" s="66"/>
      <c r="D611" s="66"/>
      <c r="G611" s="67"/>
      <c r="V611" s="67"/>
    </row>
    <row r="612">
      <c r="A612" s="66"/>
      <c r="B612" s="66"/>
      <c r="C612" s="66"/>
      <c r="D612" s="66"/>
      <c r="G612" s="67"/>
      <c r="V612" s="67"/>
    </row>
    <row r="613">
      <c r="A613" s="66"/>
      <c r="B613" s="66"/>
      <c r="C613" s="66"/>
      <c r="D613" s="66"/>
      <c r="G613" s="67"/>
      <c r="V613" s="67"/>
    </row>
    <row r="614">
      <c r="A614" s="66"/>
      <c r="B614" s="66"/>
      <c r="C614" s="66"/>
      <c r="D614" s="66"/>
      <c r="G614" s="67"/>
      <c r="V614" s="67"/>
    </row>
    <row r="615">
      <c r="A615" s="66"/>
      <c r="B615" s="66"/>
      <c r="C615" s="66"/>
      <c r="D615" s="66"/>
      <c r="G615" s="67"/>
      <c r="V615" s="67"/>
    </row>
    <row r="616">
      <c r="A616" s="66"/>
      <c r="B616" s="66"/>
      <c r="C616" s="66"/>
      <c r="D616" s="66"/>
      <c r="G616" s="67"/>
      <c r="V616" s="67"/>
    </row>
    <row r="617">
      <c r="A617" s="66"/>
      <c r="B617" s="66"/>
      <c r="C617" s="66"/>
      <c r="D617" s="66"/>
      <c r="G617" s="67"/>
      <c r="V617" s="67"/>
    </row>
    <row r="618">
      <c r="A618" s="66"/>
      <c r="B618" s="66"/>
      <c r="C618" s="66"/>
      <c r="D618" s="66"/>
      <c r="G618" s="67"/>
      <c r="V618" s="67"/>
    </row>
    <row r="619">
      <c r="A619" s="66"/>
      <c r="B619" s="66"/>
      <c r="C619" s="66"/>
      <c r="D619" s="66"/>
      <c r="G619" s="67"/>
      <c r="V619" s="67"/>
    </row>
    <row r="620">
      <c r="A620" s="66"/>
      <c r="B620" s="66"/>
      <c r="C620" s="66"/>
      <c r="D620" s="66"/>
      <c r="G620" s="67"/>
      <c r="V620" s="67"/>
    </row>
    <row r="621">
      <c r="A621" s="66"/>
      <c r="B621" s="66"/>
      <c r="C621" s="66"/>
      <c r="D621" s="66"/>
      <c r="G621" s="67"/>
      <c r="V621" s="67"/>
    </row>
    <row r="622">
      <c r="A622" s="66"/>
      <c r="B622" s="66"/>
      <c r="C622" s="66"/>
      <c r="D622" s="66"/>
      <c r="G622" s="67"/>
      <c r="V622" s="67"/>
    </row>
    <row r="623">
      <c r="A623" s="66"/>
      <c r="B623" s="66"/>
      <c r="C623" s="66"/>
      <c r="D623" s="66"/>
      <c r="G623" s="67"/>
      <c r="V623" s="67"/>
    </row>
    <row r="624">
      <c r="A624" s="66"/>
      <c r="B624" s="66"/>
      <c r="C624" s="66"/>
      <c r="D624" s="66"/>
      <c r="G624" s="67"/>
      <c r="V624" s="67"/>
    </row>
    <row r="625">
      <c r="A625" s="66"/>
      <c r="B625" s="66"/>
      <c r="C625" s="66"/>
      <c r="D625" s="66"/>
      <c r="G625" s="67"/>
      <c r="V625" s="67"/>
    </row>
    <row r="626">
      <c r="A626" s="66"/>
      <c r="B626" s="66"/>
      <c r="C626" s="66"/>
      <c r="D626" s="66"/>
      <c r="G626" s="67"/>
      <c r="V626" s="67"/>
    </row>
    <row r="627">
      <c r="A627" s="66"/>
      <c r="B627" s="66"/>
      <c r="C627" s="66"/>
      <c r="D627" s="66"/>
      <c r="G627" s="67"/>
      <c r="V627" s="67"/>
    </row>
    <row r="628">
      <c r="A628" s="66"/>
      <c r="B628" s="66"/>
      <c r="C628" s="66"/>
      <c r="D628" s="66"/>
      <c r="G628" s="67"/>
      <c r="V628" s="67"/>
    </row>
    <row r="629">
      <c r="A629" s="66"/>
      <c r="B629" s="66"/>
      <c r="C629" s="66"/>
      <c r="D629" s="66"/>
      <c r="G629" s="67"/>
      <c r="V629" s="67"/>
    </row>
    <row r="630">
      <c r="A630" s="66"/>
      <c r="B630" s="66"/>
      <c r="C630" s="66"/>
      <c r="D630" s="66"/>
      <c r="G630" s="67"/>
      <c r="V630" s="67"/>
    </row>
    <row r="631">
      <c r="A631" s="66"/>
      <c r="B631" s="66"/>
      <c r="C631" s="66"/>
      <c r="D631" s="66"/>
      <c r="G631" s="67"/>
      <c r="V631" s="67"/>
    </row>
    <row r="632">
      <c r="A632" s="66"/>
      <c r="B632" s="66"/>
      <c r="C632" s="66"/>
      <c r="D632" s="66"/>
      <c r="G632" s="67"/>
      <c r="V632" s="67"/>
    </row>
    <row r="633">
      <c r="A633" s="66"/>
      <c r="B633" s="66"/>
      <c r="C633" s="66"/>
      <c r="D633" s="66"/>
      <c r="G633" s="67"/>
      <c r="V633" s="67"/>
    </row>
    <row r="634">
      <c r="A634" s="66"/>
      <c r="B634" s="66"/>
      <c r="C634" s="66"/>
      <c r="D634" s="66"/>
      <c r="G634" s="67"/>
      <c r="V634" s="67"/>
    </row>
    <row r="635">
      <c r="A635" s="66"/>
      <c r="B635" s="66"/>
      <c r="C635" s="66"/>
      <c r="D635" s="66"/>
      <c r="G635" s="67"/>
      <c r="V635" s="67"/>
    </row>
    <row r="636">
      <c r="A636" s="66"/>
      <c r="B636" s="66"/>
      <c r="C636" s="66"/>
      <c r="D636" s="66"/>
      <c r="G636" s="67"/>
      <c r="V636" s="67"/>
    </row>
    <row r="637">
      <c r="A637" s="66"/>
      <c r="B637" s="66"/>
      <c r="C637" s="66"/>
      <c r="D637" s="66"/>
      <c r="G637" s="67"/>
      <c r="V637" s="67"/>
    </row>
    <row r="638">
      <c r="A638" s="66"/>
      <c r="B638" s="66"/>
      <c r="C638" s="66"/>
      <c r="D638" s="66"/>
      <c r="G638" s="67"/>
      <c r="V638" s="67"/>
    </row>
    <row r="639">
      <c r="A639" s="66"/>
      <c r="B639" s="66"/>
      <c r="C639" s="66"/>
      <c r="D639" s="66"/>
      <c r="G639" s="67"/>
      <c r="V639" s="67"/>
    </row>
    <row r="640">
      <c r="A640" s="66"/>
      <c r="B640" s="66"/>
      <c r="C640" s="66"/>
      <c r="D640" s="66"/>
      <c r="G640" s="67"/>
      <c r="V640" s="67"/>
    </row>
    <row r="641">
      <c r="A641" s="66"/>
      <c r="B641" s="66"/>
      <c r="C641" s="66"/>
      <c r="D641" s="66"/>
      <c r="G641" s="67"/>
      <c r="V641" s="67"/>
    </row>
    <row r="642">
      <c r="A642" s="66"/>
      <c r="B642" s="66"/>
      <c r="C642" s="66"/>
      <c r="D642" s="66"/>
      <c r="G642" s="67"/>
      <c r="V642" s="67"/>
    </row>
    <row r="643">
      <c r="A643" s="66"/>
      <c r="B643" s="66"/>
      <c r="C643" s="66"/>
      <c r="D643" s="66"/>
      <c r="G643" s="67"/>
      <c r="V643" s="67"/>
    </row>
    <row r="644">
      <c r="A644" s="66"/>
      <c r="B644" s="66"/>
      <c r="C644" s="66"/>
      <c r="D644" s="66"/>
      <c r="G644" s="67"/>
      <c r="V644" s="67"/>
    </row>
    <row r="645">
      <c r="A645" s="66"/>
      <c r="B645" s="66"/>
      <c r="C645" s="66"/>
      <c r="D645" s="66"/>
      <c r="G645" s="67"/>
      <c r="V645" s="67"/>
    </row>
    <row r="646">
      <c r="A646" s="66"/>
      <c r="B646" s="66"/>
      <c r="C646" s="66"/>
      <c r="D646" s="66"/>
      <c r="G646" s="67"/>
      <c r="V646" s="67"/>
    </row>
    <row r="647">
      <c r="A647" s="66"/>
      <c r="B647" s="66"/>
      <c r="C647" s="66"/>
      <c r="D647" s="66"/>
      <c r="G647" s="67"/>
      <c r="V647" s="67"/>
    </row>
    <row r="648">
      <c r="A648" s="66"/>
      <c r="B648" s="66"/>
      <c r="C648" s="66"/>
      <c r="D648" s="66"/>
      <c r="G648" s="67"/>
      <c r="V648" s="67"/>
    </row>
    <row r="649">
      <c r="A649" s="66"/>
      <c r="B649" s="66"/>
      <c r="C649" s="66"/>
      <c r="D649" s="66"/>
      <c r="G649" s="67"/>
      <c r="V649" s="67"/>
    </row>
    <row r="650">
      <c r="A650" s="66"/>
      <c r="B650" s="66"/>
      <c r="C650" s="66"/>
      <c r="D650" s="66"/>
      <c r="G650" s="67"/>
      <c r="V650" s="67"/>
    </row>
    <row r="651">
      <c r="A651" s="66"/>
      <c r="B651" s="66"/>
      <c r="C651" s="66"/>
      <c r="D651" s="66"/>
      <c r="G651" s="67"/>
      <c r="V651" s="67"/>
    </row>
    <row r="652">
      <c r="A652" s="66"/>
      <c r="B652" s="66"/>
      <c r="C652" s="66"/>
      <c r="D652" s="66"/>
      <c r="G652" s="67"/>
      <c r="V652" s="67"/>
    </row>
    <row r="653">
      <c r="A653" s="66"/>
      <c r="B653" s="66"/>
      <c r="C653" s="66"/>
      <c r="D653" s="66"/>
      <c r="G653" s="67"/>
      <c r="V653" s="67"/>
    </row>
    <row r="654">
      <c r="A654" s="66"/>
      <c r="B654" s="66"/>
      <c r="C654" s="66"/>
      <c r="D654" s="66"/>
      <c r="G654" s="67"/>
      <c r="V654" s="67"/>
    </row>
    <row r="655">
      <c r="A655" s="66"/>
      <c r="B655" s="66"/>
      <c r="C655" s="66"/>
      <c r="D655" s="66"/>
      <c r="G655" s="67"/>
      <c r="V655" s="67"/>
    </row>
    <row r="656">
      <c r="A656" s="66"/>
      <c r="B656" s="66"/>
      <c r="C656" s="66"/>
      <c r="D656" s="66"/>
      <c r="G656" s="67"/>
      <c r="V656" s="67"/>
    </row>
    <row r="657">
      <c r="A657" s="66"/>
      <c r="B657" s="66"/>
      <c r="C657" s="66"/>
      <c r="D657" s="66"/>
      <c r="G657" s="67"/>
      <c r="V657" s="67"/>
    </row>
    <row r="658">
      <c r="A658" s="66"/>
      <c r="B658" s="66"/>
      <c r="C658" s="66"/>
      <c r="D658" s="66"/>
      <c r="G658" s="67"/>
      <c r="V658" s="67"/>
    </row>
    <row r="659">
      <c r="A659" s="66"/>
      <c r="B659" s="66"/>
      <c r="C659" s="66"/>
      <c r="D659" s="66"/>
      <c r="G659" s="67"/>
      <c r="V659" s="67"/>
    </row>
    <row r="660">
      <c r="A660" s="66"/>
      <c r="B660" s="66"/>
      <c r="C660" s="66"/>
      <c r="D660" s="66"/>
      <c r="G660" s="67"/>
      <c r="V660" s="67"/>
    </row>
    <row r="661">
      <c r="A661" s="66"/>
      <c r="B661" s="66"/>
      <c r="C661" s="66"/>
      <c r="D661" s="66"/>
      <c r="G661" s="67"/>
      <c r="V661" s="67"/>
    </row>
    <row r="662">
      <c r="A662" s="66"/>
      <c r="B662" s="66"/>
      <c r="C662" s="66"/>
      <c r="D662" s="66"/>
      <c r="G662" s="67"/>
      <c r="V662" s="67"/>
    </row>
    <row r="663">
      <c r="A663" s="66"/>
      <c r="B663" s="66"/>
      <c r="C663" s="66"/>
      <c r="D663" s="66"/>
      <c r="G663" s="67"/>
      <c r="V663" s="67"/>
    </row>
    <row r="664">
      <c r="A664" s="66"/>
      <c r="B664" s="66"/>
      <c r="C664" s="66"/>
      <c r="D664" s="66"/>
      <c r="G664" s="67"/>
      <c r="V664" s="67"/>
    </row>
    <row r="665">
      <c r="A665" s="66"/>
      <c r="B665" s="66"/>
      <c r="C665" s="66"/>
      <c r="D665" s="66"/>
      <c r="G665" s="67"/>
      <c r="V665" s="67"/>
    </row>
    <row r="666">
      <c r="A666" s="66"/>
      <c r="B666" s="66"/>
      <c r="C666" s="66"/>
      <c r="D666" s="66"/>
      <c r="G666" s="67"/>
      <c r="V666" s="67"/>
    </row>
    <row r="667">
      <c r="A667" s="66"/>
      <c r="B667" s="66"/>
      <c r="C667" s="66"/>
      <c r="D667" s="66"/>
      <c r="G667" s="67"/>
      <c r="V667" s="67"/>
    </row>
    <row r="668">
      <c r="A668" s="66"/>
      <c r="B668" s="66"/>
      <c r="C668" s="66"/>
      <c r="D668" s="66"/>
      <c r="G668" s="67"/>
      <c r="V668" s="67"/>
    </row>
    <row r="669">
      <c r="A669" s="66"/>
      <c r="B669" s="66"/>
      <c r="C669" s="66"/>
      <c r="D669" s="66"/>
      <c r="G669" s="67"/>
      <c r="V669" s="67"/>
    </row>
    <row r="670">
      <c r="A670" s="66"/>
      <c r="B670" s="66"/>
      <c r="C670" s="66"/>
      <c r="D670" s="66"/>
      <c r="G670" s="67"/>
      <c r="V670" s="67"/>
    </row>
    <row r="671">
      <c r="A671" s="66"/>
      <c r="B671" s="66"/>
      <c r="C671" s="66"/>
      <c r="D671" s="66"/>
      <c r="G671" s="67"/>
      <c r="V671" s="67"/>
    </row>
    <row r="672">
      <c r="A672" s="66"/>
      <c r="B672" s="66"/>
      <c r="C672" s="66"/>
      <c r="D672" s="66"/>
      <c r="G672" s="67"/>
      <c r="V672" s="67"/>
    </row>
    <row r="673">
      <c r="A673" s="66"/>
      <c r="B673" s="66"/>
      <c r="C673" s="66"/>
      <c r="D673" s="66"/>
      <c r="G673" s="67"/>
      <c r="V673" s="67"/>
    </row>
    <row r="674">
      <c r="A674" s="66"/>
      <c r="B674" s="66"/>
      <c r="C674" s="66"/>
      <c r="D674" s="66"/>
      <c r="G674" s="67"/>
      <c r="V674" s="67"/>
    </row>
    <row r="675">
      <c r="A675" s="66"/>
      <c r="B675" s="66"/>
      <c r="C675" s="66"/>
      <c r="D675" s="66"/>
      <c r="G675" s="67"/>
      <c r="V675" s="67"/>
    </row>
    <row r="676">
      <c r="A676" s="66"/>
      <c r="B676" s="66"/>
      <c r="C676" s="66"/>
      <c r="D676" s="66"/>
      <c r="G676" s="67"/>
      <c r="V676" s="67"/>
    </row>
    <row r="677">
      <c r="A677" s="66"/>
      <c r="B677" s="66"/>
      <c r="C677" s="66"/>
      <c r="D677" s="66"/>
      <c r="G677" s="67"/>
      <c r="V677" s="67"/>
    </row>
    <row r="678">
      <c r="A678" s="66"/>
      <c r="B678" s="66"/>
      <c r="C678" s="66"/>
      <c r="D678" s="66"/>
      <c r="G678" s="67"/>
      <c r="V678" s="67"/>
    </row>
    <row r="679">
      <c r="A679" s="66"/>
      <c r="B679" s="66"/>
      <c r="C679" s="66"/>
      <c r="D679" s="66"/>
      <c r="G679" s="67"/>
      <c r="V679" s="67"/>
    </row>
    <row r="680">
      <c r="A680" s="66"/>
      <c r="B680" s="66"/>
      <c r="C680" s="66"/>
      <c r="D680" s="66"/>
      <c r="G680" s="67"/>
      <c r="V680" s="67"/>
    </row>
    <row r="681">
      <c r="A681" s="66"/>
      <c r="B681" s="66"/>
      <c r="C681" s="66"/>
      <c r="D681" s="66"/>
      <c r="G681" s="67"/>
      <c r="V681" s="67"/>
    </row>
    <row r="682">
      <c r="A682" s="66"/>
      <c r="B682" s="66"/>
      <c r="C682" s="66"/>
      <c r="D682" s="66"/>
      <c r="G682" s="67"/>
      <c r="V682" s="67"/>
    </row>
    <row r="683">
      <c r="A683" s="66"/>
      <c r="B683" s="66"/>
      <c r="C683" s="66"/>
      <c r="D683" s="66"/>
      <c r="G683" s="67"/>
      <c r="V683" s="67"/>
    </row>
    <row r="684">
      <c r="A684" s="66"/>
      <c r="B684" s="66"/>
      <c r="C684" s="66"/>
      <c r="D684" s="66"/>
      <c r="G684" s="67"/>
      <c r="V684" s="67"/>
    </row>
    <row r="685">
      <c r="A685" s="66"/>
      <c r="B685" s="66"/>
      <c r="C685" s="66"/>
      <c r="D685" s="66"/>
      <c r="G685" s="67"/>
      <c r="V685" s="67"/>
    </row>
    <row r="686">
      <c r="A686" s="66"/>
      <c r="B686" s="66"/>
      <c r="C686" s="66"/>
      <c r="D686" s="66"/>
      <c r="G686" s="67"/>
      <c r="V686" s="67"/>
    </row>
    <row r="687">
      <c r="A687" s="66"/>
      <c r="B687" s="66"/>
      <c r="C687" s="66"/>
      <c r="D687" s="66"/>
      <c r="G687" s="67"/>
      <c r="V687" s="67"/>
    </row>
    <row r="688">
      <c r="A688" s="66"/>
      <c r="B688" s="66"/>
      <c r="C688" s="66"/>
      <c r="D688" s="66"/>
      <c r="G688" s="67"/>
      <c r="V688" s="67"/>
    </row>
    <row r="689">
      <c r="A689" s="66"/>
      <c r="B689" s="66"/>
      <c r="C689" s="66"/>
      <c r="D689" s="66"/>
      <c r="G689" s="67"/>
      <c r="V689" s="67"/>
    </row>
    <row r="690">
      <c r="A690" s="66"/>
      <c r="B690" s="66"/>
      <c r="C690" s="66"/>
      <c r="D690" s="66"/>
      <c r="G690" s="67"/>
      <c r="V690" s="67"/>
    </row>
    <row r="691">
      <c r="A691" s="66"/>
      <c r="B691" s="66"/>
      <c r="C691" s="66"/>
      <c r="D691" s="66"/>
      <c r="G691" s="67"/>
      <c r="V691" s="67"/>
    </row>
    <row r="692">
      <c r="A692" s="66"/>
      <c r="B692" s="66"/>
      <c r="C692" s="66"/>
      <c r="D692" s="66"/>
      <c r="G692" s="67"/>
      <c r="V692" s="67"/>
    </row>
    <row r="693">
      <c r="A693" s="66"/>
      <c r="B693" s="66"/>
      <c r="C693" s="66"/>
      <c r="D693" s="66"/>
      <c r="G693" s="67"/>
      <c r="V693" s="67"/>
    </row>
    <row r="694">
      <c r="A694" s="66"/>
      <c r="B694" s="66"/>
      <c r="C694" s="66"/>
      <c r="D694" s="66"/>
      <c r="G694" s="67"/>
      <c r="V694" s="67"/>
    </row>
    <row r="695">
      <c r="A695" s="66"/>
      <c r="B695" s="66"/>
      <c r="C695" s="66"/>
      <c r="D695" s="66"/>
      <c r="G695" s="67"/>
      <c r="V695" s="67"/>
    </row>
    <row r="696">
      <c r="A696" s="66"/>
      <c r="B696" s="66"/>
      <c r="C696" s="66"/>
      <c r="D696" s="66"/>
      <c r="G696" s="67"/>
      <c r="V696" s="67"/>
    </row>
    <row r="697">
      <c r="A697" s="66"/>
      <c r="B697" s="66"/>
      <c r="C697" s="66"/>
      <c r="D697" s="66"/>
      <c r="G697" s="67"/>
      <c r="V697" s="67"/>
    </row>
    <row r="698">
      <c r="A698" s="66"/>
      <c r="B698" s="66"/>
      <c r="C698" s="66"/>
      <c r="D698" s="66"/>
      <c r="G698" s="67"/>
      <c r="V698" s="67"/>
    </row>
    <row r="699">
      <c r="A699" s="66"/>
      <c r="B699" s="66"/>
      <c r="C699" s="66"/>
      <c r="D699" s="66"/>
      <c r="G699" s="67"/>
      <c r="V699" s="67"/>
    </row>
    <row r="700">
      <c r="A700" s="66"/>
      <c r="B700" s="66"/>
      <c r="C700" s="66"/>
      <c r="D700" s="66"/>
      <c r="G700" s="67"/>
      <c r="V700" s="67"/>
    </row>
    <row r="701">
      <c r="A701" s="66"/>
      <c r="B701" s="66"/>
      <c r="C701" s="66"/>
      <c r="D701" s="66"/>
      <c r="G701" s="67"/>
      <c r="V701" s="67"/>
    </row>
    <row r="702">
      <c r="A702" s="66"/>
      <c r="B702" s="66"/>
      <c r="C702" s="66"/>
      <c r="D702" s="66"/>
      <c r="G702" s="67"/>
      <c r="V702" s="67"/>
    </row>
    <row r="703">
      <c r="A703" s="66"/>
      <c r="B703" s="66"/>
      <c r="C703" s="66"/>
      <c r="D703" s="66"/>
      <c r="G703" s="67"/>
      <c r="V703" s="67"/>
    </row>
    <row r="704">
      <c r="A704" s="66"/>
      <c r="B704" s="66"/>
      <c r="C704" s="66"/>
      <c r="D704" s="66"/>
      <c r="G704" s="67"/>
      <c r="V704" s="67"/>
    </row>
    <row r="705">
      <c r="A705" s="66"/>
      <c r="B705" s="66"/>
      <c r="C705" s="66"/>
      <c r="D705" s="66"/>
      <c r="G705" s="67"/>
      <c r="V705" s="67"/>
    </row>
    <row r="706">
      <c r="A706" s="66"/>
      <c r="B706" s="66"/>
      <c r="C706" s="66"/>
      <c r="D706" s="66"/>
      <c r="G706" s="67"/>
      <c r="V706" s="67"/>
    </row>
    <row r="707">
      <c r="A707" s="66"/>
      <c r="B707" s="66"/>
      <c r="C707" s="66"/>
      <c r="D707" s="66"/>
      <c r="G707" s="67"/>
      <c r="V707" s="67"/>
    </row>
    <row r="708">
      <c r="A708" s="66"/>
      <c r="B708" s="66"/>
      <c r="C708" s="66"/>
      <c r="D708" s="66"/>
      <c r="G708" s="67"/>
      <c r="V708" s="67"/>
    </row>
    <row r="709">
      <c r="A709" s="66"/>
      <c r="B709" s="66"/>
      <c r="C709" s="66"/>
      <c r="D709" s="66"/>
      <c r="G709" s="67"/>
      <c r="V709" s="67"/>
    </row>
    <row r="710">
      <c r="A710" s="66"/>
      <c r="B710" s="66"/>
      <c r="C710" s="66"/>
      <c r="D710" s="66"/>
      <c r="G710" s="67"/>
      <c r="V710" s="67"/>
    </row>
    <row r="711">
      <c r="A711" s="66"/>
      <c r="B711" s="66"/>
      <c r="C711" s="66"/>
      <c r="D711" s="66"/>
      <c r="G711" s="67"/>
      <c r="V711" s="67"/>
    </row>
    <row r="712">
      <c r="A712" s="66"/>
      <c r="B712" s="66"/>
      <c r="C712" s="66"/>
      <c r="D712" s="66"/>
      <c r="G712" s="67"/>
      <c r="V712" s="67"/>
    </row>
    <row r="713">
      <c r="A713" s="66"/>
      <c r="B713" s="66"/>
      <c r="C713" s="66"/>
      <c r="D713" s="66"/>
      <c r="G713" s="67"/>
      <c r="V713" s="67"/>
    </row>
    <row r="714">
      <c r="A714" s="66"/>
      <c r="B714" s="66"/>
      <c r="C714" s="66"/>
      <c r="D714" s="66"/>
      <c r="G714" s="67"/>
      <c r="V714" s="67"/>
    </row>
    <row r="715">
      <c r="A715" s="66"/>
      <c r="B715" s="66"/>
      <c r="C715" s="66"/>
      <c r="D715" s="66"/>
      <c r="G715" s="67"/>
      <c r="V715" s="67"/>
    </row>
    <row r="716">
      <c r="A716" s="66"/>
      <c r="B716" s="66"/>
      <c r="C716" s="66"/>
      <c r="D716" s="66"/>
      <c r="G716" s="67"/>
      <c r="V716" s="67"/>
    </row>
    <row r="717">
      <c r="A717" s="66"/>
      <c r="B717" s="66"/>
      <c r="C717" s="66"/>
      <c r="D717" s="66"/>
      <c r="G717" s="67"/>
      <c r="V717" s="67"/>
    </row>
    <row r="718">
      <c r="A718" s="66"/>
      <c r="B718" s="66"/>
      <c r="C718" s="66"/>
      <c r="D718" s="66"/>
      <c r="G718" s="67"/>
      <c r="V718" s="67"/>
    </row>
    <row r="719">
      <c r="A719" s="66"/>
      <c r="B719" s="66"/>
      <c r="C719" s="66"/>
      <c r="D719" s="66"/>
      <c r="G719" s="67"/>
      <c r="V719" s="67"/>
    </row>
    <row r="720">
      <c r="A720" s="66"/>
      <c r="B720" s="66"/>
      <c r="C720" s="66"/>
      <c r="D720" s="66"/>
      <c r="G720" s="67"/>
      <c r="V720" s="67"/>
    </row>
    <row r="721">
      <c r="A721" s="66"/>
      <c r="B721" s="66"/>
      <c r="C721" s="66"/>
      <c r="D721" s="66"/>
      <c r="G721" s="67"/>
      <c r="V721" s="67"/>
    </row>
    <row r="722">
      <c r="A722" s="66"/>
      <c r="B722" s="66"/>
      <c r="C722" s="66"/>
      <c r="D722" s="66"/>
      <c r="G722" s="67"/>
      <c r="V722" s="67"/>
    </row>
    <row r="723">
      <c r="A723" s="66"/>
      <c r="B723" s="66"/>
      <c r="C723" s="66"/>
      <c r="D723" s="66"/>
      <c r="G723" s="67"/>
      <c r="V723" s="67"/>
    </row>
    <row r="724">
      <c r="A724" s="66"/>
      <c r="B724" s="66"/>
      <c r="C724" s="66"/>
      <c r="D724" s="66"/>
      <c r="G724" s="67"/>
      <c r="V724" s="67"/>
    </row>
    <row r="725">
      <c r="A725" s="66"/>
      <c r="B725" s="66"/>
      <c r="C725" s="66"/>
      <c r="D725" s="66"/>
      <c r="G725" s="67"/>
      <c r="V725" s="67"/>
    </row>
    <row r="726">
      <c r="A726" s="66"/>
      <c r="B726" s="66"/>
      <c r="C726" s="66"/>
      <c r="D726" s="66"/>
      <c r="G726" s="67"/>
      <c r="V726" s="67"/>
    </row>
    <row r="727">
      <c r="A727" s="66"/>
      <c r="B727" s="66"/>
      <c r="C727" s="66"/>
      <c r="D727" s="66"/>
      <c r="G727" s="67"/>
      <c r="V727" s="67"/>
    </row>
    <row r="728">
      <c r="A728" s="66"/>
      <c r="B728" s="66"/>
      <c r="C728" s="66"/>
      <c r="D728" s="66"/>
      <c r="G728" s="67"/>
      <c r="V728" s="67"/>
    </row>
    <row r="729">
      <c r="A729" s="66"/>
      <c r="B729" s="66"/>
      <c r="C729" s="66"/>
      <c r="D729" s="66"/>
      <c r="G729" s="67"/>
      <c r="V729" s="67"/>
    </row>
    <row r="730">
      <c r="A730" s="66"/>
      <c r="B730" s="66"/>
      <c r="C730" s="66"/>
      <c r="D730" s="66"/>
      <c r="G730" s="67"/>
      <c r="V730" s="67"/>
    </row>
    <row r="731">
      <c r="A731" s="66"/>
      <c r="B731" s="66"/>
      <c r="C731" s="66"/>
      <c r="D731" s="66"/>
      <c r="G731" s="67"/>
      <c r="V731" s="67"/>
    </row>
    <row r="732">
      <c r="A732" s="66"/>
      <c r="B732" s="66"/>
      <c r="C732" s="66"/>
      <c r="D732" s="66"/>
      <c r="G732" s="67"/>
      <c r="V732" s="67"/>
    </row>
    <row r="733">
      <c r="A733" s="66"/>
      <c r="B733" s="66"/>
      <c r="C733" s="66"/>
      <c r="D733" s="66"/>
      <c r="G733" s="67"/>
      <c r="V733" s="67"/>
    </row>
    <row r="734">
      <c r="A734" s="66"/>
      <c r="B734" s="66"/>
      <c r="C734" s="66"/>
      <c r="D734" s="66"/>
      <c r="G734" s="67"/>
      <c r="V734" s="67"/>
    </row>
    <row r="735">
      <c r="A735" s="66"/>
      <c r="B735" s="66"/>
      <c r="C735" s="66"/>
      <c r="D735" s="66"/>
      <c r="G735" s="67"/>
      <c r="V735" s="67"/>
    </row>
    <row r="736">
      <c r="A736" s="66"/>
      <c r="B736" s="66"/>
      <c r="C736" s="66"/>
      <c r="D736" s="66"/>
      <c r="G736" s="67"/>
      <c r="V736" s="67"/>
    </row>
    <row r="737">
      <c r="A737" s="66"/>
      <c r="B737" s="66"/>
      <c r="C737" s="66"/>
      <c r="D737" s="66"/>
      <c r="G737" s="67"/>
      <c r="V737" s="67"/>
    </row>
    <row r="738">
      <c r="A738" s="66"/>
      <c r="B738" s="66"/>
      <c r="C738" s="66"/>
      <c r="D738" s="66"/>
      <c r="G738" s="67"/>
      <c r="V738" s="67"/>
    </row>
    <row r="739">
      <c r="A739" s="66"/>
      <c r="B739" s="66"/>
      <c r="C739" s="66"/>
      <c r="D739" s="66"/>
      <c r="G739" s="67"/>
      <c r="V739" s="67"/>
    </row>
    <row r="740">
      <c r="A740" s="66"/>
      <c r="B740" s="66"/>
      <c r="C740" s="66"/>
      <c r="D740" s="66"/>
      <c r="G740" s="67"/>
      <c r="V740" s="67"/>
    </row>
    <row r="741">
      <c r="A741" s="66"/>
      <c r="B741" s="66"/>
      <c r="C741" s="66"/>
      <c r="D741" s="66"/>
      <c r="G741" s="67"/>
      <c r="V741" s="67"/>
    </row>
    <row r="742">
      <c r="A742" s="66"/>
      <c r="B742" s="66"/>
      <c r="C742" s="66"/>
      <c r="D742" s="66"/>
      <c r="G742" s="67"/>
      <c r="V742" s="67"/>
    </row>
    <row r="743">
      <c r="A743" s="66"/>
      <c r="B743" s="66"/>
      <c r="C743" s="66"/>
      <c r="D743" s="66"/>
      <c r="G743" s="67"/>
      <c r="V743" s="67"/>
    </row>
    <row r="744">
      <c r="A744" s="66"/>
      <c r="B744" s="66"/>
      <c r="C744" s="66"/>
      <c r="D744" s="66"/>
      <c r="G744" s="67"/>
      <c r="V744" s="67"/>
    </row>
    <row r="745">
      <c r="A745" s="66"/>
      <c r="B745" s="66"/>
      <c r="C745" s="66"/>
      <c r="D745" s="66"/>
      <c r="G745" s="67"/>
      <c r="V745" s="67"/>
    </row>
    <row r="746">
      <c r="A746" s="66"/>
      <c r="B746" s="66"/>
      <c r="C746" s="66"/>
      <c r="D746" s="66"/>
      <c r="G746" s="67"/>
      <c r="V746" s="67"/>
    </row>
    <row r="747">
      <c r="A747" s="66"/>
      <c r="B747" s="66"/>
      <c r="C747" s="66"/>
      <c r="D747" s="66"/>
      <c r="G747" s="67"/>
      <c r="V747" s="67"/>
    </row>
    <row r="748">
      <c r="A748" s="66"/>
      <c r="B748" s="66"/>
      <c r="C748" s="66"/>
      <c r="D748" s="66"/>
      <c r="G748" s="67"/>
      <c r="V748" s="67"/>
    </row>
    <row r="749">
      <c r="A749" s="66"/>
      <c r="B749" s="66"/>
      <c r="C749" s="66"/>
      <c r="D749" s="66"/>
      <c r="G749" s="67"/>
      <c r="V749" s="67"/>
    </row>
    <row r="750">
      <c r="A750" s="66"/>
      <c r="B750" s="66"/>
      <c r="C750" s="66"/>
      <c r="D750" s="66"/>
      <c r="G750" s="67"/>
      <c r="V750" s="67"/>
    </row>
    <row r="751">
      <c r="A751" s="66"/>
      <c r="B751" s="66"/>
      <c r="C751" s="66"/>
      <c r="D751" s="66"/>
      <c r="G751" s="67"/>
      <c r="V751" s="67"/>
    </row>
    <row r="752">
      <c r="A752" s="66"/>
      <c r="B752" s="66"/>
      <c r="C752" s="66"/>
      <c r="D752" s="66"/>
      <c r="G752" s="67"/>
      <c r="V752" s="67"/>
    </row>
    <row r="753">
      <c r="A753" s="66"/>
      <c r="B753" s="66"/>
      <c r="C753" s="66"/>
      <c r="D753" s="66"/>
      <c r="G753" s="67"/>
      <c r="V753" s="67"/>
    </row>
    <row r="754">
      <c r="A754" s="66"/>
      <c r="B754" s="66"/>
      <c r="C754" s="66"/>
      <c r="D754" s="66"/>
      <c r="G754" s="67"/>
      <c r="V754" s="67"/>
    </row>
    <row r="755">
      <c r="A755" s="66"/>
      <c r="B755" s="66"/>
      <c r="C755" s="66"/>
      <c r="D755" s="66"/>
      <c r="G755" s="67"/>
      <c r="V755" s="67"/>
    </row>
    <row r="756">
      <c r="A756" s="66"/>
      <c r="B756" s="66"/>
      <c r="C756" s="66"/>
      <c r="D756" s="66"/>
      <c r="G756" s="67"/>
      <c r="V756" s="67"/>
    </row>
    <row r="757">
      <c r="A757" s="66"/>
      <c r="B757" s="66"/>
      <c r="C757" s="66"/>
      <c r="D757" s="66"/>
      <c r="G757" s="67"/>
      <c r="V757" s="67"/>
    </row>
    <row r="758">
      <c r="A758" s="66"/>
      <c r="B758" s="66"/>
      <c r="C758" s="66"/>
      <c r="D758" s="66"/>
      <c r="G758" s="67"/>
      <c r="V758" s="67"/>
    </row>
    <row r="759">
      <c r="A759" s="66"/>
      <c r="B759" s="66"/>
      <c r="C759" s="66"/>
      <c r="D759" s="66"/>
      <c r="G759" s="67"/>
      <c r="V759" s="67"/>
    </row>
    <row r="760">
      <c r="A760" s="66"/>
      <c r="B760" s="66"/>
      <c r="C760" s="66"/>
      <c r="D760" s="66"/>
      <c r="G760" s="67"/>
      <c r="V760" s="67"/>
    </row>
    <row r="761">
      <c r="A761" s="66"/>
      <c r="B761" s="66"/>
      <c r="C761" s="66"/>
      <c r="D761" s="66"/>
      <c r="G761" s="67"/>
      <c r="V761" s="67"/>
    </row>
    <row r="762">
      <c r="A762" s="66"/>
      <c r="B762" s="66"/>
      <c r="C762" s="66"/>
      <c r="D762" s="66"/>
      <c r="G762" s="67"/>
      <c r="V762" s="67"/>
    </row>
    <row r="763">
      <c r="A763" s="66"/>
      <c r="B763" s="66"/>
      <c r="C763" s="66"/>
      <c r="D763" s="66"/>
      <c r="G763" s="67"/>
      <c r="V763" s="67"/>
    </row>
    <row r="764">
      <c r="A764" s="66"/>
      <c r="B764" s="66"/>
      <c r="C764" s="66"/>
      <c r="D764" s="66"/>
      <c r="G764" s="67"/>
      <c r="V764" s="67"/>
    </row>
    <row r="765">
      <c r="A765" s="66"/>
      <c r="B765" s="66"/>
      <c r="C765" s="66"/>
      <c r="D765" s="66"/>
      <c r="G765" s="67"/>
      <c r="V765" s="67"/>
    </row>
    <row r="766">
      <c r="A766" s="66"/>
      <c r="B766" s="66"/>
      <c r="C766" s="66"/>
      <c r="D766" s="66"/>
      <c r="G766" s="67"/>
      <c r="V766" s="67"/>
    </row>
    <row r="767">
      <c r="A767" s="66"/>
      <c r="B767" s="66"/>
      <c r="C767" s="66"/>
      <c r="D767" s="66"/>
      <c r="G767" s="67"/>
      <c r="V767" s="67"/>
    </row>
    <row r="768">
      <c r="A768" s="66"/>
      <c r="B768" s="66"/>
      <c r="C768" s="66"/>
      <c r="D768" s="66"/>
      <c r="G768" s="67"/>
      <c r="V768" s="67"/>
    </row>
    <row r="769">
      <c r="A769" s="66"/>
      <c r="B769" s="66"/>
      <c r="C769" s="66"/>
      <c r="D769" s="66"/>
      <c r="G769" s="67"/>
      <c r="V769" s="67"/>
    </row>
    <row r="770">
      <c r="A770" s="66"/>
      <c r="B770" s="66"/>
      <c r="C770" s="66"/>
      <c r="D770" s="66"/>
      <c r="G770" s="67"/>
      <c r="V770" s="67"/>
    </row>
    <row r="771">
      <c r="A771" s="66"/>
      <c r="B771" s="66"/>
      <c r="C771" s="66"/>
      <c r="D771" s="66"/>
      <c r="G771" s="67"/>
      <c r="V771" s="67"/>
    </row>
    <row r="772">
      <c r="A772" s="66"/>
      <c r="B772" s="66"/>
      <c r="C772" s="66"/>
      <c r="D772" s="66"/>
      <c r="G772" s="67"/>
      <c r="V772" s="67"/>
    </row>
    <row r="773">
      <c r="A773" s="66"/>
      <c r="B773" s="66"/>
      <c r="C773" s="66"/>
      <c r="D773" s="66"/>
      <c r="G773" s="67"/>
      <c r="V773" s="67"/>
    </row>
    <row r="774">
      <c r="A774" s="66"/>
      <c r="B774" s="66"/>
      <c r="C774" s="66"/>
      <c r="D774" s="66"/>
      <c r="G774" s="67"/>
      <c r="V774" s="67"/>
    </row>
    <row r="775">
      <c r="A775" s="66"/>
      <c r="B775" s="66"/>
      <c r="C775" s="66"/>
      <c r="D775" s="66"/>
      <c r="G775" s="67"/>
      <c r="V775" s="67"/>
    </row>
    <row r="776">
      <c r="A776" s="66"/>
      <c r="B776" s="66"/>
      <c r="C776" s="66"/>
      <c r="D776" s="66"/>
      <c r="G776" s="67"/>
      <c r="V776" s="67"/>
    </row>
    <row r="777">
      <c r="A777" s="66"/>
      <c r="B777" s="66"/>
      <c r="C777" s="66"/>
      <c r="D777" s="66"/>
      <c r="G777" s="67"/>
      <c r="V777" s="67"/>
    </row>
    <row r="778">
      <c r="A778" s="66"/>
      <c r="B778" s="66"/>
      <c r="C778" s="66"/>
      <c r="D778" s="66"/>
      <c r="G778" s="67"/>
      <c r="V778" s="67"/>
    </row>
    <row r="779">
      <c r="A779" s="66"/>
      <c r="B779" s="66"/>
      <c r="C779" s="66"/>
      <c r="D779" s="66"/>
      <c r="G779" s="67"/>
      <c r="V779" s="67"/>
    </row>
    <row r="780">
      <c r="A780" s="66"/>
      <c r="B780" s="66"/>
      <c r="C780" s="66"/>
      <c r="D780" s="66"/>
      <c r="G780" s="67"/>
      <c r="V780" s="67"/>
    </row>
    <row r="781">
      <c r="A781" s="66"/>
      <c r="B781" s="66"/>
      <c r="C781" s="66"/>
      <c r="D781" s="66"/>
      <c r="G781" s="67"/>
      <c r="V781" s="67"/>
    </row>
    <row r="782">
      <c r="A782" s="66"/>
      <c r="B782" s="66"/>
      <c r="C782" s="66"/>
      <c r="D782" s="66"/>
      <c r="G782" s="67"/>
      <c r="V782" s="67"/>
    </row>
    <row r="783">
      <c r="A783" s="66"/>
      <c r="B783" s="66"/>
      <c r="C783" s="66"/>
      <c r="D783" s="66"/>
      <c r="G783" s="67"/>
      <c r="V783" s="67"/>
    </row>
    <row r="784">
      <c r="A784" s="66"/>
      <c r="B784" s="66"/>
      <c r="C784" s="66"/>
      <c r="D784" s="66"/>
      <c r="G784" s="67"/>
      <c r="V784" s="67"/>
    </row>
    <row r="785">
      <c r="A785" s="66"/>
      <c r="B785" s="66"/>
      <c r="C785" s="66"/>
      <c r="D785" s="66"/>
      <c r="G785" s="67"/>
      <c r="V785" s="67"/>
    </row>
    <row r="786">
      <c r="A786" s="66"/>
      <c r="B786" s="66"/>
      <c r="C786" s="66"/>
      <c r="D786" s="66"/>
      <c r="G786" s="67"/>
      <c r="V786" s="67"/>
    </row>
    <row r="787">
      <c r="A787" s="66"/>
      <c r="B787" s="66"/>
      <c r="C787" s="66"/>
      <c r="D787" s="66"/>
      <c r="G787" s="67"/>
      <c r="V787" s="67"/>
    </row>
    <row r="788">
      <c r="A788" s="66"/>
      <c r="B788" s="66"/>
      <c r="C788" s="66"/>
      <c r="D788" s="66"/>
      <c r="G788" s="67"/>
      <c r="V788" s="67"/>
    </row>
    <row r="789">
      <c r="A789" s="66"/>
      <c r="B789" s="66"/>
      <c r="C789" s="66"/>
      <c r="D789" s="66"/>
      <c r="G789" s="67"/>
      <c r="V789" s="67"/>
    </row>
    <row r="790">
      <c r="A790" s="66"/>
      <c r="B790" s="66"/>
      <c r="C790" s="66"/>
      <c r="D790" s="66"/>
      <c r="G790" s="67"/>
      <c r="V790" s="67"/>
    </row>
    <row r="791">
      <c r="A791" s="66"/>
      <c r="B791" s="66"/>
      <c r="C791" s="66"/>
      <c r="D791" s="66"/>
      <c r="G791" s="67"/>
      <c r="V791" s="67"/>
    </row>
    <row r="792">
      <c r="A792" s="66"/>
      <c r="B792" s="66"/>
      <c r="C792" s="66"/>
      <c r="D792" s="66"/>
      <c r="G792" s="67"/>
      <c r="V792" s="67"/>
    </row>
    <row r="793">
      <c r="A793" s="66"/>
      <c r="B793" s="66"/>
      <c r="C793" s="66"/>
      <c r="D793" s="66"/>
      <c r="G793" s="67"/>
      <c r="V793" s="67"/>
    </row>
    <row r="794">
      <c r="A794" s="66"/>
      <c r="B794" s="66"/>
      <c r="C794" s="66"/>
      <c r="D794" s="66"/>
      <c r="G794" s="67"/>
      <c r="V794" s="67"/>
    </row>
    <row r="795">
      <c r="A795" s="66"/>
      <c r="B795" s="66"/>
      <c r="C795" s="66"/>
      <c r="D795" s="66"/>
      <c r="G795" s="67"/>
      <c r="V795" s="67"/>
    </row>
    <row r="796">
      <c r="A796" s="66"/>
      <c r="B796" s="66"/>
      <c r="C796" s="66"/>
      <c r="D796" s="66"/>
      <c r="G796" s="67"/>
      <c r="V796" s="67"/>
    </row>
    <row r="797">
      <c r="A797" s="66"/>
      <c r="B797" s="66"/>
      <c r="C797" s="66"/>
      <c r="D797" s="66"/>
      <c r="G797" s="67"/>
      <c r="V797" s="67"/>
    </row>
    <row r="798">
      <c r="A798" s="66"/>
      <c r="B798" s="66"/>
      <c r="C798" s="66"/>
      <c r="D798" s="66"/>
      <c r="G798" s="67"/>
      <c r="V798" s="67"/>
    </row>
    <row r="799">
      <c r="A799" s="66"/>
      <c r="B799" s="66"/>
      <c r="C799" s="66"/>
      <c r="D799" s="66"/>
      <c r="G799" s="67"/>
      <c r="V799" s="67"/>
    </row>
    <row r="800">
      <c r="A800" s="66"/>
      <c r="B800" s="66"/>
      <c r="C800" s="66"/>
      <c r="D800" s="66"/>
      <c r="G800" s="67"/>
      <c r="V800" s="67"/>
    </row>
    <row r="801">
      <c r="A801" s="66"/>
      <c r="B801" s="66"/>
      <c r="C801" s="66"/>
      <c r="D801" s="66"/>
      <c r="G801" s="67"/>
      <c r="V801" s="67"/>
    </row>
    <row r="802">
      <c r="A802" s="66"/>
      <c r="B802" s="66"/>
      <c r="C802" s="66"/>
      <c r="D802" s="66"/>
      <c r="G802" s="67"/>
      <c r="V802" s="67"/>
    </row>
    <row r="803">
      <c r="A803" s="66"/>
      <c r="B803" s="66"/>
      <c r="C803" s="66"/>
      <c r="D803" s="66"/>
      <c r="G803" s="67"/>
      <c r="V803" s="67"/>
    </row>
    <row r="804">
      <c r="A804" s="66"/>
      <c r="B804" s="66"/>
      <c r="C804" s="66"/>
      <c r="D804" s="66"/>
      <c r="G804" s="67"/>
      <c r="V804" s="67"/>
    </row>
    <row r="805">
      <c r="A805" s="66"/>
      <c r="B805" s="66"/>
      <c r="C805" s="66"/>
      <c r="D805" s="66"/>
      <c r="G805" s="67"/>
      <c r="V805" s="67"/>
    </row>
    <row r="806">
      <c r="A806" s="66"/>
      <c r="B806" s="66"/>
      <c r="C806" s="66"/>
      <c r="D806" s="66"/>
      <c r="G806" s="67"/>
      <c r="V806" s="67"/>
    </row>
    <row r="807">
      <c r="A807" s="66"/>
      <c r="B807" s="66"/>
      <c r="C807" s="66"/>
      <c r="D807" s="66"/>
      <c r="G807" s="67"/>
      <c r="V807" s="67"/>
    </row>
    <row r="808">
      <c r="A808" s="66"/>
      <c r="B808" s="66"/>
      <c r="C808" s="66"/>
      <c r="D808" s="66"/>
      <c r="G808" s="67"/>
      <c r="V808" s="67"/>
    </row>
    <row r="809">
      <c r="A809" s="66"/>
      <c r="B809" s="66"/>
      <c r="C809" s="66"/>
      <c r="D809" s="66"/>
      <c r="G809" s="67"/>
      <c r="V809" s="67"/>
    </row>
    <row r="810">
      <c r="A810" s="66"/>
      <c r="B810" s="66"/>
      <c r="C810" s="66"/>
      <c r="D810" s="66"/>
      <c r="G810" s="67"/>
      <c r="V810" s="67"/>
    </row>
    <row r="811">
      <c r="A811" s="66"/>
      <c r="B811" s="66"/>
      <c r="C811" s="66"/>
      <c r="D811" s="66"/>
      <c r="G811" s="67"/>
      <c r="V811" s="67"/>
    </row>
    <row r="812">
      <c r="A812" s="66"/>
      <c r="B812" s="66"/>
      <c r="C812" s="66"/>
      <c r="D812" s="66"/>
      <c r="G812" s="67"/>
      <c r="V812" s="67"/>
    </row>
    <row r="813">
      <c r="A813" s="66"/>
      <c r="B813" s="66"/>
      <c r="C813" s="66"/>
      <c r="D813" s="66"/>
      <c r="G813" s="67"/>
      <c r="V813" s="67"/>
    </row>
    <row r="814">
      <c r="A814" s="66"/>
      <c r="B814" s="66"/>
      <c r="C814" s="66"/>
      <c r="D814" s="66"/>
      <c r="G814" s="67"/>
      <c r="V814" s="67"/>
    </row>
    <row r="815">
      <c r="A815" s="66"/>
      <c r="B815" s="66"/>
      <c r="C815" s="66"/>
      <c r="D815" s="66"/>
      <c r="G815" s="67"/>
      <c r="V815" s="67"/>
    </row>
    <row r="816">
      <c r="A816" s="66"/>
      <c r="B816" s="66"/>
      <c r="C816" s="66"/>
      <c r="D816" s="66"/>
      <c r="G816" s="67"/>
      <c r="V816" s="67"/>
    </row>
    <row r="817">
      <c r="A817" s="66"/>
      <c r="B817" s="66"/>
      <c r="C817" s="66"/>
      <c r="D817" s="66"/>
      <c r="G817" s="67"/>
      <c r="V817" s="67"/>
    </row>
    <row r="818">
      <c r="A818" s="66"/>
      <c r="B818" s="66"/>
      <c r="C818" s="66"/>
      <c r="D818" s="66"/>
      <c r="G818" s="67"/>
      <c r="V818" s="67"/>
    </row>
    <row r="819">
      <c r="A819" s="66"/>
      <c r="B819" s="66"/>
      <c r="C819" s="66"/>
      <c r="D819" s="66"/>
      <c r="G819" s="67"/>
      <c r="V819" s="67"/>
    </row>
    <row r="820">
      <c r="A820" s="66"/>
      <c r="B820" s="66"/>
      <c r="C820" s="66"/>
      <c r="D820" s="66"/>
      <c r="G820" s="67"/>
      <c r="V820" s="67"/>
    </row>
    <row r="821">
      <c r="A821" s="66"/>
      <c r="B821" s="66"/>
      <c r="C821" s="66"/>
      <c r="D821" s="66"/>
      <c r="G821" s="67"/>
      <c r="V821" s="67"/>
    </row>
    <row r="822">
      <c r="A822" s="66"/>
      <c r="B822" s="66"/>
      <c r="C822" s="66"/>
      <c r="D822" s="66"/>
      <c r="G822" s="67"/>
      <c r="V822" s="67"/>
    </row>
    <row r="823">
      <c r="A823" s="66"/>
      <c r="B823" s="66"/>
      <c r="C823" s="66"/>
      <c r="D823" s="66"/>
      <c r="G823" s="67"/>
      <c r="V823" s="67"/>
    </row>
    <row r="824">
      <c r="A824" s="66"/>
      <c r="B824" s="66"/>
      <c r="C824" s="66"/>
      <c r="D824" s="66"/>
      <c r="G824" s="67"/>
      <c r="V824" s="67"/>
    </row>
    <row r="825">
      <c r="A825" s="66"/>
      <c r="B825" s="66"/>
      <c r="C825" s="66"/>
      <c r="D825" s="66"/>
      <c r="G825" s="67"/>
      <c r="V825" s="67"/>
    </row>
    <row r="826">
      <c r="A826" s="66"/>
      <c r="B826" s="66"/>
      <c r="C826" s="66"/>
      <c r="D826" s="66"/>
      <c r="G826" s="67"/>
      <c r="V826" s="67"/>
    </row>
    <row r="827">
      <c r="A827" s="66"/>
      <c r="B827" s="66"/>
      <c r="C827" s="66"/>
      <c r="D827" s="66"/>
      <c r="G827" s="67"/>
      <c r="V827" s="67"/>
    </row>
    <row r="828">
      <c r="A828" s="66"/>
      <c r="B828" s="66"/>
      <c r="C828" s="66"/>
      <c r="D828" s="66"/>
      <c r="G828" s="67"/>
      <c r="V828" s="67"/>
    </row>
    <row r="829">
      <c r="A829" s="66"/>
      <c r="B829" s="66"/>
      <c r="C829" s="66"/>
      <c r="D829" s="66"/>
      <c r="G829" s="67"/>
      <c r="V829" s="67"/>
    </row>
    <row r="830">
      <c r="A830" s="66"/>
      <c r="B830" s="66"/>
      <c r="C830" s="66"/>
      <c r="D830" s="66"/>
      <c r="G830" s="67"/>
      <c r="V830" s="67"/>
    </row>
    <row r="831">
      <c r="A831" s="66"/>
      <c r="B831" s="66"/>
      <c r="C831" s="66"/>
      <c r="D831" s="66"/>
      <c r="G831" s="67"/>
      <c r="V831" s="67"/>
    </row>
    <row r="832">
      <c r="A832" s="66"/>
      <c r="B832" s="66"/>
      <c r="C832" s="66"/>
      <c r="D832" s="66"/>
      <c r="G832" s="67"/>
      <c r="V832" s="67"/>
    </row>
    <row r="833">
      <c r="A833" s="66"/>
      <c r="B833" s="66"/>
      <c r="C833" s="66"/>
      <c r="D833" s="66"/>
      <c r="G833" s="67"/>
      <c r="V833" s="67"/>
    </row>
    <row r="834">
      <c r="A834" s="66"/>
      <c r="B834" s="66"/>
      <c r="C834" s="66"/>
      <c r="D834" s="66"/>
      <c r="G834" s="67"/>
      <c r="V834" s="67"/>
    </row>
    <row r="835">
      <c r="A835" s="66"/>
      <c r="B835" s="66"/>
      <c r="C835" s="66"/>
      <c r="D835" s="66"/>
      <c r="G835" s="67"/>
      <c r="V835" s="67"/>
    </row>
    <row r="836">
      <c r="A836" s="66"/>
      <c r="B836" s="66"/>
      <c r="C836" s="66"/>
      <c r="D836" s="66"/>
      <c r="G836" s="67"/>
      <c r="V836" s="67"/>
    </row>
    <row r="837">
      <c r="A837" s="66"/>
      <c r="B837" s="66"/>
      <c r="C837" s="66"/>
      <c r="D837" s="66"/>
      <c r="G837" s="67"/>
      <c r="V837" s="67"/>
    </row>
    <row r="838">
      <c r="A838" s="66"/>
      <c r="B838" s="66"/>
      <c r="C838" s="66"/>
      <c r="D838" s="66"/>
      <c r="G838" s="67"/>
      <c r="V838" s="67"/>
    </row>
    <row r="839">
      <c r="A839" s="66"/>
      <c r="B839" s="66"/>
      <c r="C839" s="66"/>
      <c r="D839" s="66"/>
      <c r="G839" s="67"/>
      <c r="V839" s="67"/>
    </row>
    <row r="840">
      <c r="A840" s="66"/>
      <c r="B840" s="66"/>
      <c r="C840" s="66"/>
      <c r="D840" s="66"/>
      <c r="G840" s="67"/>
      <c r="V840" s="67"/>
    </row>
    <row r="841">
      <c r="A841" s="66"/>
      <c r="B841" s="66"/>
      <c r="C841" s="66"/>
      <c r="D841" s="66"/>
      <c r="G841" s="67"/>
      <c r="V841" s="67"/>
    </row>
    <row r="842">
      <c r="A842" s="66"/>
      <c r="B842" s="66"/>
      <c r="C842" s="66"/>
      <c r="D842" s="66"/>
      <c r="G842" s="67"/>
      <c r="V842" s="67"/>
    </row>
    <row r="843">
      <c r="A843" s="66"/>
      <c r="B843" s="66"/>
      <c r="C843" s="66"/>
      <c r="D843" s="66"/>
      <c r="G843" s="67"/>
      <c r="V843" s="67"/>
    </row>
    <row r="844">
      <c r="A844" s="66"/>
      <c r="B844" s="66"/>
      <c r="C844" s="66"/>
      <c r="D844" s="66"/>
      <c r="G844" s="67"/>
      <c r="V844" s="67"/>
    </row>
    <row r="845">
      <c r="A845" s="66"/>
      <c r="B845" s="66"/>
      <c r="C845" s="66"/>
      <c r="D845" s="66"/>
      <c r="G845" s="67"/>
      <c r="V845" s="67"/>
    </row>
    <row r="846">
      <c r="A846" s="66"/>
      <c r="B846" s="66"/>
      <c r="C846" s="66"/>
      <c r="D846" s="66"/>
      <c r="G846" s="67"/>
      <c r="V846" s="67"/>
    </row>
    <row r="847">
      <c r="A847" s="66"/>
      <c r="B847" s="66"/>
      <c r="C847" s="66"/>
      <c r="D847" s="66"/>
      <c r="G847" s="67"/>
      <c r="V847" s="67"/>
    </row>
    <row r="848">
      <c r="A848" s="66"/>
      <c r="B848" s="66"/>
      <c r="C848" s="66"/>
      <c r="D848" s="66"/>
      <c r="G848" s="67"/>
      <c r="V848" s="67"/>
    </row>
    <row r="849">
      <c r="A849" s="66"/>
      <c r="B849" s="66"/>
      <c r="C849" s="66"/>
      <c r="D849" s="66"/>
      <c r="G849" s="67"/>
      <c r="V849" s="67"/>
    </row>
    <row r="850">
      <c r="A850" s="66"/>
      <c r="B850" s="66"/>
      <c r="C850" s="66"/>
      <c r="D850" s="66"/>
      <c r="G850" s="67"/>
      <c r="V850" s="67"/>
    </row>
    <row r="851">
      <c r="A851" s="66"/>
      <c r="B851" s="66"/>
      <c r="C851" s="66"/>
      <c r="D851" s="66"/>
      <c r="G851" s="67"/>
      <c r="V851" s="67"/>
    </row>
    <row r="852">
      <c r="A852" s="66"/>
      <c r="B852" s="66"/>
      <c r="C852" s="66"/>
      <c r="D852" s="66"/>
      <c r="G852" s="67"/>
      <c r="V852" s="67"/>
    </row>
    <row r="853">
      <c r="A853" s="66"/>
      <c r="B853" s="66"/>
      <c r="C853" s="66"/>
      <c r="D853" s="66"/>
      <c r="G853" s="67"/>
      <c r="V853" s="67"/>
    </row>
    <row r="854">
      <c r="A854" s="66"/>
      <c r="B854" s="66"/>
      <c r="C854" s="66"/>
      <c r="D854" s="66"/>
      <c r="G854" s="67"/>
      <c r="V854" s="67"/>
    </row>
    <row r="855">
      <c r="A855" s="66"/>
      <c r="B855" s="66"/>
      <c r="C855" s="66"/>
      <c r="D855" s="66"/>
      <c r="G855" s="67"/>
      <c r="V855" s="67"/>
    </row>
    <row r="856">
      <c r="A856" s="66"/>
      <c r="B856" s="66"/>
      <c r="C856" s="66"/>
      <c r="D856" s="66"/>
      <c r="G856" s="67"/>
      <c r="V856" s="67"/>
    </row>
    <row r="857">
      <c r="A857" s="66"/>
      <c r="B857" s="66"/>
      <c r="C857" s="66"/>
      <c r="D857" s="66"/>
      <c r="G857" s="67"/>
      <c r="V857" s="67"/>
    </row>
    <row r="858">
      <c r="A858" s="66"/>
      <c r="B858" s="66"/>
      <c r="C858" s="66"/>
      <c r="D858" s="66"/>
      <c r="G858" s="67"/>
      <c r="V858" s="67"/>
    </row>
    <row r="859">
      <c r="A859" s="66"/>
      <c r="B859" s="66"/>
      <c r="C859" s="66"/>
      <c r="D859" s="66"/>
      <c r="G859" s="67"/>
      <c r="V859" s="67"/>
    </row>
    <row r="860">
      <c r="A860" s="66"/>
      <c r="B860" s="66"/>
      <c r="C860" s="66"/>
      <c r="D860" s="66"/>
      <c r="G860" s="67"/>
      <c r="V860" s="67"/>
    </row>
    <row r="861">
      <c r="A861" s="66"/>
      <c r="B861" s="66"/>
      <c r="C861" s="66"/>
      <c r="D861" s="66"/>
      <c r="G861" s="67"/>
      <c r="V861" s="67"/>
    </row>
    <row r="862">
      <c r="A862" s="66"/>
      <c r="B862" s="66"/>
      <c r="C862" s="66"/>
      <c r="D862" s="66"/>
      <c r="G862" s="67"/>
      <c r="V862" s="67"/>
    </row>
    <row r="863">
      <c r="A863" s="66"/>
      <c r="B863" s="66"/>
      <c r="C863" s="66"/>
      <c r="D863" s="66"/>
      <c r="G863" s="67"/>
      <c r="V863" s="67"/>
    </row>
    <row r="864">
      <c r="A864" s="66"/>
      <c r="B864" s="66"/>
      <c r="C864" s="66"/>
      <c r="D864" s="66"/>
      <c r="G864" s="67"/>
      <c r="V864" s="67"/>
    </row>
    <row r="865">
      <c r="A865" s="66"/>
      <c r="B865" s="66"/>
      <c r="C865" s="66"/>
      <c r="D865" s="66"/>
      <c r="G865" s="67"/>
      <c r="V865" s="67"/>
    </row>
    <row r="866">
      <c r="A866" s="66"/>
      <c r="B866" s="66"/>
      <c r="C866" s="66"/>
      <c r="D866" s="66"/>
      <c r="G866" s="67"/>
      <c r="V866" s="67"/>
    </row>
    <row r="867">
      <c r="A867" s="66"/>
      <c r="B867" s="66"/>
      <c r="C867" s="66"/>
      <c r="D867" s="66"/>
      <c r="G867" s="67"/>
      <c r="V867" s="67"/>
    </row>
    <row r="868">
      <c r="A868" s="66"/>
      <c r="B868" s="66"/>
      <c r="C868" s="66"/>
      <c r="D868" s="66"/>
      <c r="G868" s="67"/>
      <c r="V868" s="67"/>
    </row>
    <row r="869">
      <c r="A869" s="66"/>
      <c r="B869" s="66"/>
      <c r="C869" s="66"/>
      <c r="D869" s="66"/>
      <c r="G869" s="67"/>
      <c r="V869" s="67"/>
    </row>
    <row r="870">
      <c r="A870" s="66"/>
      <c r="B870" s="66"/>
      <c r="C870" s="66"/>
      <c r="D870" s="66"/>
      <c r="G870" s="67"/>
      <c r="V870" s="67"/>
    </row>
    <row r="871">
      <c r="A871" s="66"/>
      <c r="B871" s="66"/>
      <c r="C871" s="66"/>
      <c r="D871" s="66"/>
      <c r="G871" s="67"/>
      <c r="V871" s="67"/>
    </row>
    <row r="872">
      <c r="A872" s="66"/>
      <c r="B872" s="66"/>
      <c r="C872" s="66"/>
      <c r="D872" s="66"/>
      <c r="G872" s="67"/>
      <c r="V872" s="67"/>
    </row>
    <row r="873">
      <c r="A873" s="66"/>
      <c r="B873" s="66"/>
      <c r="C873" s="66"/>
      <c r="D873" s="66"/>
      <c r="G873" s="67"/>
      <c r="V873" s="67"/>
    </row>
    <row r="874">
      <c r="A874" s="66"/>
      <c r="B874" s="66"/>
      <c r="C874" s="66"/>
      <c r="D874" s="66"/>
      <c r="G874" s="67"/>
      <c r="V874" s="67"/>
    </row>
    <row r="875">
      <c r="A875" s="66"/>
      <c r="B875" s="66"/>
      <c r="C875" s="66"/>
      <c r="D875" s="66"/>
      <c r="G875" s="67"/>
      <c r="V875" s="67"/>
    </row>
    <row r="876">
      <c r="A876" s="66"/>
      <c r="B876" s="66"/>
      <c r="C876" s="66"/>
      <c r="D876" s="66"/>
      <c r="G876" s="67"/>
      <c r="V876" s="67"/>
    </row>
    <row r="877">
      <c r="A877" s="66"/>
      <c r="B877" s="66"/>
      <c r="C877" s="66"/>
      <c r="D877" s="66"/>
      <c r="G877" s="67"/>
      <c r="V877" s="67"/>
    </row>
    <row r="878">
      <c r="A878" s="66"/>
      <c r="B878" s="66"/>
      <c r="C878" s="66"/>
      <c r="D878" s="66"/>
      <c r="G878" s="67"/>
      <c r="V878" s="67"/>
    </row>
    <row r="879">
      <c r="A879" s="66"/>
      <c r="B879" s="66"/>
      <c r="C879" s="66"/>
      <c r="D879" s="66"/>
      <c r="G879" s="67"/>
      <c r="V879" s="67"/>
    </row>
    <row r="880">
      <c r="A880" s="66"/>
      <c r="B880" s="66"/>
      <c r="C880" s="66"/>
      <c r="D880" s="66"/>
      <c r="G880" s="67"/>
      <c r="V880" s="67"/>
    </row>
    <row r="881">
      <c r="A881" s="66"/>
      <c r="B881" s="66"/>
      <c r="C881" s="66"/>
      <c r="D881" s="66"/>
      <c r="G881" s="67"/>
      <c r="V881" s="67"/>
    </row>
    <row r="882">
      <c r="A882" s="66"/>
      <c r="B882" s="66"/>
      <c r="C882" s="66"/>
      <c r="D882" s="66"/>
      <c r="G882" s="67"/>
      <c r="V882" s="67"/>
    </row>
    <row r="883">
      <c r="A883" s="66"/>
      <c r="B883" s="66"/>
      <c r="C883" s="66"/>
      <c r="D883" s="66"/>
      <c r="G883" s="67"/>
      <c r="V883" s="67"/>
    </row>
    <row r="884">
      <c r="A884" s="66"/>
      <c r="B884" s="66"/>
      <c r="C884" s="66"/>
      <c r="D884" s="66"/>
      <c r="G884" s="67"/>
      <c r="V884" s="67"/>
    </row>
    <row r="885">
      <c r="A885" s="66"/>
      <c r="B885" s="66"/>
      <c r="C885" s="66"/>
      <c r="D885" s="66"/>
      <c r="G885" s="67"/>
      <c r="V885" s="67"/>
    </row>
    <row r="886">
      <c r="A886" s="66"/>
      <c r="B886" s="66"/>
      <c r="C886" s="66"/>
      <c r="D886" s="66"/>
      <c r="G886" s="67"/>
      <c r="V886" s="67"/>
    </row>
    <row r="887">
      <c r="A887" s="66"/>
      <c r="B887" s="66"/>
      <c r="C887" s="66"/>
      <c r="D887" s="66"/>
      <c r="G887" s="67"/>
      <c r="V887" s="67"/>
    </row>
    <row r="888">
      <c r="A888" s="66"/>
      <c r="B888" s="66"/>
      <c r="C888" s="66"/>
      <c r="D888" s="66"/>
      <c r="G888" s="67"/>
      <c r="V888" s="67"/>
    </row>
    <row r="889">
      <c r="A889" s="66"/>
      <c r="B889" s="66"/>
      <c r="C889" s="66"/>
      <c r="D889" s="66"/>
      <c r="G889" s="67"/>
      <c r="V889" s="67"/>
    </row>
    <row r="890">
      <c r="A890" s="66"/>
      <c r="B890" s="66"/>
      <c r="C890" s="66"/>
      <c r="D890" s="66"/>
      <c r="G890" s="67"/>
      <c r="V890" s="67"/>
    </row>
    <row r="891">
      <c r="A891" s="66"/>
      <c r="B891" s="66"/>
      <c r="C891" s="66"/>
      <c r="D891" s="66"/>
      <c r="G891" s="67"/>
      <c r="V891" s="67"/>
    </row>
    <row r="892">
      <c r="A892" s="66"/>
      <c r="B892" s="66"/>
      <c r="C892" s="66"/>
      <c r="D892" s="66"/>
      <c r="G892" s="67"/>
      <c r="V892" s="67"/>
    </row>
    <row r="893">
      <c r="A893" s="66"/>
      <c r="B893" s="66"/>
      <c r="C893" s="66"/>
      <c r="D893" s="66"/>
      <c r="G893" s="67"/>
      <c r="V893" s="67"/>
    </row>
    <row r="894">
      <c r="A894" s="66"/>
      <c r="B894" s="66"/>
      <c r="C894" s="66"/>
      <c r="D894" s="66"/>
      <c r="G894" s="67"/>
      <c r="V894" s="67"/>
    </row>
    <row r="895">
      <c r="A895" s="66"/>
      <c r="B895" s="66"/>
      <c r="C895" s="66"/>
      <c r="D895" s="66"/>
      <c r="G895" s="67"/>
      <c r="V895" s="67"/>
    </row>
    <row r="896">
      <c r="A896" s="66"/>
      <c r="B896" s="66"/>
      <c r="C896" s="66"/>
      <c r="D896" s="66"/>
      <c r="G896" s="67"/>
      <c r="V896" s="67"/>
    </row>
    <row r="897">
      <c r="A897" s="66"/>
      <c r="B897" s="66"/>
      <c r="C897" s="66"/>
      <c r="D897" s="66"/>
      <c r="G897" s="67"/>
      <c r="V897" s="67"/>
    </row>
    <row r="898">
      <c r="A898" s="66"/>
      <c r="B898" s="66"/>
      <c r="C898" s="66"/>
      <c r="D898" s="66"/>
      <c r="G898" s="67"/>
      <c r="V898" s="67"/>
    </row>
    <row r="899">
      <c r="A899" s="66"/>
      <c r="B899" s="66"/>
      <c r="C899" s="66"/>
      <c r="D899" s="66"/>
      <c r="G899" s="67"/>
      <c r="V899" s="67"/>
    </row>
    <row r="900">
      <c r="A900" s="66"/>
      <c r="B900" s="66"/>
      <c r="C900" s="66"/>
      <c r="D900" s="66"/>
      <c r="G900" s="67"/>
      <c r="V900" s="67"/>
    </row>
    <row r="901">
      <c r="A901" s="66"/>
      <c r="B901" s="66"/>
      <c r="C901" s="66"/>
      <c r="D901" s="66"/>
      <c r="G901" s="67"/>
      <c r="V901" s="67"/>
    </row>
    <row r="902">
      <c r="A902" s="66"/>
      <c r="B902" s="66"/>
      <c r="C902" s="66"/>
      <c r="D902" s="66"/>
      <c r="G902" s="67"/>
      <c r="V902" s="67"/>
    </row>
    <row r="903">
      <c r="A903" s="66"/>
      <c r="B903" s="66"/>
      <c r="C903" s="66"/>
      <c r="D903" s="66"/>
      <c r="G903" s="67"/>
      <c r="V903" s="67"/>
    </row>
    <row r="904">
      <c r="A904" s="66"/>
      <c r="B904" s="66"/>
      <c r="C904" s="66"/>
      <c r="D904" s="66"/>
      <c r="G904" s="67"/>
      <c r="V904" s="67"/>
    </row>
    <row r="905">
      <c r="A905" s="66"/>
      <c r="B905" s="66"/>
      <c r="C905" s="66"/>
      <c r="D905" s="66"/>
      <c r="G905" s="67"/>
      <c r="V905" s="67"/>
    </row>
    <row r="906">
      <c r="A906" s="66"/>
      <c r="B906" s="66"/>
      <c r="C906" s="66"/>
      <c r="D906" s="66"/>
      <c r="G906" s="67"/>
      <c r="V906" s="67"/>
    </row>
    <row r="907">
      <c r="A907" s="66"/>
      <c r="B907" s="66"/>
      <c r="C907" s="66"/>
      <c r="D907" s="66"/>
      <c r="G907" s="67"/>
      <c r="V907" s="67"/>
    </row>
    <row r="908">
      <c r="A908" s="66"/>
      <c r="B908" s="66"/>
      <c r="C908" s="66"/>
      <c r="D908" s="66"/>
      <c r="G908" s="67"/>
      <c r="V908" s="67"/>
    </row>
    <row r="909">
      <c r="A909" s="66"/>
      <c r="B909" s="66"/>
      <c r="C909" s="66"/>
      <c r="D909" s="66"/>
      <c r="G909" s="67"/>
      <c r="V909" s="67"/>
    </row>
    <row r="910">
      <c r="A910" s="66"/>
      <c r="B910" s="66"/>
      <c r="C910" s="66"/>
      <c r="D910" s="66"/>
      <c r="G910" s="67"/>
      <c r="V910" s="67"/>
    </row>
    <row r="911">
      <c r="A911" s="66"/>
      <c r="B911" s="66"/>
      <c r="C911" s="66"/>
      <c r="D911" s="66"/>
      <c r="G911" s="67"/>
      <c r="V911" s="67"/>
    </row>
    <row r="912">
      <c r="A912" s="66"/>
      <c r="B912" s="66"/>
      <c r="C912" s="66"/>
      <c r="D912" s="66"/>
      <c r="G912" s="67"/>
      <c r="V912" s="67"/>
    </row>
    <row r="913">
      <c r="A913" s="66"/>
      <c r="B913" s="66"/>
      <c r="C913" s="66"/>
      <c r="D913" s="66"/>
      <c r="G913" s="67"/>
      <c r="V913" s="67"/>
    </row>
    <row r="914">
      <c r="A914" s="66"/>
      <c r="B914" s="66"/>
      <c r="C914" s="66"/>
      <c r="D914" s="66"/>
      <c r="G914" s="67"/>
      <c r="V914" s="67"/>
    </row>
    <row r="915">
      <c r="A915" s="66"/>
      <c r="B915" s="66"/>
      <c r="C915" s="66"/>
      <c r="D915" s="66"/>
      <c r="G915" s="67"/>
      <c r="V915" s="67"/>
    </row>
    <row r="916">
      <c r="A916" s="66"/>
      <c r="B916" s="66"/>
      <c r="C916" s="66"/>
      <c r="D916" s="66"/>
      <c r="G916" s="67"/>
      <c r="V916" s="67"/>
    </row>
    <row r="917">
      <c r="A917" s="66"/>
      <c r="B917" s="66"/>
      <c r="C917" s="66"/>
      <c r="D917" s="66"/>
      <c r="G917" s="67"/>
      <c r="V917" s="67"/>
    </row>
    <row r="918">
      <c r="A918" s="66"/>
      <c r="B918" s="66"/>
      <c r="C918" s="66"/>
      <c r="D918" s="66"/>
      <c r="G918" s="67"/>
      <c r="V918" s="67"/>
    </row>
    <row r="919">
      <c r="A919" s="66"/>
      <c r="B919" s="66"/>
      <c r="C919" s="66"/>
      <c r="D919" s="66"/>
      <c r="G919" s="67"/>
      <c r="V919" s="67"/>
    </row>
    <row r="920">
      <c r="A920" s="66"/>
      <c r="B920" s="66"/>
      <c r="C920" s="66"/>
      <c r="D920" s="66"/>
      <c r="G920" s="67"/>
      <c r="V920" s="67"/>
    </row>
    <row r="921">
      <c r="A921" s="66"/>
      <c r="B921" s="66"/>
      <c r="C921" s="66"/>
      <c r="D921" s="66"/>
      <c r="G921" s="67"/>
      <c r="V921" s="67"/>
    </row>
    <row r="922">
      <c r="A922" s="66"/>
      <c r="B922" s="66"/>
      <c r="C922" s="66"/>
      <c r="D922" s="66"/>
      <c r="G922" s="67"/>
      <c r="V922" s="67"/>
    </row>
    <row r="923">
      <c r="A923" s="66"/>
      <c r="B923" s="66"/>
      <c r="C923" s="66"/>
      <c r="D923" s="66"/>
      <c r="G923" s="67"/>
      <c r="V923" s="67"/>
    </row>
    <row r="924">
      <c r="A924" s="66"/>
      <c r="B924" s="66"/>
      <c r="C924" s="66"/>
      <c r="D924" s="66"/>
      <c r="G924" s="67"/>
      <c r="V924" s="67"/>
    </row>
    <row r="925">
      <c r="A925" s="66"/>
      <c r="B925" s="66"/>
      <c r="C925" s="66"/>
      <c r="D925" s="66"/>
      <c r="G925" s="67"/>
      <c r="V925" s="67"/>
    </row>
    <row r="926">
      <c r="A926" s="66"/>
      <c r="B926" s="66"/>
      <c r="C926" s="66"/>
      <c r="D926" s="66"/>
      <c r="G926" s="67"/>
      <c r="V926" s="67"/>
    </row>
    <row r="927">
      <c r="A927" s="66"/>
      <c r="B927" s="66"/>
      <c r="C927" s="66"/>
      <c r="D927" s="66"/>
      <c r="G927" s="67"/>
      <c r="V927" s="67"/>
    </row>
    <row r="928">
      <c r="A928" s="66"/>
      <c r="B928" s="66"/>
      <c r="C928" s="66"/>
      <c r="D928" s="66"/>
      <c r="G928" s="67"/>
      <c r="V928" s="67"/>
    </row>
    <row r="929">
      <c r="A929" s="66"/>
      <c r="B929" s="66"/>
      <c r="C929" s="66"/>
      <c r="D929" s="66"/>
      <c r="G929" s="67"/>
      <c r="V929" s="67"/>
    </row>
    <row r="930">
      <c r="A930" s="66"/>
      <c r="B930" s="66"/>
      <c r="C930" s="66"/>
      <c r="D930" s="66"/>
      <c r="G930" s="67"/>
      <c r="V930" s="67"/>
    </row>
    <row r="931">
      <c r="A931" s="66"/>
      <c r="B931" s="66"/>
      <c r="C931" s="66"/>
      <c r="D931" s="66"/>
      <c r="G931" s="67"/>
      <c r="V931" s="67"/>
    </row>
    <row r="932">
      <c r="A932" s="66"/>
      <c r="B932" s="66"/>
      <c r="C932" s="66"/>
      <c r="D932" s="66"/>
      <c r="G932" s="67"/>
      <c r="V932" s="67"/>
    </row>
    <row r="933">
      <c r="A933" s="66"/>
      <c r="B933" s="66"/>
      <c r="C933" s="66"/>
      <c r="D933" s="66"/>
      <c r="G933" s="67"/>
      <c r="V933" s="67"/>
    </row>
    <row r="934">
      <c r="A934" s="66"/>
      <c r="B934" s="66"/>
      <c r="C934" s="66"/>
      <c r="D934" s="66"/>
      <c r="G934" s="67"/>
      <c r="V934" s="67"/>
    </row>
    <row r="935">
      <c r="A935" s="66"/>
      <c r="B935" s="66"/>
      <c r="C935" s="66"/>
      <c r="D935" s="66"/>
      <c r="G935" s="67"/>
      <c r="V935" s="67"/>
    </row>
    <row r="936">
      <c r="A936" s="66"/>
      <c r="B936" s="66"/>
      <c r="C936" s="66"/>
      <c r="D936" s="66"/>
      <c r="G936" s="67"/>
      <c r="V936" s="67"/>
    </row>
    <row r="937">
      <c r="A937" s="66"/>
      <c r="B937" s="66"/>
      <c r="C937" s="66"/>
      <c r="D937" s="66"/>
      <c r="G937" s="67"/>
      <c r="V937" s="67"/>
    </row>
    <row r="938">
      <c r="A938" s="66"/>
      <c r="B938" s="66"/>
      <c r="C938" s="66"/>
      <c r="D938" s="66"/>
      <c r="G938" s="67"/>
      <c r="V938" s="67"/>
    </row>
    <row r="939">
      <c r="A939" s="66"/>
      <c r="B939" s="66"/>
      <c r="C939" s="66"/>
      <c r="D939" s="66"/>
      <c r="G939" s="67"/>
      <c r="V939" s="67"/>
    </row>
    <row r="940">
      <c r="A940" s="66"/>
      <c r="B940" s="66"/>
      <c r="C940" s="66"/>
      <c r="D940" s="66"/>
      <c r="G940" s="67"/>
      <c r="V940" s="67"/>
    </row>
    <row r="941">
      <c r="A941" s="66"/>
      <c r="B941" s="66"/>
      <c r="C941" s="66"/>
      <c r="D941" s="66"/>
      <c r="G941" s="67"/>
      <c r="V941" s="67"/>
    </row>
    <row r="942">
      <c r="A942" s="66"/>
      <c r="B942" s="66"/>
      <c r="C942" s="66"/>
      <c r="D942" s="66"/>
      <c r="G942" s="67"/>
      <c r="V942" s="67"/>
    </row>
    <row r="943">
      <c r="A943" s="66"/>
      <c r="B943" s="66"/>
      <c r="C943" s="66"/>
      <c r="D943" s="66"/>
      <c r="G943" s="67"/>
      <c r="V943" s="67"/>
    </row>
    <row r="944">
      <c r="A944" s="66"/>
      <c r="B944" s="66"/>
      <c r="C944" s="66"/>
      <c r="D944" s="66"/>
      <c r="G944" s="67"/>
      <c r="V944" s="67"/>
    </row>
    <row r="945">
      <c r="A945" s="66"/>
      <c r="B945" s="66"/>
      <c r="C945" s="66"/>
      <c r="D945" s="66"/>
      <c r="G945" s="67"/>
      <c r="V945" s="67"/>
    </row>
    <row r="946">
      <c r="A946" s="66"/>
      <c r="B946" s="66"/>
      <c r="C946" s="66"/>
      <c r="D946" s="66"/>
      <c r="G946" s="67"/>
      <c r="V946" s="67"/>
    </row>
    <row r="947">
      <c r="A947" s="66"/>
      <c r="B947" s="66"/>
      <c r="C947" s="66"/>
      <c r="D947" s="66"/>
      <c r="G947" s="67"/>
      <c r="V947" s="67"/>
    </row>
    <row r="948">
      <c r="A948" s="66"/>
      <c r="B948" s="66"/>
      <c r="C948" s="66"/>
      <c r="D948" s="66"/>
      <c r="G948" s="67"/>
      <c r="V948" s="67"/>
    </row>
    <row r="949">
      <c r="A949" s="66"/>
      <c r="B949" s="66"/>
      <c r="C949" s="66"/>
      <c r="D949" s="66"/>
      <c r="G949" s="67"/>
      <c r="V949" s="67"/>
    </row>
    <row r="950">
      <c r="A950" s="66"/>
      <c r="B950" s="66"/>
      <c r="C950" s="66"/>
      <c r="D950" s="66"/>
      <c r="G950" s="67"/>
      <c r="V950" s="67"/>
    </row>
    <row r="951">
      <c r="A951" s="66"/>
      <c r="B951" s="66"/>
      <c r="C951" s="66"/>
      <c r="D951" s="66"/>
      <c r="G951" s="67"/>
      <c r="V951" s="67"/>
    </row>
    <row r="952">
      <c r="A952" s="66"/>
      <c r="B952" s="66"/>
      <c r="C952" s="66"/>
      <c r="D952" s="66"/>
      <c r="G952" s="67"/>
      <c r="V952" s="67"/>
    </row>
    <row r="953">
      <c r="A953" s="66"/>
      <c r="B953" s="66"/>
      <c r="C953" s="66"/>
      <c r="D953" s="66"/>
      <c r="G953" s="67"/>
      <c r="V953" s="67"/>
    </row>
    <row r="954">
      <c r="A954" s="66"/>
      <c r="B954" s="66"/>
      <c r="C954" s="66"/>
      <c r="D954" s="66"/>
      <c r="G954" s="67"/>
      <c r="V954" s="67"/>
    </row>
    <row r="955">
      <c r="A955" s="66"/>
      <c r="B955" s="66"/>
      <c r="C955" s="66"/>
      <c r="D955" s="66"/>
      <c r="G955" s="67"/>
      <c r="V955" s="67"/>
    </row>
    <row r="956">
      <c r="A956" s="66"/>
      <c r="B956" s="66"/>
      <c r="C956" s="66"/>
      <c r="D956" s="66"/>
      <c r="G956" s="67"/>
      <c r="V956" s="67"/>
    </row>
    <row r="957">
      <c r="A957" s="66"/>
      <c r="B957" s="66"/>
      <c r="C957" s="66"/>
      <c r="D957" s="66"/>
      <c r="G957" s="67"/>
      <c r="V957" s="67"/>
    </row>
    <row r="958">
      <c r="A958" s="66"/>
      <c r="B958" s="66"/>
      <c r="C958" s="66"/>
      <c r="D958" s="66"/>
      <c r="G958" s="67"/>
      <c r="V958" s="67"/>
    </row>
    <row r="959">
      <c r="A959" s="66"/>
      <c r="B959" s="66"/>
      <c r="C959" s="66"/>
      <c r="D959" s="66"/>
      <c r="G959" s="67"/>
      <c r="V959" s="67"/>
    </row>
    <row r="960">
      <c r="A960" s="66"/>
      <c r="B960" s="66"/>
      <c r="C960" s="66"/>
      <c r="D960" s="66"/>
      <c r="G960" s="67"/>
      <c r="V960" s="67"/>
    </row>
    <row r="961">
      <c r="A961" s="66"/>
      <c r="B961" s="66"/>
      <c r="C961" s="66"/>
      <c r="D961" s="66"/>
      <c r="G961" s="67"/>
      <c r="V961" s="67"/>
    </row>
    <row r="962">
      <c r="A962" s="66"/>
      <c r="B962" s="66"/>
      <c r="C962" s="66"/>
      <c r="D962" s="66"/>
      <c r="G962" s="67"/>
      <c r="V962" s="67"/>
    </row>
    <row r="963">
      <c r="A963" s="66"/>
      <c r="B963" s="66"/>
      <c r="C963" s="66"/>
      <c r="D963" s="66"/>
      <c r="G963" s="67"/>
      <c r="V963" s="67"/>
    </row>
    <row r="964">
      <c r="A964" s="66"/>
      <c r="B964" s="66"/>
      <c r="C964" s="66"/>
      <c r="D964" s="66"/>
      <c r="G964" s="67"/>
      <c r="V964" s="67"/>
    </row>
    <row r="965">
      <c r="A965" s="66"/>
      <c r="B965" s="66"/>
      <c r="C965" s="66"/>
      <c r="D965" s="66"/>
      <c r="G965" s="67"/>
      <c r="V965" s="67"/>
    </row>
    <row r="966">
      <c r="A966" s="66"/>
      <c r="B966" s="66"/>
      <c r="C966" s="66"/>
      <c r="D966" s="66"/>
      <c r="G966" s="67"/>
      <c r="V966" s="67"/>
    </row>
    <row r="967">
      <c r="A967" s="66"/>
      <c r="B967" s="66"/>
      <c r="C967" s="66"/>
      <c r="D967" s="66"/>
      <c r="G967" s="67"/>
      <c r="V967" s="67"/>
    </row>
    <row r="968">
      <c r="A968" s="66"/>
      <c r="B968" s="66"/>
      <c r="C968" s="66"/>
      <c r="D968" s="66"/>
      <c r="G968" s="67"/>
      <c r="V968" s="67"/>
    </row>
    <row r="969">
      <c r="A969" s="66"/>
      <c r="B969" s="66"/>
      <c r="C969" s="66"/>
      <c r="D969" s="66"/>
      <c r="G969" s="67"/>
      <c r="V969" s="67"/>
    </row>
    <row r="970">
      <c r="A970" s="66"/>
      <c r="B970" s="66"/>
      <c r="C970" s="66"/>
      <c r="D970" s="66"/>
      <c r="G970" s="67"/>
      <c r="V970" s="67"/>
    </row>
    <row r="971">
      <c r="A971" s="66"/>
      <c r="B971" s="66"/>
      <c r="C971" s="66"/>
      <c r="D971" s="66"/>
      <c r="G971" s="67"/>
      <c r="V971" s="67"/>
    </row>
    <row r="972">
      <c r="A972" s="66"/>
      <c r="B972" s="66"/>
      <c r="C972" s="66"/>
      <c r="D972" s="66"/>
      <c r="G972" s="67"/>
      <c r="V972" s="67"/>
    </row>
    <row r="973">
      <c r="A973" s="66"/>
      <c r="B973" s="66"/>
      <c r="C973" s="66"/>
      <c r="D973" s="66"/>
      <c r="G973" s="67"/>
      <c r="V973" s="67"/>
    </row>
    <row r="974">
      <c r="A974" s="66"/>
      <c r="B974" s="66"/>
      <c r="C974" s="66"/>
      <c r="D974" s="66"/>
      <c r="G974" s="67"/>
      <c r="V974" s="67"/>
    </row>
    <row r="975">
      <c r="A975" s="66"/>
      <c r="B975" s="66"/>
      <c r="C975" s="66"/>
      <c r="D975" s="66"/>
      <c r="G975" s="67"/>
      <c r="V975" s="67"/>
    </row>
    <row r="976">
      <c r="A976" s="66"/>
      <c r="B976" s="66"/>
      <c r="C976" s="66"/>
      <c r="D976" s="66"/>
      <c r="G976" s="67"/>
      <c r="V976" s="67"/>
    </row>
    <row r="977">
      <c r="A977" s="66"/>
      <c r="B977" s="66"/>
      <c r="C977" s="66"/>
      <c r="D977" s="66"/>
      <c r="G977" s="67"/>
      <c r="V977" s="67"/>
    </row>
    <row r="978">
      <c r="A978" s="66"/>
      <c r="B978" s="66"/>
      <c r="C978" s="66"/>
      <c r="D978" s="66"/>
      <c r="G978" s="67"/>
      <c r="V978" s="67"/>
    </row>
    <row r="979">
      <c r="A979" s="66"/>
      <c r="B979" s="66"/>
      <c r="C979" s="66"/>
      <c r="D979" s="66"/>
      <c r="G979" s="67"/>
      <c r="V979" s="67"/>
    </row>
    <row r="980">
      <c r="A980" s="66"/>
      <c r="B980" s="66"/>
      <c r="C980" s="66"/>
      <c r="D980" s="66"/>
      <c r="G980" s="67"/>
      <c r="V980" s="67"/>
    </row>
    <row r="981">
      <c r="A981" s="66"/>
      <c r="B981" s="66"/>
      <c r="C981" s="66"/>
      <c r="D981" s="66"/>
      <c r="G981" s="67"/>
      <c r="V981" s="67"/>
    </row>
    <row r="982">
      <c r="A982" s="66"/>
      <c r="B982" s="66"/>
      <c r="C982" s="66"/>
      <c r="D982" s="66"/>
      <c r="G982" s="67"/>
      <c r="V982" s="67"/>
    </row>
    <row r="983">
      <c r="A983" s="66"/>
      <c r="B983" s="66"/>
      <c r="C983" s="66"/>
      <c r="D983" s="66"/>
      <c r="G983" s="67"/>
      <c r="V983" s="67"/>
    </row>
    <row r="984">
      <c r="A984" s="66"/>
      <c r="B984" s="66"/>
      <c r="C984" s="66"/>
      <c r="D984" s="66"/>
      <c r="G984" s="67"/>
      <c r="V984" s="67"/>
    </row>
    <row r="985">
      <c r="A985" s="66"/>
      <c r="B985" s="66"/>
      <c r="C985" s="66"/>
      <c r="D985" s="66"/>
      <c r="G985" s="67"/>
      <c r="V985" s="67"/>
    </row>
    <row r="986">
      <c r="A986" s="66"/>
      <c r="B986" s="66"/>
      <c r="C986" s="66"/>
      <c r="D986" s="66"/>
      <c r="G986" s="67"/>
      <c r="V986" s="67"/>
    </row>
    <row r="987">
      <c r="A987" s="66"/>
      <c r="B987" s="66"/>
      <c r="C987" s="66"/>
      <c r="D987" s="66"/>
      <c r="G987" s="67"/>
      <c r="V987" s="67"/>
    </row>
    <row r="988">
      <c r="A988" s="66"/>
      <c r="B988" s="66"/>
      <c r="C988" s="66"/>
      <c r="D988" s="66"/>
      <c r="G988" s="67"/>
      <c r="V988" s="67"/>
    </row>
    <row r="989">
      <c r="A989" s="66"/>
      <c r="B989" s="66"/>
      <c r="C989" s="66"/>
      <c r="D989" s="66"/>
      <c r="G989" s="67"/>
      <c r="V989" s="67"/>
    </row>
    <row r="990">
      <c r="A990" s="66"/>
      <c r="B990" s="66"/>
      <c r="C990" s="66"/>
      <c r="D990" s="66"/>
      <c r="G990" s="67"/>
      <c r="V990" s="67"/>
    </row>
    <row r="991">
      <c r="A991" s="66"/>
      <c r="B991" s="66"/>
      <c r="C991" s="66"/>
      <c r="D991" s="66"/>
      <c r="G991" s="67"/>
      <c r="V991" s="67"/>
    </row>
    <row r="992">
      <c r="A992" s="66"/>
      <c r="B992" s="66"/>
      <c r="C992" s="66"/>
      <c r="D992" s="66"/>
      <c r="G992" s="67"/>
      <c r="V992" s="67"/>
    </row>
    <row r="993">
      <c r="A993" s="66"/>
      <c r="B993" s="66"/>
      <c r="C993" s="66"/>
      <c r="D993" s="66"/>
      <c r="G993" s="67"/>
      <c r="V993" s="67"/>
    </row>
    <row r="994">
      <c r="A994" s="66"/>
      <c r="B994" s="66"/>
      <c r="C994" s="66"/>
      <c r="D994" s="66"/>
      <c r="G994" s="67"/>
      <c r="V994" s="67"/>
    </row>
    <row r="995">
      <c r="A995" s="66"/>
      <c r="B995" s="66"/>
      <c r="C995" s="66"/>
      <c r="D995" s="66"/>
      <c r="G995" s="67"/>
      <c r="V995" s="67"/>
    </row>
    <row r="996">
      <c r="A996" s="66"/>
      <c r="B996" s="66"/>
      <c r="C996" s="66"/>
      <c r="D996" s="66"/>
      <c r="G996" s="67"/>
      <c r="V996" s="67"/>
    </row>
    <row r="997">
      <c r="A997" s="66"/>
      <c r="B997" s="66"/>
      <c r="C997" s="66"/>
      <c r="D997" s="66"/>
      <c r="G997" s="67"/>
      <c r="V997" s="67"/>
    </row>
    <row r="998">
      <c r="A998" s="66"/>
      <c r="B998" s="66"/>
      <c r="C998" s="66"/>
      <c r="D998" s="66"/>
      <c r="G998" s="67"/>
      <c r="V998" s="67"/>
    </row>
    <row r="999">
      <c r="A999" s="66"/>
      <c r="B999" s="66"/>
      <c r="C999" s="66"/>
      <c r="D999" s="66"/>
      <c r="G999" s="67"/>
      <c r="V999" s="67"/>
    </row>
    <row r="1000">
      <c r="A1000" s="66"/>
      <c r="B1000" s="66"/>
      <c r="C1000" s="66"/>
      <c r="D1000" s="66"/>
      <c r="G1000" s="67"/>
      <c r="V1000" s="67"/>
    </row>
    <row r="1001">
      <c r="A1001" s="66"/>
      <c r="B1001" s="66"/>
      <c r="C1001" s="66"/>
      <c r="D1001" s="66"/>
      <c r="G1001" s="67"/>
      <c r="V1001" s="67"/>
    </row>
  </sheetData>
  <mergeCells count="12">
    <mergeCell ref="V13:W13"/>
    <mergeCell ref="V16:W16"/>
    <mergeCell ref="V18:W18"/>
    <mergeCell ref="V22:W22"/>
    <mergeCell ref="V25:W25"/>
    <mergeCell ref="A1:D1"/>
    <mergeCell ref="F1:M1"/>
    <mergeCell ref="O1:T1"/>
    <mergeCell ref="V1:AB1"/>
    <mergeCell ref="V4:W4"/>
    <mergeCell ref="V6:W6"/>
    <mergeCell ref="V8:W8"/>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6.0"/>
    <col customWidth="1" min="8" max="8" width="13.0"/>
    <col customWidth="1" min="15" max="15" width="43.75"/>
    <col customWidth="1" min="16" max="16" width="17.25"/>
    <col customWidth="1" min="17" max="17" width="66.38"/>
    <col customWidth="1" min="24" max="24" width="67.25"/>
    <col customWidth="1" min="25" max="25" width="27.5"/>
    <col customWidth="1" min="26" max="26" width="11.25"/>
    <col customWidth="1" min="28" max="28" width="33.38"/>
  </cols>
  <sheetData>
    <row r="1">
      <c r="A1" s="1" t="s">
        <v>0</v>
      </c>
      <c r="B1" s="2"/>
      <c r="C1" s="2"/>
      <c r="D1" s="3"/>
      <c r="F1" s="4" t="s">
        <v>1</v>
      </c>
      <c r="G1" s="2"/>
      <c r="H1" s="2"/>
      <c r="I1" s="2"/>
      <c r="J1" s="2"/>
      <c r="K1" s="2"/>
      <c r="L1" s="2"/>
      <c r="M1" s="3"/>
      <c r="O1" s="5" t="s">
        <v>2</v>
      </c>
      <c r="P1" s="2"/>
      <c r="Q1" s="2"/>
      <c r="R1" s="2"/>
      <c r="S1" s="2"/>
      <c r="T1" s="3"/>
      <c r="V1" s="5" t="s">
        <v>3</v>
      </c>
      <c r="W1" s="2"/>
      <c r="X1" s="2"/>
      <c r="Y1" s="2"/>
      <c r="Z1" s="2"/>
      <c r="AA1" s="2"/>
      <c r="AB1" s="3"/>
    </row>
    <row r="2">
      <c r="A2" s="6" t="s">
        <v>4</v>
      </c>
      <c r="B2" s="6" t="s">
        <v>5</v>
      </c>
      <c r="C2" s="6" t="s">
        <v>6</v>
      </c>
      <c r="D2" s="6" t="s">
        <v>8</v>
      </c>
      <c r="F2" s="8" t="s">
        <v>4</v>
      </c>
      <c r="G2" s="9" t="s">
        <v>9</v>
      </c>
      <c r="H2" s="8" t="s">
        <v>11</v>
      </c>
      <c r="I2" s="8" t="s">
        <v>12</v>
      </c>
      <c r="J2" s="8" t="s">
        <v>13</v>
      </c>
      <c r="K2" s="8" t="s">
        <v>14</v>
      </c>
      <c r="L2" s="8" t="s">
        <v>15</v>
      </c>
      <c r="M2" s="8" t="s">
        <v>16</v>
      </c>
      <c r="O2" s="10" t="s">
        <v>17</v>
      </c>
      <c r="P2" s="10"/>
      <c r="Q2" s="10"/>
      <c r="R2" s="10"/>
      <c r="S2" s="12" t="s">
        <v>24</v>
      </c>
      <c r="T2" s="12" t="s">
        <v>25</v>
      </c>
      <c r="V2" s="10" t="s">
        <v>4</v>
      </c>
      <c r="W2" s="10" t="s">
        <v>26</v>
      </c>
      <c r="X2" s="10" t="s">
        <v>20</v>
      </c>
      <c r="Y2" s="10" t="s">
        <v>22</v>
      </c>
      <c r="Z2" s="12" t="s">
        <v>24</v>
      </c>
      <c r="AA2" s="12" t="s">
        <v>25</v>
      </c>
      <c r="AB2" s="12" t="s">
        <v>27</v>
      </c>
    </row>
    <row r="3">
      <c r="A3" s="13"/>
      <c r="B3" s="13"/>
      <c r="C3" s="13"/>
      <c r="D3" s="14"/>
      <c r="F3" s="15"/>
      <c r="G3" s="16"/>
      <c r="H3" s="15"/>
      <c r="I3" s="15"/>
      <c r="J3" s="15"/>
      <c r="K3" s="15"/>
      <c r="L3" s="15"/>
      <c r="M3" s="15"/>
      <c r="O3" s="17"/>
      <c r="P3" s="18"/>
      <c r="Q3" s="19"/>
      <c r="R3" s="20"/>
      <c r="S3" s="21"/>
      <c r="T3" s="21"/>
      <c r="V3" s="22"/>
      <c r="W3" s="24"/>
      <c r="X3" s="25"/>
      <c r="Y3" s="25"/>
      <c r="Z3" s="22"/>
      <c r="AA3" s="22"/>
    </row>
    <row r="4">
      <c r="A4" s="27"/>
      <c r="B4" s="28"/>
      <c r="C4" s="27"/>
      <c r="D4" s="28"/>
      <c r="F4" s="29"/>
      <c r="G4" s="30"/>
      <c r="H4" s="29"/>
      <c r="I4" s="29"/>
      <c r="J4" s="29"/>
      <c r="K4" s="29"/>
      <c r="L4" s="29"/>
      <c r="M4" s="29"/>
      <c r="O4" s="53"/>
      <c r="P4" s="32"/>
      <c r="Q4" s="33"/>
      <c r="R4" s="34"/>
      <c r="S4" s="35"/>
      <c r="T4" s="35"/>
      <c r="V4" s="53"/>
      <c r="W4" s="113"/>
      <c r="X4" s="38"/>
      <c r="Y4" s="38"/>
      <c r="Z4" s="36"/>
      <c r="AA4" s="36"/>
    </row>
    <row r="5">
      <c r="A5" s="13"/>
      <c r="B5" s="14"/>
      <c r="C5" s="13"/>
      <c r="D5" s="14"/>
      <c r="F5" s="15"/>
      <c r="G5" s="16"/>
      <c r="H5" s="15"/>
      <c r="I5" s="15"/>
      <c r="J5" s="15"/>
      <c r="K5" s="15"/>
      <c r="L5" s="15"/>
      <c r="M5" s="15"/>
      <c r="O5" s="53"/>
      <c r="P5" s="32"/>
      <c r="Q5" s="33"/>
      <c r="R5" s="34"/>
      <c r="S5" s="35"/>
      <c r="T5" s="35"/>
      <c r="V5" s="39"/>
      <c r="W5" s="40"/>
      <c r="X5" s="41"/>
      <c r="Y5" s="41"/>
      <c r="Z5" s="39"/>
      <c r="AA5" s="39"/>
    </row>
    <row r="6">
      <c r="A6" s="27"/>
      <c r="B6" s="28"/>
      <c r="C6" s="27"/>
      <c r="D6" s="28"/>
      <c r="F6" s="29"/>
      <c r="G6" s="30"/>
      <c r="H6" s="29"/>
      <c r="I6" s="29"/>
      <c r="J6" s="29"/>
      <c r="K6" s="29"/>
      <c r="L6" s="29"/>
      <c r="M6" s="29"/>
      <c r="O6" s="53"/>
      <c r="P6" s="32"/>
      <c r="Q6" s="33"/>
      <c r="R6" s="34"/>
      <c r="S6" s="35"/>
      <c r="T6" s="35"/>
      <c r="V6" s="50"/>
      <c r="W6" s="113"/>
      <c r="X6" s="41"/>
      <c r="Y6" s="41"/>
      <c r="Z6" s="39"/>
      <c r="AA6" s="39"/>
    </row>
    <row r="7">
      <c r="A7" s="13"/>
      <c r="B7" s="14"/>
      <c r="C7" s="13"/>
      <c r="D7" s="14"/>
      <c r="F7" s="15"/>
      <c r="G7" s="16"/>
      <c r="H7" s="15"/>
      <c r="I7" s="15"/>
      <c r="J7" s="15"/>
      <c r="K7" s="15"/>
      <c r="L7" s="15"/>
      <c r="M7" s="15"/>
      <c r="O7" s="53"/>
      <c r="P7" s="32"/>
      <c r="Q7" s="33"/>
      <c r="R7" s="34"/>
      <c r="S7" s="35"/>
      <c r="T7" s="35"/>
      <c r="V7" s="22"/>
      <c r="W7" s="24"/>
      <c r="X7" s="25"/>
      <c r="Y7" s="25"/>
      <c r="Z7" s="22"/>
      <c r="AA7" s="22"/>
    </row>
    <row r="8">
      <c r="A8" s="27"/>
      <c r="B8" s="28"/>
      <c r="C8" s="27"/>
      <c r="D8" s="28"/>
      <c r="F8" s="29"/>
      <c r="G8" s="30"/>
      <c r="H8" s="29"/>
      <c r="I8" s="29"/>
      <c r="J8" s="29"/>
      <c r="K8" s="29"/>
      <c r="L8" s="29"/>
      <c r="M8" s="29"/>
      <c r="O8" s="50"/>
      <c r="P8" s="45"/>
      <c r="Q8" s="46"/>
      <c r="R8" s="47"/>
      <c r="S8" s="48"/>
      <c r="T8" s="48"/>
      <c r="V8" s="53"/>
      <c r="W8" s="113"/>
      <c r="X8" s="38"/>
      <c r="Y8" s="38"/>
      <c r="Z8" s="36"/>
      <c r="AA8" s="36"/>
    </row>
    <row r="9">
      <c r="A9" s="13"/>
      <c r="B9" s="14"/>
      <c r="C9" s="13"/>
      <c r="D9" s="14"/>
      <c r="F9" s="15"/>
      <c r="G9" s="16"/>
      <c r="H9" s="15"/>
      <c r="I9" s="15"/>
      <c r="J9" s="15"/>
      <c r="K9" s="15"/>
      <c r="L9" s="15"/>
      <c r="M9" s="15"/>
      <c r="O9" s="50"/>
      <c r="P9" s="45"/>
      <c r="Q9" s="46"/>
      <c r="R9" s="47"/>
      <c r="S9" s="48"/>
      <c r="T9" s="48"/>
      <c r="V9" s="39"/>
      <c r="W9" s="40"/>
      <c r="X9" s="41"/>
      <c r="Y9" s="41"/>
      <c r="Z9" s="39"/>
      <c r="AA9" s="39"/>
    </row>
    <row r="10">
      <c r="A10" s="27"/>
      <c r="B10" s="28"/>
      <c r="C10" s="27"/>
      <c r="D10" s="28"/>
      <c r="F10" s="29"/>
      <c r="G10" s="30"/>
      <c r="H10" s="29"/>
      <c r="I10" s="29"/>
      <c r="J10" s="29"/>
      <c r="K10" s="29"/>
      <c r="L10" s="29"/>
      <c r="M10" s="29"/>
      <c r="O10" s="50"/>
      <c r="P10" s="45"/>
      <c r="Q10" s="46"/>
      <c r="R10" s="47"/>
      <c r="S10" s="48"/>
      <c r="T10" s="48"/>
      <c r="V10" s="39"/>
      <c r="W10" s="40"/>
      <c r="X10" s="41"/>
      <c r="Y10" s="41"/>
      <c r="Z10" s="39"/>
      <c r="AA10" s="39"/>
    </row>
    <row r="11">
      <c r="A11" s="13"/>
      <c r="B11" s="14"/>
      <c r="C11" s="13"/>
      <c r="D11" s="14"/>
      <c r="F11" s="15"/>
      <c r="G11" s="16"/>
      <c r="H11" s="15"/>
      <c r="I11" s="15"/>
      <c r="J11" s="15"/>
      <c r="K11" s="15"/>
      <c r="L11" s="15"/>
      <c r="M11" s="15"/>
      <c r="O11" s="50"/>
      <c r="P11" s="45"/>
      <c r="Q11" s="46"/>
      <c r="R11" s="47"/>
      <c r="S11" s="48"/>
      <c r="T11" s="48"/>
      <c r="V11" s="22"/>
      <c r="W11" s="24"/>
      <c r="X11" s="25"/>
      <c r="Y11" s="25"/>
      <c r="Z11" s="22"/>
      <c r="AA11" s="22"/>
    </row>
    <row r="12">
      <c r="A12" s="27"/>
      <c r="B12" s="28"/>
      <c r="C12" s="27"/>
      <c r="D12" s="28"/>
      <c r="F12" s="29"/>
      <c r="G12" s="30"/>
      <c r="H12" s="29"/>
      <c r="I12" s="29"/>
      <c r="J12" s="29"/>
      <c r="K12" s="29"/>
      <c r="L12" s="29"/>
      <c r="M12" s="29"/>
      <c r="O12" s="50"/>
      <c r="P12" s="45"/>
      <c r="Q12" s="46"/>
      <c r="R12" s="47"/>
      <c r="S12" s="48"/>
      <c r="T12" s="48"/>
      <c r="V12" s="36"/>
      <c r="W12" s="37"/>
      <c r="X12" s="38"/>
      <c r="Y12" s="38"/>
      <c r="Z12" s="36"/>
      <c r="AA12" s="36"/>
    </row>
    <row r="13">
      <c r="A13" s="13"/>
      <c r="B13" s="14"/>
      <c r="C13" s="13"/>
      <c r="D13" s="14"/>
      <c r="F13" s="15"/>
      <c r="G13" s="16"/>
      <c r="H13" s="15"/>
      <c r="I13" s="15"/>
      <c r="J13" s="15"/>
      <c r="K13" s="15"/>
      <c r="L13" s="15"/>
      <c r="M13" s="15"/>
      <c r="O13" s="50"/>
      <c r="P13" s="45"/>
      <c r="Q13" s="46"/>
      <c r="R13" s="47"/>
      <c r="S13" s="48"/>
      <c r="T13" s="48"/>
      <c r="V13" s="50"/>
      <c r="W13" s="113"/>
      <c r="X13" s="41"/>
      <c r="Y13" s="41"/>
      <c r="Z13" s="39"/>
      <c r="AA13" s="39"/>
    </row>
    <row r="14">
      <c r="A14" s="27"/>
      <c r="B14" s="28"/>
      <c r="C14" s="27"/>
      <c r="D14" s="28"/>
      <c r="F14" s="29"/>
      <c r="G14" s="30"/>
      <c r="H14" s="29"/>
      <c r="I14" s="29"/>
      <c r="J14" s="29"/>
      <c r="K14" s="29"/>
      <c r="L14" s="29"/>
      <c r="M14" s="29"/>
      <c r="O14" s="53"/>
      <c r="P14" s="32"/>
      <c r="Q14" s="33"/>
      <c r="R14" s="34"/>
      <c r="S14" s="35"/>
      <c r="T14" s="35"/>
      <c r="V14" s="39"/>
      <c r="W14" s="40"/>
      <c r="X14" s="41"/>
      <c r="Y14" s="41"/>
      <c r="Z14" s="39"/>
      <c r="AA14" s="39"/>
    </row>
    <row r="15">
      <c r="A15" s="13"/>
      <c r="B15" s="14"/>
      <c r="C15" s="13"/>
      <c r="D15" s="14"/>
      <c r="F15" s="15"/>
      <c r="G15" s="16"/>
      <c r="H15" s="15"/>
      <c r="I15" s="15"/>
      <c r="J15" s="15"/>
      <c r="K15" s="15"/>
      <c r="L15" s="15"/>
      <c r="M15" s="15"/>
      <c r="O15" s="53"/>
      <c r="P15" s="32"/>
      <c r="Q15" s="33"/>
      <c r="R15" s="34"/>
      <c r="S15" s="35"/>
      <c r="T15" s="35"/>
      <c r="V15" s="22"/>
      <c r="W15" s="24"/>
      <c r="X15" s="25"/>
      <c r="Y15" s="25"/>
      <c r="Z15" s="22"/>
      <c r="AA15" s="22"/>
    </row>
    <row r="16">
      <c r="A16" s="27"/>
      <c r="B16" s="28"/>
      <c r="C16" s="27"/>
      <c r="D16" s="28"/>
      <c r="F16" s="29"/>
      <c r="G16" s="30"/>
      <c r="H16" s="29"/>
      <c r="I16" s="29"/>
      <c r="J16" s="29"/>
      <c r="K16" s="29"/>
      <c r="L16" s="29"/>
      <c r="M16" s="29"/>
      <c r="O16" s="53"/>
      <c r="P16" s="32"/>
      <c r="Q16" s="33"/>
      <c r="R16" s="34"/>
      <c r="S16" s="35"/>
      <c r="T16" s="35"/>
      <c r="V16" s="53"/>
      <c r="W16" s="113"/>
      <c r="X16" s="38"/>
      <c r="Y16" s="38"/>
      <c r="Z16" s="36"/>
      <c r="AA16" s="36"/>
    </row>
    <row r="17">
      <c r="A17" s="13"/>
      <c r="B17" s="14"/>
      <c r="C17" s="13"/>
      <c r="D17" s="14"/>
      <c r="F17" s="15"/>
      <c r="G17" s="16"/>
      <c r="H17" s="15"/>
      <c r="I17" s="15"/>
      <c r="J17" s="15"/>
      <c r="K17" s="15"/>
      <c r="L17" s="15"/>
      <c r="M17" s="15"/>
      <c r="O17" s="53"/>
      <c r="P17" s="32"/>
      <c r="Q17" s="33"/>
      <c r="R17" s="34"/>
      <c r="S17" s="35"/>
      <c r="T17" s="35"/>
      <c r="V17" s="39"/>
      <c r="W17" s="40"/>
      <c r="X17" s="41"/>
      <c r="Y17" s="41"/>
      <c r="Z17" s="39"/>
      <c r="AA17" s="39"/>
    </row>
    <row r="18">
      <c r="A18" s="27"/>
      <c r="B18" s="28"/>
      <c r="C18" s="27"/>
      <c r="D18" s="28"/>
      <c r="F18" s="29"/>
      <c r="G18" s="30"/>
      <c r="H18" s="29"/>
      <c r="I18" s="29"/>
      <c r="J18" s="29"/>
      <c r="K18" s="29"/>
      <c r="L18" s="29"/>
      <c r="M18" s="29"/>
      <c r="O18" s="53"/>
      <c r="P18" s="32"/>
      <c r="Q18" s="33"/>
      <c r="R18" s="34"/>
      <c r="S18" s="35"/>
      <c r="T18" s="35"/>
      <c r="V18" s="50"/>
      <c r="W18" s="113"/>
      <c r="X18" s="41"/>
      <c r="Y18" s="41"/>
      <c r="Z18" s="39"/>
      <c r="AA18" s="39"/>
    </row>
    <row r="19">
      <c r="A19" s="13"/>
      <c r="B19" s="14"/>
      <c r="C19" s="13"/>
      <c r="D19" s="14"/>
      <c r="F19" s="15"/>
      <c r="G19" s="16"/>
      <c r="H19" s="15"/>
      <c r="I19" s="15"/>
      <c r="J19" s="15"/>
      <c r="K19" s="15"/>
      <c r="L19" s="15"/>
      <c r="M19" s="15"/>
      <c r="O19" s="50"/>
      <c r="P19" s="45"/>
      <c r="Q19" s="46"/>
      <c r="R19" s="47"/>
      <c r="S19" s="48"/>
      <c r="T19" s="48"/>
      <c r="V19" s="22"/>
      <c r="W19" s="24"/>
      <c r="X19" s="25"/>
      <c r="Y19" s="25"/>
      <c r="Z19" s="22"/>
      <c r="AA19" s="22"/>
    </row>
    <row r="20">
      <c r="A20" s="27"/>
      <c r="B20" s="28"/>
      <c r="C20" s="27"/>
      <c r="D20" s="28"/>
      <c r="F20" s="29"/>
      <c r="G20" s="30"/>
      <c r="H20" s="29"/>
      <c r="I20" s="29"/>
      <c r="J20" s="29"/>
      <c r="K20" s="29"/>
      <c r="L20" s="29"/>
      <c r="M20" s="29"/>
      <c r="O20" s="50"/>
      <c r="P20" s="45"/>
      <c r="Q20" s="46"/>
      <c r="R20" s="47"/>
      <c r="S20" s="48"/>
      <c r="T20" s="48"/>
      <c r="V20" s="36"/>
      <c r="W20" s="37"/>
      <c r="X20" s="38"/>
      <c r="Y20" s="38"/>
      <c r="Z20" s="36"/>
      <c r="AA20" s="36"/>
    </row>
    <row r="21">
      <c r="A21" s="13"/>
      <c r="B21" s="14"/>
      <c r="C21" s="13"/>
      <c r="D21" s="14"/>
      <c r="F21" s="15"/>
      <c r="G21" s="16"/>
      <c r="H21" s="15"/>
      <c r="I21" s="15"/>
      <c r="J21" s="15"/>
      <c r="K21" s="15"/>
      <c r="L21" s="15"/>
      <c r="M21" s="15"/>
      <c r="O21" s="50"/>
      <c r="P21" s="45"/>
      <c r="Q21" s="46"/>
      <c r="R21" s="47"/>
      <c r="S21" s="48"/>
      <c r="T21" s="48"/>
      <c r="V21" s="39"/>
      <c r="W21" s="40"/>
      <c r="X21" s="41"/>
      <c r="Y21" s="41"/>
      <c r="Z21" s="39"/>
      <c r="AA21" s="39"/>
    </row>
    <row r="22">
      <c r="A22" s="60"/>
      <c r="B22" s="60"/>
      <c r="C22" s="60"/>
      <c r="D22" s="60"/>
      <c r="F22" s="62"/>
      <c r="G22" s="63"/>
      <c r="H22" s="62"/>
      <c r="I22" s="62"/>
      <c r="J22" s="62"/>
      <c r="K22" s="62"/>
      <c r="L22" s="62"/>
      <c r="M22" s="62"/>
      <c r="O22" s="50"/>
      <c r="P22" s="45"/>
      <c r="Q22" s="46"/>
      <c r="R22" s="47"/>
      <c r="S22" s="48"/>
      <c r="T22" s="48"/>
      <c r="V22" s="50"/>
      <c r="W22" s="113"/>
      <c r="X22" s="41"/>
      <c r="Y22" s="41"/>
      <c r="Z22" s="39"/>
      <c r="AA22" s="39"/>
    </row>
    <row r="23">
      <c r="A23" s="66"/>
      <c r="B23" s="66"/>
      <c r="C23" s="66"/>
      <c r="D23" s="66"/>
      <c r="G23" s="67"/>
      <c r="O23" s="53"/>
      <c r="P23" s="32"/>
      <c r="Q23" s="33"/>
      <c r="R23" s="34"/>
      <c r="S23" s="35"/>
      <c r="T23" s="35"/>
      <c r="V23" s="22"/>
      <c r="W23" s="24"/>
      <c r="X23" s="25"/>
      <c r="Y23" s="25"/>
      <c r="Z23" s="22"/>
      <c r="AA23" s="22"/>
    </row>
    <row r="24">
      <c r="A24" s="66"/>
      <c r="B24" s="66"/>
      <c r="C24" s="66"/>
      <c r="D24" s="66"/>
      <c r="G24" s="67"/>
      <c r="O24" s="53"/>
      <c r="P24" s="32"/>
      <c r="Q24" s="33"/>
      <c r="R24" s="34"/>
      <c r="S24" s="35"/>
      <c r="T24" s="35"/>
      <c r="V24" s="36"/>
      <c r="W24" s="37"/>
      <c r="X24" s="38"/>
      <c r="Y24" s="38"/>
      <c r="Z24" s="36"/>
      <c r="AA24" s="36"/>
    </row>
    <row r="25">
      <c r="A25" s="66"/>
      <c r="B25" s="66"/>
      <c r="C25" s="66"/>
      <c r="D25" s="66"/>
      <c r="G25" s="67"/>
      <c r="O25" s="53"/>
      <c r="P25" s="32"/>
      <c r="Q25" s="33"/>
      <c r="R25" s="34"/>
      <c r="S25" s="35"/>
      <c r="T25" s="35"/>
      <c r="V25" s="50"/>
      <c r="W25" s="113"/>
      <c r="X25" s="41"/>
      <c r="Y25" s="41"/>
      <c r="Z25" s="39"/>
      <c r="AA25" s="39"/>
    </row>
    <row r="26">
      <c r="A26" s="66"/>
      <c r="B26" s="66"/>
      <c r="C26" s="66"/>
      <c r="D26" s="66"/>
      <c r="G26" s="67"/>
      <c r="O26" s="53"/>
      <c r="P26" s="32"/>
      <c r="Q26" s="33"/>
      <c r="R26" s="34"/>
      <c r="S26" s="35"/>
      <c r="T26" s="35"/>
      <c r="V26" s="39"/>
      <c r="W26" s="40"/>
      <c r="X26" s="41"/>
      <c r="Y26" s="41"/>
      <c r="Z26" s="39"/>
      <c r="AA26" s="39"/>
    </row>
    <row r="27">
      <c r="A27" s="66"/>
      <c r="B27" s="66"/>
      <c r="C27" s="66"/>
      <c r="D27" s="66"/>
      <c r="G27" s="67"/>
      <c r="O27" s="71"/>
      <c r="P27" s="72"/>
      <c r="Q27" s="73"/>
      <c r="R27" s="74"/>
      <c r="S27" s="75"/>
      <c r="T27" s="75"/>
      <c r="V27" s="22"/>
      <c r="W27" s="24"/>
      <c r="X27" s="25"/>
      <c r="Y27" s="25"/>
      <c r="Z27" s="22"/>
      <c r="AA27" s="22"/>
    </row>
    <row r="28">
      <c r="A28" s="66"/>
      <c r="B28" s="66"/>
      <c r="C28" s="66"/>
      <c r="D28" s="66"/>
      <c r="G28" s="67"/>
      <c r="P28" s="76"/>
      <c r="V28" s="36"/>
      <c r="W28" s="37"/>
      <c r="X28" s="38"/>
      <c r="Y28" s="38"/>
      <c r="Z28" s="36"/>
      <c r="AA28" s="36"/>
    </row>
    <row r="29">
      <c r="A29" s="66"/>
      <c r="B29" s="66"/>
      <c r="C29" s="66"/>
      <c r="D29" s="66"/>
      <c r="G29" s="67"/>
      <c r="P29" s="77"/>
      <c r="V29" s="39"/>
      <c r="W29" s="40"/>
      <c r="X29" s="41"/>
      <c r="Y29" s="41"/>
      <c r="Z29" s="39"/>
      <c r="AA29" s="39"/>
    </row>
    <row r="30">
      <c r="B30" s="66"/>
      <c r="C30" s="66"/>
      <c r="D30" s="66"/>
      <c r="G30" s="67"/>
      <c r="P30" s="76"/>
      <c r="V30" s="39"/>
      <c r="W30" s="40"/>
      <c r="X30" s="41"/>
      <c r="Y30" s="41"/>
      <c r="Z30" s="39"/>
      <c r="AA30" s="39"/>
    </row>
    <row r="31">
      <c r="A31" s="66"/>
      <c r="B31" s="66"/>
      <c r="C31" s="66"/>
      <c r="D31" s="66"/>
      <c r="G31" s="67"/>
      <c r="P31" s="77"/>
      <c r="V31" s="22"/>
      <c r="W31" s="24"/>
      <c r="X31" s="25"/>
      <c r="Y31" s="25"/>
      <c r="Z31" s="22"/>
      <c r="AA31" s="22"/>
    </row>
    <row r="32">
      <c r="A32" s="66"/>
      <c r="B32" s="66"/>
      <c r="C32" s="66"/>
      <c r="D32" s="66"/>
      <c r="G32" s="67"/>
      <c r="P32" s="76"/>
      <c r="V32" s="36"/>
      <c r="W32" s="37"/>
      <c r="X32" s="38"/>
      <c r="Y32" s="38"/>
      <c r="Z32" s="36"/>
      <c r="AA32" s="36"/>
    </row>
    <row r="33">
      <c r="A33" s="66"/>
      <c r="B33" s="66"/>
      <c r="C33" s="66"/>
      <c r="D33" s="81"/>
      <c r="G33" s="67"/>
      <c r="P33" s="76"/>
      <c r="R33" s="82"/>
      <c r="V33" s="39"/>
      <c r="W33" s="40"/>
      <c r="X33" s="41"/>
      <c r="Y33" s="41"/>
      <c r="Z33" s="39"/>
      <c r="AA33" s="39"/>
    </row>
    <row r="34">
      <c r="A34" s="66"/>
      <c r="B34" s="66"/>
      <c r="C34" s="66"/>
      <c r="D34" s="81"/>
      <c r="G34" s="67"/>
      <c r="P34" s="76"/>
      <c r="R34" s="82"/>
      <c r="V34" s="39"/>
      <c r="W34" s="40"/>
      <c r="X34" s="41"/>
      <c r="Y34" s="41"/>
      <c r="Z34" s="39"/>
      <c r="AA34" s="39"/>
    </row>
    <row r="35">
      <c r="A35" s="66"/>
      <c r="B35" s="66"/>
      <c r="C35" s="66"/>
      <c r="D35" s="66"/>
      <c r="G35" s="67"/>
      <c r="P35" s="76"/>
      <c r="R35" s="82"/>
      <c r="V35" s="22"/>
      <c r="W35" s="24"/>
      <c r="X35" s="25"/>
      <c r="Y35" s="25"/>
      <c r="Z35" s="22"/>
      <c r="AA35" s="22"/>
    </row>
    <row r="36">
      <c r="A36" s="66"/>
      <c r="B36" s="66"/>
      <c r="C36" s="66"/>
      <c r="D36" s="66"/>
      <c r="G36" s="67"/>
      <c r="P36" s="77"/>
      <c r="R36" s="82"/>
      <c r="V36" s="36"/>
      <c r="W36" s="37"/>
      <c r="X36" s="38"/>
      <c r="Y36" s="38"/>
      <c r="Z36" s="36"/>
      <c r="AA36" s="36"/>
    </row>
    <row r="37">
      <c r="A37" s="66"/>
      <c r="B37" s="66"/>
      <c r="C37" s="66"/>
      <c r="D37" s="66"/>
      <c r="G37" s="67"/>
      <c r="P37" s="76"/>
      <c r="R37" s="82"/>
      <c r="V37" s="39"/>
      <c r="W37" s="40"/>
      <c r="X37" s="41"/>
      <c r="Y37" s="41"/>
      <c r="Z37" s="39"/>
      <c r="AA37" s="39"/>
    </row>
    <row r="38">
      <c r="A38" s="66"/>
      <c r="B38" s="66"/>
      <c r="C38" s="66"/>
      <c r="D38" s="66"/>
      <c r="G38" s="67"/>
      <c r="P38" s="77"/>
      <c r="R38" s="82"/>
      <c r="V38" s="39"/>
      <c r="W38" s="40"/>
      <c r="X38" s="41"/>
      <c r="Y38" s="41"/>
      <c r="Z38" s="39"/>
      <c r="AA38" s="39"/>
    </row>
    <row r="39">
      <c r="A39" s="66"/>
      <c r="C39" s="66"/>
      <c r="D39" s="66"/>
      <c r="G39" s="67"/>
      <c r="R39" s="82"/>
      <c r="V39" s="22"/>
      <c r="W39" s="24"/>
      <c r="X39" s="25"/>
      <c r="Y39" s="25"/>
      <c r="Z39" s="22"/>
      <c r="AA39" s="22"/>
    </row>
    <row r="40">
      <c r="A40" s="66"/>
      <c r="B40" s="66"/>
      <c r="C40" s="66"/>
      <c r="D40" s="66"/>
      <c r="G40" s="67"/>
      <c r="P40" s="76"/>
      <c r="R40" s="82"/>
      <c r="V40" s="36"/>
      <c r="W40" s="37"/>
      <c r="X40" s="38"/>
      <c r="Y40" s="38"/>
      <c r="Z40" s="36"/>
      <c r="AA40" s="36"/>
    </row>
    <row r="41">
      <c r="A41" s="66"/>
      <c r="B41" s="66"/>
      <c r="C41" s="66"/>
      <c r="D41" s="66"/>
      <c r="G41" s="67"/>
      <c r="P41" s="76"/>
      <c r="R41" s="82"/>
      <c r="V41" s="39"/>
      <c r="W41" s="40"/>
      <c r="X41" s="41"/>
      <c r="Y41" s="41"/>
      <c r="Z41" s="39"/>
      <c r="AA41" s="39"/>
    </row>
    <row r="42">
      <c r="A42" s="66"/>
      <c r="B42" s="66"/>
      <c r="C42" s="66"/>
      <c r="D42" s="66"/>
      <c r="G42" s="67"/>
      <c r="P42" s="76"/>
      <c r="V42" s="39"/>
      <c r="W42" s="40"/>
      <c r="X42" s="41"/>
      <c r="Y42" s="41"/>
      <c r="Z42" s="39"/>
      <c r="AA42" s="39"/>
    </row>
  </sheetData>
  <mergeCells count="12">
    <mergeCell ref="V13:W13"/>
    <mergeCell ref="V16:W16"/>
    <mergeCell ref="V18:W18"/>
    <mergeCell ref="V22:W22"/>
    <mergeCell ref="V25:W25"/>
    <mergeCell ref="A1:D1"/>
    <mergeCell ref="F1:M1"/>
    <mergeCell ref="O1:T1"/>
    <mergeCell ref="V1:AB1"/>
    <mergeCell ref="V4:W4"/>
    <mergeCell ref="V6:W6"/>
    <mergeCell ref="V8:W8"/>
  </mergeCells>
  <drawing r:id="rId1"/>
</worksheet>
</file>